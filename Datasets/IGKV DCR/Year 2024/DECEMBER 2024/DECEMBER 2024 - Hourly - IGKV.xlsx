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bookViews>
    <workbookView xWindow="0" yWindow="0" windowWidth="19815" windowHeight="7815" tabRatio="913" activeTab="31"/>
  </bookViews>
  <sheets>
    <sheet name="01" sheetId="2" r:id="rId1"/>
    <sheet name="02" sheetId="3" r:id="rId2"/>
    <sheet name="03" sheetId="8" r:id="rId3"/>
    <sheet name="04" sheetId="9" r:id="rId4"/>
    <sheet name="05" sheetId="10" r:id="rId5"/>
    <sheet name="06" sheetId="11" r:id="rId6"/>
    <sheet name="07" sheetId="12" r:id="rId7"/>
    <sheet name="08" sheetId="13" r:id="rId8"/>
    <sheet name="09" sheetId="14" r:id="rId9"/>
    <sheet name="10" sheetId="15" r:id="rId10"/>
    <sheet name="11" sheetId="16" r:id="rId11"/>
    <sheet name="12" sheetId="17" r:id="rId12"/>
    <sheet name="13" sheetId="18" r:id="rId13"/>
    <sheet name="14" sheetId="19" r:id="rId14"/>
    <sheet name="15" sheetId="20" r:id="rId15"/>
    <sheet name="16" sheetId="21" r:id="rId16"/>
    <sheet name="17" sheetId="22" r:id="rId17"/>
    <sheet name="18" sheetId="23" r:id="rId18"/>
    <sheet name="19" sheetId="24" r:id="rId19"/>
    <sheet name="20" sheetId="25" r:id="rId20"/>
    <sheet name="21" sheetId="26" r:id="rId21"/>
    <sheet name="22" sheetId="27" r:id="rId22"/>
    <sheet name="23" sheetId="28" r:id="rId23"/>
    <sheet name="24" sheetId="29" r:id="rId24"/>
    <sheet name="25" sheetId="30" r:id="rId25"/>
    <sheet name="26" sheetId="31" r:id="rId26"/>
    <sheet name="27" sheetId="32" r:id="rId27"/>
    <sheet name="28" sheetId="33" r:id="rId28"/>
    <sheet name="29" sheetId="44" r:id="rId29"/>
    <sheet name="30" sheetId="40" r:id="rId30"/>
    <sheet name="31" sheetId="41" r:id="rId31"/>
    <sheet name="MONTHLY 31" sheetId="39" r:id="rId32"/>
  </sheets>
  <calcPr calcId="124519"/>
</workbook>
</file>

<file path=xl/calcChain.xml><?xml version="1.0" encoding="utf-8"?>
<calcChain xmlns="http://schemas.openxmlformats.org/spreadsheetml/2006/main">
  <c r="C45" i="39"/>
  <c r="D45"/>
  <c r="E45"/>
  <c r="G45"/>
  <c r="H45"/>
  <c r="I45"/>
  <c r="J45"/>
  <c r="K45"/>
  <c r="L45"/>
  <c r="M45"/>
  <c r="N45"/>
  <c r="O45"/>
  <c r="P45"/>
  <c r="B45"/>
  <c r="F39" i="20"/>
  <c r="D37" i="39"/>
  <c r="E37"/>
  <c r="G37"/>
  <c r="L37"/>
  <c r="M37"/>
  <c r="O37"/>
  <c r="B37"/>
  <c r="Q38" i="44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P37"/>
  <c r="O37"/>
  <c r="N37"/>
  <c r="M37"/>
  <c r="L37"/>
  <c r="K37"/>
  <c r="J37"/>
  <c r="I37"/>
  <c r="H37"/>
  <c r="G37"/>
  <c r="F37"/>
  <c r="E37"/>
  <c r="D37"/>
  <c r="C37"/>
  <c r="B37"/>
  <c r="Q37" i="39"/>
  <c r="P36" i="44"/>
  <c r="P37" i="39" s="1"/>
  <c r="O36" i="44"/>
  <c r="N36"/>
  <c r="N37" i="39" s="1"/>
  <c r="M36" i="44"/>
  <c r="L36"/>
  <c r="K36"/>
  <c r="K37" i="39" s="1"/>
  <c r="J36" i="44"/>
  <c r="J37" i="39" s="1"/>
  <c r="I36" i="44"/>
  <c r="I37" i="39" s="1"/>
  <c r="H36" i="44"/>
  <c r="H37" i="39" s="1"/>
  <c r="G36" i="44"/>
  <c r="F36"/>
  <c r="E36"/>
  <c r="D36"/>
  <c r="C36"/>
  <c r="C37" i="39" s="1"/>
  <c r="B36" i="44"/>
  <c r="P35"/>
  <c r="O35"/>
  <c r="N35"/>
  <c r="M35"/>
  <c r="L35"/>
  <c r="K35"/>
  <c r="J35"/>
  <c r="I35"/>
  <c r="H35"/>
  <c r="G35"/>
  <c r="F35"/>
  <c r="E35"/>
  <c r="D35"/>
  <c r="C35"/>
  <c r="B35"/>
  <c r="P34"/>
  <c r="O34"/>
  <c r="N34"/>
  <c r="M34"/>
  <c r="L34"/>
  <c r="K34"/>
  <c r="J34"/>
  <c r="I34"/>
  <c r="H34"/>
  <c r="G34"/>
  <c r="F34"/>
  <c r="E34"/>
  <c r="D34"/>
  <c r="C34"/>
  <c r="B34"/>
  <c r="B2"/>
  <c r="A37" i="39" s="1"/>
  <c r="J39"/>
  <c r="K39"/>
  <c r="L39"/>
  <c r="I38"/>
  <c r="H38"/>
  <c r="G38"/>
  <c r="K36"/>
  <c r="J36"/>
  <c r="E36"/>
  <c r="C36"/>
  <c r="B36"/>
  <c r="P35"/>
  <c r="M35"/>
  <c r="H35"/>
  <c r="E35"/>
  <c r="B35"/>
  <c r="J33"/>
  <c r="G33"/>
  <c r="D33"/>
  <c r="B33"/>
  <c r="J32"/>
  <c r="I32"/>
  <c r="D32"/>
  <c r="G31"/>
  <c r="D31"/>
  <c r="C31"/>
  <c r="P30"/>
  <c r="K30"/>
  <c r="H30"/>
  <c r="E30"/>
  <c r="C30"/>
  <c r="D29"/>
  <c r="B29"/>
  <c r="P28"/>
  <c r="O28"/>
  <c r="H28"/>
  <c r="G28"/>
  <c r="K27"/>
  <c r="H27"/>
  <c r="C26"/>
  <c r="P25"/>
  <c r="H25"/>
  <c r="J24"/>
  <c r="I24"/>
  <c r="H24"/>
  <c r="D24"/>
  <c r="B24"/>
  <c r="O23"/>
  <c r="N23"/>
  <c r="M23"/>
  <c r="J23"/>
  <c r="I23"/>
  <c r="N22"/>
  <c r="H22"/>
  <c r="Q21"/>
  <c r="J21"/>
  <c r="D21"/>
  <c r="B21"/>
  <c r="H20"/>
  <c r="G20"/>
  <c r="C20"/>
  <c r="B20"/>
  <c r="N19"/>
  <c r="K19"/>
  <c r="J19"/>
  <c r="G19"/>
  <c r="B19"/>
  <c r="M17"/>
  <c r="I17"/>
  <c r="G17"/>
  <c r="M15"/>
  <c r="H15"/>
  <c r="B15"/>
  <c r="D12"/>
  <c r="M11"/>
  <c r="I11"/>
  <c r="K10"/>
  <c r="B10"/>
  <c r="Q38" i="4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9" i="39" s="1"/>
  <c r="P36" i="41"/>
  <c r="P39" i="39" s="1"/>
  <c r="O36" i="41"/>
  <c r="O39" i="39" s="1"/>
  <c r="N36" i="41"/>
  <c r="N39" i="39" s="1"/>
  <c r="M36" i="41"/>
  <c r="M39" i="39" s="1"/>
  <c r="L36" i="41"/>
  <c r="K36"/>
  <c r="J36"/>
  <c r="I36"/>
  <c r="I39" i="39" s="1"/>
  <c r="H36" i="41"/>
  <c r="H39" i="39" s="1"/>
  <c r="G36" i="41"/>
  <c r="G39" i="39" s="1"/>
  <c r="F36" i="41"/>
  <c r="E36"/>
  <c r="E39" i="39" s="1"/>
  <c r="D36" i="41"/>
  <c r="D39" i="39" s="1"/>
  <c r="C36" i="41"/>
  <c r="C39" i="39" s="1"/>
  <c r="B36" i="41"/>
  <c r="B39" i="39" s="1"/>
  <c r="Q35" i="4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9" i="39" s="1"/>
  <c r="Q38" i="4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8" i="39" s="1"/>
  <c r="P36" i="40"/>
  <c r="P38" i="39" s="1"/>
  <c r="O36" i="40"/>
  <c r="O38" i="39" s="1"/>
  <c r="N36" i="40"/>
  <c r="N38" i="39" s="1"/>
  <c r="M36" i="40"/>
  <c r="M38" i="39" s="1"/>
  <c r="L36" i="40"/>
  <c r="L38" i="39" s="1"/>
  <c r="K36" i="40"/>
  <c r="K38" i="39" s="1"/>
  <c r="J36" i="40"/>
  <c r="J38" i="39" s="1"/>
  <c r="I36" i="40"/>
  <c r="H36"/>
  <c r="G36"/>
  <c r="F36"/>
  <c r="E36"/>
  <c r="E38" i="39" s="1"/>
  <c r="D36" i="40"/>
  <c r="D38" i="39" s="1"/>
  <c r="C36" i="40"/>
  <c r="C38" i="39" s="1"/>
  <c r="B36" i="40"/>
  <c r="B38" i="39" s="1"/>
  <c r="Q35" i="4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8" i="39" s="1"/>
  <c r="Q38" i="3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39" s="1"/>
  <c r="F38"/>
  <c r="F40" s="1"/>
  <c r="E38"/>
  <c r="E40" s="1"/>
  <c r="D38"/>
  <c r="D40" s="1"/>
  <c r="C38"/>
  <c r="C40" s="1"/>
  <c r="B38"/>
  <c r="B40" s="1"/>
  <c r="P37"/>
  <c r="O37"/>
  <c r="N37"/>
  <c r="M37"/>
  <c r="L37"/>
  <c r="K37"/>
  <c r="J37"/>
  <c r="I37"/>
  <c r="H37"/>
  <c r="G37"/>
  <c r="F37"/>
  <c r="E37"/>
  <c r="D37"/>
  <c r="C37"/>
  <c r="B37"/>
  <c r="Q36" i="39"/>
  <c r="P36" i="33"/>
  <c r="P36" i="39" s="1"/>
  <c r="O36" i="33"/>
  <c r="O36" i="39" s="1"/>
  <c r="N36" i="33"/>
  <c r="N36" i="39" s="1"/>
  <c r="M36" i="33"/>
  <c r="M36" i="39" s="1"/>
  <c r="L36" i="33"/>
  <c r="L36" i="39" s="1"/>
  <c r="K36" i="33"/>
  <c r="J36"/>
  <c r="I36"/>
  <c r="I36" i="39" s="1"/>
  <c r="H36" i="33"/>
  <c r="H36" i="39" s="1"/>
  <c r="G36" i="33"/>
  <c r="G36" i="39" s="1"/>
  <c r="F36" i="33"/>
  <c r="E36"/>
  <c r="D36"/>
  <c r="D36" i="39" s="1"/>
  <c r="C36" i="33"/>
  <c r="B36"/>
  <c r="P35"/>
  <c r="O35"/>
  <c r="N35"/>
  <c r="M35"/>
  <c r="L35"/>
  <c r="K35"/>
  <c r="J35"/>
  <c r="I35"/>
  <c r="H35"/>
  <c r="G35"/>
  <c r="F35"/>
  <c r="E35"/>
  <c r="D35"/>
  <c r="C35"/>
  <c r="B35"/>
  <c r="P34"/>
  <c r="O34"/>
  <c r="N34"/>
  <c r="M34"/>
  <c r="L34"/>
  <c r="K34"/>
  <c r="J34"/>
  <c r="I34"/>
  <c r="H34"/>
  <c r="G34"/>
  <c r="F34"/>
  <c r="E34"/>
  <c r="D34"/>
  <c r="C34"/>
  <c r="B34"/>
  <c r="B2"/>
  <c r="A36" i="39" s="1"/>
  <c r="I39" i="32"/>
  <c r="Q40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P37"/>
  <c r="O37"/>
  <c r="N37"/>
  <c r="M37"/>
  <c r="L37"/>
  <c r="K37"/>
  <c r="J37"/>
  <c r="I37"/>
  <c r="H37"/>
  <c r="G37"/>
  <c r="F37"/>
  <c r="E37"/>
  <c r="D37"/>
  <c r="C37"/>
  <c r="B37"/>
  <c r="Q35" i="39"/>
  <c r="P36" i="32"/>
  <c r="O36"/>
  <c r="O35" i="39" s="1"/>
  <c r="N36" i="32"/>
  <c r="N35" i="39" s="1"/>
  <c r="M36" i="32"/>
  <c r="L36"/>
  <c r="L35" i="39" s="1"/>
  <c r="K36" i="32"/>
  <c r="K35" i="39" s="1"/>
  <c r="J36" i="32"/>
  <c r="J35" i="39" s="1"/>
  <c r="I36" i="32"/>
  <c r="I35" i="39" s="1"/>
  <c r="H36" i="32"/>
  <c r="G36"/>
  <c r="G35" i="39" s="1"/>
  <c r="F36" i="32"/>
  <c r="E36"/>
  <c r="D36"/>
  <c r="D35" i="39" s="1"/>
  <c r="C36" i="32"/>
  <c r="C35" i="39" s="1"/>
  <c r="B36" i="32"/>
  <c r="P35"/>
  <c r="O35"/>
  <c r="N35"/>
  <c r="M35"/>
  <c r="L35"/>
  <c r="K35"/>
  <c r="J35"/>
  <c r="I35"/>
  <c r="H35"/>
  <c r="G35"/>
  <c r="F35"/>
  <c r="E35"/>
  <c r="D35"/>
  <c r="C35"/>
  <c r="B35"/>
  <c r="P34"/>
  <c r="O34"/>
  <c r="N34"/>
  <c r="M34"/>
  <c r="L34"/>
  <c r="K34"/>
  <c r="J34"/>
  <c r="I34"/>
  <c r="H34"/>
  <c r="G34"/>
  <c r="F34"/>
  <c r="E34"/>
  <c r="D34"/>
  <c r="C34"/>
  <c r="B34"/>
  <c r="B2"/>
  <c r="A35" i="39" s="1"/>
  <c r="Q40" i="31"/>
  <c r="P40"/>
  <c r="O40"/>
  <c r="N40"/>
  <c r="M40"/>
  <c r="L40"/>
  <c r="K40"/>
  <c r="J40"/>
  <c r="I40"/>
  <c r="H40"/>
  <c r="G40"/>
  <c r="F40"/>
  <c r="E40"/>
  <c r="D40"/>
  <c r="C40"/>
  <c r="B40"/>
  <c r="Q37"/>
  <c r="P37"/>
  <c r="O37"/>
  <c r="N37"/>
  <c r="M37"/>
  <c r="L37"/>
  <c r="K37"/>
  <c r="J37"/>
  <c r="I37"/>
  <c r="H37"/>
  <c r="G37"/>
  <c r="F37"/>
  <c r="E37"/>
  <c r="D37"/>
  <c r="C37"/>
  <c r="B37"/>
  <c r="Q36"/>
  <c r="Q34" i="39" s="1"/>
  <c r="P36" i="31"/>
  <c r="P34" i="39" s="1"/>
  <c r="O36" i="31"/>
  <c r="O34" i="39" s="1"/>
  <c r="N36" i="31"/>
  <c r="N34" i="39" s="1"/>
  <c r="M36" i="31"/>
  <c r="M34" i="39" s="1"/>
  <c r="L36" i="31"/>
  <c r="L34" i="39" s="1"/>
  <c r="K36" i="31"/>
  <c r="K34" i="39" s="1"/>
  <c r="J36" i="31"/>
  <c r="J34" i="39" s="1"/>
  <c r="I36" i="31"/>
  <c r="I34" i="39" s="1"/>
  <c r="H36" i="31"/>
  <c r="H34" i="39" s="1"/>
  <c r="G36" i="31"/>
  <c r="G34" i="39" s="1"/>
  <c r="F36" i="31"/>
  <c r="E36"/>
  <c r="E34" i="39" s="1"/>
  <c r="D36" i="31"/>
  <c r="D34" i="39" s="1"/>
  <c r="C36" i="31"/>
  <c r="C34" i="39" s="1"/>
  <c r="B36" i="31"/>
  <c r="B34" i="39" s="1"/>
  <c r="Q35" i="3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4" i="39" s="1"/>
  <c r="Q38" i="3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3" i="39" s="1"/>
  <c r="P36" i="30"/>
  <c r="P33" i="39" s="1"/>
  <c r="O36" i="30"/>
  <c r="O33" i="39" s="1"/>
  <c r="N36" i="30"/>
  <c r="N33" i="39" s="1"/>
  <c r="M36" i="30"/>
  <c r="M33" i="39" s="1"/>
  <c r="L36" i="30"/>
  <c r="L33" i="39" s="1"/>
  <c r="K36" i="30"/>
  <c r="K33" i="39" s="1"/>
  <c r="J36" i="30"/>
  <c r="I36"/>
  <c r="I33" i="39" s="1"/>
  <c r="H36" i="30"/>
  <c r="H33" i="39" s="1"/>
  <c r="G36" i="30"/>
  <c r="F36"/>
  <c r="E36"/>
  <c r="E33" i="39" s="1"/>
  <c r="D36" i="30"/>
  <c r="C36"/>
  <c r="C33" i="39" s="1"/>
  <c r="B36" i="30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3" i="39" s="1"/>
  <c r="Q38" i="2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40"/>
  <c r="G40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2" i="39" s="1"/>
  <c r="P36" i="29"/>
  <c r="P32" i="39" s="1"/>
  <c r="O36" i="29"/>
  <c r="O32" i="39" s="1"/>
  <c r="N36" i="29"/>
  <c r="N32" i="39" s="1"/>
  <c r="M36" i="29"/>
  <c r="M32" i="39" s="1"/>
  <c r="L36" i="29"/>
  <c r="L32" i="39" s="1"/>
  <c r="K36" i="29"/>
  <c r="K32" i="39" s="1"/>
  <c r="J36" i="29"/>
  <c r="I36"/>
  <c r="H36"/>
  <c r="H32" i="39" s="1"/>
  <c r="G36" i="29"/>
  <c r="G32" i="39" s="1"/>
  <c r="F36" i="29"/>
  <c r="E36"/>
  <c r="E32" i="39" s="1"/>
  <c r="D36" i="29"/>
  <c r="C36"/>
  <c r="C32" i="39" s="1"/>
  <c r="B36" i="29"/>
  <c r="B32" i="39" s="1"/>
  <c r="Q35" i="2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2" i="39" s="1"/>
  <c r="Q38" i="28"/>
  <c r="Q40" s="1"/>
  <c r="P38"/>
  <c r="P40" s="1"/>
  <c r="O38"/>
  <c r="O39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1" i="39" s="1"/>
  <c r="P36" i="28"/>
  <c r="P31" i="39" s="1"/>
  <c r="O36" i="28"/>
  <c r="O31" i="39" s="1"/>
  <c r="N36" i="28"/>
  <c r="N31" i="39" s="1"/>
  <c r="M36" i="28"/>
  <c r="M31" i="39" s="1"/>
  <c r="L36" i="28"/>
  <c r="L31" i="39" s="1"/>
  <c r="K36" i="28"/>
  <c r="K31" i="39" s="1"/>
  <c r="J36" i="28"/>
  <c r="J31" i="39" s="1"/>
  <c r="I36" i="28"/>
  <c r="I31" i="39" s="1"/>
  <c r="H36" i="28"/>
  <c r="H31" i="39" s="1"/>
  <c r="G36" i="28"/>
  <c r="F36"/>
  <c r="E36"/>
  <c r="E31" i="39" s="1"/>
  <c r="D36" i="28"/>
  <c r="C36"/>
  <c r="B36"/>
  <c r="B31" i="39" s="1"/>
  <c r="Q35" i="2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1" i="39" s="1"/>
  <c r="Q38" i="27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30" i="39" s="1"/>
  <c r="P36" i="27"/>
  <c r="O36"/>
  <c r="O30" i="39" s="1"/>
  <c r="N36" i="27"/>
  <c r="N30" i="39" s="1"/>
  <c r="M36" i="27"/>
  <c r="M30" i="39" s="1"/>
  <c r="L36" i="27"/>
  <c r="L30" i="39" s="1"/>
  <c r="K36" i="27"/>
  <c r="J36"/>
  <c r="J30" i="39" s="1"/>
  <c r="I36" i="27"/>
  <c r="I30" i="39" s="1"/>
  <c r="H36" i="27"/>
  <c r="G36"/>
  <c r="G30" i="39" s="1"/>
  <c r="F36" i="27"/>
  <c r="E36"/>
  <c r="D36"/>
  <c r="D30" i="39" s="1"/>
  <c r="C36" i="27"/>
  <c r="B36"/>
  <c r="B30" i="39" s="1"/>
  <c r="Q35" i="27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30" i="39" s="1"/>
  <c r="Q38" i="26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9" i="39" s="1"/>
  <c r="P36" i="26"/>
  <c r="P29" i="39" s="1"/>
  <c r="O36" i="26"/>
  <c r="O29" i="39" s="1"/>
  <c r="N36" i="26"/>
  <c r="N29" i="39" s="1"/>
  <c r="M36" i="26"/>
  <c r="M29" i="39" s="1"/>
  <c r="L36" i="26"/>
  <c r="L29" i="39" s="1"/>
  <c r="K36" i="26"/>
  <c r="K29" i="39" s="1"/>
  <c r="J36" i="26"/>
  <c r="J29" i="39" s="1"/>
  <c r="I36" i="26"/>
  <c r="I29" i="39" s="1"/>
  <c r="H36" i="26"/>
  <c r="H29" i="39" s="1"/>
  <c r="G36" i="26"/>
  <c r="G29" i="39" s="1"/>
  <c r="F36" i="26"/>
  <c r="E36"/>
  <c r="E29" i="39" s="1"/>
  <c r="D36" i="26"/>
  <c r="C36"/>
  <c r="C29" i="39" s="1"/>
  <c r="B36" i="2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9" i="39" s="1"/>
  <c r="Q38" i="25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8" i="39" s="1"/>
  <c r="P36" i="25"/>
  <c r="O36"/>
  <c r="N36"/>
  <c r="N28" i="39" s="1"/>
  <c r="M36" i="25"/>
  <c r="M28" i="39" s="1"/>
  <c r="L36" i="25"/>
  <c r="L28" i="39" s="1"/>
  <c r="K36" i="25"/>
  <c r="K28" i="39" s="1"/>
  <c r="J36" i="25"/>
  <c r="J28" i="39" s="1"/>
  <c r="I36" i="25"/>
  <c r="I28" i="39" s="1"/>
  <c r="H36" i="25"/>
  <c r="G36"/>
  <c r="F36"/>
  <c r="E36"/>
  <c r="E28" i="39" s="1"/>
  <c r="D36" i="25"/>
  <c r="D28" i="39" s="1"/>
  <c r="C36" i="25"/>
  <c r="C28" i="39" s="1"/>
  <c r="B36" i="25"/>
  <c r="B28" i="39" s="1"/>
  <c r="Q35" i="2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8" i="39" s="1"/>
  <c r="Q38" i="24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40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7" i="39" s="1"/>
  <c r="P36" i="24"/>
  <c r="P27" i="39" s="1"/>
  <c r="O36" i="24"/>
  <c r="O27" i="39" s="1"/>
  <c r="N36" i="24"/>
  <c r="N27" i="39" s="1"/>
  <c r="M36" i="24"/>
  <c r="M27" i="39" s="1"/>
  <c r="L36" i="24"/>
  <c r="L27" i="39" s="1"/>
  <c r="K36" i="24"/>
  <c r="J36"/>
  <c r="J27" i="39" s="1"/>
  <c r="I36" i="24"/>
  <c r="I27" i="39" s="1"/>
  <c r="H36" i="24"/>
  <c r="G36"/>
  <c r="G27" i="39" s="1"/>
  <c r="F36" i="24"/>
  <c r="E36"/>
  <c r="E27" i="39" s="1"/>
  <c r="D36" i="24"/>
  <c r="D27" i="39" s="1"/>
  <c r="C36" i="24"/>
  <c r="C27" i="39" s="1"/>
  <c r="B36" i="24"/>
  <c r="B27" i="39" s="1"/>
  <c r="Q35" i="24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7" i="39" s="1"/>
  <c r="Q38" i="2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40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E37"/>
  <c r="D37"/>
  <c r="C37"/>
  <c r="B37"/>
  <c r="Q36"/>
  <c r="Q26" i="39" s="1"/>
  <c r="P36" i="23"/>
  <c r="P26" i="39" s="1"/>
  <c r="O36" i="23"/>
  <c r="O26" i="39" s="1"/>
  <c r="N36" i="23"/>
  <c r="N26" i="39" s="1"/>
  <c r="M36" i="23"/>
  <c r="M26" i="39" s="1"/>
  <c r="L36" i="23"/>
  <c r="L26" i="39" s="1"/>
  <c r="K36" i="23"/>
  <c r="K26" i="39" s="1"/>
  <c r="J36" i="23"/>
  <c r="J26" i="39" s="1"/>
  <c r="I36" i="23"/>
  <c r="I26" i="39" s="1"/>
  <c r="H36" i="23"/>
  <c r="H26" i="39" s="1"/>
  <c r="G36" i="23"/>
  <c r="G26" i="39" s="1"/>
  <c r="E36" i="23"/>
  <c r="E26" i="39" s="1"/>
  <c r="D36" i="23"/>
  <c r="D26" i="39" s="1"/>
  <c r="C36" i="23"/>
  <c r="B36"/>
  <c r="B26" i="39" s="1"/>
  <c r="Q35" i="23"/>
  <c r="P35"/>
  <c r="O35"/>
  <c r="N35"/>
  <c r="M35"/>
  <c r="L35"/>
  <c r="K35"/>
  <c r="J35"/>
  <c r="I35"/>
  <c r="H35"/>
  <c r="G35"/>
  <c r="E35"/>
  <c r="D35"/>
  <c r="C35"/>
  <c r="B35"/>
  <c r="Q34"/>
  <c r="P34"/>
  <c r="O34"/>
  <c r="N34"/>
  <c r="M34"/>
  <c r="L34"/>
  <c r="K34"/>
  <c r="J34"/>
  <c r="I34"/>
  <c r="H34"/>
  <c r="G34"/>
  <c r="E34"/>
  <c r="D34"/>
  <c r="C34"/>
  <c r="B34"/>
  <c r="B2"/>
  <c r="A26" i="39" s="1"/>
  <c r="Q38" i="2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40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E37"/>
  <c r="D37"/>
  <c r="C37"/>
  <c r="B37"/>
  <c r="Q36"/>
  <c r="Q25" i="39" s="1"/>
  <c r="P36" i="22"/>
  <c r="O36"/>
  <c r="O25" i="39" s="1"/>
  <c r="N36" i="22"/>
  <c r="N25" i="39" s="1"/>
  <c r="M36" i="22"/>
  <c r="M25" i="39" s="1"/>
  <c r="L36" i="22"/>
  <c r="L25" i="39" s="1"/>
  <c r="K36" i="22"/>
  <c r="K25" i="39" s="1"/>
  <c r="J36" i="22"/>
  <c r="J25" i="39" s="1"/>
  <c r="I36" i="22"/>
  <c r="I25" i="39" s="1"/>
  <c r="H36" i="22"/>
  <c r="G36"/>
  <c r="G25" i="39" s="1"/>
  <c r="E36" i="22"/>
  <c r="E25" i="39" s="1"/>
  <c r="D36" i="22"/>
  <c r="D25" i="39" s="1"/>
  <c r="C36" i="22"/>
  <c r="C25" i="39" s="1"/>
  <c r="B36" i="22"/>
  <c r="B25" i="39" s="1"/>
  <c r="Q35" i="22"/>
  <c r="P35"/>
  <c r="O35"/>
  <c r="N35"/>
  <c r="M35"/>
  <c r="L35"/>
  <c r="K35"/>
  <c r="J35"/>
  <c r="I35"/>
  <c r="H35"/>
  <c r="G35"/>
  <c r="E35"/>
  <c r="D35"/>
  <c r="C35"/>
  <c r="B35"/>
  <c r="Q34"/>
  <c r="P34"/>
  <c r="O34"/>
  <c r="N34"/>
  <c r="M34"/>
  <c r="L34"/>
  <c r="K34"/>
  <c r="J34"/>
  <c r="I34"/>
  <c r="H34"/>
  <c r="G34"/>
  <c r="E34"/>
  <c r="D34"/>
  <c r="C34"/>
  <c r="B34"/>
  <c r="B2"/>
  <c r="A25" i="39" s="1"/>
  <c r="Q38" i="21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40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E37"/>
  <c r="D37"/>
  <c r="C37"/>
  <c r="B37"/>
  <c r="Q36"/>
  <c r="Q24" i="39" s="1"/>
  <c r="P36" i="21"/>
  <c r="P24" i="39" s="1"/>
  <c r="O36" i="21"/>
  <c r="O24" i="39" s="1"/>
  <c r="N36" i="21"/>
  <c r="N24" i="39" s="1"/>
  <c r="M36" i="21"/>
  <c r="M24" i="39" s="1"/>
  <c r="L36" i="21"/>
  <c r="L24" i="39" s="1"/>
  <c r="K36" i="21"/>
  <c r="K24" i="39" s="1"/>
  <c r="J36" i="21"/>
  <c r="I36"/>
  <c r="H36"/>
  <c r="G36"/>
  <c r="G24" i="39" s="1"/>
  <c r="E36" i="21"/>
  <c r="E24" i="39" s="1"/>
  <c r="D36" i="21"/>
  <c r="C36"/>
  <c r="C24" i="39" s="1"/>
  <c r="B36" i="21"/>
  <c r="Q35"/>
  <c r="P35"/>
  <c r="O35"/>
  <c r="N35"/>
  <c r="M35"/>
  <c r="L35"/>
  <c r="K35"/>
  <c r="J35"/>
  <c r="I35"/>
  <c r="H35"/>
  <c r="G35"/>
  <c r="E35"/>
  <c r="D35"/>
  <c r="C35"/>
  <c r="B35"/>
  <c r="Q34"/>
  <c r="P34"/>
  <c r="O34"/>
  <c r="N34"/>
  <c r="M34"/>
  <c r="L34"/>
  <c r="K34"/>
  <c r="J34"/>
  <c r="I34"/>
  <c r="H34"/>
  <c r="G34"/>
  <c r="E34"/>
  <c r="D34"/>
  <c r="C34"/>
  <c r="B34"/>
  <c r="B2"/>
  <c r="A24" i="39" s="1"/>
  <c r="H39" i="20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40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3" i="39" s="1"/>
  <c r="P36" i="20"/>
  <c r="P23" i="39" s="1"/>
  <c r="O36" i="20"/>
  <c r="N36"/>
  <c r="M36"/>
  <c r="L36"/>
  <c r="L23" i="39" s="1"/>
  <c r="K36" i="20"/>
  <c r="K23" i="39" s="1"/>
  <c r="J36" i="20"/>
  <c r="I36"/>
  <c r="H36"/>
  <c r="H23" i="39" s="1"/>
  <c r="G36" i="20"/>
  <c r="G23" i="39" s="1"/>
  <c r="F36" i="20"/>
  <c r="F23" i="39" s="1"/>
  <c r="E36" i="20"/>
  <c r="E23" i="39" s="1"/>
  <c r="D36" i="20"/>
  <c r="D23" i="39" s="1"/>
  <c r="C36" i="20"/>
  <c r="C23" i="39" s="1"/>
  <c r="B36" i="20"/>
  <c r="B23" i="39" s="1"/>
  <c r="Q35" i="2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3" i="39" s="1"/>
  <c r="Q38" i="1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2" i="39" s="1"/>
  <c r="P36" i="19"/>
  <c r="P22" i="39" s="1"/>
  <c r="O36" i="19"/>
  <c r="O22" i="39" s="1"/>
  <c r="N36" i="19"/>
  <c r="M36"/>
  <c r="M22" i="39" s="1"/>
  <c r="L36" i="19"/>
  <c r="L22" i="39" s="1"/>
  <c r="K36" i="19"/>
  <c r="K22" i="39" s="1"/>
  <c r="J36" i="19"/>
  <c r="J22" i="39" s="1"/>
  <c r="I36" i="19"/>
  <c r="I22" i="39" s="1"/>
  <c r="H36" i="19"/>
  <c r="G36"/>
  <c r="G22" i="39" s="1"/>
  <c r="F36" i="19"/>
  <c r="F22" i="39" s="1"/>
  <c r="E36" i="19"/>
  <c r="E22" i="39" s="1"/>
  <c r="D36" i="19"/>
  <c r="D22" i="39" s="1"/>
  <c r="C36" i="19"/>
  <c r="C22" i="39" s="1"/>
  <c r="B36" i="19"/>
  <c r="B22" i="39" s="1"/>
  <c r="Q35" i="1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2" i="39" s="1"/>
  <c r="Q38" i="18"/>
  <c r="Q40" s="1"/>
  <c r="P38"/>
  <c r="P40" s="1"/>
  <c r="O38"/>
  <c r="O40" s="1"/>
  <c r="N38"/>
  <c r="N39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39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P36"/>
  <c r="P21" i="39" s="1"/>
  <c r="O36" i="18"/>
  <c r="O21" i="39" s="1"/>
  <c r="N36" i="18"/>
  <c r="N21" i="39" s="1"/>
  <c r="M36" i="18"/>
  <c r="M21" i="39" s="1"/>
  <c r="L36" i="18"/>
  <c r="L21" i="39" s="1"/>
  <c r="K36" i="18"/>
  <c r="K21" i="39" s="1"/>
  <c r="J36" i="18"/>
  <c r="I36"/>
  <c r="I21" i="39" s="1"/>
  <c r="H36" i="18"/>
  <c r="H21" i="39" s="1"/>
  <c r="G36" i="18"/>
  <c r="G21" i="39" s="1"/>
  <c r="F36" i="18"/>
  <c r="F21" i="39" s="1"/>
  <c r="E36" i="18"/>
  <c r="E21" i="39" s="1"/>
  <c r="D36" i="18"/>
  <c r="C36"/>
  <c r="C21" i="39" s="1"/>
  <c r="B36" i="18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1" i="39" s="1"/>
  <c r="Q38" i="17"/>
  <c r="Q40" s="1"/>
  <c r="P38"/>
  <c r="P40" s="1"/>
  <c r="O38"/>
  <c r="O40" s="1"/>
  <c r="N38"/>
  <c r="N40" s="1"/>
  <c r="M38"/>
  <c r="M40" s="1"/>
  <c r="L38"/>
  <c r="L40" s="1"/>
  <c r="K38"/>
  <c r="K40" s="1"/>
  <c r="J38"/>
  <c r="J39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20" i="39" s="1"/>
  <c r="P36" i="17"/>
  <c r="P20" i="39" s="1"/>
  <c r="O36" i="17"/>
  <c r="O20" i="39" s="1"/>
  <c r="N36" i="17"/>
  <c r="N20" i="39" s="1"/>
  <c r="M36" i="17"/>
  <c r="M20" i="39" s="1"/>
  <c r="L36" i="17"/>
  <c r="L20" i="39" s="1"/>
  <c r="K36" i="17"/>
  <c r="K20" i="39" s="1"/>
  <c r="J36" i="17"/>
  <c r="J20" i="39" s="1"/>
  <c r="I36" i="17"/>
  <c r="I20" i="39" s="1"/>
  <c r="H36" i="17"/>
  <c r="G36"/>
  <c r="F36"/>
  <c r="F20" i="39" s="1"/>
  <c r="E36" i="17"/>
  <c r="E20" i="39" s="1"/>
  <c r="D36" i="17"/>
  <c r="D20" i="39" s="1"/>
  <c r="C36" i="17"/>
  <c r="B3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20" i="39" s="1"/>
  <c r="Q38" i="16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9" i="39" s="1"/>
  <c r="P36" i="16"/>
  <c r="P19" i="39" s="1"/>
  <c r="O36" i="16"/>
  <c r="O19" i="39" s="1"/>
  <c r="N36" i="16"/>
  <c r="M36"/>
  <c r="M19" i="39" s="1"/>
  <c r="L36" i="16"/>
  <c r="L19" i="39" s="1"/>
  <c r="K36" i="16"/>
  <c r="J36"/>
  <c r="I36"/>
  <c r="I19" i="39" s="1"/>
  <c r="H36" i="16"/>
  <c r="H19" i="39" s="1"/>
  <c r="G36" i="16"/>
  <c r="F36"/>
  <c r="F19" i="39" s="1"/>
  <c r="E36" i="16"/>
  <c r="E19" i="39" s="1"/>
  <c r="D36" i="16"/>
  <c r="D19" i="39" s="1"/>
  <c r="C36" i="16"/>
  <c r="C19" i="39" s="1"/>
  <c r="B36" i="16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9" i="39" s="1"/>
  <c r="Q38" i="15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8" i="39" s="1"/>
  <c r="P36" i="15"/>
  <c r="P18" i="39" s="1"/>
  <c r="O36" i="15"/>
  <c r="O18" i="39" s="1"/>
  <c r="N36" i="15"/>
  <c r="N18" i="39" s="1"/>
  <c r="M36" i="15"/>
  <c r="M18" i="39" s="1"/>
  <c r="L36" i="15"/>
  <c r="L18" i="39" s="1"/>
  <c r="K36" i="15"/>
  <c r="K18" i="39" s="1"/>
  <c r="J36" i="15"/>
  <c r="J18" i="39" s="1"/>
  <c r="I36" i="15"/>
  <c r="I18" i="39" s="1"/>
  <c r="H36" i="15"/>
  <c r="H18" i="39" s="1"/>
  <c r="G36" i="15"/>
  <c r="G18" i="39" s="1"/>
  <c r="F36" i="15"/>
  <c r="F18" i="39" s="1"/>
  <c r="E36" i="15"/>
  <c r="E18" i="39" s="1"/>
  <c r="D36" i="15"/>
  <c r="D18" i="39" s="1"/>
  <c r="C36" i="15"/>
  <c r="C18" i="39" s="1"/>
  <c r="B36" i="15"/>
  <c r="B18" i="39" s="1"/>
  <c r="Q35" i="1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8" i="39" s="1"/>
  <c r="J39" i="14"/>
  <c r="Q3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39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7" i="39" s="1"/>
  <c r="P36" i="14"/>
  <c r="P17" i="39" s="1"/>
  <c r="O36" i="14"/>
  <c r="O17" i="39" s="1"/>
  <c r="N36" i="14"/>
  <c r="N17" i="39" s="1"/>
  <c r="M36" i="14"/>
  <c r="L36"/>
  <c r="L17" i="39" s="1"/>
  <c r="K36" i="14"/>
  <c r="K17" i="39" s="1"/>
  <c r="J36" i="14"/>
  <c r="J17" i="39" s="1"/>
  <c r="I36" i="14"/>
  <c r="H36"/>
  <c r="H17" i="39" s="1"/>
  <c r="G36" i="14"/>
  <c r="F36"/>
  <c r="F17" i="39" s="1"/>
  <c r="E36" i="14"/>
  <c r="E17" i="39" s="1"/>
  <c r="D36" i="14"/>
  <c r="D17" i="39" s="1"/>
  <c r="C36" i="14"/>
  <c r="C17" i="39" s="1"/>
  <c r="B36" i="14"/>
  <c r="B17" i="39" s="1"/>
  <c r="Q35" i="14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7" i="39" s="1"/>
  <c r="Q38" i="13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6" i="39" s="1"/>
  <c r="P36" i="13"/>
  <c r="P16" i="39" s="1"/>
  <c r="O36" i="13"/>
  <c r="O16" i="39" s="1"/>
  <c r="N36" i="13"/>
  <c r="N16" i="39" s="1"/>
  <c r="M36" i="13"/>
  <c r="M16" i="39" s="1"/>
  <c r="L36" i="13"/>
  <c r="L16" i="39" s="1"/>
  <c r="K36" i="13"/>
  <c r="K16" i="39" s="1"/>
  <c r="J36" i="13"/>
  <c r="J16" i="39" s="1"/>
  <c r="I36" i="13"/>
  <c r="I16" i="39" s="1"/>
  <c r="H36" i="13"/>
  <c r="H16" i="39" s="1"/>
  <c r="G36" i="13"/>
  <c r="G16" i="39" s="1"/>
  <c r="F36" i="13"/>
  <c r="F16" i="39" s="1"/>
  <c r="E36" i="13"/>
  <c r="E16" i="39" s="1"/>
  <c r="D36" i="13"/>
  <c r="D16" i="39" s="1"/>
  <c r="C36" i="13"/>
  <c r="C16" i="39" s="1"/>
  <c r="B36" i="13"/>
  <c r="B16" i="39" s="1"/>
  <c r="Q35" i="13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6" i="39" s="1"/>
  <c r="Q38" i="12"/>
  <c r="Q40" s="1"/>
  <c r="P38"/>
  <c r="P40" s="1"/>
  <c r="O38"/>
  <c r="O40" s="1"/>
  <c r="N38"/>
  <c r="N39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39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5" i="39" s="1"/>
  <c r="P36" i="12"/>
  <c r="P15" i="39" s="1"/>
  <c r="O36" i="12"/>
  <c r="O15" i="39" s="1"/>
  <c r="N36" i="12"/>
  <c r="N15" i="39" s="1"/>
  <c r="M36" i="12"/>
  <c r="L36"/>
  <c r="L15" i="39" s="1"/>
  <c r="K36" i="12"/>
  <c r="K15" i="39" s="1"/>
  <c r="J36" i="12"/>
  <c r="J15" i="39" s="1"/>
  <c r="I36" i="12"/>
  <c r="I15" i="39" s="1"/>
  <c r="H36" i="12"/>
  <c r="G36"/>
  <c r="G15" i="39" s="1"/>
  <c r="F36" i="12"/>
  <c r="F15" i="39" s="1"/>
  <c r="E36" i="12"/>
  <c r="E15" i="39" s="1"/>
  <c r="D36" i="12"/>
  <c r="D15" i="39" s="1"/>
  <c r="C36" i="12"/>
  <c r="C15" i="39" s="1"/>
  <c r="B36" i="12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5" i="39" s="1"/>
  <c r="Q38" i="11"/>
  <c r="Q40" s="1"/>
  <c r="P38"/>
  <c r="P40" s="1"/>
  <c r="O38"/>
  <c r="O39" s="1"/>
  <c r="N38"/>
  <c r="N40" s="1"/>
  <c r="M38"/>
  <c r="M40" s="1"/>
  <c r="L38"/>
  <c r="L40" s="1"/>
  <c r="K38"/>
  <c r="K39" s="1"/>
  <c r="J38"/>
  <c r="J40" s="1"/>
  <c r="I38"/>
  <c r="I40" s="1"/>
  <c r="H38"/>
  <c r="H40" s="1"/>
  <c r="G38"/>
  <c r="G40" s="1"/>
  <c r="F38"/>
  <c r="F40" s="1"/>
  <c r="E38"/>
  <c r="E40" s="1"/>
  <c r="D38"/>
  <c r="D39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4" i="39" s="1"/>
  <c r="P36" i="11"/>
  <c r="P14" i="39" s="1"/>
  <c r="O36" i="11"/>
  <c r="O14" i="39" s="1"/>
  <c r="N36" i="11"/>
  <c r="N14" i="39" s="1"/>
  <c r="M36" i="11"/>
  <c r="M14" i="39" s="1"/>
  <c r="L36" i="11"/>
  <c r="L14" i="39" s="1"/>
  <c r="K36" i="11"/>
  <c r="K14" i="39" s="1"/>
  <c r="J36" i="11"/>
  <c r="J14" i="39" s="1"/>
  <c r="I36" i="11"/>
  <c r="I14" i="39" s="1"/>
  <c r="H36" i="11"/>
  <c r="H14" i="39" s="1"/>
  <c r="G36" i="11"/>
  <c r="G14" i="39" s="1"/>
  <c r="F36" i="11"/>
  <c r="F14" i="39" s="1"/>
  <c r="E36" i="11"/>
  <c r="E14" i="39" s="1"/>
  <c r="D36" i="11"/>
  <c r="D14" i="39" s="1"/>
  <c r="C36" i="11"/>
  <c r="C14" i="39" s="1"/>
  <c r="B36" i="11"/>
  <c r="B14" i="39" s="1"/>
  <c r="Q35" i="11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4" i="39" s="1"/>
  <c r="Q38" i="10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39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3" i="39" s="1"/>
  <c r="P36" i="10"/>
  <c r="P13" i="39" s="1"/>
  <c r="O36" i="10"/>
  <c r="O13" i="39" s="1"/>
  <c r="N36" i="10"/>
  <c r="N13" i="39" s="1"/>
  <c r="M36" i="10"/>
  <c r="M13" i="39" s="1"/>
  <c r="L36" i="10"/>
  <c r="L13" i="39" s="1"/>
  <c r="K36" i="10"/>
  <c r="K13" i="39" s="1"/>
  <c r="J36" i="10"/>
  <c r="J13" i="39" s="1"/>
  <c r="I36" i="10"/>
  <c r="I13" i="39" s="1"/>
  <c r="H36" i="10"/>
  <c r="H13" i="39" s="1"/>
  <c r="G36" i="10"/>
  <c r="G13" i="39" s="1"/>
  <c r="F36" i="10"/>
  <c r="F13" i="39" s="1"/>
  <c r="E36" i="10"/>
  <c r="E13" i="39" s="1"/>
  <c r="D36" i="10"/>
  <c r="D13" i="39" s="1"/>
  <c r="C36" i="10"/>
  <c r="C13" i="39" s="1"/>
  <c r="B36" i="10"/>
  <c r="B13" i="39" s="1"/>
  <c r="Q35" i="10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3" i="39" s="1"/>
  <c r="Q38" i="9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40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2" i="39" s="1"/>
  <c r="P36" i="9"/>
  <c r="P12" i="39" s="1"/>
  <c r="O36" i="9"/>
  <c r="O12" i="39" s="1"/>
  <c r="N36" i="9"/>
  <c r="N12" i="39" s="1"/>
  <c r="M36" i="9"/>
  <c r="M12" i="39" s="1"/>
  <c r="L36" i="9"/>
  <c r="L12" i="39" s="1"/>
  <c r="K36" i="9"/>
  <c r="K12" i="39" s="1"/>
  <c r="J36" i="9"/>
  <c r="J12" i="39" s="1"/>
  <c r="I36" i="9"/>
  <c r="I12" i="39" s="1"/>
  <c r="H36" i="9"/>
  <c r="H12" i="39" s="1"/>
  <c r="G36" i="9"/>
  <c r="G12" i="39" s="1"/>
  <c r="F36" i="9"/>
  <c r="F12" i="39" s="1"/>
  <c r="E36" i="9"/>
  <c r="E12" i="39" s="1"/>
  <c r="D36" i="9"/>
  <c r="C36"/>
  <c r="C12" i="39" s="1"/>
  <c r="B36" i="9"/>
  <c r="B12" i="39" s="1"/>
  <c r="Q35" i="9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2" i="39" s="1"/>
  <c r="Q38" i="8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40"/>
  <c r="G40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1" i="39" s="1"/>
  <c r="P36" i="8"/>
  <c r="P11" i="39" s="1"/>
  <c r="O36" i="8"/>
  <c r="O11" i="39" s="1"/>
  <c r="N36" i="8"/>
  <c r="N11" i="39" s="1"/>
  <c r="M36" i="8"/>
  <c r="L36"/>
  <c r="L11" i="39" s="1"/>
  <c r="K36" i="8"/>
  <c r="K11" i="39" s="1"/>
  <c r="J36" i="8"/>
  <c r="J11" i="39" s="1"/>
  <c r="I36" i="8"/>
  <c r="H36"/>
  <c r="H11" i="39" s="1"/>
  <c r="G36" i="8"/>
  <c r="G11" i="39" s="1"/>
  <c r="F36" i="8"/>
  <c r="F11" i="39" s="1"/>
  <c r="E36" i="8"/>
  <c r="E11" i="39" s="1"/>
  <c r="D36" i="8"/>
  <c r="D11" i="39" s="1"/>
  <c r="C36" i="8"/>
  <c r="C11" i="39" s="1"/>
  <c r="B36" i="8"/>
  <c r="B11" i="39" s="1"/>
  <c r="Q35" i="8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1" i="39" s="1"/>
  <c r="Q38" i="3"/>
  <c r="Q40" s="1"/>
  <c r="P38"/>
  <c r="P40" s="1"/>
  <c r="O38"/>
  <c r="O40" s="1"/>
  <c r="N38"/>
  <c r="N39" s="1"/>
  <c r="M38"/>
  <c r="M40" s="1"/>
  <c r="L38"/>
  <c r="L40" s="1"/>
  <c r="K38"/>
  <c r="K40" s="1"/>
  <c r="J38"/>
  <c r="J40" s="1"/>
  <c r="I38"/>
  <c r="I40" s="1"/>
  <c r="H38"/>
  <c r="H40" s="1"/>
  <c r="G38"/>
  <c r="G39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10" i="39" s="1"/>
  <c r="P36" i="3"/>
  <c r="P10" i="39" s="1"/>
  <c r="O36" i="3"/>
  <c r="O10" i="39" s="1"/>
  <c r="N36" i="3"/>
  <c r="N10" i="39" s="1"/>
  <c r="M36" i="3"/>
  <c r="M10" i="39" s="1"/>
  <c r="L36" i="3"/>
  <c r="L10" i="39" s="1"/>
  <c r="K36" i="3"/>
  <c r="J36"/>
  <c r="J10" i="39" s="1"/>
  <c r="I36" i="3"/>
  <c r="I10" i="39" s="1"/>
  <c r="H36" i="3"/>
  <c r="H10" i="39" s="1"/>
  <c r="G36" i="3"/>
  <c r="G10" i="39" s="1"/>
  <c r="F36" i="3"/>
  <c r="F10" i="39" s="1"/>
  <c r="E36" i="3"/>
  <c r="E10" i="39" s="1"/>
  <c r="D36" i="3"/>
  <c r="D10" i="39" s="1"/>
  <c r="C36" i="3"/>
  <c r="C10" i="39" s="1"/>
  <c r="B36" i="3"/>
  <c r="Q35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10" i="39" s="1"/>
  <c r="Q38" i="2"/>
  <c r="Q40" s="1"/>
  <c r="P38"/>
  <c r="P40" s="1"/>
  <c r="O38"/>
  <c r="O40" s="1"/>
  <c r="N38"/>
  <c r="N40" s="1"/>
  <c r="M38"/>
  <c r="M40" s="1"/>
  <c r="L38"/>
  <c r="L40" s="1"/>
  <c r="K38"/>
  <c r="K40" s="1"/>
  <c r="J38"/>
  <c r="J40" s="1"/>
  <c r="I38"/>
  <c r="I40" s="1"/>
  <c r="H38"/>
  <c r="H40" s="1"/>
  <c r="G38"/>
  <c r="G40" s="1"/>
  <c r="F38"/>
  <c r="F40" s="1"/>
  <c r="E38"/>
  <c r="E40" s="1"/>
  <c r="D38"/>
  <c r="D40" s="1"/>
  <c r="C38"/>
  <c r="C40" s="1"/>
  <c r="B38"/>
  <c r="B40" s="1"/>
  <c r="Q37"/>
  <c r="P37"/>
  <c r="O37"/>
  <c r="N37"/>
  <c r="M37"/>
  <c r="L37"/>
  <c r="K37"/>
  <c r="J37"/>
  <c r="I37"/>
  <c r="H37"/>
  <c r="G37"/>
  <c r="F37"/>
  <c r="E37"/>
  <c r="D37"/>
  <c r="C37"/>
  <c r="B37"/>
  <c r="Q36"/>
  <c r="Q9" i="39" s="1"/>
  <c r="P36" i="2"/>
  <c r="P9" i="39" s="1"/>
  <c r="O36" i="2"/>
  <c r="O9" i="39" s="1"/>
  <c r="N36" i="2"/>
  <c r="N9" i="39" s="1"/>
  <c r="M36" i="2"/>
  <c r="M9" i="39" s="1"/>
  <c r="L36" i="2"/>
  <c r="L9" i="39" s="1"/>
  <c r="K36" i="2"/>
  <c r="K9" i="39" s="1"/>
  <c r="J36" i="2"/>
  <c r="J9" i="39" s="1"/>
  <c r="I36" i="2"/>
  <c r="I9" i="39" s="1"/>
  <c r="H36" i="2"/>
  <c r="H9" i="39" s="1"/>
  <c r="G36" i="2"/>
  <c r="G9" i="39" s="1"/>
  <c r="F36" i="2"/>
  <c r="F9" i="39" s="1"/>
  <c r="E36" i="2"/>
  <c r="E9" i="39" s="1"/>
  <c r="D36" i="2"/>
  <c r="D9" i="39" s="1"/>
  <c r="C36" i="2"/>
  <c r="C9" i="39" s="1"/>
  <c r="B36" i="2"/>
  <c r="B9" i="39" s="1"/>
  <c r="Q35" i="2"/>
  <c r="P35"/>
  <c r="O35"/>
  <c r="N35"/>
  <c r="M35"/>
  <c r="L35"/>
  <c r="K35"/>
  <c r="J35"/>
  <c r="I35"/>
  <c r="H35"/>
  <c r="G35"/>
  <c r="F35"/>
  <c r="E35"/>
  <c r="D35"/>
  <c r="C35"/>
  <c r="B35"/>
  <c r="Q34"/>
  <c r="P34"/>
  <c r="O34"/>
  <c r="N34"/>
  <c r="M34"/>
  <c r="L34"/>
  <c r="K34"/>
  <c r="J34"/>
  <c r="I34"/>
  <c r="H34"/>
  <c r="G34"/>
  <c r="F34"/>
  <c r="E34"/>
  <c r="D34"/>
  <c r="C34"/>
  <c r="B34"/>
  <c r="B2"/>
  <c r="A9" i="39" s="1"/>
  <c r="B2" s="1"/>
  <c r="G39" i="41" l="1"/>
  <c r="F39"/>
  <c r="E39"/>
  <c r="D39"/>
  <c r="C39"/>
  <c r="B39"/>
  <c r="Q39"/>
  <c r="P39"/>
  <c r="O39"/>
  <c r="N39"/>
  <c r="M39"/>
  <c r="L39"/>
  <c r="K39"/>
  <c r="H39"/>
  <c r="J39"/>
  <c r="I39"/>
  <c r="D39" i="40"/>
  <c r="C39"/>
  <c r="B39"/>
  <c r="Q39"/>
  <c r="P39"/>
  <c r="O39"/>
  <c r="N39"/>
  <c r="M39"/>
  <c r="L39"/>
  <c r="K39"/>
  <c r="J39"/>
  <c r="I39"/>
  <c r="H39"/>
  <c r="G39"/>
  <c r="F39"/>
  <c r="E39"/>
  <c r="I39" i="33"/>
  <c r="H39"/>
  <c r="G40"/>
  <c r="F39"/>
  <c r="E39"/>
  <c r="D39"/>
  <c r="C39"/>
  <c r="B39"/>
  <c r="Q39"/>
  <c r="P39"/>
  <c r="O39"/>
  <c r="N39"/>
  <c r="M39"/>
  <c r="L39"/>
  <c r="K39"/>
  <c r="J39"/>
  <c r="E39" i="32"/>
  <c r="D39"/>
  <c r="C39"/>
  <c r="B39"/>
  <c r="Q39"/>
  <c r="P39"/>
  <c r="O39"/>
  <c r="N39"/>
  <c r="M39"/>
  <c r="L39"/>
  <c r="K39"/>
  <c r="J39"/>
  <c r="H39"/>
  <c r="G39"/>
  <c r="F39"/>
  <c r="F39" i="31"/>
  <c r="E39"/>
  <c r="D39"/>
  <c r="C39"/>
  <c r="B39"/>
  <c r="Q39"/>
  <c r="P39"/>
  <c r="O39"/>
  <c r="N39"/>
  <c r="M39"/>
  <c r="L39"/>
  <c r="K39"/>
  <c r="J39"/>
  <c r="I39"/>
  <c r="H39"/>
  <c r="G39"/>
  <c r="C39" i="30"/>
  <c r="B39"/>
  <c r="Q39"/>
  <c r="P39"/>
  <c r="O39"/>
  <c r="N39"/>
  <c r="M39"/>
  <c r="L39"/>
  <c r="K39"/>
  <c r="J39"/>
  <c r="I39"/>
  <c r="H39"/>
  <c r="G39"/>
  <c r="F39"/>
  <c r="E39"/>
  <c r="D39"/>
  <c r="P39" i="29"/>
  <c r="O39"/>
  <c r="N39"/>
  <c r="M39"/>
  <c r="L39"/>
  <c r="Q39"/>
  <c r="K39"/>
  <c r="J39"/>
  <c r="I39"/>
  <c r="H39"/>
  <c r="G39"/>
  <c r="F39"/>
  <c r="E39"/>
  <c r="D39"/>
  <c r="C39"/>
  <c r="B39"/>
  <c r="O40" i="28"/>
  <c r="N39"/>
  <c r="M39"/>
  <c r="L39"/>
  <c r="K39"/>
  <c r="J39"/>
  <c r="I39"/>
  <c r="H39"/>
  <c r="G39"/>
  <c r="F39"/>
  <c r="E39"/>
  <c r="D39"/>
  <c r="C39"/>
  <c r="B39"/>
  <c r="Q39"/>
  <c r="P39"/>
  <c r="K39" i="27"/>
  <c r="J39"/>
  <c r="I39"/>
  <c r="H39"/>
  <c r="G39"/>
  <c r="F39"/>
  <c r="E39"/>
  <c r="D39"/>
  <c r="C39"/>
  <c r="B39"/>
  <c r="Q39"/>
  <c r="P39"/>
  <c r="O39"/>
  <c r="N39"/>
  <c r="M39"/>
  <c r="L39"/>
  <c r="J39" i="26"/>
  <c r="I39"/>
  <c r="H39"/>
  <c r="G39"/>
  <c r="F39"/>
  <c r="E39"/>
  <c r="D39"/>
  <c r="C39"/>
  <c r="B39"/>
  <c r="Q39"/>
  <c r="P39"/>
  <c r="O39"/>
  <c r="N39"/>
  <c r="M39"/>
  <c r="L39"/>
  <c r="K39"/>
  <c r="G39" i="25"/>
  <c r="F39"/>
  <c r="E39"/>
  <c r="D39"/>
  <c r="C39"/>
  <c r="B39"/>
  <c r="Q39"/>
  <c r="P39"/>
  <c r="O39"/>
  <c r="N39"/>
  <c r="M39"/>
  <c r="L39"/>
  <c r="K39"/>
  <c r="J39"/>
  <c r="I39"/>
  <c r="H39"/>
  <c r="F39" i="24"/>
  <c r="E39"/>
  <c r="D39"/>
  <c r="C39"/>
  <c r="B39"/>
  <c r="Q39"/>
  <c r="P39"/>
  <c r="O39"/>
  <c r="N39"/>
  <c r="M39"/>
  <c r="L39"/>
  <c r="K39"/>
  <c r="J39"/>
  <c r="I39"/>
  <c r="H39"/>
  <c r="G39"/>
  <c r="E39" i="23"/>
  <c r="D39"/>
  <c r="C39"/>
  <c r="B39"/>
  <c r="Q39"/>
  <c r="P39"/>
  <c r="O39"/>
  <c r="N39"/>
  <c r="M39"/>
  <c r="L39"/>
  <c r="K39"/>
  <c r="J39"/>
  <c r="I39"/>
  <c r="H39"/>
  <c r="G39"/>
  <c r="F39"/>
  <c r="E39" i="22"/>
  <c r="D39"/>
  <c r="C39"/>
  <c r="B39"/>
  <c r="Q39"/>
  <c r="P39"/>
  <c r="O39"/>
  <c r="N39"/>
  <c r="M39"/>
  <c r="L39"/>
  <c r="K39"/>
  <c r="J39"/>
  <c r="I39"/>
  <c r="H39"/>
  <c r="G39"/>
  <c r="F39"/>
  <c r="Q39" i="21"/>
  <c r="P39"/>
  <c r="O39"/>
  <c r="N39"/>
  <c r="M39"/>
  <c r="L39"/>
  <c r="K39"/>
  <c r="J39"/>
  <c r="I39"/>
  <c r="H39"/>
  <c r="G39"/>
  <c r="F39"/>
  <c r="E39"/>
  <c r="D39"/>
  <c r="C39"/>
  <c r="B39"/>
  <c r="M39" i="20"/>
  <c r="L39"/>
  <c r="K39"/>
  <c r="J39"/>
  <c r="I39"/>
  <c r="G39"/>
  <c r="E39"/>
  <c r="D39"/>
  <c r="C39"/>
  <c r="B39"/>
  <c r="Q39"/>
  <c r="P39"/>
  <c r="O39"/>
  <c r="N39"/>
  <c r="L39" i="19"/>
  <c r="K39"/>
  <c r="J39"/>
  <c r="I39"/>
  <c r="H39"/>
  <c r="G39"/>
  <c r="F39"/>
  <c r="E39"/>
  <c r="D39"/>
  <c r="C39"/>
  <c r="B39"/>
  <c r="Q39"/>
  <c r="P39"/>
  <c r="O39"/>
  <c r="N39"/>
  <c r="M39"/>
  <c r="I39" i="18"/>
  <c r="H39"/>
  <c r="G39"/>
  <c r="F40"/>
  <c r="E39"/>
  <c r="D39"/>
  <c r="C39"/>
  <c r="B39"/>
  <c r="Q39"/>
  <c r="P39"/>
  <c r="O39"/>
  <c r="N40"/>
  <c r="M39"/>
  <c r="L39"/>
  <c r="K39"/>
  <c r="J39"/>
  <c r="F39" i="17"/>
  <c r="E39"/>
  <c r="D39"/>
  <c r="C39"/>
  <c r="B39"/>
  <c r="Q39"/>
  <c r="P39"/>
  <c r="O39"/>
  <c r="N39"/>
  <c r="M39"/>
  <c r="L39"/>
  <c r="K39"/>
  <c r="J40"/>
  <c r="I39"/>
  <c r="H39"/>
  <c r="G39"/>
  <c r="B39" i="16"/>
  <c r="Q39"/>
  <c r="P39"/>
  <c r="O39"/>
  <c r="N39"/>
  <c r="M39"/>
  <c r="L39"/>
  <c r="K39"/>
  <c r="J39"/>
  <c r="I39"/>
  <c r="H39"/>
  <c r="G39"/>
  <c r="F39"/>
  <c r="E39"/>
  <c r="D39"/>
  <c r="C39"/>
  <c r="C39" i="15"/>
  <c r="B39"/>
  <c r="Q39"/>
  <c r="P39"/>
  <c r="O39"/>
  <c r="N39"/>
  <c r="M39"/>
  <c r="L39"/>
  <c r="K39"/>
  <c r="J39"/>
  <c r="I39"/>
  <c r="H39"/>
  <c r="G39"/>
  <c r="F39"/>
  <c r="E39"/>
  <c r="D39"/>
  <c r="D40" i="14"/>
  <c r="Q39"/>
  <c r="P39"/>
  <c r="O39"/>
  <c r="N39"/>
  <c r="M39"/>
  <c r="L39"/>
  <c r="K39"/>
  <c r="I39"/>
  <c r="H39"/>
  <c r="G39"/>
  <c r="F39"/>
  <c r="E39"/>
  <c r="C39"/>
  <c r="B39"/>
  <c r="B39" i="13"/>
  <c r="Q39"/>
  <c r="P39"/>
  <c r="O39"/>
  <c r="N39"/>
  <c r="M39"/>
  <c r="L39"/>
  <c r="K39"/>
  <c r="J39"/>
  <c r="I39"/>
  <c r="H39"/>
  <c r="G39"/>
  <c r="F39"/>
  <c r="E39"/>
  <c r="D39"/>
  <c r="C39"/>
  <c r="P39" i="12"/>
  <c r="O39"/>
  <c r="N40"/>
  <c r="M39"/>
  <c r="L39"/>
  <c r="K39"/>
  <c r="J39"/>
  <c r="I39"/>
  <c r="H39"/>
  <c r="G39"/>
  <c r="F39"/>
  <c r="E39"/>
  <c r="D40"/>
  <c r="C39"/>
  <c r="B39"/>
  <c r="Q39"/>
  <c r="Q39" i="11"/>
  <c r="P39"/>
  <c r="O40"/>
  <c r="N39"/>
  <c r="M39"/>
  <c r="L39"/>
  <c r="K40"/>
  <c r="J39"/>
  <c r="I39"/>
  <c r="H39"/>
  <c r="G39"/>
  <c r="F39"/>
  <c r="E39"/>
  <c r="D40"/>
  <c r="C39"/>
  <c r="B39"/>
  <c r="B39" i="10"/>
  <c r="Q39"/>
  <c r="P39"/>
  <c r="O39"/>
  <c r="N39"/>
  <c r="M39"/>
  <c r="L39"/>
  <c r="K39"/>
  <c r="J39"/>
  <c r="I40"/>
  <c r="H39"/>
  <c r="G39"/>
  <c r="F39"/>
  <c r="E39"/>
  <c r="D39"/>
  <c r="C39"/>
  <c r="Q39" i="9"/>
  <c r="P39"/>
  <c r="O39"/>
  <c r="N39"/>
  <c r="M39"/>
  <c r="B39"/>
  <c r="L39"/>
  <c r="K39"/>
  <c r="J39"/>
  <c r="I39"/>
  <c r="H39"/>
  <c r="G39"/>
  <c r="F39"/>
  <c r="E39"/>
  <c r="D39"/>
  <c r="C39"/>
  <c r="Q39" i="8"/>
  <c r="P39"/>
  <c r="O39"/>
  <c r="B46" i="39"/>
  <c r="N39" i="8"/>
  <c r="M39"/>
  <c r="L39"/>
  <c r="K39"/>
  <c r="J39"/>
  <c r="K47" i="39"/>
  <c r="I39" i="8"/>
  <c r="H39"/>
  <c r="G39"/>
  <c r="F39"/>
  <c r="E39"/>
  <c r="D39"/>
  <c r="C39"/>
  <c r="B39"/>
  <c r="P39" i="3"/>
  <c r="D46" i="39"/>
  <c r="Q39" i="3"/>
  <c r="O39"/>
  <c r="O47" i="39"/>
  <c r="N40" i="3"/>
  <c r="M39"/>
  <c r="L39"/>
  <c r="K39"/>
  <c r="J39"/>
  <c r="J47" i="39"/>
  <c r="I39" i="3"/>
  <c r="I47" i="39"/>
  <c r="H39" i="3"/>
  <c r="G40"/>
  <c r="F39"/>
  <c r="E39"/>
  <c r="D39"/>
  <c r="C39"/>
  <c r="B39"/>
  <c r="Q39" i="2"/>
  <c r="D39"/>
  <c r="P39"/>
  <c r="O39"/>
  <c r="N39"/>
  <c r="M39"/>
  <c r="L39"/>
  <c r="K39"/>
  <c r="J39"/>
  <c r="I39"/>
  <c r="H39"/>
  <c r="G39"/>
  <c r="F39"/>
  <c r="E39"/>
  <c r="C39"/>
  <c r="B39"/>
  <c r="C46" i="39"/>
  <c r="M46"/>
  <c r="E46"/>
  <c r="Q46"/>
  <c r="L47"/>
  <c r="G47"/>
  <c r="P46"/>
  <c r="N46"/>
  <c r="H46"/>
  <c r="F46"/>
  <c r="Q39" i="44"/>
  <c r="P39"/>
  <c r="O39"/>
  <c r="N39"/>
  <c r="M39"/>
  <c r="L39"/>
  <c r="K39"/>
  <c r="J39"/>
  <c r="I39"/>
  <c r="H39"/>
  <c r="G39"/>
  <c r="F39"/>
  <c r="E39"/>
  <c r="D39"/>
  <c r="C39"/>
  <c r="B39"/>
  <c r="Q41" i="39"/>
  <c r="Q42"/>
  <c r="Q43"/>
  <c r="Q44"/>
  <c r="P41"/>
  <c r="P42"/>
  <c r="P43"/>
  <c r="P44"/>
  <c r="O41"/>
  <c r="O42"/>
  <c r="O43"/>
  <c r="O44"/>
  <c r="N41"/>
  <c r="N42"/>
  <c r="N43"/>
  <c r="N44"/>
  <c r="M41"/>
  <c r="M42"/>
  <c r="M43"/>
  <c r="M44"/>
  <c r="L41"/>
  <c r="L42"/>
  <c r="L43"/>
  <c r="L44"/>
  <c r="K41"/>
  <c r="K42"/>
  <c r="K43"/>
  <c r="K44"/>
  <c r="J41"/>
  <c r="J42"/>
  <c r="J43"/>
  <c r="J44"/>
  <c r="I41"/>
  <c r="I42"/>
  <c r="I43"/>
  <c r="I44"/>
  <c r="H41"/>
  <c r="H42"/>
  <c r="H43"/>
  <c r="H44"/>
  <c r="G41"/>
  <c r="G42"/>
  <c r="G43"/>
  <c r="G44"/>
  <c r="F41"/>
  <c r="F42"/>
  <c r="F43"/>
  <c r="F44"/>
  <c r="E41"/>
  <c r="E42"/>
  <c r="E43"/>
  <c r="E44"/>
  <c r="D41"/>
  <c r="D42"/>
  <c r="D43"/>
  <c r="D44"/>
  <c r="C41"/>
  <c r="C42"/>
  <c r="C43"/>
  <c r="C44"/>
  <c r="B41"/>
  <c r="B42"/>
  <c r="B43"/>
  <c r="B44"/>
  <c r="I46" l="1"/>
  <c r="J46"/>
  <c r="K46"/>
  <c r="H47"/>
  <c r="D47"/>
  <c r="B47"/>
  <c r="O46"/>
  <c r="E47"/>
  <c r="C47"/>
  <c r="M47"/>
  <c r="G46"/>
  <c r="L46"/>
  <c r="Q47"/>
  <c r="F47"/>
  <c r="N47"/>
  <c r="P47"/>
</calcChain>
</file>

<file path=xl/sharedStrings.xml><?xml version="1.0" encoding="utf-8"?>
<sst xmlns="http://schemas.openxmlformats.org/spreadsheetml/2006/main" count="2707" uniqueCount="60">
  <si>
    <t>Station:</t>
  </si>
  <si>
    <t>IGKV ,RAIPUR</t>
  </si>
  <si>
    <t>Date:</t>
  </si>
  <si>
    <t>Power Off</t>
  </si>
  <si>
    <t>Pw.Off</t>
  </si>
  <si>
    <t>Link Fail</t>
  </si>
  <si>
    <t>Link F</t>
  </si>
  <si>
    <t>Maintenance</t>
  </si>
  <si>
    <t>Maint.</t>
  </si>
  <si>
    <t>Report Type:</t>
  </si>
  <si>
    <t>Mean</t>
  </si>
  <si>
    <t>Calibration</t>
  </si>
  <si>
    <t>Calib.</t>
  </si>
  <si>
    <t>Data Fail</t>
  </si>
  <si>
    <t>Data F</t>
  </si>
  <si>
    <t>Invalid</t>
  </si>
  <si>
    <t>Time Base:</t>
  </si>
  <si>
    <t xml:space="preserve"> 01 Hour</t>
  </si>
  <si>
    <t>Zero Referrence</t>
  </si>
  <si>
    <t>Z.Ref</t>
  </si>
  <si>
    <t>Warm Up</t>
  </si>
  <si>
    <t>Wm. Up</t>
  </si>
  <si>
    <t>Date &amp; Time</t>
  </si>
  <si>
    <t>NO</t>
  </si>
  <si>
    <t>NO2</t>
  </si>
  <si>
    <t>NOX</t>
  </si>
  <si>
    <t>SO2</t>
  </si>
  <si>
    <t>O3</t>
  </si>
  <si>
    <t>PM 10</t>
  </si>
  <si>
    <t>PM 2.5</t>
  </si>
  <si>
    <t>BENZ</t>
  </si>
  <si>
    <t>WS</t>
  </si>
  <si>
    <t>WD</t>
  </si>
  <si>
    <t>TEMP</t>
  </si>
  <si>
    <t>HUM</t>
  </si>
  <si>
    <t>SR</t>
  </si>
  <si>
    <t>RG</t>
  </si>
  <si>
    <t>CO</t>
  </si>
  <si>
    <t>NH3</t>
  </si>
  <si>
    <t>ug/m3</t>
  </si>
  <si>
    <t>ppb</t>
  </si>
  <si>
    <t>mg/m3</t>
  </si>
  <si>
    <t>m/sec</t>
  </si>
  <si>
    <t>deg</t>
  </si>
  <si>
    <t>degreC</t>
  </si>
  <si>
    <t>%</t>
  </si>
  <si>
    <t>w/m2</t>
  </si>
  <si>
    <t>mm</t>
  </si>
  <si>
    <t>Min</t>
  </si>
  <si>
    <t>Max</t>
  </si>
  <si>
    <t>Avg</t>
  </si>
  <si>
    <t>Stdev</t>
  </si>
  <si>
    <t>Num</t>
  </si>
  <si>
    <t>DCR</t>
  </si>
  <si>
    <t>Status</t>
  </si>
  <si>
    <t>Done by</t>
  </si>
  <si>
    <t>AKASH</t>
  </si>
  <si>
    <t>Comment</t>
  </si>
  <si>
    <t>IGKV, RAIPUR</t>
  </si>
  <si>
    <t>24 HRS</t>
  </si>
</sst>
</file>

<file path=xl/styles.xml><?xml version="1.0" encoding="utf-8"?>
<styleSheet xmlns="http://schemas.openxmlformats.org/spreadsheetml/2006/main">
  <fonts count="16">
    <font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b/>
      <sz val="10"/>
      <name val="Arial"/>
      <charset val="134"/>
    </font>
    <font>
      <b/>
      <sz val="9"/>
      <name val="Arial"/>
      <charset val="134"/>
    </font>
    <font>
      <b/>
      <i/>
      <sz val="10"/>
      <name val="Arial"/>
      <charset val="134"/>
    </font>
    <font>
      <b/>
      <sz val="10"/>
      <color theme="0"/>
      <name val="Arial"/>
      <charset val="134"/>
    </font>
    <font>
      <b/>
      <sz val="11"/>
      <color theme="1"/>
      <name val="Calibri"/>
      <charset val="134"/>
      <scheme val="minor"/>
    </font>
    <font>
      <sz val="10"/>
      <name val="Arial"/>
      <charset val="134"/>
    </font>
    <font>
      <b/>
      <sz val="11"/>
      <color theme="0"/>
      <name val="Arial"/>
      <charset val="134"/>
    </font>
    <font>
      <sz val="10"/>
      <color indexed="12"/>
      <name val="Arial"/>
      <charset val="134"/>
    </font>
    <font>
      <b/>
      <sz val="11"/>
      <color theme="1"/>
      <name val="Arial"/>
      <charset val="134"/>
    </font>
    <font>
      <b/>
      <sz val="12"/>
      <color theme="0"/>
      <name val="Calibri"/>
      <charset val="134"/>
      <scheme val="minor"/>
    </font>
    <font>
      <b/>
      <sz val="10"/>
      <color rgb="FF00B050"/>
      <name val="Arial"/>
      <charset val="134"/>
    </font>
    <font>
      <b/>
      <sz val="10"/>
      <color rgb="FFFF0000"/>
      <name val="Arial"/>
      <charset val="134"/>
    </font>
    <font>
      <b/>
      <sz val="10"/>
      <color theme="5" tint="-0.249977111117893"/>
      <name val="Arial"/>
      <charset val="134"/>
    </font>
    <font>
      <b/>
      <sz val="10"/>
      <color theme="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Fill="1"/>
    <xf numFmtId="0" fontId="2" fillId="0" borderId="0" xfId="0" applyFont="1" applyFill="1" applyAlignment="1">
      <alignment horizontal="center"/>
    </xf>
    <xf numFmtId="0" fontId="2" fillId="0" borderId="0" xfId="0" applyFont="1" applyAlignment="1">
      <alignment horizontal="center" wrapText="1"/>
    </xf>
    <xf numFmtId="17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4" fontId="3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0" fontId="5" fillId="2" borderId="0" xfId="0" applyFont="1" applyFill="1" applyAlignment="1">
      <alignment horizontal="center"/>
    </xf>
    <xf numFmtId="0" fontId="5" fillId="0" borderId="0" xfId="0" applyFont="1" applyFill="1" applyAlignment="1">
      <alignment horizontal="center"/>
    </xf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22" fontId="7" fillId="0" borderId="1" xfId="0" applyNumberFormat="1" applyFont="1" applyFill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2" fontId="7" fillId="0" borderId="1" xfId="0" applyNumberFormat="1" applyFont="1" applyFill="1" applyBorder="1" applyAlignment="1">
      <alignment horizontal="center"/>
    </xf>
    <xf numFmtId="2" fontId="2" fillId="0" borderId="0" xfId="0" applyNumberFormat="1" applyFont="1" applyAlignment="1">
      <alignment horizontal="center"/>
    </xf>
    <xf numFmtId="0" fontId="8" fillId="3" borderId="0" xfId="0" applyFont="1" applyFill="1" applyAlignment="1">
      <alignment horizontal="center" vertical="center"/>
    </xf>
    <xf numFmtId="0" fontId="0" fillId="0" borderId="0" xfId="0" applyFill="1" applyAlignment="1">
      <alignment horizontal="center"/>
    </xf>
    <xf numFmtId="0" fontId="9" fillId="0" borderId="0" xfId="0" applyFont="1" applyFill="1" applyAlignment="1">
      <alignment horizontal="center"/>
    </xf>
    <xf numFmtId="0" fontId="10" fillId="0" borderId="0" xfId="0" applyFont="1" applyFill="1" applyAlignment="1">
      <alignment horizontal="center"/>
    </xf>
    <xf numFmtId="0" fontId="12" fillId="5" borderId="0" xfId="0" applyFont="1" applyFill="1" applyAlignment="1">
      <alignment horizontal="center"/>
    </xf>
    <xf numFmtId="0" fontId="2" fillId="0" borderId="0" xfId="0" applyFont="1" applyAlignment="1">
      <alignment horizontal="left" vertical="center"/>
    </xf>
    <xf numFmtId="0" fontId="5" fillId="6" borderId="0" xfId="0" applyFont="1" applyFill="1" applyAlignment="1">
      <alignment horizontal="center"/>
    </xf>
    <xf numFmtId="0" fontId="2" fillId="0" borderId="0" xfId="0" applyFont="1" applyAlignment="1">
      <alignment horizontal="right"/>
    </xf>
    <xf numFmtId="0" fontId="5" fillId="7" borderId="0" xfId="0" applyFont="1" applyFill="1" applyAlignment="1">
      <alignment horizontal="center"/>
    </xf>
    <xf numFmtId="0" fontId="5" fillId="8" borderId="0" xfId="0" applyFont="1" applyFill="1" applyAlignment="1">
      <alignment horizontal="center"/>
    </xf>
    <xf numFmtId="0" fontId="13" fillId="9" borderId="0" xfId="0" applyFont="1" applyFill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0" xfId="0" applyNumberFormat="1" applyFill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2" fontId="1" fillId="0" borderId="0" xfId="0" applyNumberFormat="1" applyFont="1" applyFill="1"/>
    <xf numFmtId="2" fontId="7" fillId="0" borderId="0" xfId="0" applyNumberFormat="1" applyFont="1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/>
    <xf numFmtId="2" fontId="2" fillId="0" borderId="0" xfId="0" applyNumberFormat="1" applyFont="1" applyBorder="1" applyAlignment="1">
      <alignment horizontal="center"/>
    </xf>
    <xf numFmtId="0" fontId="0" fillId="0" borderId="0" xfId="0" applyFill="1" applyBorder="1" applyAlignment="1">
      <alignment horizontal="center"/>
    </xf>
    <xf numFmtId="17" fontId="3" fillId="0" borderId="0" xfId="0" applyNumberFormat="1" applyFont="1" applyAlignment="1">
      <alignment horizontal="center"/>
    </xf>
    <xf numFmtId="0" fontId="6" fillId="0" borderId="1" xfId="0" applyFont="1" applyBorder="1" applyAlignment="1">
      <alignment horizontal="center" vertical="center"/>
    </xf>
    <xf numFmtId="1" fontId="2" fillId="0" borderId="0" xfId="0" applyNumberFormat="1" applyFont="1" applyFill="1" applyBorder="1" applyAlignment="1">
      <alignment horizontal="center"/>
    </xf>
    <xf numFmtId="1" fontId="2" fillId="0" borderId="0" xfId="0" applyNumberFormat="1" applyFont="1" applyBorder="1" applyAlignment="1">
      <alignment horizontal="center"/>
    </xf>
    <xf numFmtId="0" fontId="8" fillId="0" borderId="0" xfId="0" applyFont="1" applyFill="1" applyAlignment="1">
      <alignment vertical="center"/>
    </xf>
    <xf numFmtId="0" fontId="11" fillId="3" borderId="0" xfId="0" applyFont="1" applyFill="1" applyAlignment="1"/>
    <xf numFmtId="0" fontId="14" fillId="0" borderId="0" xfId="0" applyFont="1" applyAlignment="1">
      <alignment horizontal="center"/>
    </xf>
    <xf numFmtId="22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1" fillId="3" borderId="0" xfId="0" applyFont="1" applyFill="1" applyAlignment="1">
      <alignment horizontal="left"/>
    </xf>
    <xf numFmtId="0" fontId="15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pane="topRight"/>
      <selection pane="bottomLeft"/>
      <selection pane="bottomRight" activeCell="A9" sqref="A9:XFD32"/>
    </sheetView>
  </sheetViews>
  <sheetFormatPr defaultColWidth="8.85546875" defaultRowHeight="15"/>
  <cols>
    <col min="1" max="1" width="19.5703125" style="42" customWidth="1"/>
    <col min="2" max="2" width="14.42578125" style="39" customWidth="1"/>
    <col min="3" max="3" width="10.42578125" style="39" customWidth="1"/>
    <col min="4" max="4" width="10.140625" style="39" customWidth="1"/>
    <col min="5" max="5" width="10.28515625" style="39" customWidth="1"/>
    <col min="6" max="6" width="9.85546875" style="39" customWidth="1"/>
    <col min="7" max="7" width="11.28515625" style="39" customWidth="1"/>
    <col min="8" max="8" width="12" style="39" customWidth="1"/>
    <col min="9" max="9" width="11.5703125" style="39" customWidth="1"/>
    <col min="10" max="10" width="10.5703125" style="39" customWidth="1"/>
    <col min="11" max="11" width="10" style="39" customWidth="1"/>
    <col min="12" max="12" width="11.140625" style="39" customWidth="1"/>
    <col min="13" max="13" width="11.28515625" style="39" customWidth="1"/>
    <col min="14" max="14" width="9.7109375" style="39" customWidth="1"/>
    <col min="15" max="15" width="10" style="39" customWidth="1"/>
    <col min="16" max="16" width="9.7109375" style="39" customWidth="1"/>
    <col min="17" max="17" width="10.140625" style="39" customWidth="1"/>
    <col min="18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45627.041666666664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45627.041666666664</v>
      </c>
      <c r="B9" s="51">
        <v>9.34</v>
      </c>
      <c r="C9" s="51">
        <v>18.77</v>
      </c>
      <c r="D9" s="51">
        <v>18.420000000000002</v>
      </c>
      <c r="E9" s="51">
        <v>10.82</v>
      </c>
      <c r="F9" s="51">
        <v>7.41</v>
      </c>
      <c r="G9" s="51">
        <v>53.37</v>
      </c>
      <c r="H9" s="51">
        <v>20.43</v>
      </c>
      <c r="I9" s="51">
        <v>9.86</v>
      </c>
      <c r="J9" s="51">
        <v>0.5</v>
      </c>
      <c r="K9" s="51">
        <v>71.36</v>
      </c>
      <c r="L9" s="51">
        <v>20.47</v>
      </c>
      <c r="M9" s="51">
        <v>92.5</v>
      </c>
      <c r="N9" s="51">
        <v>2.2999999999999998</v>
      </c>
      <c r="O9" s="51">
        <v>0</v>
      </c>
      <c r="P9" s="51">
        <v>0.79</v>
      </c>
      <c r="Q9" s="51">
        <v>10.16</v>
      </c>
    </row>
    <row r="10" spans="1:21" customFormat="1">
      <c r="A10" s="50">
        <v>45627.083333333336</v>
      </c>
      <c r="B10" s="51">
        <v>10.36</v>
      </c>
      <c r="C10" s="51">
        <v>18.39</v>
      </c>
      <c r="D10" s="51">
        <v>18.899999999999999</v>
      </c>
      <c r="E10" s="51">
        <v>11.11</v>
      </c>
      <c r="F10" s="51">
        <v>7.32</v>
      </c>
      <c r="G10" s="51">
        <v>46.04</v>
      </c>
      <c r="H10" s="51">
        <v>17.8</v>
      </c>
      <c r="I10" s="51">
        <v>9.75</v>
      </c>
      <c r="J10" s="51">
        <v>0.72</v>
      </c>
      <c r="K10" s="51">
        <v>58</v>
      </c>
      <c r="L10" s="51">
        <v>20.329999999999998</v>
      </c>
      <c r="M10" s="51">
        <v>94.3</v>
      </c>
      <c r="N10" s="51">
        <v>2.4</v>
      </c>
      <c r="O10" s="51">
        <v>0</v>
      </c>
      <c r="P10" s="51">
        <v>0.77</v>
      </c>
      <c r="Q10" s="51">
        <v>10.16</v>
      </c>
    </row>
    <row r="11" spans="1:21" customFormat="1">
      <c r="A11" s="50">
        <v>45627.125</v>
      </c>
      <c r="B11" s="51">
        <v>11.73</v>
      </c>
      <c r="C11" s="51">
        <v>17.829999999999998</v>
      </c>
      <c r="D11" s="51">
        <v>19.829999999999998</v>
      </c>
      <c r="E11" s="51">
        <v>10.01</v>
      </c>
      <c r="F11" s="51">
        <v>6.05</v>
      </c>
      <c r="G11" s="51">
        <v>42.33</v>
      </c>
      <c r="H11" s="51">
        <v>15.43</v>
      </c>
      <c r="I11" s="51">
        <v>9.52</v>
      </c>
      <c r="J11" s="51">
        <v>0.73</v>
      </c>
      <c r="K11" s="51">
        <v>44</v>
      </c>
      <c r="L11" s="51">
        <v>19.84</v>
      </c>
      <c r="M11" s="51">
        <v>95.77</v>
      </c>
      <c r="N11" s="51">
        <v>2.2000000000000002</v>
      </c>
      <c r="O11" s="51">
        <v>0</v>
      </c>
      <c r="P11" s="51">
        <v>0.74</v>
      </c>
      <c r="Q11" s="51">
        <v>10.17</v>
      </c>
    </row>
    <row r="12" spans="1:21" customFormat="1">
      <c r="A12" s="50">
        <v>45627.166666666664</v>
      </c>
      <c r="B12" s="51">
        <v>12.58</v>
      </c>
      <c r="C12" s="51">
        <v>17.34</v>
      </c>
      <c r="D12" s="51">
        <v>20.440000000000001</v>
      </c>
      <c r="E12" s="51">
        <v>9.91</v>
      </c>
      <c r="F12" s="51">
        <v>6.66</v>
      </c>
      <c r="G12" s="51">
        <v>34.020000000000003</v>
      </c>
      <c r="H12" s="51">
        <v>12.9</v>
      </c>
      <c r="I12" s="51">
        <v>9.0399999999999991</v>
      </c>
      <c r="J12" s="51">
        <v>0.94</v>
      </c>
      <c r="K12" s="51">
        <v>51.4</v>
      </c>
      <c r="L12" s="51">
        <v>19.690000000000001</v>
      </c>
      <c r="M12" s="51">
        <v>96.37</v>
      </c>
      <c r="N12" s="51">
        <v>2.2000000000000002</v>
      </c>
      <c r="O12" s="51">
        <v>0</v>
      </c>
      <c r="P12" s="51">
        <v>0.72</v>
      </c>
      <c r="Q12" s="51">
        <v>10.15</v>
      </c>
    </row>
    <row r="13" spans="1:21" customFormat="1">
      <c r="A13" s="50">
        <v>45627.208333333336</v>
      </c>
      <c r="B13" s="51">
        <v>13.86</v>
      </c>
      <c r="C13" s="51">
        <v>18.16</v>
      </c>
      <c r="D13" s="51">
        <v>21.96</v>
      </c>
      <c r="E13" s="51">
        <v>9.3800000000000008</v>
      </c>
      <c r="F13" s="51">
        <v>6.18</v>
      </c>
      <c r="G13" s="51">
        <v>32.700000000000003</v>
      </c>
      <c r="H13" s="51">
        <v>11.74</v>
      </c>
      <c r="I13" s="51">
        <v>8.73</v>
      </c>
      <c r="J13" s="51">
        <v>1.0900000000000001</v>
      </c>
      <c r="K13" s="51">
        <v>49.39</v>
      </c>
      <c r="L13" s="51">
        <v>19.690000000000001</v>
      </c>
      <c r="M13" s="51">
        <v>97.44</v>
      </c>
      <c r="N13" s="51">
        <v>2.4</v>
      </c>
      <c r="O13" s="51">
        <v>0</v>
      </c>
      <c r="P13" s="51">
        <v>0.7</v>
      </c>
      <c r="Q13" s="51">
        <v>10.19</v>
      </c>
    </row>
    <row r="14" spans="1:21" customFormat="1">
      <c r="A14" s="50">
        <v>45627.25</v>
      </c>
      <c r="B14" s="51">
        <v>15.46</v>
      </c>
      <c r="C14" s="51">
        <v>19.09</v>
      </c>
      <c r="D14" s="51">
        <v>23.72</v>
      </c>
      <c r="E14" s="51">
        <v>9.83</v>
      </c>
      <c r="F14" s="51">
        <v>5.44</v>
      </c>
      <c r="G14" s="51">
        <v>29.86</v>
      </c>
      <c r="H14" s="51">
        <v>11.13</v>
      </c>
      <c r="I14" s="51">
        <v>8.4</v>
      </c>
      <c r="J14" s="51">
        <v>1.05</v>
      </c>
      <c r="K14" s="51">
        <v>51.69</v>
      </c>
      <c r="L14" s="51">
        <v>19.71</v>
      </c>
      <c r="M14" s="51">
        <v>97.76</v>
      </c>
      <c r="N14" s="51">
        <v>2.5</v>
      </c>
      <c r="O14" s="51">
        <v>0</v>
      </c>
      <c r="P14" s="51">
        <v>0.65</v>
      </c>
      <c r="Q14" s="51">
        <v>10.18</v>
      </c>
    </row>
    <row r="15" spans="1:21" customFormat="1">
      <c r="A15" s="50">
        <v>45627.291666666664</v>
      </c>
      <c r="B15" s="51">
        <v>16.059999999999999</v>
      </c>
      <c r="C15" s="51">
        <v>19.12</v>
      </c>
      <c r="D15" s="51">
        <v>24.22</v>
      </c>
      <c r="E15" s="51">
        <v>9.4499999999999993</v>
      </c>
      <c r="F15" s="51">
        <v>6.15</v>
      </c>
      <c r="G15" s="51">
        <v>32.26</v>
      </c>
      <c r="H15" s="51">
        <v>9.76</v>
      </c>
      <c r="I15" s="51">
        <v>7.86</v>
      </c>
      <c r="J15" s="51">
        <v>1.36</v>
      </c>
      <c r="K15" s="51">
        <v>51.11</v>
      </c>
      <c r="L15" s="51">
        <v>19.78</v>
      </c>
      <c r="M15" s="51">
        <v>98.53</v>
      </c>
      <c r="N15" s="51">
        <v>17.2</v>
      </c>
      <c r="O15" s="51">
        <v>0</v>
      </c>
      <c r="P15" s="51">
        <v>0.62</v>
      </c>
      <c r="Q15" s="51">
        <v>10.19</v>
      </c>
    </row>
    <row r="16" spans="1:21" customFormat="1">
      <c r="A16" s="50">
        <v>45627.333333333336</v>
      </c>
      <c r="B16" s="51">
        <v>16.52</v>
      </c>
      <c r="C16" s="51">
        <v>19.399999999999999</v>
      </c>
      <c r="D16" s="51">
        <v>24.74</v>
      </c>
      <c r="E16" s="51">
        <v>9.61</v>
      </c>
      <c r="F16" s="51">
        <v>11.31</v>
      </c>
      <c r="G16" s="51">
        <v>32.21</v>
      </c>
      <c r="H16" s="51">
        <v>10.050000000000001</v>
      </c>
      <c r="I16" s="51">
        <v>7.83</v>
      </c>
      <c r="J16" s="51">
        <v>1.02</v>
      </c>
      <c r="K16" s="51">
        <v>55.03</v>
      </c>
      <c r="L16" s="51">
        <v>20.52</v>
      </c>
      <c r="M16" s="51">
        <v>91.35</v>
      </c>
      <c r="N16" s="51">
        <v>41.2</v>
      </c>
      <c r="O16" s="51">
        <v>0</v>
      </c>
      <c r="P16" s="51">
        <v>0.65</v>
      </c>
      <c r="Q16" s="51">
        <v>10.18</v>
      </c>
    </row>
    <row r="17" spans="1:17" customFormat="1">
      <c r="A17" s="50">
        <v>45627.375</v>
      </c>
      <c r="B17" s="51">
        <v>17.350000000000001</v>
      </c>
      <c r="C17" s="51">
        <v>19.68</v>
      </c>
      <c r="D17" s="51">
        <v>25.55</v>
      </c>
      <c r="E17" s="51">
        <v>9.81</v>
      </c>
      <c r="F17" s="51">
        <v>9.5299999999999994</v>
      </c>
      <c r="G17" s="51">
        <v>38.42</v>
      </c>
      <c r="H17" s="51">
        <v>10.050000000000001</v>
      </c>
      <c r="I17" s="51">
        <v>8.25</v>
      </c>
      <c r="J17" s="51">
        <v>0.82</v>
      </c>
      <c r="K17" s="51">
        <v>58.53</v>
      </c>
      <c r="L17" s="51">
        <v>21.65</v>
      </c>
      <c r="M17" s="51">
        <v>87.03</v>
      </c>
      <c r="N17" s="51">
        <v>66</v>
      </c>
      <c r="O17" s="51">
        <v>0</v>
      </c>
      <c r="P17" s="51">
        <v>0.68</v>
      </c>
      <c r="Q17" s="51">
        <v>10.19</v>
      </c>
    </row>
    <row r="18" spans="1:17" customFormat="1">
      <c r="A18" s="50">
        <v>45627.416666666664</v>
      </c>
      <c r="B18" s="51">
        <v>17.37</v>
      </c>
      <c r="C18" s="51">
        <v>19.37</v>
      </c>
      <c r="D18" s="51">
        <v>25.4</v>
      </c>
      <c r="E18" s="51">
        <v>10.45</v>
      </c>
      <c r="F18" s="51">
        <v>6.19</v>
      </c>
      <c r="G18" s="51">
        <v>41.32</v>
      </c>
      <c r="H18" s="51">
        <v>10.79</v>
      </c>
      <c r="I18" s="51">
        <v>8.5</v>
      </c>
      <c r="J18" s="51">
        <v>0.92</v>
      </c>
      <c r="K18" s="51">
        <v>62.15</v>
      </c>
      <c r="L18" s="51">
        <v>21.72</v>
      </c>
      <c r="M18" s="51">
        <v>88.97</v>
      </c>
      <c r="N18" s="51">
        <v>101.3</v>
      </c>
      <c r="O18" s="51">
        <v>0</v>
      </c>
      <c r="P18" s="51">
        <v>0.68</v>
      </c>
      <c r="Q18" s="51">
        <v>10.17</v>
      </c>
    </row>
    <row r="19" spans="1:17" customFormat="1">
      <c r="A19" s="50">
        <v>45627.458333333336</v>
      </c>
      <c r="B19" s="51">
        <v>16.78</v>
      </c>
      <c r="C19" s="51">
        <v>18.61</v>
      </c>
      <c r="D19" s="51">
        <v>24.53</v>
      </c>
      <c r="E19" s="51">
        <v>8.4499999999999993</v>
      </c>
      <c r="F19" s="51">
        <v>6.24</v>
      </c>
      <c r="G19" s="51">
        <v>45.29</v>
      </c>
      <c r="H19" s="51">
        <v>15.98</v>
      </c>
      <c r="I19" s="51">
        <v>8.61</v>
      </c>
      <c r="J19" s="51">
        <v>0.93</v>
      </c>
      <c r="K19" s="51">
        <v>93.25</v>
      </c>
      <c r="L19" s="51">
        <v>21.74</v>
      </c>
      <c r="M19" s="51">
        <v>91.37</v>
      </c>
      <c r="N19" s="51">
        <v>101.4</v>
      </c>
      <c r="O19" s="51">
        <v>0</v>
      </c>
      <c r="P19" s="51">
        <v>0.72</v>
      </c>
      <c r="Q19" s="51">
        <v>10.17</v>
      </c>
    </row>
    <row r="20" spans="1:17" customFormat="1">
      <c r="A20" s="50">
        <v>45627.5</v>
      </c>
      <c r="B20" s="51">
        <v>16</v>
      </c>
      <c r="C20" s="51">
        <v>18.55</v>
      </c>
      <c r="D20" s="51">
        <v>23.76</v>
      </c>
      <c r="E20" s="51">
        <v>8.98</v>
      </c>
      <c r="F20" s="51">
        <v>5.92</v>
      </c>
      <c r="G20" s="51">
        <v>50.32</v>
      </c>
      <c r="H20" s="51">
        <v>15.97</v>
      </c>
      <c r="I20" s="51">
        <v>8.6999999999999993</v>
      </c>
      <c r="J20" s="51">
        <v>0.71</v>
      </c>
      <c r="K20" s="51">
        <v>75.14</v>
      </c>
      <c r="L20" s="51">
        <v>22.19</v>
      </c>
      <c r="M20" s="51">
        <v>85.72</v>
      </c>
      <c r="N20" s="51">
        <v>56.1</v>
      </c>
      <c r="O20" s="51">
        <v>0</v>
      </c>
      <c r="P20" s="51">
        <v>0.73</v>
      </c>
      <c r="Q20" s="51">
        <v>10.15</v>
      </c>
    </row>
    <row r="21" spans="1:17" customFormat="1">
      <c r="A21" s="50">
        <v>45627.541666666664</v>
      </c>
      <c r="B21" s="51">
        <v>14.85</v>
      </c>
      <c r="C21" s="51">
        <v>18.23</v>
      </c>
      <c r="D21" s="51">
        <v>22.78</v>
      </c>
      <c r="E21" s="51">
        <v>8.8699999999999992</v>
      </c>
      <c r="F21" s="51">
        <v>8.84</v>
      </c>
      <c r="G21" s="51">
        <v>50.22</v>
      </c>
      <c r="H21" s="51">
        <v>15.86</v>
      </c>
      <c r="I21" s="51">
        <v>8.77</v>
      </c>
      <c r="J21" s="51">
        <v>0.51</v>
      </c>
      <c r="K21" s="51">
        <v>85.1</v>
      </c>
      <c r="L21" s="51">
        <v>21.92</v>
      </c>
      <c r="M21" s="51">
        <v>97.43</v>
      </c>
      <c r="N21" s="51">
        <v>47.1</v>
      </c>
      <c r="O21" s="51">
        <v>0.2</v>
      </c>
      <c r="P21" s="51">
        <v>0.75</v>
      </c>
      <c r="Q21" s="51">
        <v>10.15</v>
      </c>
    </row>
    <row r="22" spans="1:17" customFormat="1">
      <c r="A22" s="50">
        <v>45627.583333333336</v>
      </c>
      <c r="B22" s="51">
        <v>14.16</v>
      </c>
      <c r="C22" s="51">
        <v>18.41</v>
      </c>
      <c r="D22" s="51">
        <v>22.22</v>
      </c>
      <c r="E22" s="51">
        <v>8.6300000000000008</v>
      </c>
      <c r="F22" s="51">
        <v>7.18</v>
      </c>
      <c r="G22" s="51">
        <v>45.7</v>
      </c>
      <c r="H22" s="51">
        <v>16.059999999999999</v>
      </c>
      <c r="I22" s="51">
        <v>8.81</v>
      </c>
      <c r="J22" s="51">
        <v>0.67</v>
      </c>
      <c r="K22" s="51">
        <v>70.989999999999995</v>
      </c>
      <c r="L22" s="51">
        <v>21.05</v>
      </c>
      <c r="M22" s="51">
        <v>98.64</v>
      </c>
      <c r="N22" s="51">
        <v>61.3</v>
      </c>
      <c r="O22" s="51">
        <v>0.2</v>
      </c>
      <c r="P22" s="51">
        <v>0.78</v>
      </c>
      <c r="Q22" s="51">
        <v>10.15</v>
      </c>
    </row>
    <row r="23" spans="1:17" customFormat="1">
      <c r="A23" s="50">
        <v>45627.625</v>
      </c>
      <c r="B23" s="51">
        <v>12.14</v>
      </c>
      <c r="C23" s="51">
        <v>18.39</v>
      </c>
      <c r="D23" s="51">
        <v>20.39</v>
      </c>
      <c r="E23" s="51">
        <v>7.78</v>
      </c>
      <c r="F23" s="51">
        <v>6.08</v>
      </c>
      <c r="G23" s="51">
        <v>45.5</v>
      </c>
      <c r="H23" s="51">
        <v>16.03</v>
      </c>
      <c r="I23" s="51">
        <v>8.68</v>
      </c>
      <c r="J23" s="51">
        <v>0.75</v>
      </c>
      <c r="K23" s="51">
        <v>57.37</v>
      </c>
      <c r="L23" s="51">
        <v>20.8</v>
      </c>
      <c r="M23" s="51">
        <v>101.71</v>
      </c>
      <c r="N23" s="51">
        <v>33.299999999999997</v>
      </c>
      <c r="O23" s="51">
        <v>0.4</v>
      </c>
      <c r="P23" s="51">
        <v>0.72</v>
      </c>
      <c r="Q23" s="51">
        <v>10.130000000000001</v>
      </c>
    </row>
    <row r="24" spans="1:17" customFormat="1">
      <c r="A24" s="50">
        <v>45627.666666666664</v>
      </c>
      <c r="B24" s="51">
        <v>11.9</v>
      </c>
      <c r="C24" s="51">
        <v>18.73</v>
      </c>
      <c r="D24" s="51">
        <v>20.61</v>
      </c>
      <c r="E24" s="51">
        <v>7.73</v>
      </c>
      <c r="F24" s="51">
        <v>6.25</v>
      </c>
      <c r="G24" s="51">
        <v>38.76</v>
      </c>
      <c r="H24" s="51">
        <v>13.92</v>
      </c>
      <c r="I24" s="51">
        <v>8.39</v>
      </c>
      <c r="J24" s="51">
        <v>0.65</v>
      </c>
      <c r="K24" s="51">
        <v>66.16</v>
      </c>
      <c r="L24" s="51">
        <v>20.63</v>
      </c>
      <c r="M24" s="51">
        <v>101.83</v>
      </c>
      <c r="N24" s="51">
        <v>30.8</v>
      </c>
      <c r="O24" s="51">
        <v>0.2</v>
      </c>
      <c r="P24" s="51">
        <v>0.72</v>
      </c>
      <c r="Q24" s="51">
        <v>10.14</v>
      </c>
    </row>
    <row r="25" spans="1:17" customFormat="1">
      <c r="A25" s="50">
        <v>45627.708333333336</v>
      </c>
      <c r="B25" s="51">
        <v>10.97</v>
      </c>
      <c r="C25" s="51">
        <v>18.760000000000002</v>
      </c>
      <c r="D25" s="51">
        <v>19.899999999999999</v>
      </c>
      <c r="E25" s="51">
        <v>7.76</v>
      </c>
      <c r="F25" s="51">
        <v>6.29</v>
      </c>
      <c r="G25" s="51">
        <v>34.57</v>
      </c>
      <c r="H25" s="51">
        <v>13.26</v>
      </c>
      <c r="I25" s="51">
        <v>8.19</v>
      </c>
      <c r="J25" s="51">
        <v>0.48</v>
      </c>
      <c r="K25" s="51">
        <v>96.96</v>
      </c>
      <c r="L25" s="51">
        <v>20.71</v>
      </c>
      <c r="M25" s="51">
        <v>101.88</v>
      </c>
      <c r="N25" s="51">
        <v>10.6</v>
      </c>
      <c r="O25" s="51">
        <v>0.2</v>
      </c>
      <c r="P25" s="51">
        <v>0.71</v>
      </c>
      <c r="Q25" s="51">
        <v>10.14</v>
      </c>
    </row>
    <row r="26" spans="1:17" customFormat="1">
      <c r="A26" s="50">
        <v>45627.75</v>
      </c>
      <c r="B26" s="51">
        <v>10.75</v>
      </c>
      <c r="C26" s="51">
        <v>19.03</v>
      </c>
      <c r="D26" s="51">
        <v>19.91</v>
      </c>
      <c r="E26" s="51">
        <v>7.9</v>
      </c>
      <c r="F26" s="51">
        <v>6.91</v>
      </c>
      <c r="G26" s="51">
        <v>31.57</v>
      </c>
      <c r="H26" s="51">
        <v>13.26</v>
      </c>
      <c r="I26" s="51">
        <v>8.1199999999999992</v>
      </c>
      <c r="J26" s="51">
        <v>0.36</v>
      </c>
      <c r="K26" s="51">
        <v>150.75</v>
      </c>
      <c r="L26" s="51">
        <v>20.74</v>
      </c>
      <c r="M26" s="51">
        <v>101.91</v>
      </c>
      <c r="N26" s="51">
        <v>2.6</v>
      </c>
      <c r="O26" s="51">
        <v>0.2</v>
      </c>
      <c r="P26" s="51">
        <v>0.71</v>
      </c>
      <c r="Q26" s="51">
        <v>10.130000000000001</v>
      </c>
    </row>
    <row r="27" spans="1:17" customFormat="1">
      <c r="A27" s="50">
        <v>45627.791666666664</v>
      </c>
      <c r="B27" s="51">
        <v>10.35</v>
      </c>
      <c r="C27" s="51">
        <v>18.97</v>
      </c>
      <c r="D27" s="51">
        <v>19.309999999999999</v>
      </c>
      <c r="E27" s="51">
        <v>10.5</v>
      </c>
      <c r="F27" s="51">
        <v>6.43</v>
      </c>
      <c r="G27" s="51">
        <v>31.49</v>
      </c>
      <c r="H27" s="51">
        <v>13.23</v>
      </c>
      <c r="I27" s="51">
        <v>8.07</v>
      </c>
      <c r="J27" s="51">
        <v>0.31</v>
      </c>
      <c r="K27" s="51">
        <v>150.04</v>
      </c>
      <c r="L27" s="51">
        <v>20.6</v>
      </c>
      <c r="M27" s="51">
        <v>101.95</v>
      </c>
      <c r="N27" s="51">
        <v>2.4</v>
      </c>
      <c r="O27" s="51">
        <v>0.2</v>
      </c>
      <c r="P27" s="51">
        <v>0.69</v>
      </c>
      <c r="Q27" s="51">
        <v>10.130000000000001</v>
      </c>
    </row>
    <row r="28" spans="1:17" customFormat="1">
      <c r="A28" s="50">
        <v>45627.833333333336</v>
      </c>
      <c r="B28" s="51">
        <v>10.55</v>
      </c>
      <c r="C28" s="51">
        <v>17.809999999999999</v>
      </c>
      <c r="D28" s="51">
        <v>18.91</v>
      </c>
      <c r="E28" s="51">
        <v>10.78</v>
      </c>
      <c r="F28" s="51">
        <v>6.01</v>
      </c>
      <c r="G28" s="51">
        <v>27.93</v>
      </c>
      <c r="H28" s="51">
        <v>12.04</v>
      </c>
      <c r="I28" s="51">
        <v>7.85</v>
      </c>
      <c r="J28" s="51">
        <v>0.24</v>
      </c>
      <c r="K28" s="51">
        <v>133.6</v>
      </c>
      <c r="L28" s="51">
        <v>20.6</v>
      </c>
      <c r="M28" s="51">
        <v>102.03</v>
      </c>
      <c r="N28" s="51">
        <v>2.2999999999999998</v>
      </c>
      <c r="O28" s="51">
        <v>0.2</v>
      </c>
      <c r="P28" s="51">
        <v>0.63</v>
      </c>
      <c r="Q28" s="51">
        <v>10.1</v>
      </c>
    </row>
    <row r="29" spans="1:17" customFormat="1">
      <c r="A29" s="50">
        <v>45627.875</v>
      </c>
      <c r="B29" s="51">
        <v>11.07</v>
      </c>
      <c r="C29" s="51">
        <v>17.420000000000002</v>
      </c>
      <c r="D29" s="51">
        <v>19.239999999999998</v>
      </c>
      <c r="E29" s="51">
        <v>11.23</v>
      </c>
      <c r="F29" s="51">
        <v>6.56</v>
      </c>
      <c r="G29" s="51">
        <v>23.68</v>
      </c>
      <c r="H29" s="51">
        <v>11.82</v>
      </c>
      <c r="I29" s="51">
        <v>7.69</v>
      </c>
      <c r="J29" s="51">
        <v>0.2</v>
      </c>
      <c r="K29" s="51">
        <v>143.91</v>
      </c>
      <c r="L29" s="51">
        <v>20.63</v>
      </c>
      <c r="M29" s="51">
        <v>102.11</v>
      </c>
      <c r="N29" s="51">
        <v>2.4</v>
      </c>
      <c r="O29" s="51">
        <v>0</v>
      </c>
      <c r="P29" s="51">
        <v>0.62</v>
      </c>
      <c r="Q29" s="51">
        <v>10.1</v>
      </c>
    </row>
    <row r="30" spans="1:17" customFormat="1">
      <c r="A30" s="50">
        <v>45627.916666666664</v>
      </c>
      <c r="B30" s="51">
        <v>11.59</v>
      </c>
      <c r="C30" s="51">
        <v>16.649999999999999</v>
      </c>
      <c r="D30" s="51">
        <v>19.309999999999999</v>
      </c>
      <c r="E30" s="51">
        <v>11.25</v>
      </c>
      <c r="F30" s="51">
        <v>5.78</v>
      </c>
      <c r="G30" s="51">
        <v>22.75</v>
      </c>
      <c r="H30" s="51">
        <v>10.44</v>
      </c>
      <c r="I30" s="51">
        <v>7.49</v>
      </c>
      <c r="J30" s="51">
        <v>0.25</v>
      </c>
      <c r="K30" s="51">
        <v>153.44999999999999</v>
      </c>
      <c r="L30" s="51">
        <v>20.69</v>
      </c>
      <c r="M30" s="51">
        <v>102.25</v>
      </c>
      <c r="N30" s="51">
        <v>2.9</v>
      </c>
      <c r="O30" s="51">
        <v>0</v>
      </c>
      <c r="P30" s="51">
        <v>0.6</v>
      </c>
      <c r="Q30" s="51">
        <v>10.1</v>
      </c>
    </row>
    <row r="31" spans="1:17" customFormat="1">
      <c r="A31" s="50">
        <v>45627.958333333336</v>
      </c>
      <c r="B31" s="51">
        <v>11.58</v>
      </c>
      <c r="C31" s="51">
        <v>16.510000000000002</v>
      </c>
      <c r="D31" s="51">
        <v>19.25</v>
      </c>
      <c r="E31" s="51">
        <v>11.24</v>
      </c>
      <c r="F31" s="51">
        <v>5.79</v>
      </c>
      <c r="G31" s="51">
        <v>17.78</v>
      </c>
      <c r="H31" s="51">
        <v>9.51</v>
      </c>
      <c r="I31" s="51">
        <v>7.2</v>
      </c>
      <c r="J31" s="51">
        <v>0.19</v>
      </c>
      <c r="K31" s="51">
        <v>142.85</v>
      </c>
      <c r="L31" s="51">
        <v>20.59</v>
      </c>
      <c r="M31" s="51">
        <v>102.33</v>
      </c>
      <c r="N31" s="51">
        <v>2.7</v>
      </c>
      <c r="O31" s="51">
        <v>0</v>
      </c>
      <c r="P31" s="51">
        <v>0.57999999999999996</v>
      </c>
      <c r="Q31" s="51">
        <v>10.11</v>
      </c>
    </row>
    <row r="32" spans="1:17" customFormat="1">
      <c r="A32" s="50">
        <v>45628</v>
      </c>
      <c r="B32" s="51">
        <v>11.59</v>
      </c>
      <c r="C32" s="51">
        <v>16</v>
      </c>
      <c r="D32" s="51">
        <v>18.98</v>
      </c>
      <c r="E32" s="51">
        <v>11.12</v>
      </c>
      <c r="F32" s="51">
        <v>6.17</v>
      </c>
      <c r="G32" s="51">
        <v>17.73</v>
      </c>
      <c r="H32" s="51">
        <v>9.48</v>
      </c>
      <c r="I32" s="51">
        <v>6.94</v>
      </c>
      <c r="J32" s="51">
        <v>0.26</v>
      </c>
      <c r="K32" s="51">
        <v>155.85</v>
      </c>
      <c r="L32" s="51">
        <v>20.51</v>
      </c>
      <c r="M32" s="51">
        <v>102.36</v>
      </c>
      <c r="N32" s="51">
        <v>2.8</v>
      </c>
      <c r="O32" s="51">
        <v>0</v>
      </c>
      <c r="P32" s="51">
        <v>0.56000000000000005</v>
      </c>
      <c r="Q32" s="51">
        <v>10.11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9.34</v>
      </c>
      <c r="C34" s="41">
        <f t="shared" si="0"/>
        <v>16</v>
      </c>
      <c r="D34" s="41">
        <f t="shared" si="0"/>
        <v>18.420000000000002</v>
      </c>
      <c r="E34" s="41">
        <f t="shared" si="0"/>
        <v>7.73</v>
      </c>
      <c r="F34" s="41">
        <f t="shared" si="0"/>
        <v>5.44</v>
      </c>
      <c r="G34" s="41">
        <f t="shared" si="0"/>
        <v>17.73</v>
      </c>
      <c r="H34" s="41">
        <f t="shared" si="0"/>
        <v>9.48</v>
      </c>
      <c r="I34" s="41">
        <f t="shared" si="0"/>
        <v>6.94</v>
      </c>
      <c r="J34" s="41">
        <f t="shared" si="0"/>
        <v>0.19</v>
      </c>
      <c r="K34" s="41">
        <f t="shared" si="0"/>
        <v>44</v>
      </c>
      <c r="L34" s="41">
        <f t="shared" si="0"/>
        <v>19.690000000000001</v>
      </c>
      <c r="M34" s="41">
        <f t="shared" si="0"/>
        <v>85.72</v>
      </c>
      <c r="N34" s="41">
        <f t="shared" si="0"/>
        <v>2.2000000000000002</v>
      </c>
      <c r="O34" s="41">
        <f t="shared" si="0"/>
        <v>0</v>
      </c>
      <c r="P34" s="41">
        <f t="shared" si="0"/>
        <v>0.56000000000000005</v>
      </c>
      <c r="Q34" s="41">
        <f t="shared" si="0"/>
        <v>10.1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17.37</v>
      </c>
      <c r="C35" s="33">
        <f t="shared" si="1"/>
        <v>19.68</v>
      </c>
      <c r="D35" s="33">
        <f t="shared" si="1"/>
        <v>25.55</v>
      </c>
      <c r="E35" s="33">
        <f t="shared" si="1"/>
        <v>11.25</v>
      </c>
      <c r="F35" s="33">
        <f t="shared" si="1"/>
        <v>11.31</v>
      </c>
      <c r="G35" s="33">
        <f t="shared" si="1"/>
        <v>53.37</v>
      </c>
      <c r="H35" s="33">
        <f t="shared" si="1"/>
        <v>20.43</v>
      </c>
      <c r="I35" s="33">
        <f t="shared" si="1"/>
        <v>9.86</v>
      </c>
      <c r="J35" s="33">
        <f t="shared" si="1"/>
        <v>1.36</v>
      </c>
      <c r="K35" s="33">
        <f t="shared" si="1"/>
        <v>155.85</v>
      </c>
      <c r="L35" s="33">
        <f t="shared" si="1"/>
        <v>22.19</v>
      </c>
      <c r="M35" s="33">
        <f t="shared" si="1"/>
        <v>102.36</v>
      </c>
      <c r="N35" s="33">
        <f t="shared" si="1"/>
        <v>101.4</v>
      </c>
      <c r="O35" s="33">
        <f t="shared" si="1"/>
        <v>0.4</v>
      </c>
      <c r="P35" s="33">
        <f t="shared" si="1"/>
        <v>0.79</v>
      </c>
      <c r="Q35" s="33">
        <f t="shared" si="1"/>
        <v>10.19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13.121249999999998</v>
      </c>
      <c r="C36" s="41">
        <f t="shared" si="2"/>
        <v>18.300833333333333</v>
      </c>
      <c r="D36" s="41">
        <f t="shared" si="2"/>
        <v>21.345000000000002</v>
      </c>
      <c r="E36" s="41">
        <f t="shared" si="2"/>
        <v>9.6916666666666664</v>
      </c>
      <c r="F36" s="41">
        <f t="shared" si="2"/>
        <v>6.7787499999999987</v>
      </c>
      <c r="G36" s="41">
        <f t="shared" si="2"/>
        <v>36.075833333333335</v>
      </c>
      <c r="H36" s="41">
        <f t="shared" si="2"/>
        <v>13.205833333333333</v>
      </c>
      <c r="I36" s="41">
        <f t="shared" si="2"/>
        <v>8.3854166666666661</v>
      </c>
      <c r="J36" s="41">
        <f t="shared" si="2"/>
        <v>0.65249999999999997</v>
      </c>
      <c r="K36" s="41">
        <f t="shared" si="2"/>
        <v>88.67</v>
      </c>
      <c r="L36" s="41">
        <f t="shared" si="2"/>
        <v>20.7</v>
      </c>
      <c r="M36" s="41">
        <f t="shared" si="2"/>
        <v>97.230833333333337</v>
      </c>
      <c r="N36" s="41">
        <f t="shared" si="2"/>
        <v>24.933333333333334</v>
      </c>
      <c r="O36" s="41">
        <f t="shared" si="2"/>
        <v>7.4999999999999997E-2</v>
      </c>
      <c r="P36" s="41">
        <f t="shared" si="2"/>
        <v>0.68833333333333335</v>
      </c>
      <c r="Q36" s="41">
        <f t="shared" si="2"/>
        <v>10.147916666666665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2.5563073104025285</v>
      </c>
      <c r="C37" s="41">
        <f t="shared" ref="C37:Q37" si="3">STDEV(C9:C32)</f>
        <v>0.94959907634595131</v>
      </c>
      <c r="D37" s="41">
        <f t="shared" si="3"/>
        <v>2.3829940976773347</v>
      </c>
      <c r="E37" s="41">
        <f t="shared" si="3"/>
        <v>1.2081054757676235</v>
      </c>
      <c r="F37" s="41">
        <f t="shared" si="3"/>
        <v>1.348081769226843</v>
      </c>
      <c r="G37" s="41">
        <f t="shared" si="3"/>
        <v>10.093569591648388</v>
      </c>
      <c r="H37" s="41">
        <f t="shared" si="3"/>
        <v>2.9481916589616484</v>
      </c>
      <c r="I37" s="41">
        <f t="shared" si="3"/>
        <v>0.7320666349254219</v>
      </c>
      <c r="J37" s="41">
        <f t="shared" si="3"/>
        <v>0.32631339963692679</v>
      </c>
      <c r="K37" s="41">
        <f t="shared" si="3"/>
        <v>40.705323121611272</v>
      </c>
      <c r="L37" s="41">
        <f t="shared" si="3"/>
        <v>0.7154749106894831</v>
      </c>
      <c r="M37" s="41">
        <f t="shared" si="3"/>
        <v>5.2871837795597596</v>
      </c>
      <c r="N37" s="41">
        <f t="shared" si="3"/>
        <v>31.859660560252252</v>
      </c>
      <c r="O37" s="41">
        <f t="shared" si="3"/>
        <v>0.11515584902738288</v>
      </c>
      <c r="P37" s="41">
        <f t="shared" si="3"/>
        <v>6.2739396586656837E-2</v>
      </c>
      <c r="Q37" s="41">
        <f t="shared" si="3"/>
        <v>2.9485319363558055E-2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4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3" width="11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45628.041666666664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45628.041666666664</v>
      </c>
      <c r="B9" s="51">
        <v>10.53</v>
      </c>
      <c r="C9" s="51">
        <v>16</v>
      </c>
      <c r="D9" s="51">
        <v>18.16</v>
      </c>
      <c r="E9" s="51">
        <v>10.67</v>
      </c>
      <c r="F9" s="51">
        <v>6.11</v>
      </c>
      <c r="G9" s="51">
        <v>17.510000000000002</v>
      </c>
      <c r="H9" s="51">
        <v>8.8699999999999992</v>
      </c>
      <c r="I9" s="51">
        <v>6.61</v>
      </c>
      <c r="J9" s="51">
        <v>0.41</v>
      </c>
      <c r="K9" s="51">
        <v>153.26</v>
      </c>
      <c r="L9" s="51">
        <v>20.67</v>
      </c>
      <c r="M9" s="51">
        <v>102.33</v>
      </c>
      <c r="N9" s="51">
        <v>2.8</v>
      </c>
      <c r="O9" s="51">
        <v>0</v>
      </c>
      <c r="P9" s="51">
        <v>0.55000000000000004</v>
      </c>
      <c r="Q9" s="51">
        <v>10.1</v>
      </c>
    </row>
    <row r="10" spans="1:21" customFormat="1">
      <c r="A10" s="50">
        <v>45628.083333333336</v>
      </c>
      <c r="B10" s="51">
        <v>12.25</v>
      </c>
      <c r="C10" s="51">
        <v>16.22</v>
      </c>
      <c r="D10" s="51">
        <v>19.510000000000002</v>
      </c>
      <c r="E10" s="51">
        <v>10.62</v>
      </c>
      <c r="F10" s="51">
        <v>5.89</v>
      </c>
      <c r="G10" s="51">
        <v>20.399999999999999</v>
      </c>
      <c r="H10" s="51">
        <v>8.84</v>
      </c>
      <c r="I10" s="51">
        <v>6.19</v>
      </c>
      <c r="J10" s="51">
        <v>0.45</v>
      </c>
      <c r="K10" s="51">
        <v>46.27</v>
      </c>
      <c r="L10" s="51">
        <v>20.51</v>
      </c>
      <c r="M10" s="51">
        <v>102.43</v>
      </c>
      <c r="N10" s="51">
        <v>2.9</v>
      </c>
      <c r="O10" s="51">
        <v>0</v>
      </c>
      <c r="P10" s="51">
        <v>0.54</v>
      </c>
      <c r="Q10" s="51">
        <v>10.09</v>
      </c>
    </row>
    <row r="11" spans="1:21" customFormat="1">
      <c r="A11" s="50">
        <v>45628.125</v>
      </c>
      <c r="B11" s="51">
        <v>13.74</v>
      </c>
      <c r="C11" s="51">
        <v>15.98</v>
      </c>
      <c r="D11" s="51">
        <v>20.57</v>
      </c>
      <c r="E11" s="51">
        <v>8.24</v>
      </c>
      <c r="F11" s="51">
        <v>6.05</v>
      </c>
      <c r="G11" s="51">
        <v>25.93</v>
      </c>
      <c r="H11" s="51">
        <v>8.17</v>
      </c>
      <c r="I11" s="51">
        <v>6.03</v>
      </c>
      <c r="J11" s="51">
        <v>0.73</v>
      </c>
      <c r="K11" s="51">
        <v>50.86</v>
      </c>
      <c r="L11" s="51">
        <v>20.22</v>
      </c>
      <c r="M11" s="51">
        <v>102.56</v>
      </c>
      <c r="N11" s="51">
        <v>2.5</v>
      </c>
      <c r="O11" s="51">
        <v>0</v>
      </c>
      <c r="P11" s="51">
        <v>0.54</v>
      </c>
      <c r="Q11" s="51">
        <v>10.119999999999999</v>
      </c>
    </row>
    <row r="12" spans="1:21" customFormat="1">
      <c r="A12" s="50">
        <v>45628.166666666664</v>
      </c>
      <c r="B12" s="51">
        <v>14.97</v>
      </c>
      <c r="C12" s="51">
        <v>15.79</v>
      </c>
      <c r="D12" s="51">
        <v>21.59</v>
      </c>
      <c r="E12" s="51">
        <v>8.58</v>
      </c>
      <c r="F12" s="51">
        <v>6.32</v>
      </c>
      <c r="G12" s="51">
        <v>27.49</v>
      </c>
      <c r="H12" s="51">
        <v>8.15</v>
      </c>
      <c r="I12" s="51">
        <v>6.06</v>
      </c>
      <c r="J12" s="51">
        <v>0.7</v>
      </c>
      <c r="K12" s="51">
        <v>50.52</v>
      </c>
      <c r="L12" s="51">
        <v>20.23</v>
      </c>
      <c r="M12" s="51">
        <v>102.62</v>
      </c>
      <c r="N12" s="51">
        <v>2.6</v>
      </c>
      <c r="O12" s="51">
        <v>0</v>
      </c>
      <c r="P12" s="51">
        <v>0.53</v>
      </c>
      <c r="Q12" s="51">
        <v>10.11</v>
      </c>
    </row>
    <row r="13" spans="1:21" customFormat="1">
      <c r="A13" s="50">
        <v>45628.208333333336</v>
      </c>
      <c r="B13" s="51">
        <v>16.29</v>
      </c>
      <c r="C13" s="51">
        <v>16.68</v>
      </c>
      <c r="D13" s="51">
        <v>22.98</v>
      </c>
      <c r="E13" s="51">
        <v>9.19</v>
      </c>
      <c r="F13" s="51">
        <v>6.41</v>
      </c>
      <c r="G13" s="51">
        <v>33</v>
      </c>
      <c r="H13" s="51">
        <v>7.46</v>
      </c>
      <c r="I13" s="51">
        <v>6.35</v>
      </c>
      <c r="J13" s="51">
        <v>1</v>
      </c>
      <c r="K13" s="51">
        <v>51.8</v>
      </c>
      <c r="L13" s="51">
        <v>20.2</v>
      </c>
      <c r="M13" s="51">
        <v>103.34</v>
      </c>
      <c r="N13" s="51">
        <v>2.5</v>
      </c>
      <c r="O13" s="51">
        <v>0</v>
      </c>
      <c r="P13" s="51">
        <v>0.54</v>
      </c>
      <c r="Q13" s="51">
        <v>10.1</v>
      </c>
    </row>
    <row r="14" spans="1:21" customFormat="1">
      <c r="A14" s="50">
        <v>45628.25</v>
      </c>
      <c r="B14" s="51">
        <v>18.440000000000001</v>
      </c>
      <c r="C14" s="51">
        <v>16.29</v>
      </c>
      <c r="D14" s="51">
        <v>24.62</v>
      </c>
      <c r="E14" s="51">
        <v>9.51</v>
      </c>
      <c r="F14" s="51">
        <v>5.93</v>
      </c>
      <c r="G14" s="51">
        <v>37.17</v>
      </c>
      <c r="H14" s="51">
        <v>11.23</v>
      </c>
      <c r="I14" s="51">
        <v>6.79</v>
      </c>
      <c r="J14" s="51">
        <v>0.99</v>
      </c>
      <c r="K14" s="51">
        <v>54.44</v>
      </c>
      <c r="L14" s="51">
        <v>20.13</v>
      </c>
      <c r="M14" s="51">
        <v>103.74</v>
      </c>
      <c r="N14" s="51">
        <v>2.5</v>
      </c>
      <c r="O14" s="51">
        <v>0</v>
      </c>
      <c r="P14" s="51">
        <v>0.55000000000000004</v>
      </c>
      <c r="Q14" s="51">
        <v>10.1</v>
      </c>
    </row>
    <row r="15" spans="1:21" customFormat="1">
      <c r="A15" s="50">
        <v>45628.291666666664</v>
      </c>
      <c r="B15" s="51">
        <v>20.78</v>
      </c>
      <c r="C15" s="51">
        <v>16.68</v>
      </c>
      <c r="D15" s="51">
        <v>26.56</v>
      </c>
      <c r="E15" s="51">
        <v>9.7799999999999994</v>
      </c>
      <c r="F15" s="51">
        <v>6.12</v>
      </c>
      <c r="G15" s="51">
        <v>41.56</v>
      </c>
      <c r="H15" s="51">
        <v>11.23</v>
      </c>
      <c r="I15" s="51">
        <v>7.09</v>
      </c>
      <c r="J15" s="51">
        <v>0.92</v>
      </c>
      <c r="K15" s="51">
        <v>49.56</v>
      </c>
      <c r="L15" s="51">
        <v>20.12</v>
      </c>
      <c r="M15" s="51">
        <v>103.6</v>
      </c>
      <c r="N15" s="51">
        <v>11.5</v>
      </c>
      <c r="O15" s="51">
        <v>0</v>
      </c>
      <c r="P15" s="51">
        <v>0.57999999999999996</v>
      </c>
      <c r="Q15" s="51">
        <v>10.119999999999999</v>
      </c>
    </row>
    <row r="16" spans="1:21" customFormat="1">
      <c r="A16" s="50">
        <v>45628.333333333336</v>
      </c>
      <c r="B16" s="51">
        <v>23.01</v>
      </c>
      <c r="C16" s="51">
        <v>16.72</v>
      </c>
      <c r="D16" s="51">
        <v>28.15</v>
      </c>
      <c r="E16" s="51">
        <v>9.25</v>
      </c>
      <c r="F16" s="51">
        <v>5.48</v>
      </c>
      <c r="G16" s="51">
        <v>41.54</v>
      </c>
      <c r="H16" s="51">
        <v>13.21</v>
      </c>
      <c r="I16" s="51">
        <v>7.22</v>
      </c>
      <c r="J16" s="51">
        <v>0.91</v>
      </c>
      <c r="K16" s="51">
        <v>54.97</v>
      </c>
      <c r="L16" s="51">
        <v>20.64</v>
      </c>
      <c r="M16" s="51">
        <v>102.67</v>
      </c>
      <c r="N16" s="51">
        <v>46.8</v>
      </c>
      <c r="O16" s="51">
        <v>0</v>
      </c>
      <c r="P16" s="51">
        <v>0.64</v>
      </c>
      <c r="Q16" s="51">
        <v>10.130000000000001</v>
      </c>
    </row>
    <row r="17" spans="1:17" customFormat="1">
      <c r="A17" s="50">
        <v>45628.375</v>
      </c>
      <c r="B17" s="51">
        <v>23.03</v>
      </c>
      <c r="C17" s="51">
        <v>16.600000000000001</v>
      </c>
      <c r="D17" s="51">
        <v>28.42</v>
      </c>
      <c r="E17" s="51">
        <v>9.76</v>
      </c>
      <c r="F17" s="51">
        <v>5.71</v>
      </c>
      <c r="G17" s="51">
        <v>41.09</v>
      </c>
      <c r="H17" s="51">
        <v>14.41</v>
      </c>
      <c r="I17" s="51">
        <v>7.5</v>
      </c>
      <c r="J17" s="51">
        <v>0.96</v>
      </c>
      <c r="K17" s="51">
        <v>53.08</v>
      </c>
      <c r="L17" s="51">
        <v>21.51</v>
      </c>
      <c r="M17" s="51">
        <v>102.18</v>
      </c>
      <c r="N17" s="51">
        <v>90.7</v>
      </c>
      <c r="O17" s="51">
        <v>0</v>
      </c>
      <c r="P17" s="51">
        <v>0.69</v>
      </c>
      <c r="Q17" s="51">
        <v>10.130000000000001</v>
      </c>
    </row>
    <row r="18" spans="1:17" customFormat="1">
      <c r="A18" s="50">
        <v>45628.416666666664</v>
      </c>
      <c r="B18" s="51">
        <v>23.1</v>
      </c>
      <c r="C18" s="51">
        <v>15.8</v>
      </c>
      <c r="D18" s="51">
        <v>27.69</v>
      </c>
      <c r="E18" s="51">
        <v>9.7100000000000009</v>
      </c>
      <c r="F18" s="51">
        <v>6.37</v>
      </c>
      <c r="G18" s="51">
        <v>41.05</v>
      </c>
      <c r="H18" s="51">
        <v>14.38</v>
      </c>
      <c r="I18" s="51">
        <v>7.83</v>
      </c>
      <c r="J18" s="51">
        <v>0.85</v>
      </c>
      <c r="K18" s="51">
        <v>65.16</v>
      </c>
      <c r="L18" s="51">
        <v>22.87</v>
      </c>
      <c r="M18" s="51">
        <v>93.99</v>
      </c>
      <c r="N18" s="51">
        <v>154.19999999999999</v>
      </c>
      <c r="O18" s="51">
        <v>0</v>
      </c>
      <c r="P18" s="51">
        <v>0.75</v>
      </c>
      <c r="Q18" s="51">
        <v>10.130000000000001</v>
      </c>
    </row>
    <row r="19" spans="1:17" customFormat="1">
      <c r="A19" s="50">
        <v>45628.458333333336</v>
      </c>
      <c r="B19" s="51">
        <v>19.68</v>
      </c>
      <c r="C19" s="51">
        <v>17.329999999999998</v>
      </c>
      <c r="D19" s="51">
        <v>25.56</v>
      </c>
      <c r="E19" s="51">
        <v>10.58</v>
      </c>
      <c r="F19" s="51">
        <v>6.02</v>
      </c>
      <c r="G19" s="51">
        <v>48</v>
      </c>
      <c r="H19" s="51">
        <v>15.15</v>
      </c>
      <c r="I19" s="51">
        <v>8.06</v>
      </c>
      <c r="J19" s="51">
        <v>0.85</v>
      </c>
      <c r="K19" s="51">
        <v>64.819999999999993</v>
      </c>
      <c r="L19" s="51">
        <v>24.55</v>
      </c>
      <c r="M19" s="51">
        <v>85.22</v>
      </c>
      <c r="N19" s="51">
        <v>263.5</v>
      </c>
      <c r="O19" s="51">
        <v>0</v>
      </c>
      <c r="P19" s="51">
        <v>0.76</v>
      </c>
      <c r="Q19" s="51">
        <v>10.119999999999999</v>
      </c>
    </row>
    <row r="20" spans="1:17" customFormat="1">
      <c r="A20" s="50">
        <v>45628.5</v>
      </c>
      <c r="B20" s="51">
        <v>15.1</v>
      </c>
      <c r="C20" s="51">
        <v>18.329999999999998</v>
      </c>
      <c r="D20" s="51">
        <v>22.58</v>
      </c>
      <c r="E20" s="51">
        <v>10.43</v>
      </c>
      <c r="F20" s="51">
        <v>6.5</v>
      </c>
      <c r="G20" s="51">
        <v>47.92</v>
      </c>
      <c r="H20" s="51">
        <v>17.93</v>
      </c>
      <c r="I20" s="51">
        <v>8.09</v>
      </c>
      <c r="J20" s="51">
        <v>1.03</v>
      </c>
      <c r="K20" s="51">
        <v>61.6</v>
      </c>
      <c r="L20" s="51">
        <v>25.65</v>
      </c>
      <c r="M20" s="51">
        <v>75.33</v>
      </c>
      <c r="N20" s="51">
        <v>316.60000000000002</v>
      </c>
      <c r="O20" s="51">
        <v>0</v>
      </c>
      <c r="P20" s="51">
        <v>0.75</v>
      </c>
      <c r="Q20" s="51">
        <v>10.1</v>
      </c>
    </row>
    <row r="21" spans="1:17" customFormat="1">
      <c r="A21" s="50">
        <v>45628.541666666664</v>
      </c>
      <c r="B21" s="51">
        <v>11</v>
      </c>
      <c r="C21" s="51">
        <v>18.899999999999999</v>
      </c>
      <c r="D21" s="51">
        <v>19.760000000000002</v>
      </c>
      <c r="E21" s="51">
        <v>10.37</v>
      </c>
      <c r="F21" s="51">
        <v>6.9</v>
      </c>
      <c r="G21" s="51">
        <v>44.5</v>
      </c>
      <c r="H21" s="51">
        <v>17.86</v>
      </c>
      <c r="I21" s="51">
        <v>7.96</v>
      </c>
      <c r="J21" s="51">
        <v>1.22</v>
      </c>
      <c r="K21" s="51">
        <v>52.55</v>
      </c>
      <c r="L21" s="51">
        <v>25.72</v>
      </c>
      <c r="M21" s="51">
        <v>73.739999999999995</v>
      </c>
      <c r="N21" s="51">
        <v>206.9</v>
      </c>
      <c r="O21" s="51">
        <v>0</v>
      </c>
      <c r="P21" s="51">
        <v>0.75</v>
      </c>
      <c r="Q21" s="51">
        <v>10.09</v>
      </c>
    </row>
    <row r="22" spans="1:17" customFormat="1">
      <c r="A22" s="50">
        <v>45628.583333333336</v>
      </c>
      <c r="B22" s="51">
        <v>8.34</v>
      </c>
      <c r="C22" s="51">
        <v>19.02</v>
      </c>
      <c r="D22" s="51">
        <v>17.89</v>
      </c>
      <c r="E22" s="51">
        <v>10.62</v>
      </c>
      <c r="F22" s="51">
        <v>7.43</v>
      </c>
      <c r="G22" s="51">
        <v>47.06</v>
      </c>
      <c r="H22" s="51">
        <v>15.48</v>
      </c>
      <c r="I22" s="51">
        <v>7.84</v>
      </c>
      <c r="J22" s="51">
        <v>1.36</v>
      </c>
      <c r="K22" s="51">
        <v>57.62</v>
      </c>
      <c r="L22" s="51">
        <v>25.73</v>
      </c>
      <c r="M22" s="51">
        <v>73.790000000000006</v>
      </c>
      <c r="N22" s="51">
        <v>164.2</v>
      </c>
      <c r="O22" s="51">
        <v>0</v>
      </c>
      <c r="P22" s="51">
        <v>0.75</v>
      </c>
      <c r="Q22" s="51">
        <v>10.08</v>
      </c>
    </row>
    <row r="23" spans="1:17" customFormat="1">
      <c r="A23" s="50">
        <v>45628.625</v>
      </c>
      <c r="B23" s="51">
        <v>8.0299999999999994</v>
      </c>
      <c r="C23" s="51">
        <v>19.79</v>
      </c>
      <c r="D23" s="51">
        <v>17.670000000000002</v>
      </c>
      <c r="E23" s="51">
        <v>11.48</v>
      </c>
      <c r="F23" s="51">
        <v>6.53</v>
      </c>
      <c r="G23" s="51">
        <v>50.14</v>
      </c>
      <c r="H23" s="51">
        <v>19.989999999999998</v>
      </c>
      <c r="I23" s="51">
        <v>7.76</v>
      </c>
      <c r="J23" s="51">
        <v>1.3</v>
      </c>
      <c r="K23" s="51">
        <v>51.44</v>
      </c>
      <c r="L23" s="51">
        <v>25.13</v>
      </c>
      <c r="M23" s="51">
        <v>74.41</v>
      </c>
      <c r="N23" s="51">
        <v>76.3</v>
      </c>
      <c r="O23" s="51">
        <v>0</v>
      </c>
      <c r="P23" s="51">
        <v>0.74</v>
      </c>
      <c r="Q23" s="51">
        <v>10.07</v>
      </c>
    </row>
    <row r="24" spans="1:17" customFormat="1">
      <c r="A24" s="50">
        <v>45628.666666666664</v>
      </c>
      <c r="B24" s="51">
        <v>8.01</v>
      </c>
      <c r="C24" s="51">
        <v>17.48</v>
      </c>
      <c r="D24" s="51">
        <v>16.899999999999999</v>
      </c>
      <c r="E24" s="51">
        <v>11.38</v>
      </c>
      <c r="F24" s="51">
        <v>6.25</v>
      </c>
      <c r="G24" s="51">
        <v>54.79</v>
      </c>
      <c r="H24" s="51">
        <v>19.96</v>
      </c>
      <c r="I24" s="51">
        <v>7.99</v>
      </c>
      <c r="J24" s="51">
        <v>1.07</v>
      </c>
      <c r="K24" s="51">
        <v>54.48</v>
      </c>
      <c r="L24" s="51">
        <v>24.91</v>
      </c>
      <c r="M24" s="51">
        <v>74.489999999999995</v>
      </c>
      <c r="N24" s="51">
        <v>66.599999999999994</v>
      </c>
      <c r="O24" s="51">
        <v>0</v>
      </c>
      <c r="P24" s="51">
        <v>0.75</v>
      </c>
      <c r="Q24" s="51">
        <v>10.08</v>
      </c>
    </row>
    <row r="25" spans="1:17" customFormat="1">
      <c r="A25" s="50">
        <v>45628.708333333336</v>
      </c>
      <c r="B25" s="51">
        <v>8.86</v>
      </c>
      <c r="C25" s="51">
        <v>17.510000000000002</v>
      </c>
      <c r="D25" s="51">
        <v>17.28</v>
      </c>
      <c r="E25" s="51">
        <v>11.66</v>
      </c>
      <c r="F25" s="51">
        <v>6.35</v>
      </c>
      <c r="G25" s="51">
        <v>56.36</v>
      </c>
      <c r="H25" s="51">
        <v>22.53</v>
      </c>
      <c r="I25" s="51">
        <v>8.11</v>
      </c>
      <c r="J25" s="51">
        <v>0.99</v>
      </c>
      <c r="K25" s="51">
        <v>64.72</v>
      </c>
      <c r="L25" s="51">
        <v>24.48</v>
      </c>
      <c r="M25" s="51">
        <v>78.680000000000007</v>
      </c>
      <c r="N25" s="51">
        <v>19.7</v>
      </c>
      <c r="O25" s="51">
        <v>0</v>
      </c>
      <c r="P25" s="51">
        <v>0.77</v>
      </c>
      <c r="Q25" s="51">
        <v>10.08</v>
      </c>
    </row>
    <row r="26" spans="1:17" customFormat="1">
      <c r="A26" s="50">
        <v>45628.75</v>
      </c>
      <c r="B26" s="51">
        <v>10.82</v>
      </c>
      <c r="C26" s="51">
        <v>17.38</v>
      </c>
      <c r="D26" s="51">
        <v>18.8</v>
      </c>
      <c r="E26" s="51">
        <v>11.09</v>
      </c>
      <c r="F26" s="51">
        <v>6</v>
      </c>
      <c r="G26" s="51">
        <v>60.92</v>
      </c>
      <c r="H26" s="51">
        <v>23.21</v>
      </c>
      <c r="I26" s="51">
        <v>8.23</v>
      </c>
      <c r="J26" s="51">
        <v>0.7</v>
      </c>
      <c r="K26" s="51">
        <v>59.13</v>
      </c>
      <c r="L26" s="51">
        <v>23.84</v>
      </c>
      <c r="M26" s="51">
        <v>81.94</v>
      </c>
      <c r="N26" s="51">
        <v>3.5</v>
      </c>
      <c r="O26" s="51">
        <v>0</v>
      </c>
      <c r="P26" s="51">
        <v>0.79</v>
      </c>
      <c r="Q26" s="51">
        <v>10.07</v>
      </c>
    </row>
    <row r="27" spans="1:17" customFormat="1">
      <c r="A27" s="50">
        <v>45628.791666666664</v>
      </c>
      <c r="B27" s="51">
        <v>12.98</v>
      </c>
      <c r="C27" s="51">
        <v>16.989999999999998</v>
      </c>
      <c r="D27" s="51">
        <v>20.55</v>
      </c>
      <c r="E27" s="51">
        <v>10.01</v>
      </c>
      <c r="F27" s="51">
        <v>5.98</v>
      </c>
      <c r="G27" s="51">
        <v>65.400000000000006</v>
      </c>
      <c r="H27" s="51">
        <v>23.2</v>
      </c>
      <c r="I27" s="51">
        <v>8.4600000000000009</v>
      </c>
      <c r="J27" s="51">
        <v>0.89</v>
      </c>
      <c r="K27" s="51">
        <v>52.89</v>
      </c>
      <c r="L27" s="51">
        <v>23.33</v>
      </c>
      <c r="M27" s="51">
        <v>84.91</v>
      </c>
      <c r="N27" s="51">
        <v>2.5</v>
      </c>
      <c r="O27" s="51">
        <v>0</v>
      </c>
      <c r="P27" s="51">
        <v>0.81</v>
      </c>
      <c r="Q27" s="51">
        <v>10.08</v>
      </c>
    </row>
    <row r="28" spans="1:17" customFormat="1">
      <c r="A28" s="50">
        <v>45628.833333333336</v>
      </c>
      <c r="B28" s="51">
        <v>15.26</v>
      </c>
      <c r="C28" s="51">
        <v>18.63</v>
      </c>
      <c r="D28" s="51">
        <v>23.32</v>
      </c>
      <c r="E28" s="51">
        <v>9.73</v>
      </c>
      <c r="F28" s="51">
        <v>6.1</v>
      </c>
      <c r="G28" s="51">
        <v>65.39</v>
      </c>
      <c r="H28" s="51">
        <v>24.49</v>
      </c>
      <c r="I28" s="51">
        <v>8.5399999999999991</v>
      </c>
      <c r="J28" s="51">
        <v>0.84</v>
      </c>
      <c r="K28" s="51">
        <v>55.36</v>
      </c>
      <c r="L28" s="51">
        <v>22.74</v>
      </c>
      <c r="M28" s="51">
        <v>86.6</v>
      </c>
      <c r="N28" s="51">
        <v>2.4</v>
      </c>
      <c r="O28" s="51">
        <v>0</v>
      </c>
      <c r="P28" s="51">
        <v>0.84</v>
      </c>
      <c r="Q28" s="51">
        <v>10.1</v>
      </c>
    </row>
    <row r="29" spans="1:17" customFormat="1">
      <c r="A29" s="50">
        <v>45628.875</v>
      </c>
      <c r="B29" s="51">
        <v>15.81</v>
      </c>
      <c r="C29" s="51">
        <v>19.23</v>
      </c>
      <c r="D29" s="51">
        <v>24.04</v>
      </c>
      <c r="E29" s="51">
        <v>9.98</v>
      </c>
      <c r="F29" s="51">
        <v>5.56</v>
      </c>
      <c r="G29" s="51">
        <v>66.39</v>
      </c>
      <c r="H29" s="51">
        <v>24.49</v>
      </c>
      <c r="I29" s="51">
        <v>8.94</v>
      </c>
      <c r="J29" s="51">
        <v>0.56000000000000005</v>
      </c>
      <c r="K29" s="51">
        <v>62.59</v>
      </c>
      <c r="L29" s="51">
        <v>22.36</v>
      </c>
      <c r="M29" s="51">
        <v>87.29</v>
      </c>
      <c r="N29" s="51">
        <v>2.2000000000000002</v>
      </c>
      <c r="O29" s="51">
        <v>0</v>
      </c>
      <c r="P29" s="51">
        <v>0.84</v>
      </c>
      <c r="Q29" s="51">
        <v>10.119999999999999</v>
      </c>
    </row>
    <row r="30" spans="1:17" customFormat="1">
      <c r="A30" s="50">
        <v>45628.916666666664</v>
      </c>
      <c r="B30" s="51">
        <v>15.65</v>
      </c>
      <c r="C30" s="51">
        <v>19.190000000000001</v>
      </c>
      <c r="D30" s="51">
        <v>23.91</v>
      </c>
      <c r="E30" s="51">
        <v>10.26</v>
      </c>
      <c r="F30" s="51">
        <v>5.81</v>
      </c>
      <c r="G30" s="51">
        <v>67.38</v>
      </c>
      <c r="H30" s="51">
        <v>24.07</v>
      </c>
      <c r="I30" s="51">
        <v>8.99</v>
      </c>
      <c r="J30" s="51">
        <v>0.56000000000000005</v>
      </c>
      <c r="K30" s="51">
        <v>63.7</v>
      </c>
      <c r="L30" s="51">
        <v>22</v>
      </c>
      <c r="M30" s="51">
        <v>88.74</v>
      </c>
      <c r="N30" s="51">
        <v>2.2999999999999998</v>
      </c>
      <c r="O30" s="51">
        <v>0</v>
      </c>
      <c r="P30" s="51">
        <v>0.84</v>
      </c>
      <c r="Q30" s="51">
        <v>10.11</v>
      </c>
    </row>
    <row r="31" spans="1:17" customFormat="1">
      <c r="A31" s="50">
        <v>45628.958333333336</v>
      </c>
      <c r="B31" s="51">
        <v>16.71</v>
      </c>
      <c r="C31" s="51">
        <v>19.100000000000001</v>
      </c>
      <c r="D31" s="51">
        <v>24.74</v>
      </c>
      <c r="E31" s="51">
        <v>9.74</v>
      </c>
      <c r="F31" s="51">
        <v>5.95</v>
      </c>
      <c r="G31" s="51">
        <v>67.260000000000005</v>
      </c>
      <c r="H31" s="51">
        <v>22.69</v>
      </c>
      <c r="I31" s="51">
        <v>8.99</v>
      </c>
      <c r="J31" s="51">
        <v>0.66</v>
      </c>
      <c r="K31" s="51">
        <v>67.78</v>
      </c>
      <c r="L31" s="51">
        <v>21.78</v>
      </c>
      <c r="M31" s="51">
        <v>90.34</v>
      </c>
      <c r="N31" s="51">
        <v>2.2999999999999998</v>
      </c>
      <c r="O31" s="51">
        <v>0</v>
      </c>
      <c r="P31" s="51">
        <v>0.82</v>
      </c>
      <c r="Q31" s="51">
        <v>10.1</v>
      </c>
    </row>
    <row r="32" spans="1:17" customFormat="1">
      <c r="A32" s="50">
        <v>45629</v>
      </c>
      <c r="B32" s="51">
        <v>16.920000000000002</v>
      </c>
      <c r="C32" s="51">
        <v>18.8</v>
      </c>
      <c r="D32" s="51">
        <v>24.73</v>
      </c>
      <c r="E32" s="51">
        <v>10.07</v>
      </c>
      <c r="F32" s="51">
        <v>5.96</v>
      </c>
      <c r="G32" s="51">
        <v>62.45</v>
      </c>
      <c r="H32" s="51">
        <v>23.25</v>
      </c>
      <c r="I32" s="51">
        <v>8.7200000000000006</v>
      </c>
      <c r="J32" s="51">
        <v>0.36</v>
      </c>
      <c r="K32" s="51">
        <v>68.459999999999994</v>
      </c>
      <c r="L32" s="51">
        <v>21.71</v>
      </c>
      <c r="M32" s="51">
        <v>91.17</v>
      </c>
      <c r="N32" s="51">
        <v>2.2999999999999998</v>
      </c>
      <c r="O32" s="51">
        <v>0</v>
      </c>
      <c r="P32" s="51">
        <v>0.81</v>
      </c>
      <c r="Q32" s="51">
        <v>10.119999999999999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8.01</v>
      </c>
      <c r="C34" s="41">
        <f t="shared" si="0"/>
        <v>15.79</v>
      </c>
      <c r="D34" s="41">
        <f t="shared" si="0"/>
        <v>16.899999999999999</v>
      </c>
      <c r="E34" s="41">
        <f t="shared" si="0"/>
        <v>8.24</v>
      </c>
      <c r="F34" s="41">
        <f t="shared" si="0"/>
        <v>5.48</v>
      </c>
      <c r="G34" s="41">
        <f t="shared" si="0"/>
        <v>17.510000000000002</v>
      </c>
      <c r="H34" s="41">
        <f t="shared" si="0"/>
        <v>7.46</v>
      </c>
      <c r="I34" s="41">
        <f t="shared" si="0"/>
        <v>6.03</v>
      </c>
      <c r="J34" s="41">
        <f t="shared" si="0"/>
        <v>0.36</v>
      </c>
      <c r="K34" s="41">
        <f t="shared" si="0"/>
        <v>46.27</v>
      </c>
      <c r="L34" s="41">
        <f t="shared" si="0"/>
        <v>20.12</v>
      </c>
      <c r="M34" s="41">
        <f t="shared" si="0"/>
        <v>73.739999999999995</v>
      </c>
      <c r="N34" s="41">
        <f t="shared" si="0"/>
        <v>2.2000000000000002</v>
      </c>
      <c r="O34" s="41">
        <f t="shared" si="0"/>
        <v>0</v>
      </c>
      <c r="P34" s="41">
        <f t="shared" si="0"/>
        <v>0.53</v>
      </c>
      <c r="Q34" s="41">
        <f t="shared" si="0"/>
        <v>10.07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23.1</v>
      </c>
      <c r="C35" s="33">
        <f t="shared" si="1"/>
        <v>19.79</v>
      </c>
      <c r="D35" s="33">
        <f t="shared" si="1"/>
        <v>28.42</v>
      </c>
      <c r="E35" s="33">
        <f t="shared" si="1"/>
        <v>11.66</v>
      </c>
      <c r="F35" s="33">
        <f t="shared" si="1"/>
        <v>7.43</v>
      </c>
      <c r="G35" s="33">
        <f t="shared" si="1"/>
        <v>67.38</v>
      </c>
      <c r="H35" s="33">
        <f t="shared" si="1"/>
        <v>24.49</v>
      </c>
      <c r="I35" s="33">
        <f t="shared" si="1"/>
        <v>8.99</v>
      </c>
      <c r="J35" s="33">
        <f t="shared" si="1"/>
        <v>1.36</v>
      </c>
      <c r="K35" s="33">
        <f t="shared" si="1"/>
        <v>153.26</v>
      </c>
      <c r="L35" s="33">
        <f t="shared" si="1"/>
        <v>25.73</v>
      </c>
      <c r="M35" s="33">
        <f t="shared" si="1"/>
        <v>103.74</v>
      </c>
      <c r="N35" s="33">
        <f t="shared" si="1"/>
        <v>316.60000000000002</v>
      </c>
      <c r="O35" s="33">
        <f t="shared" si="1"/>
        <v>0</v>
      </c>
      <c r="P35" s="33">
        <f t="shared" si="1"/>
        <v>0.84</v>
      </c>
      <c r="Q35" s="33">
        <f t="shared" si="1"/>
        <v>10.130000000000001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14.971249999999998</v>
      </c>
      <c r="C36" s="41">
        <f t="shared" si="2"/>
        <v>17.518333333333338</v>
      </c>
      <c r="D36" s="41">
        <f t="shared" si="2"/>
        <v>22.3325</v>
      </c>
      <c r="E36" s="41">
        <f t="shared" si="2"/>
        <v>10.112916666666665</v>
      </c>
      <c r="F36" s="41">
        <f t="shared" si="2"/>
        <v>6.1554166666666665</v>
      </c>
      <c r="G36" s="41">
        <f t="shared" si="2"/>
        <v>47.112500000000004</v>
      </c>
      <c r="H36" s="41">
        <f t="shared" si="2"/>
        <v>16.677083333333332</v>
      </c>
      <c r="I36" s="41">
        <f t="shared" si="2"/>
        <v>7.6812500000000012</v>
      </c>
      <c r="J36" s="41">
        <f t="shared" si="2"/>
        <v>0.84624999999999995</v>
      </c>
      <c r="K36" s="41">
        <f t="shared" si="2"/>
        <v>61.127500000000005</v>
      </c>
      <c r="L36" s="41">
        <f t="shared" si="2"/>
        <v>22.54291666666667</v>
      </c>
      <c r="M36" s="41">
        <f t="shared" si="2"/>
        <v>90.254583333333343</v>
      </c>
      <c r="N36" s="41">
        <f t="shared" si="2"/>
        <v>60.429166666666667</v>
      </c>
      <c r="O36" s="41">
        <f t="shared" si="2"/>
        <v>0</v>
      </c>
      <c r="P36" s="41">
        <f t="shared" si="2"/>
        <v>0.70541666666666647</v>
      </c>
      <c r="Q36" s="41">
        <f t="shared" si="2"/>
        <v>10.102083333333335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4.7410660262453064</v>
      </c>
      <c r="C37" s="41">
        <f t="shared" ref="C37:Q37" si="3">STDEV(C9:C32)</f>
        <v>1.2873183001095483</v>
      </c>
      <c r="D37" s="41">
        <f t="shared" si="3"/>
        <v>3.6076660527030437</v>
      </c>
      <c r="E37" s="41">
        <f t="shared" si="3"/>
        <v>0.84916060429350482</v>
      </c>
      <c r="F37" s="41">
        <f t="shared" si="3"/>
        <v>0.41929525932540096</v>
      </c>
      <c r="G37" s="41">
        <f t="shared" si="3"/>
        <v>15.181688698531879</v>
      </c>
      <c r="H37" s="41">
        <f t="shared" si="3"/>
        <v>6.037034601140058</v>
      </c>
      <c r="I37" s="41">
        <f t="shared" si="3"/>
        <v>0.94047311174377313</v>
      </c>
      <c r="J37" s="41">
        <f t="shared" si="3"/>
        <v>0.26550710299186114</v>
      </c>
      <c r="K37" s="41">
        <f t="shared" si="3"/>
        <v>20.614598932078081</v>
      </c>
      <c r="L37" s="41">
        <f t="shared" si="3"/>
        <v>2.0247371899595978</v>
      </c>
      <c r="M37" s="41">
        <f t="shared" si="3"/>
        <v>11.398528501203717</v>
      </c>
      <c r="N37" s="41">
        <f t="shared" si="3"/>
        <v>92.514471155535475</v>
      </c>
      <c r="O37" s="41">
        <f t="shared" si="3"/>
        <v>0</v>
      </c>
      <c r="P37" s="41">
        <f t="shared" si="3"/>
        <v>0.11348162719200557</v>
      </c>
      <c r="Q37" s="41">
        <f t="shared" si="3"/>
        <v>1.9105921382756061E-2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1" activePane="bottomRight" state="frozen"/>
      <selection activeCell="A9" sqref="A9"/>
      <selection pane="topRight" activeCell="A9" sqref="A9"/>
      <selection pane="bottomLeft" activeCell="A9" sqref="A9"/>
      <selection pane="bottomRight" activeCell="G38" sqref="G38:H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45629.041666666664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45629.041666666664</v>
      </c>
      <c r="B9" s="51">
        <v>16.989999999999998</v>
      </c>
      <c r="C9" s="51">
        <v>20.13</v>
      </c>
      <c r="D9" s="51">
        <v>25.34</v>
      </c>
      <c r="E9" s="51">
        <v>10.43</v>
      </c>
      <c r="F9" s="51">
        <v>5.83</v>
      </c>
      <c r="G9" s="51">
        <v>62.35</v>
      </c>
      <c r="H9" s="51">
        <v>23.71</v>
      </c>
      <c r="I9" s="51">
        <v>8.44</v>
      </c>
      <c r="J9" s="51">
        <v>0.36</v>
      </c>
      <c r="K9" s="51">
        <v>128.30000000000001</v>
      </c>
      <c r="L9" s="51">
        <v>21.57</v>
      </c>
      <c r="M9" s="51">
        <v>92.12</v>
      </c>
      <c r="N9" s="51">
        <v>2.2999999999999998</v>
      </c>
      <c r="O9" s="51">
        <v>0</v>
      </c>
      <c r="P9" s="51">
        <v>0.78</v>
      </c>
      <c r="Q9" s="51">
        <v>10.09</v>
      </c>
    </row>
    <row r="10" spans="1:21" customFormat="1">
      <c r="A10" s="50">
        <v>45629.083333333336</v>
      </c>
      <c r="B10" s="51">
        <v>16.77</v>
      </c>
      <c r="C10" s="51">
        <v>18.05</v>
      </c>
      <c r="D10" s="51">
        <v>23.98</v>
      </c>
      <c r="E10" s="51">
        <v>10.35</v>
      </c>
      <c r="F10" s="51">
        <v>5.9</v>
      </c>
      <c r="G10" s="51">
        <v>57.55</v>
      </c>
      <c r="H10" s="51">
        <v>23.71</v>
      </c>
      <c r="I10" s="51">
        <v>8.33</v>
      </c>
      <c r="J10" s="51">
        <v>0.23</v>
      </c>
      <c r="K10" s="51">
        <v>153.16</v>
      </c>
      <c r="L10" s="51">
        <v>21.47</v>
      </c>
      <c r="M10" s="51">
        <v>93.21</v>
      </c>
      <c r="N10" s="51">
        <v>2.2000000000000002</v>
      </c>
      <c r="O10" s="51">
        <v>0</v>
      </c>
      <c r="P10" s="51">
        <v>0.75</v>
      </c>
      <c r="Q10" s="51">
        <v>10.08</v>
      </c>
    </row>
    <row r="11" spans="1:21" customFormat="1">
      <c r="A11" s="50">
        <v>45629.125</v>
      </c>
      <c r="B11" s="51">
        <v>16.34</v>
      </c>
      <c r="C11" s="51">
        <v>17.53</v>
      </c>
      <c r="D11" s="51">
        <v>23.42</v>
      </c>
      <c r="E11" s="51">
        <v>11.1</v>
      </c>
      <c r="F11" s="51">
        <v>5.91</v>
      </c>
      <c r="G11" s="51">
        <v>52.44</v>
      </c>
      <c r="H11" s="51">
        <v>23.51</v>
      </c>
      <c r="I11" s="51">
        <v>8.19</v>
      </c>
      <c r="J11" s="51">
        <v>0.32</v>
      </c>
      <c r="K11" s="51">
        <v>126.65</v>
      </c>
      <c r="L11" s="51">
        <v>21.14</v>
      </c>
      <c r="M11" s="51">
        <v>95.39</v>
      </c>
      <c r="N11" s="51">
        <v>2.1</v>
      </c>
      <c r="O11" s="51">
        <v>0</v>
      </c>
      <c r="P11" s="51">
        <v>0.74</v>
      </c>
      <c r="Q11" s="51">
        <v>10.1</v>
      </c>
    </row>
    <row r="12" spans="1:21" customFormat="1">
      <c r="A12" s="50">
        <v>45629.166666666664</v>
      </c>
      <c r="B12" s="51">
        <v>17.82</v>
      </c>
      <c r="C12" s="51">
        <v>17.2</v>
      </c>
      <c r="D12" s="51">
        <v>24.01</v>
      </c>
      <c r="E12" s="51">
        <v>11.26</v>
      </c>
      <c r="F12" s="51">
        <v>5.88</v>
      </c>
      <c r="G12" s="51">
        <v>49.78</v>
      </c>
      <c r="H12" s="51">
        <v>19.77</v>
      </c>
      <c r="I12" s="51">
        <v>8.19</v>
      </c>
      <c r="J12" s="51">
        <v>0.39</v>
      </c>
      <c r="K12" s="51">
        <v>50.13</v>
      </c>
      <c r="L12" s="51">
        <v>20.64</v>
      </c>
      <c r="M12" s="51">
        <v>97.45</v>
      </c>
      <c r="N12" s="51">
        <v>2.1</v>
      </c>
      <c r="O12" s="51">
        <v>0</v>
      </c>
      <c r="P12" s="51">
        <v>0.73</v>
      </c>
      <c r="Q12" s="51">
        <v>10.09</v>
      </c>
    </row>
    <row r="13" spans="1:21" customFormat="1">
      <c r="A13" s="50">
        <v>45629.208333333336</v>
      </c>
      <c r="B13" s="51">
        <v>19.82</v>
      </c>
      <c r="C13" s="51">
        <v>16.63</v>
      </c>
      <c r="D13" s="51">
        <v>25.32</v>
      </c>
      <c r="E13" s="51">
        <v>11.38</v>
      </c>
      <c r="F13" s="51">
        <v>5.72</v>
      </c>
      <c r="G13" s="51">
        <v>48.1</v>
      </c>
      <c r="H13" s="51">
        <v>19.760000000000002</v>
      </c>
      <c r="I13" s="51">
        <v>8.18</v>
      </c>
      <c r="J13" s="51">
        <v>0.51</v>
      </c>
      <c r="K13" s="51">
        <v>65.569999999999993</v>
      </c>
      <c r="L13" s="51">
        <v>20.92</v>
      </c>
      <c r="M13" s="51">
        <v>97.26</v>
      </c>
      <c r="N13" s="51">
        <v>2.1</v>
      </c>
      <c r="O13" s="51">
        <v>0</v>
      </c>
      <c r="P13" s="51">
        <v>0.73</v>
      </c>
      <c r="Q13" s="51">
        <v>10.09</v>
      </c>
    </row>
    <row r="14" spans="1:21" customFormat="1">
      <c r="A14" s="50">
        <v>45629.25</v>
      </c>
      <c r="B14" s="51">
        <v>19.7</v>
      </c>
      <c r="C14" s="51">
        <v>15.59</v>
      </c>
      <c r="D14" s="51">
        <v>25.26</v>
      </c>
      <c r="E14" s="51">
        <v>10.64</v>
      </c>
      <c r="F14" s="51">
        <v>5.71</v>
      </c>
      <c r="G14" s="51">
        <v>50.09</v>
      </c>
      <c r="H14" s="51">
        <v>19.62</v>
      </c>
      <c r="I14" s="51">
        <v>8.2100000000000009</v>
      </c>
      <c r="J14" s="51">
        <v>0.85</v>
      </c>
      <c r="K14" s="51">
        <v>60.57</v>
      </c>
      <c r="L14" s="51">
        <v>20.95</v>
      </c>
      <c r="M14" s="51">
        <v>96.44</v>
      </c>
      <c r="N14" s="51">
        <v>2.4</v>
      </c>
      <c r="O14" s="51">
        <v>0</v>
      </c>
      <c r="P14" s="51">
        <v>0.75</v>
      </c>
      <c r="Q14" s="51">
        <v>10.11</v>
      </c>
    </row>
    <row r="15" spans="1:21" customFormat="1">
      <c r="A15" s="50">
        <v>45629.291666666664</v>
      </c>
      <c r="B15" s="51">
        <v>20.09</v>
      </c>
      <c r="C15" s="51">
        <v>16.350000000000001</v>
      </c>
      <c r="D15" s="51">
        <v>26</v>
      </c>
      <c r="E15" s="51">
        <v>10.35</v>
      </c>
      <c r="F15" s="51">
        <v>5.79</v>
      </c>
      <c r="G15" s="51">
        <v>51.79</v>
      </c>
      <c r="H15" s="51">
        <v>20.7</v>
      </c>
      <c r="I15" s="51">
        <v>8.44</v>
      </c>
      <c r="J15" s="51">
        <v>1</v>
      </c>
      <c r="K15" s="51">
        <v>47.33</v>
      </c>
      <c r="L15" s="51">
        <v>20.89</v>
      </c>
      <c r="M15" s="51">
        <v>94.63</v>
      </c>
      <c r="N15" s="51">
        <v>18.5</v>
      </c>
      <c r="O15" s="51">
        <v>0</v>
      </c>
      <c r="P15" s="51">
        <v>0.76</v>
      </c>
      <c r="Q15" s="51">
        <v>10.119999999999999</v>
      </c>
    </row>
    <row r="16" spans="1:21" customFormat="1">
      <c r="A16" s="50">
        <v>45629.333333333336</v>
      </c>
      <c r="B16" s="51">
        <v>20.7</v>
      </c>
      <c r="C16" s="51">
        <v>17.18</v>
      </c>
      <c r="D16" s="51">
        <v>26.79</v>
      </c>
      <c r="E16" s="51">
        <v>10.54</v>
      </c>
      <c r="F16" s="51">
        <v>5.75</v>
      </c>
      <c r="G16" s="51">
        <v>54.34</v>
      </c>
      <c r="H16" s="51">
        <v>22.32</v>
      </c>
      <c r="I16" s="51">
        <v>8.74</v>
      </c>
      <c r="J16" s="51">
        <v>0.88</v>
      </c>
      <c r="K16" s="51">
        <v>57.01</v>
      </c>
      <c r="L16" s="51">
        <v>21.66</v>
      </c>
      <c r="M16" s="51">
        <v>90.73</v>
      </c>
      <c r="N16" s="51">
        <v>78</v>
      </c>
      <c r="O16" s="51">
        <v>0</v>
      </c>
      <c r="P16" s="51">
        <v>0.79</v>
      </c>
      <c r="Q16" s="51">
        <v>10.11</v>
      </c>
    </row>
    <row r="17" spans="1:17" customFormat="1">
      <c r="A17" s="50">
        <v>45629.375</v>
      </c>
      <c r="B17" s="51">
        <v>19.739999999999998</v>
      </c>
      <c r="C17" s="51">
        <v>17.75</v>
      </c>
      <c r="D17" s="51">
        <v>26.07</v>
      </c>
      <c r="E17" s="51">
        <v>10.23</v>
      </c>
      <c r="F17" s="51">
        <v>5.97</v>
      </c>
      <c r="G17" s="51">
        <v>54.4</v>
      </c>
      <c r="H17" s="51">
        <v>22.3</v>
      </c>
      <c r="I17" s="51">
        <v>9.07</v>
      </c>
      <c r="J17" s="51">
        <v>1.01</v>
      </c>
      <c r="K17" s="51">
        <v>53.28</v>
      </c>
      <c r="L17" s="51">
        <v>22.75</v>
      </c>
      <c r="M17" s="51">
        <v>85.82</v>
      </c>
      <c r="N17" s="51">
        <v>117.9</v>
      </c>
      <c r="O17" s="51">
        <v>0</v>
      </c>
      <c r="P17" s="51">
        <v>0.81</v>
      </c>
      <c r="Q17" s="51">
        <v>10.11</v>
      </c>
    </row>
    <row r="18" spans="1:17" customFormat="1">
      <c r="A18" s="50">
        <v>45629.416666666664</v>
      </c>
      <c r="B18" s="51">
        <v>18.72</v>
      </c>
      <c r="C18" s="51">
        <v>19.04</v>
      </c>
      <c r="D18" s="51">
        <v>25.54</v>
      </c>
      <c r="E18" s="51">
        <v>10.63</v>
      </c>
      <c r="F18" s="51">
        <v>6</v>
      </c>
      <c r="G18" s="51">
        <v>56.29</v>
      </c>
      <c r="H18" s="51">
        <v>21.26</v>
      </c>
      <c r="I18" s="51">
        <v>9.3800000000000008</v>
      </c>
      <c r="J18" s="51">
        <v>0.74</v>
      </c>
      <c r="K18" s="51">
        <v>66.09</v>
      </c>
      <c r="L18" s="51">
        <v>25.27</v>
      </c>
      <c r="M18" s="51">
        <v>80.42</v>
      </c>
      <c r="N18" s="51">
        <v>358.5</v>
      </c>
      <c r="O18" s="51">
        <v>0</v>
      </c>
      <c r="P18" s="51">
        <v>0.82</v>
      </c>
      <c r="Q18" s="51">
        <v>10.1</v>
      </c>
    </row>
    <row r="19" spans="1:17" customFormat="1">
      <c r="A19" s="50">
        <v>45629.458333333336</v>
      </c>
      <c r="B19" s="51">
        <v>15.87</v>
      </c>
      <c r="C19" s="51">
        <v>18.350000000000001</v>
      </c>
      <c r="D19" s="51">
        <v>23.28</v>
      </c>
      <c r="E19" s="51">
        <v>8.5</v>
      </c>
      <c r="F19" s="51">
        <v>5.96</v>
      </c>
      <c r="G19" s="51">
        <v>56.24</v>
      </c>
      <c r="H19" s="51">
        <v>22.67</v>
      </c>
      <c r="I19" s="51">
        <v>9.35</v>
      </c>
      <c r="J19" s="51">
        <v>1</v>
      </c>
      <c r="K19" s="51">
        <v>64.31</v>
      </c>
      <c r="L19" s="51">
        <v>25.85</v>
      </c>
      <c r="M19" s="51">
        <v>71.650000000000006</v>
      </c>
      <c r="N19" s="51">
        <v>250.8</v>
      </c>
      <c r="O19" s="51">
        <v>0</v>
      </c>
      <c r="P19" s="51">
        <v>0.8</v>
      </c>
      <c r="Q19" s="51">
        <v>10.09</v>
      </c>
    </row>
    <row r="20" spans="1:17" customFormat="1">
      <c r="A20" s="50">
        <v>45629.5</v>
      </c>
      <c r="B20" s="51">
        <v>14.11</v>
      </c>
      <c r="C20" s="51">
        <v>16.57</v>
      </c>
      <c r="D20" s="51">
        <v>21.33</v>
      </c>
      <c r="E20" s="51">
        <v>9.0500000000000007</v>
      </c>
      <c r="F20" s="51">
        <v>7.08</v>
      </c>
      <c r="G20" s="51">
        <v>54.08</v>
      </c>
      <c r="H20" s="51">
        <v>22.64</v>
      </c>
      <c r="I20" s="51">
        <v>9</v>
      </c>
      <c r="J20" s="51">
        <v>1.02</v>
      </c>
      <c r="K20" s="51">
        <v>56.54</v>
      </c>
      <c r="L20" s="51">
        <v>27.25</v>
      </c>
      <c r="M20" s="51">
        <v>68.09</v>
      </c>
      <c r="N20" s="51">
        <v>375.5</v>
      </c>
      <c r="O20" s="51">
        <v>0</v>
      </c>
      <c r="P20" s="51">
        <v>0.78</v>
      </c>
      <c r="Q20" s="51">
        <v>10.08</v>
      </c>
    </row>
    <row r="21" spans="1:17" customFormat="1">
      <c r="A21" s="50">
        <v>45629.541666666664</v>
      </c>
      <c r="B21" s="51">
        <v>11.9</v>
      </c>
      <c r="C21" s="51">
        <v>16.98</v>
      </c>
      <c r="D21" s="51">
        <v>19.77</v>
      </c>
      <c r="E21" s="51">
        <v>8.51</v>
      </c>
      <c r="F21" s="51">
        <v>6.23</v>
      </c>
      <c r="G21" s="51">
        <v>54.81</v>
      </c>
      <c r="H21" s="51">
        <v>20.6</v>
      </c>
      <c r="I21" s="51">
        <v>8.82</v>
      </c>
      <c r="J21" s="51">
        <v>0.94</v>
      </c>
      <c r="K21" s="51">
        <v>80.45</v>
      </c>
      <c r="L21" s="51">
        <v>28.58</v>
      </c>
      <c r="M21" s="51">
        <v>64.72</v>
      </c>
      <c r="N21" s="51">
        <v>465.7</v>
      </c>
      <c r="O21" s="51">
        <v>0</v>
      </c>
      <c r="P21" s="51">
        <v>0.76</v>
      </c>
      <c r="Q21" s="51">
        <v>10.07</v>
      </c>
    </row>
    <row r="22" spans="1:17" customFormat="1">
      <c r="A22" s="50">
        <v>45629.583333333336</v>
      </c>
      <c r="B22" s="51">
        <v>9.7100000000000009</v>
      </c>
      <c r="C22" s="51">
        <v>15.66</v>
      </c>
      <c r="D22" s="51">
        <v>16.98</v>
      </c>
      <c r="E22" s="51">
        <v>8.41</v>
      </c>
      <c r="F22" s="51">
        <v>7.6</v>
      </c>
      <c r="G22" s="51">
        <v>54.67</v>
      </c>
      <c r="H22" s="51">
        <v>19.88</v>
      </c>
      <c r="I22" s="51">
        <v>8.5399999999999991</v>
      </c>
      <c r="J22" s="51">
        <v>0.47</v>
      </c>
      <c r="K22" s="51">
        <v>112.23</v>
      </c>
      <c r="L22" s="51">
        <v>28.73</v>
      </c>
      <c r="M22" s="51">
        <v>60.96</v>
      </c>
      <c r="N22" s="51">
        <v>355.6</v>
      </c>
      <c r="O22" s="51">
        <v>0</v>
      </c>
      <c r="P22" s="51">
        <v>0.71</v>
      </c>
      <c r="Q22" s="51">
        <v>10.07</v>
      </c>
    </row>
    <row r="23" spans="1:17" customFormat="1">
      <c r="A23" s="50">
        <v>45629.625</v>
      </c>
      <c r="B23" s="51">
        <v>8.48</v>
      </c>
      <c r="C23" s="51">
        <v>15.07</v>
      </c>
      <c r="D23" s="51">
        <v>16.02</v>
      </c>
      <c r="E23" s="51">
        <v>8.44</v>
      </c>
      <c r="F23" s="51">
        <v>8.92</v>
      </c>
      <c r="G23" s="51">
        <v>48.5</v>
      </c>
      <c r="H23" s="51">
        <v>19.079999999999998</v>
      </c>
      <c r="I23" s="51">
        <v>8.16</v>
      </c>
      <c r="J23" s="51">
        <v>0.8</v>
      </c>
      <c r="K23" s="51">
        <v>79.13</v>
      </c>
      <c r="L23" s="51">
        <v>28.93</v>
      </c>
      <c r="M23" s="51">
        <v>60.4</v>
      </c>
      <c r="N23" s="51">
        <v>160.6</v>
      </c>
      <c r="O23" s="51">
        <v>0</v>
      </c>
      <c r="P23" s="51">
        <v>0.7</v>
      </c>
      <c r="Q23" s="51">
        <v>10.06</v>
      </c>
    </row>
    <row r="24" spans="1:17" customFormat="1">
      <c r="A24" s="50">
        <v>45629.666666666664</v>
      </c>
      <c r="B24" s="51">
        <v>6.04</v>
      </c>
      <c r="C24" s="51">
        <v>15.5</v>
      </c>
      <c r="D24" s="51">
        <v>13.81</v>
      </c>
      <c r="E24" s="51">
        <v>6.63</v>
      </c>
      <c r="F24" s="51">
        <v>10.89</v>
      </c>
      <c r="G24" s="11" t="s">
        <v>12</v>
      </c>
      <c r="H24" s="11" t="s">
        <v>12</v>
      </c>
      <c r="I24" s="51">
        <v>7.71</v>
      </c>
      <c r="J24" s="51">
        <v>0.51</v>
      </c>
      <c r="K24" s="51">
        <v>127.04</v>
      </c>
      <c r="L24" s="51">
        <v>28.71</v>
      </c>
      <c r="M24" s="51">
        <v>62.48</v>
      </c>
      <c r="N24" s="51">
        <v>119.9</v>
      </c>
      <c r="O24" s="51">
        <v>0</v>
      </c>
      <c r="P24" s="51">
        <v>0.67</v>
      </c>
      <c r="Q24" s="51">
        <v>10.09</v>
      </c>
    </row>
    <row r="25" spans="1:17" customFormat="1">
      <c r="A25" s="50">
        <v>45629.708333333336</v>
      </c>
      <c r="B25" s="51">
        <v>4.51</v>
      </c>
      <c r="C25" s="51">
        <v>12.87</v>
      </c>
      <c r="D25" s="51">
        <v>11.38</v>
      </c>
      <c r="E25" s="51">
        <v>6.22</v>
      </c>
      <c r="F25" s="51">
        <v>10.050000000000001</v>
      </c>
      <c r="G25" s="51">
        <v>25.58</v>
      </c>
      <c r="H25" s="11" t="s">
        <v>12</v>
      </c>
      <c r="I25" s="51">
        <v>6.45</v>
      </c>
      <c r="J25" s="51">
        <v>0.41</v>
      </c>
      <c r="K25" s="51">
        <v>99.94</v>
      </c>
      <c r="L25" s="51">
        <v>28.08</v>
      </c>
      <c r="M25" s="51">
        <v>66.44</v>
      </c>
      <c r="N25" s="51">
        <v>38.5</v>
      </c>
      <c r="O25" s="51">
        <v>0</v>
      </c>
      <c r="P25" s="51">
        <v>0.62</v>
      </c>
      <c r="Q25" s="51">
        <v>10.06</v>
      </c>
    </row>
    <row r="26" spans="1:17" customFormat="1">
      <c r="A26" s="50">
        <v>45629.75</v>
      </c>
      <c r="B26" s="51">
        <v>5.8</v>
      </c>
      <c r="C26" s="51">
        <v>13.39</v>
      </c>
      <c r="D26" s="51">
        <v>13</v>
      </c>
      <c r="E26" s="51">
        <v>7.02</v>
      </c>
      <c r="F26" s="51">
        <v>4.3600000000000003</v>
      </c>
      <c r="G26" s="51">
        <v>35.26</v>
      </c>
      <c r="H26" s="51">
        <v>5.81</v>
      </c>
      <c r="I26" s="51">
        <v>6.5</v>
      </c>
      <c r="J26" s="51">
        <v>0.35</v>
      </c>
      <c r="K26" s="51">
        <v>153.97</v>
      </c>
      <c r="L26" s="51">
        <v>27.27</v>
      </c>
      <c r="M26" s="51">
        <v>73.010000000000005</v>
      </c>
      <c r="N26" s="51">
        <v>3.3</v>
      </c>
      <c r="O26" s="51">
        <v>0</v>
      </c>
      <c r="P26" s="51">
        <v>0.68</v>
      </c>
      <c r="Q26" s="51">
        <v>10.06</v>
      </c>
    </row>
    <row r="27" spans="1:17" customFormat="1">
      <c r="A27" s="50">
        <v>45629.791666666664</v>
      </c>
      <c r="B27" s="51">
        <v>6.91</v>
      </c>
      <c r="C27" s="51">
        <v>13.64</v>
      </c>
      <c r="D27" s="51">
        <v>14</v>
      </c>
      <c r="E27" s="51">
        <v>7.03</v>
      </c>
      <c r="F27" s="51">
        <v>2.7</v>
      </c>
      <c r="G27" s="51">
        <v>49.93</v>
      </c>
      <c r="H27" s="51">
        <v>9.8800000000000008</v>
      </c>
      <c r="I27" s="51">
        <v>6.99</v>
      </c>
      <c r="J27" s="51">
        <v>0.19</v>
      </c>
      <c r="K27" s="51">
        <v>161.33000000000001</v>
      </c>
      <c r="L27" s="51">
        <v>26.02</v>
      </c>
      <c r="M27" s="51">
        <v>76.400000000000006</v>
      </c>
      <c r="N27" s="51">
        <v>2.5</v>
      </c>
      <c r="O27" s="51">
        <v>0</v>
      </c>
      <c r="P27" s="51">
        <v>0.73</v>
      </c>
      <c r="Q27" s="51">
        <v>10.050000000000001</v>
      </c>
    </row>
    <row r="28" spans="1:17" customFormat="1">
      <c r="A28" s="50">
        <v>45629.833333333336</v>
      </c>
      <c r="B28" s="51">
        <v>9.4</v>
      </c>
      <c r="C28" s="51">
        <v>16.079999999999998</v>
      </c>
      <c r="D28" s="51">
        <v>17.29</v>
      </c>
      <c r="E28" s="51">
        <v>8.42</v>
      </c>
      <c r="F28" s="51">
        <v>3.87</v>
      </c>
      <c r="G28" s="51">
        <v>56.64</v>
      </c>
      <c r="H28" s="51">
        <v>9.8800000000000008</v>
      </c>
      <c r="I28" s="51">
        <v>7.72</v>
      </c>
      <c r="J28" s="51">
        <v>0.56999999999999995</v>
      </c>
      <c r="K28" s="51">
        <v>72.05</v>
      </c>
      <c r="L28" s="51">
        <v>25.96</v>
      </c>
      <c r="M28" s="51">
        <v>73.95</v>
      </c>
      <c r="N28" s="51">
        <v>2.2000000000000002</v>
      </c>
      <c r="O28" s="51">
        <v>0</v>
      </c>
      <c r="P28" s="51">
        <v>0.79</v>
      </c>
      <c r="Q28" s="51">
        <v>10.050000000000001</v>
      </c>
    </row>
    <row r="29" spans="1:17" customFormat="1">
      <c r="A29" s="50">
        <v>45629.875</v>
      </c>
      <c r="B29" s="51">
        <v>11.88</v>
      </c>
      <c r="C29" s="51">
        <v>15.52</v>
      </c>
      <c r="D29" s="51">
        <v>18.600000000000001</v>
      </c>
      <c r="E29" s="51">
        <v>8.0500000000000007</v>
      </c>
      <c r="F29" s="51">
        <v>3.15</v>
      </c>
      <c r="G29" s="51">
        <v>67.040000000000006</v>
      </c>
      <c r="H29" s="51">
        <v>17.329999999999998</v>
      </c>
      <c r="I29" s="51">
        <v>8.35</v>
      </c>
      <c r="J29" s="51">
        <v>0.57999999999999996</v>
      </c>
      <c r="K29" s="51">
        <v>58.85</v>
      </c>
      <c r="L29" s="51">
        <v>25.43</v>
      </c>
      <c r="M29" s="51">
        <v>75.48</v>
      </c>
      <c r="N29" s="51">
        <v>2.4</v>
      </c>
      <c r="O29" s="51">
        <v>0</v>
      </c>
      <c r="P29" s="51">
        <v>0.81</v>
      </c>
      <c r="Q29" s="51">
        <v>10.039999999999999</v>
      </c>
    </row>
    <row r="30" spans="1:17" customFormat="1">
      <c r="A30" s="50">
        <v>45629.916666666664</v>
      </c>
      <c r="B30" s="51">
        <v>14.07</v>
      </c>
      <c r="C30" s="51">
        <v>15.27</v>
      </c>
      <c r="D30" s="51">
        <v>20.010000000000002</v>
      </c>
      <c r="E30" s="51">
        <v>8.4499999999999993</v>
      </c>
      <c r="F30" s="51">
        <v>3.13</v>
      </c>
      <c r="G30" s="51">
        <v>82.32</v>
      </c>
      <c r="H30" s="51">
        <v>18.86</v>
      </c>
      <c r="I30" s="51">
        <v>8.6</v>
      </c>
      <c r="J30" s="51">
        <v>0.44</v>
      </c>
      <c r="K30" s="51">
        <v>139.97</v>
      </c>
      <c r="L30" s="51">
        <v>24.87</v>
      </c>
      <c r="M30" s="51">
        <v>79.28</v>
      </c>
      <c r="N30" s="51">
        <v>2.1</v>
      </c>
      <c r="O30" s="51">
        <v>0</v>
      </c>
      <c r="P30" s="51">
        <v>0.82</v>
      </c>
      <c r="Q30" s="51">
        <v>10.07</v>
      </c>
    </row>
    <row r="31" spans="1:17" customFormat="1">
      <c r="A31" s="50">
        <v>45629.958333333336</v>
      </c>
      <c r="B31" s="51">
        <v>15.51</v>
      </c>
      <c r="C31" s="51">
        <v>14.5</v>
      </c>
      <c r="D31" s="51">
        <v>20.7</v>
      </c>
      <c r="E31" s="51">
        <v>8.68</v>
      </c>
      <c r="F31" s="51">
        <v>3.08</v>
      </c>
      <c r="G31" s="51">
        <v>82.32</v>
      </c>
      <c r="H31" s="51">
        <v>18.86</v>
      </c>
      <c r="I31" s="51">
        <v>8.68</v>
      </c>
      <c r="J31" s="51">
        <v>0.21</v>
      </c>
      <c r="K31" s="51">
        <v>182.64</v>
      </c>
      <c r="L31" s="51">
        <v>24.12</v>
      </c>
      <c r="M31" s="51">
        <v>86.57</v>
      </c>
      <c r="N31" s="51">
        <v>2.2999999999999998</v>
      </c>
      <c r="O31" s="51">
        <v>0</v>
      </c>
      <c r="P31" s="51">
        <v>0.83</v>
      </c>
      <c r="Q31" s="51">
        <v>10.07</v>
      </c>
    </row>
    <row r="32" spans="1:17" customFormat="1">
      <c r="A32" s="50">
        <v>45630</v>
      </c>
      <c r="B32" s="51">
        <v>16.14</v>
      </c>
      <c r="C32" s="51">
        <v>14.42</v>
      </c>
      <c r="D32" s="51">
        <v>21.79</v>
      </c>
      <c r="E32" s="51">
        <v>8.7200000000000006</v>
      </c>
      <c r="F32" s="51">
        <v>3.27</v>
      </c>
      <c r="G32" s="51">
        <v>77.72</v>
      </c>
      <c r="H32" s="51">
        <v>18.16</v>
      </c>
      <c r="I32" s="51">
        <v>8.67</v>
      </c>
      <c r="J32" s="51">
        <v>0.15</v>
      </c>
      <c r="K32" s="51">
        <v>175.01</v>
      </c>
      <c r="L32" s="51">
        <v>22.67</v>
      </c>
      <c r="M32" s="51">
        <v>92.19</v>
      </c>
      <c r="N32" s="51">
        <v>2.1</v>
      </c>
      <c r="O32" s="51">
        <v>0</v>
      </c>
      <c r="P32" s="51">
        <v>0.82</v>
      </c>
      <c r="Q32" s="51">
        <v>10.06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4.51</v>
      </c>
      <c r="C34" s="41">
        <f t="shared" si="0"/>
        <v>12.87</v>
      </c>
      <c r="D34" s="41">
        <f t="shared" si="0"/>
        <v>11.38</v>
      </c>
      <c r="E34" s="41">
        <f t="shared" si="0"/>
        <v>6.22</v>
      </c>
      <c r="F34" s="41">
        <f t="shared" si="0"/>
        <v>2.7</v>
      </c>
      <c r="G34" s="41">
        <f t="shared" si="0"/>
        <v>25.58</v>
      </c>
      <c r="H34" s="41">
        <f t="shared" si="0"/>
        <v>5.81</v>
      </c>
      <c r="I34" s="41">
        <f t="shared" si="0"/>
        <v>6.45</v>
      </c>
      <c r="J34" s="41">
        <f t="shared" si="0"/>
        <v>0.15</v>
      </c>
      <c r="K34" s="41">
        <f t="shared" si="0"/>
        <v>47.33</v>
      </c>
      <c r="L34" s="41">
        <f t="shared" si="0"/>
        <v>20.64</v>
      </c>
      <c r="M34" s="41">
        <f t="shared" si="0"/>
        <v>60.4</v>
      </c>
      <c r="N34" s="41">
        <f t="shared" si="0"/>
        <v>2.1</v>
      </c>
      <c r="O34" s="41">
        <f t="shared" si="0"/>
        <v>0</v>
      </c>
      <c r="P34" s="41">
        <f t="shared" si="0"/>
        <v>0.62</v>
      </c>
      <c r="Q34" s="41">
        <f t="shared" si="0"/>
        <v>10.039999999999999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20.7</v>
      </c>
      <c r="C35" s="33">
        <f t="shared" si="1"/>
        <v>20.13</v>
      </c>
      <c r="D35" s="33">
        <f t="shared" si="1"/>
        <v>26.79</v>
      </c>
      <c r="E35" s="33">
        <f t="shared" si="1"/>
        <v>11.38</v>
      </c>
      <c r="F35" s="33">
        <f t="shared" si="1"/>
        <v>10.89</v>
      </c>
      <c r="G35" s="33">
        <f t="shared" si="1"/>
        <v>82.32</v>
      </c>
      <c r="H35" s="33">
        <f t="shared" si="1"/>
        <v>23.71</v>
      </c>
      <c r="I35" s="33">
        <f t="shared" si="1"/>
        <v>9.3800000000000008</v>
      </c>
      <c r="J35" s="33">
        <f t="shared" si="1"/>
        <v>1.02</v>
      </c>
      <c r="K35" s="33">
        <f t="shared" si="1"/>
        <v>182.64</v>
      </c>
      <c r="L35" s="33">
        <f t="shared" si="1"/>
        <v>28.93</v>
      </c>
      <c r="M35" s="33">
        <f t="shared" si="1"/>
        <v>97.45</v>
      </c>
      <c r="N35" s="33">
        <f t="shared" si="1"/>
        <v>465.7</v>
      </c>
      <c r="O35" s="33">
        <f t="shared" si="1"/>
        <v>0</v>
      </c>
      <c r="P35" s="33">
        <f t="shared" si="1"/>
        <v>0.83</v>
      </c>
      <c r="Q35" s="33">
        <f t="shared" si="1"/>
        <v>10.119999999999999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14.042499999999999</v>
      </c>
      <c r="C36" s="41">
        <f t="shared" si="2"/>
        <v>16.219583333333329</v>
      </c>
      <c r="D36" s="41">
        <f t="shared" si="2"/>
        <v>20.820416666666667</v>
      </c>
      <c r="E36" s="41">
        <f t="shared" si="2"/>
        <v>9.1266666666666652</v>
      </c>
      <c r="F36" s="41">
        <f t="shared" si="2"/>
        <v>5.78125</v>
      </c>
      <c r="G36" s="41">
        <f t="shared" si="2"/>
        <v>55.749565217391293</v>
      </c>
      <c r="H36" s="41">
        <f t="shared" si="2"/>
        <v>19.105</v>
      </c>
      <c r="I36" s="41">
        <f t="shared" si="2"/>
        <v>8.2795833333333313</v>
      </c>
      <c r="J36" s="41">
        <f t="shared" si="2"/>
        <v>0.58041666666666669</v>
      </c>
      <c r="K36" s="41">
        <f t="shared" si="2"/>
        <v>98.814583333333346</v>
      </c>
      <c r="L36" s="41">
        <f t="shared" si="2"/>
        <v>24.572083333333328</v>
      </c>
      <c r="M36" s="41">
        <f t="shared" si="2"/>
        <v>80.628750000000011</v>
      </c>
      <c r="N36" s="41">
        <f t="shared" si="2"/>
        <v>98.733333333333348</v>
      </c>
      <c r="O36" s="41">
        <f t="shared" si="2"/>
        <v>0</v>
      </c>
      <c r="P36" s="41">
        <f t="shared" si="2"/>
        <v>0.75749999999999984</v>
      </c>
      <c r="Q36" s="41">
        <f t="shared" si="2"/>
        <v>10.08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5.1094390485946972</v>
      </c>
      <c r="C37" s="41">
        <f t="shared" ref="C37:Q37" si="3">STDEV(C9:C32)</f>
        <v>1.7937099740522489</v>
      </c>
      <c r="D37" s="41">
        <f t="shared" si="3"/>
        <v>4.7077590710458548</v>
      </c>
      <c r="E37" s="41">
        <f t="shared" si="3"/>
        <v>1.5285817998525975</v>
      </c>
      <c r="F37" s="41">
        <f t="shared" si="3"/>
        <v>2.1085752711044128</v>
      </c>
      <c r="G37" s="41">
        <f t="shared" si="3"/>
        <v>12.87737391292503</v>
      </c>
      <c r="H37" s="41">
        <f t="shared" si="3"/>
        <v>4.7300888444288764</v>
      </c>
      <c r="I37" s="41">
        <f t="shared" si="3"/>
        <v>0.76347876122431679</v>
      </c>
      <c r="J37" s="41">
        <f t="shared" si="3"/>
        <v>0.29264133213775922</v>
      </c>
      <c r="K37" s="41">
        <f t="shared" si="3"/>
        <v>44.501404860986682</v>
      </c>
      <c r="L37" s="41">
        <f t="shared" si="3"/>
        <v>2.9833013215836148</v>
      </c>
      <c r="M37" s="41">
        <f t="shared" si="3"/>
        <v>12.81702682490886</v>
      </c>
      <c r="N37" s="41">
        <f t="shared" si="3"/>
        <v>148.0071580721004</v>
      </c>
      <c r="O37" s="41">
        <f t="shared" si="3"/>
        <v>0</v>
      </c>
      <c r="P37" s="41">
        <f t="shared" si="3"/>
        <v>5.4473767120955502E-2</v>
      </c>
      <c r="Q37" s="41">
        <f t="shared" si="3"/>
        <v>2.1869176243407142E-2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v>24</v>
      </c>
      <c r="H38" s="46"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1" activePane="bottomRight" state="frozen"/>
      <selection activeCell="A9" sqref="A9"/>
      <selection pane="topRight" activeCell="A9" sqref="A9"/>
      <selection pane="bottomLeft" activeCell="A9" sqref="A9"/>
      <selection pane="bottomRight" activeCell="F39" sqref="F39"/>
    </sheetView>
  </sheetViews>
  <sheetFormatPr defaultColWidth="8.85546875" defaultRowHeight="15"/>
  <cols>
    <col min="1" max="1" width="15.140625" style="42" customWidth="1"/>
    <col min="2" max="2" width="14.42578125" style="39" customWidth="1"/>
    <col min="3" max="3" width="10.140625" style="39" customWidth="1"/>
    <col min="4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45630.041666666664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45630.041666666664</v>
      </c>
      <c r="B9" s="51">
        <v>16.55</v>
      </c>
      <c r="C9" s="51">
        <v>15.47</v>
      </c>
      <c r="D9" s="51">
        <v>22.6</v>
      </c>
      <c r="E9" s="51">
        <v>8.7100000000000009</v>
      </c>
      <c r="F9" s="51">
        <v>2.63</v>
      </c>
      <c r="G9" s="51">
        <v>69.349999999999994</v>
      </c>
      <c r="H9" s="51">
        <v>18.16</v>
      </c>
      <c r="I9" s="51">
        <v>8.6</v>
      </c>
      <c r="J9" s="51">
        <v>0.17</v>
      </c>
      <c r="K9" s="51">
        <v>164.19</v>
      </c>
      <c r="L9" s="51">
        <v>22.71</v>
      </c>
      <c r="M9" s="51">
        <v>93.15</v>
      </c>
      <c r="N9" s="51">
        <v>1.9</v>
      </c>
      <c r="O9" s="51">
        <v>0</v>
      </c>
      <c r="P9" s="51">
        <v>0.82</v>
      </c>
      <c r="Q9" s="51">
        <v>10.07</v>
      </c>
    </row>
    <row r="10" spans="1:21" customFormat="1">
      <c r="A10" s="50">
        <v>45630.083333333336</v>
      </c>
      <c r="B10" s="51">
        <v>16.89</v>
      </c>
      <c r="C10" s="51">
        <v>16.77</v>
      </c>
      <c r="D10" s="51">
        <v>23.63</v>
      </c>
      <c r="E10" s="51">
        <v>8.57</v>
      </c>
      <c r="F10" s="51">
        <v>8.9600000000000009</v>
      </c>
      <c r="G10" s="51">
        <v>63.77</v>
      </c>
      <c r="H10" s="51">
        <v>19.41</v>
      </c>
      <c r="I10" s="51">
        <v>8.5500000000000007</v>
      </c>
      <c r="J10" s="51">
        <v>0.22</v>
      </c>
      <c r="K10" s="51">
        <v>178.39</v>
      </c>
      <c r="L10" s="51">
        <v>22.58</v>
      </c>
      <c r="M10" s="51">
        <v>93.25</v>
      </c>
      <c r="N10" s="51">
        <v>2.1</v>
      </c>
      <c r="O10" s="51">
        <v>0</v>
      </c>
      <c r="P10" s="51">
        <v>0.82</v>
      </c>
      <c r="Q10" s="51">
        <v>10.07</v>
      </c>
    </row>
    <row r="11" spans="1:21" customFormat="1">
      <c r="A11" s="50">
        <v>45630.125</v>
      </c>
      <c r="B11" s="51">
        <v>17.66</v>
      </c>
      <c r="C11" s="51">
        <v>16.8</v>
      </c>
      <c r="D11" s="51">
        <v>24.29</v>
      </c>
      <c r="E11" s="51">
        <v>8.9700000000000006</v>
      </c>
      <c r="F11" s="27" t="s">
        <v>14</v>
      </c>
      <c r="G11" s="51">
        <v>57.99</v>
      </c>
      <c r="H11" s="51">
        <v>20.38</v>
      </c>
      <c r="I11" s="51">
        <v>8.43</v>
      </c>
      <c r="J11" s="51">
        <v>0.16</v>
      </c>
      <c r="K11" s="51">
        <v>191.63</v>
      </c>
      <c r="L11" s="51">
        <v>22</v>
      </c>
      <c r="M11" s="51">
        <v>95.67</v>
      </c>
      <c r="N11" s="51">
        <v>2.1</v>
      </c>
      <c r="O11" s="51">
        <v>0</v>
      </c>
      <c r="P11" s="51">
        <v>0.79</v>
      </c>
      <c r="Q11" s="51">
        <v>10.09</v>
      </c>
    </row>
    <row r="12" spans="1:21" customFormat="1">
      <c r="A12" s="50">
        <v>45630.166666666664</v>
      </c>
      <c r="B12" s="51">
        <v>18.27</v>
      </c>
      <c r="C12" s="51">
        <v>16.329999999999998</v>
      </c>
      <c r="D12" s="51">
        <v>24.49</v>
      </c>
      <c r="E12" s="51">
        <v>9.36</v>
      </c>
      <c r="F12" s="27" t="s">
        <v>14</v>
      </c>
      <c r="G12" s="51">
        <v>57.23</v>
      </c>
      <c r="H12" s="51">
        <v>20.38</v>
      </c>
      <c r="I12" s="51">
        <v>8.33</v>
      </c>
      <c r="J12" s="51">
        <v>0.28999999999999998</v>
      </c>
      <c r="K12" s="51">
        <v>222.36</v>
      </c>
      <c r="L12" s="51">
        <v>21.51</v>
      </c>
      <c r="M12" s="51">
        <v>98.08</v>
      </c>
      <c r="N12" s="51">
        <v>1.8</v>
      </c>
      <c r="O12" s="51">
        <v>0</v>
      </c>
      <c r="P12" s="51">
        <v>0.77</v>
      </c>
      <c r="Q12" s="51">
        <v>10.09</v>
      </c>
    </row>
    <row r="13" spans="1:21" customFormat="1">
      <c r="A13" s="50">
        <v>45630.208333333336</v>
      </c>
      <c r="B13" s="51">
        <v>20.36</v>
      </c>
      <c r="C13" s="51">
        <v>16.25</v>
      </c>
      <c r="D13" s="51">
        <v>26.11</v>
      </c>
      <c r="E13" s="51">
        <v>9.5299999999999994</v>
      </c>
      <c r="F13" s="27" t="s">
        <v>14</v>
      </c>
      <c r="G13" s="51">
        <v>56.16</v>
      </c>
      <c r="H13" s="51">
        <v>19.940000000000001</v>
      </c>
      <c r="I13" s="51">
        <v>8.35</v>
      </c>
      <c r="J13" s="51">
        <v>0.56999999999999995</v>
      </c>
      <c r="K13" s="51">
        <v>48.09</v>
      </c>
      <c r="L13" s="51">
        <v>21.3</v>
      </c>
      <c r="M13" s="51">
        <v>97.15</v>
      </c>
      <c r="N13" s="51">
        <v>2.1</v>
      </c>
      <c r="O13" s="51">
        <v>0</v>
      </c>
      <c r="P13" s="51">
        <v>0.76</v>
      </c>
      <c r="Q13" s="51">
        <v>10.08</v>
      </c>
    </row>
    <row r="14" spans="1:21" customFormat="1">
      <c r="A14" s="50">
        <v>45630.25</v>
      </c>
      <c r="B14" s="51">
        <v>22.39</v>
      </c>
      <c r="C14" s="51">
        <v>17.670000000000002</v>
      </c>
      <c r="D14" s="51">
        <v>27.71</v>
      </c>
      <c r="E14" s="51">
        <v>9.57</v>
      </c>
      <c r="F14" s="27" t="s">
        <v>14</v>
      </c>
      <c r="G14" s="51">
        <v>55.8</v>
      </c>
      <c r="H14" s="51">
        <v>18.62</v>
      </c>
      <c r="I14" s="51">
        <v>8.48</v>
      </c>
      <c r="J14" s="51">
        <v>0.41</v>
      </c>
      <c r="K14" s="51">
        <v>54.72</v>
      </c>
      <c r="L14" s="51">
        <v>21.05</v>
      </c>
      <c r="M14" s="51">
        <v>97.03</v>
      </c>
      <c r="N14" s="51">
        <v>2.1</v>
      </c>
      <c r="O14" s="51">
        <v>0</v>
      </c>
      <c r="P14" s="51">
        <v>0.76</v>
      </c>
      <c r="Q14" s="51">
        <v>10.08</v>
      </c>
    </row>
    <row r="15" spans="1:21" customFormat="1">
      <c r="A15" s="50">
        <v>45630.291666666664</v>
      </c>
      <c r="B15" s="51">
        <v>24.41</v>
      </c>
      <c r="C15" s="51">
        <v>16.64</v>
      </c>
      <c r="D15" s="51">
        <v>29.11</v>
      </c>
      <c r="E15" s="51">
        <v>10.02</v>
      </c>
      <c r="F15" s="27" t="s">
        <v>14</v>
      </c>
      <c r="G15" s="51">
        <v>58.31</v>
      </c>
      <c r="H15" s="51">
        <v>18.62</v>
      </c>
      <c r="I15" s="51">
        <v>8.6199999999999992</v>
      </c>
      <c r="J15" s="51">
        <v>0.71</v>
      </c>
      <c r="K15" s="51">
        <v>63.09</v>
      </c>
      <c r="L15" s="51">
        <v>20.89</v>
      </c>
      <c r="M15" s="51">
        <v>97.22</v>
      </c>
      <c r="N15" s="51">
        <v>24.5</v>
      </c>
      <c r="O15" s="51">
        <v>0</v>
      </c>
      <c r="P15" s="51">
        <v>0.75</v>
      </c>
      <c r="Q15" s="51">
        <v>10.1</v>
      </c>
    </row>
    <row r="16" spans="1:21" customFormat="1">
      <c r="A16" s="50">
        <v>45630.333333333336</v>
      </c>
      <c r="B16" s="51">
        <v>24.92</v>
      </c>
      <c r="C16" s="51">
        <v>16.399999999999999</v>
      </c>
      <c r="D16" s="51">
        <v>29.74</v>
      </c>
      <c r="E16" s="51">
        <v>9.8000000000000007</v>
      </c>
      <c r="F16" s="27" t="s">
        <v>14</v>
      </c>
      <c r="G16" s="51">
        <v>62.96</v>
      </c>
      <c r="H16" s="51">
        <v>21.43</v>
      </c>
      <c r="I16" s="51">
        <v>8.91</v>
      </c>
      <c r="J16" s="51">
        <v>0.96</v>
      </c>
      <c r="K16" s="51">
        <v>55.67</v>
      </c>
      <c r="L16" s="51">
        <v>22.36</v>
      </c>
      <c r="M16" s="51">
        <v>90.96</v>
      </c>
      <c r="N16" s="51">
        <v>170.5</v>
      </c>
      <c r="O16" s="51">
        <v>0</v>
      </c>
      <c r="P16" s="51">
        <v>0.78</v>
      </c>
      <c r="Q16" s="51">
        <v>10.08</v>
      </c>
    </row>
    <row r="17" spans="1:17" customFormat="1">
      <c r="A17" s="50">
        <v>45630.375</v>
      </c>
      <c r="B17" s="51">
        <v>25.11</v>
      </c>
      <c r="C17" s="51">
        <v>16.489999999999998</v>
      </c>
      <c r="D17" s="51">
        <v>29.55</v>
      </c>
      <c r="E17" s="51">
        <v>9.5399999999999991</v>
      </c>
      <c r="F17" s="27" t="s">
        <v>14</v>
      </c>
      <c r="G17" s="51">
        <v>62.96</v>
      </c>
      <c r="H17" s="51">
        <v>21.43</v>
      </c>
      <c r="I17" s="51">
        <v>9.06</v>
      </c>
      <c r="J17" s="51">
        <v>1.03</v>
      </c>
      <c r="K17" s="51">
        <v>67.66</v>
      </c>
      <c r="L17" s="51">
        <v>25.09</v>
      </c>
      <c r="M17" s="51">
        <v>71.34</v>
      </c>
      <c r="N17" s="51">
        <v>271.10000000000002</v>
      </c>
      <c r="O17" s="51">
        <v>0</v>
      </c>
      <c r="P17" s="51">
        <v>0.78</v>
      </c>
      <c r="Q17" s="51">
        <v>10.09</v>
      </c>
    </row>
    <row r="18" spans="1:17" customFormat="1">
      <c r="A18" s="50">
        <v>45630.416666666664</v>
      </c>
      <c r="B18" s="51">
        <v>25.39</v>
      </c>
      <c r="C18" s="51">
        <v>16.649999999999999</v>
      </c>
      <c r="D18" s="51">
        <v>30.21</v>
      </c>
      <c r="E18" s="51">
        <v>9.8699999999999992</v>
      </c>
      <c r="F18" s="27" t="s">
        <v>14</v>
      </c>
      <c r="G18" s="51">
        <v>70.75</v>
      </c>
      <c r="H18" s="51">
        <v>21.22</v>
      </c>
      <c r="I18" s="51">
        <v>9.2100000000000009</v>
      </c>
      <c r="J18" s="51">
        <v>0.97</v>
      </c>
      <c r="K18" s="51">
        <v>64.33</v>
      </c>
      <c r="L18" s="51">
        <v>27.7</v>
      </c>
      <c r="M18" s="51">
        <v>65.709999999999994</v>
      </c>
      <c r="N18" s="51">
        <v>438.5</v>
      </c>
      <c r="O18" s="51">
        <v>0</v>
      </c>
      <c r="P18" s="51">
        <v>0.79</v>
      </c>
      <c r="Q18" s="51">
        <v>10.09</v>
      </c>
    </row>
    <row r="19" spans="1:17" customFormat="1">
      <c r="A19" s="50">
        <v>45630.458333333336</v>
      </c>
      <c r="B19" s="51">
        <v>23.82</v>
      </c>
      <c r="C19" s="51">
        <v>15.14</v>
      </c>
      <c r="D19" s="51">
        <v>27.34</v>
      </c>
      <c r="E19" s="51">
        <v>10.75</v>
      </c>
      <c r="F19" s="51">
        <v>3.88</v>
      </c>
      <c r="G19" s="51">
        <v>70.75</v>
      </c>
      <c r="H19" s="51">
        <v>21.28</v>
      </c>
      <c r="I19" s="51">
        <v>9.24</v>
      </c>
      <c r="J19" s="51">
        <v>0.53</v>
      </c>
      <c r="K19" s="51">
        <v>90.57</v>
      </c>
      <c r="L19" s="51">
        <v>29.45</v>
      </c>
      <c r="M19" s="51">
        <v>60.28</v>
      </c>
      <c r="N19" s="51">
        <v>515</v>
      </c>
      <c r="O19" s="51">
        <v>0</v>
      </c>
      <c r="P19" s="51">
        <v>0.8</v>
      </c>
      <c r="Q19" s="51">
        <v>10.1</v>
      </c>
    </row>
    <row r="20" spans="1:17" customFormat="1">
      <c r="A20" s="50">
        <v>45630.5</v>
      </c>
      <c r="B20" s="51">
        <v>17.07</v>
      </c>
      <c r="C20" s="51">
        <v>16.489999999999998</v>
      </c>
      <c r="D20" s="51">
        <v>23.11</v>
      </c>
      <c r="E20" s="51">
        <v>10.8</v>
      </c>
      <c r="F20" s="51">
        <v>5.8</v>
      </c>
      <c r="G20" s="51">
        <v>68.45</v>
      </c>
      <c r="H20" s="51">
        <v>21.74</v>
      </c>
      <c r="I20" s="51">
        <v>8.9700000000000006</v>
      </c>
      <c r="J20" s="51">
        <v>0.53</v>
      </c>
      <c r="K20" s="51">
        <v>94.43</v>
      </c>
      <c r="L20" s="51">
        <v>30.34</v>
      </c>
      <c r="M20" s="51">
        <v>54.61</v>
      </c>
      <c r="N20" s="51">
        <v>590.5</v>
      </c>
      <c r="O20" s="51">
        <v>0</v>
      </c>
      <c r="P20" s="51">
        <v>0.77</v>
      </c>
      <c r="Q20" s="51">
        <v>10.1</v>
      </c>
    </row>
    <row r="21" spans="1:17" customFormat="1">
      <c r="A21" s="50">
        <v>45630.541666666664</v>
      </c>
      <c r="B21" s="51">
        <v>11.22</v>
      </c>
      <c r="C21" s="51">
        <v>16.96</v>
      </c>
      <c r="D21" s="51">
        <v>19.02</v>
      </c>
      <c r="E21" s="51">
        <v>11.77</v>
      </c>
      <c r="F21" s="51">
        <v>7.86</v>
      </c>
      <c r="G21" s="51">
        <v>63.94</v>
      </c>
      <c r="H21" s="51">
        <v>21.74</v>
      </c>
      <c r="I21" s="51">
        <v>8.27</v>
      </c>
      <c r="J21" s="51">
        <v>0.66</v>
      </c>
      <c r="K21" s="51">
        <v>43.42</v>
      </c>
      <c r="L21" s="51">
        <v>30.71</v>
      </c>
      <c r="M21" s="51">
        <v>52.93</v>
      </c>
      <c r="N21" s="51">
        <v>573.6</v>
      </c>
      <c r="O21" s="51">
        <v>0</v>
      </c>
      <c r="P21" s="51">
        <v>0.73</v>
      </c>
      <c r="Q21" s="51">
        <v>10.08</v>
      </c>
    </row>
    <row r="22" spans="1:17" customFormat="1">
      <c r="A22" s="50">
        <v>45630.583333333336</v>
      </c>
      <c r="B22" s="51">
        <v>7.45</v>
      </c>
      <c r="C22" s="51">
        <v>17</v>
      </c>
      <c r="D22" s="51">
        <v>16.170000000000002</v>
      </c>
      <c r="E22" s="51">
        <v>12.26</v>
      </c>
      <c r="F22" s="51">
        <v>8.81</v>
      </c>
      <c r="G22" s="51">
        <v>58.47</v>
      </c>
      <c r="H22" s="51">
        <v>20.399999999999999</v>
      </c>
      <c r="I22" s="51">
        <v>7.71</v>
      </c>
      <c r="J22" s="51">
        <v>0.77</v>
      </c>
      <c r="K22" s="51">
        <v>54.31</v>
      </c>
      <c r="L22" s="51">
        <v>30.78</v>
      </c>
      <c r="M22" s="51">
        <v>52.68</v>
      </c>
      <c r="N22" s="51">
        <v>275.89999999999998</v>
      </c>
      <c r="O22" s="51">
        <v>0</v>
      </c>
      <c r="P22" s="51">
        <v>0.7</v>
      </c>
      <c r="Q22" s="51">
        <v>10.06</v>
      </c>
    </row>
    <row r="23" spans="1:17" customFormat="1">
      <c r="A23" s="50">
        <v>45630.625</v>
      </c>
      <c r="B23" s="51">
        <v>5.42</v>
      </c>
      <c r="C23" s="51">
        <v>16.59</v>
      </c>
      <c r="D23" s="51">
        <v>14.36</v>
      </c>
      <c r="E23" s="51">
        <v>14.66</v>
      </c>
      <c r="F23" s="51">
        <v>33.04</v>
      </c>
      <c r="G23" s="51">
        <v>57.44</v>
      </c>
      <c r="H23" s="51">
        <v>22.13</v>
      </c>
      <c r="I23" s="51">
        <v>7.26</v>
      </c>
      <c r="J23" s="51">
        <v>0.72</v>
      </c>
      <c r="K23" s="51">
        <v>45.35</v>
      </c>
      <c r="L23" s="51">
        <v>30.42</v>
      </c>
      <c r="M23" s="51">
        <v>50.3</v>
      </c>
      <c r="N23" s="51">
        <v>120.8</v>
      </c>
      <c r="O23" s="51">
        <v>0</v>
      </c>
      <c r="P23" s="51">
        <v>0.7</v>
      </c>
      <c r="Q23" s="51">
        <v>10.06</v>
      </c>
    </row>
    <row r="24" spans="1:17" customFormat="1">
      <c r="A24" s="50">
        <v>45630.666666666664</v>
      </c>
      <c r="B24" s="51">
        <v>4.4400000000000004</v>
      </c>
      <c r="C24" s="51">
        <v>16.600000000000001</v>
      </c>
      <c r="D24" s="51">
        <v>13.37</v>
      </c>
      <c r="E24" s="51">
        <v>17.82</v>
      </c>
      <c r="F24" s="51">
        <v>18.850000000000001</v>
      </c>
      <c r="G24" s="51">
        <v>55.69</v>
      </c>
      <c r="H24" s="51">
        <v>22.23</v>
      </c>
      <c r="I24" s="51">
        <v>6.47</v>
      </c>
      <c r="J24" s="51">
        <v>0.63</v>
      </c>
      <c r="K24" s="51">
        <v>66.41</v>
      </c>
      <c r="L24" s="51">
        <v>30.15</v>
      </c>
      <c r="M24" s="51">
        <v>50.57</v>
      </c>
      <c r="N24" s="51">
        <v>79</v>
      </c>
      <c r="O24" s="51">
        <v>0</v>
      </c>
      <c r="P24" s="51">
        <v>0.69</v>
      </c>
      <c r="Q24" s="51">
        <v>10.07</v>
      </c>
    </row>
    <row r="25" spans="1:17" customFormat="1">
      <c r="A25" s="50">
        <v>45630.708333333336</v>
      </c>
      <c r="B25" s="51">
        <v>4.75</v>
      </c>
      <c r="C25" s="51">
        <v>15.83</v>
      </c>
      <c r="D25" s="51">
        <v>13.32</v>
      </c>
      <c r="E25" s="51">
        <v>18.59</v>
      </c>
      <c r="F25" s="51">
        <v>20.57</v>
      </c>
      <c r="G25" s="51">
        <v>55.69</v>
      </c>
      <c r="H25" s="51">
        <v>22.23</v>
      </c>
      <c r="I25" s="51">
        <v>6.57</v>
      </c>
      <c r="J25" s="51">
        <v>0.74</v>
      </c>
      <c r="K25" s="51">
        <v>63.71</v>
      </c>
      <c r="L25" s="51">
        <v>29.61</v>
      </c>
      <c r="M25" s="51">
        <v>55.6</v>
      </c>
      <c r="N25" s="51">
        <v>34.799999999999997</v>
      </c>
      <c r="O25" s="51">
        <v>0</v>
      </c>
      <c r="P25" s="51">
        <v>0.72</v>
      </c>
      <c r="Q25" s="51">
        <v>10.029999999999999</v>
      </c>
    </row>
    <row r="26" spans="1:17" customFormat="1">
      <c r="A26" s="50">
        <v>45630.75</v>
      </c>
      <c r="B26" s="51">
        <v>6.04</v>
      </c>
      <c r="C26" s="51">
        <v>16.05</v>
      </c>
      <c r="D26" s="51">
        <v>14.03</v>
      </c>
      <c r="E26" s="51">
        <v>16.8</v>
      </c>
      <c r="F26" s="51">
        <v>5.56</v>
      </c>
      <c r="G26" s="51">
        <v>65.260000000000005</v>
      </c>
      <c r="H26" s="51">
        <v>25.2</v>
      </c>
      <c r="I26" s="51">
        <v>8.42</v>
      </c>
      <c r="J26" s="51">
        <v>0.34</v>
      </c>
      <c r="K26" s="51">
        <v>141.69999999999999</v>
      </c>
      <c r="L26" s="51">
        <v>28.1</v>
      </c>
      <c r="M26" s="51">
        <v>68.52</v>
      </c>
      <c r="N26" s="51">
        <v>3.6</v>
      </c>
      <c r="O26" s="51">
        <v>0</v>
      </c>
      <c r="P26" s="51">
        <v>0.79</v>
      </c>
      <c r="Q26" s="51">
        <v>10.050000000000001</v>
      </c>
    </row>
    <row r="27" spans="1:17" customFormat="1">
      <c r="A27" s="50">
        <v>45630.791666666664</v>
      </c>
      <c r="B27" s="51">
        <v>7.35</v>
      </c>
      <c r="C27" s="51">
        <v>16.559999999999999</v>
      </c>
      <c r="D27" s="51">
        <v>15.9</v>
      </c>
      <c r="E27" s="51">
        <v>11.45</v>
      </c>
      <c r="F27" s="51">
        <v>3.62</v>
      </c>
      <c r="G27" s="51">
        <v>97.61</v>
      </c>
      <c r="H27" s="51">
        <v>27.89</v>
      </c>
      <c r="I27" s="51">
        <v>8.51</v>
      </c>
      <c r="J27" s="51">
        <v>0.19</v>
      </c>
      <c r="K27" s="51">
        <v>154.11000000000001</v>
      </c>
      <c r="L27" s="51">
        <v>25.91</v>
      </c>
      <c r="M27" s="51">
        <v>69.78</v>
      </c>
      <c r="N27" s="51">
        <v>2.1</v>
      </c>
      <c r="O27" s="51">
        <v>0</v>
      </c>
      <c r="P27" s="51">
        <v>0.82</v>
      </c>
      <c r="Q27" s="51">
        <v>10.039999999999999</v>
      </c>
    </row>
    <row r="28" spans="1:17" customFormat="1">
      <c r="A28" s="50">
        <v>45630.833333333336</v>
      </c>
      <c r="B28" s="51">
        <v>8.16</v>
      </c>
      <c r="C28" s="51">
        <v>16.690000000000001</v>
      </c>
      <c r="D28" s="51">
        <v>16.48</v>
      </c>
      <c r="E28" s="51">
        <v>11.09</v>
      </c>
      <c r="F28" s="51">
        <v>3.92</v>
      </c>
      <c r="G28" s="51">
        <v>124.25</v>
      </c>
      <c r="H28" s="51">
        <v>32.14</v>
      </c>
      <c r="I28" s="51">
        <v>8.7799999999999994</v>
      </c>
      <c r="J28" s="51">
        <v>0.23</v>
      </c>
      <c r="K28" s="51">
        <v>179.35</v>
      </c>
      <c r="L28" s="51">
        <v>25.89</v>
      </c>
      <c r="M28" s="51">
        <v>74.930000000000007</v>
      </c>
      <c r="N28" s="51">
        <v>2.2999999999999998</v>
      </c>
      <c r="O28" s="51">
        <v>0</v>
      </c>
      <c r="P28" s="51">
        <v>0.84</v>
      </c>
      <c r="Q28" s="51">
        <v>10.050000000000001</v>
      </c>
    </row>
    <row r="29" spans="1:17" customFormat="1">
      <c r="A29" s="50">
        <v>45630.875</v>
      </c>
      <c r="B29" s="51">
        <v>8.5299999999999994</v>
      </c>
      <c r="C29" s="51">
        <v>16.87</v>
      </c>
      <c r="D29" s="51">
        <v>17.010000000000002</v>
      </c>
      <c r="E29" s="51">
        <v>9.9499999999999993</v>
      </c>
      <c r="F29" s="51">
        <v>3.79</v>
      </c>
      <c r="G29" s="51">
        <v>124.25</v>
      </c>
      <c r="H29" s="51">
        <v>33.72</v>
      </c>
      <c r="I29" s="51">
        <v>8.85</v>
      </c>
      <c r="J29" s="51">
        <v>0.2</v>
      </c>
      <c r="K29" s="51">
        <v>165.52</v>
      </c>
      <c r="L29" s="51">
        <v>24.23</v>
      </c>
      <c r="M29" s="51">
        <v>76.930000000000007</v>
      </c>
      <c r="N29" s="51">
        <v>2.1</v>
      </c>
      <c r="O29" s="51">
        <v>0</v>
      </c>
      <c r="P29" s="51">
        <v>0.88</v>
      </c>
      <c r="Q29" s="51">
        <v>10.06</v>
      </c>
    </row>
    <row r="30" spans="1:17" customFormat="1">
      <c r="A30" s="50">
        <v>45630.916666666664</v>
      </c>
      <c r="B30" s="51">
        <v>9.7799999999999994</v>
      </c>
      <c r="C30" s="51">
        <v>17.329999999999998</v>
      </c>
      <c r="D30" s="51">
        <v>18.25</v>
      </c>
      <c r="E30" s="51">
        <v>9.11</v>
      </c>
      <c r="F30" s="51">
        <v>2.95</v>
      </c>
      <c r="G30" s="51">
        <v>106.34</v>
      </c>
      <c r="H30" s="51">
        <v>33.72</v>
      </c>
      <c r="I30" s="51">
        <v>8.9600000000000009</v>
      </c>
      <c r="J30" s="51">
        <v>0.2</v>
      </c>
      <c r="K30" s="51">
        <v>183.14</v>
      </c>
      <c r="L30" s="51">
        <v>23.86</v>
      </c>
      <c r="M30" s="51">
        <v>80.760000000000005</v>
      </c>
      <c r="N30" s="51">
        <v>2</v>
      </c>
      <c r="O30" s="51">
        <v>0</v>
      </c>
      <c r="P30" s="51">
        <v>0.92</v>
      </c>
      <c r="Q30" s="51">
        <v>10.06</v>
      </c>
    </row>
    <row r="31" spans="1:17" customFormat="1">
      <c r="A31" s="50">
        <v>45630.958333333336</v>
      </c>
      <c r="B31" s="51">
        <v>11.4</v>
      </c>
      <c r="C31" s="51">
        <v>17.649999999999999</v>
      </c>
      <c r="D31" s="51">
        <v>19.72</v>
      </c>
      <c r="E31" s="51">
        <v>9.5399999999999991</v>
      </c>
      <c r="F31" s="51">
        <v>8.76</v>
      </c>
      <c r="G31" s="51">
        <v>106.34</v>
      </c>
      <c r="H31" s="51">
        <v>32.729999999999997</v>
      </c>
      <c r="I31" s="51">
        <v>9.1300000000000008</v>
      </c>
      <c r="J31" s="51">
        <v>0.34</v>
      </c>
      <c r="K31" s="51">
        <v>103.38</v>
      </c>
      <c r="L31" s="51">
        <v>23.63</v>
      </c>
      <c r="M31" s="51">
        <v>77.680000000000007</v>
      </c>
      <c r="N31" s="51">
        <v>2</v>
      </c>
      <c r="O31" s="51">
        <v>0</v>
      </c>
      <c r="P31" s="51">
        <v>0.93</v>
      </c>
      <c r="Q31" s="51">
        <v>10.07</v>
      </c>
    </row>
    <row r="32" spans="1:17" customFormat="1">
      <c r="A32" s="50">
        <v>45631</v>
      </c>
      <c r="B32" s="51">
        <v>11.88</v>
      </c>
      <c r="C32" s="51">
        <v>17.43</v>
      </c>
      <c r="D32" s="51">
        <v>19.84</v>
      </c>
      <c r="E32" s="51">
        <v>8.9600000000000009</v>
      </c>
      <c r="F32" s="51">
        <v>2.98</v>
      </c>
      <c r="G32" s="51">
        <v>105.63</v>
      </c>
      <c r="H32" s="51">
        <v>33.18</v>
      </c>
      <c r="I32" s="51">
        <v>9.32</v>
      </c>
      <c r="J32" s="51">
        <v>0.23</v>
      </c>
      <c r="K32" s="51">
        <v>217.78</v>
      </c>
      <c r="L32" s="51">
        <v>22.72</v>
      </c>
      <c r="M32" s="51">
        <v>88.17</v>
      </c>
      <c r="N32" s="51">
        <v>2.1</v>
      </c>
      <c r="O32" s="51">
        <v>0</v>
      </c>
      <c r="P32" s="51">
        <v>0.93</v>
      </c>
      <c r="Q32" s="51">
        <v>10.08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4.4400000000000004</v>
      </c>
      <c r="C34" s="41">
        <f t="shared" si="0"/>
        <v>15.14</v>
      </c>
      <c r="D34" s="41">
        <f t="shared" si="0"/>
        <v>13.32</v>
      </c>
      <c r="E34" s="41">
        <f t="shared" si="0"/>
        <v>8.57</v>
      </c>
      <c r="F34" s="41">
        <f t="shared" si="0"/>
        <v>2.63</v>
      </c>
      <c r="G34" s="41">
        <f t="shared" si="0"/>
        <v>55.69</v>
      </c>
      <c r="H34" s="41">
        <f t="shared" si="0"/>
        <v>18.16</v>
      </c>
      <c r="I34" s="41">
        <f t="shared" si="0"/>
        <v>6.47</v>
      </c>
      <c r="J34" s="41">
        <f t="shared" si="0"/>
        <v>0.16</v>
      </c>
      <c r="K34" s="41">
        <f t="shared" si="0"/>
        <v>43.42</v>
      </c>
      <c r="L34" s="41">
        <f t="shared" si="0"/>
        <v>20.89</v>
      </c>
      <c r="M34" s="41">
        <f t="shared" si="0"/>
        <v>50.3</v>
      </c>
      <c r="N34" s="41">
        <f t="shared" si="0"/>
        <v>1.8</v>
      </c>
      <c r="O34" s="41">
        <f t="shared" si="0"/>
        <v>0</v>
      </c>
      <c r="P34" s="41">
        <f t="shared" si="0"/>
        <v>0.69</v>
      </c>
      <c r="Q34" s="41">
        <f t="shared" si="0"/>
        <v>10.029999999999999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25.39</v>
      </c>
      <c r="C35" s="33">
        <f t="shared" si="1"/>
        <v>17.670000000000002</v>
      </c>
      <c r="D35" s="33">
        <f t="shared" si="1"/>
        <v>30.21</v>
      </c>
      <c r="E35" s="33">
        <f t="shared" si="1"/>
        <v>18.59</v>
      </c>
      <c r="F35" s="33">
        <f t="shared" si="1"/>
        <v>33.04</v>
      </c>
      <c r="G35" s="33">
        <f t="shared" si="1"/>
        <v>124.25</v>
      </c>
      <c r="H35" s="33">
        <f t="shared" si="1"/>
        <v>33.72</v>
      </c>
      <c r="I35" s="33">
        <f t="shared" si="1"/>
        <v>9.32</v>
      </c>
      <c r="J35" s="33">
        <f t="shared" si="1"/>
        <v>1.03</v>
      </c>
      <c r="K35" s="33">
        <f t="shared" si="1"/>
        <v>222.36</v>
      </c>
      <c r="L35" s="33">
        <f t="shared" si="1"/>
        <v>30.78</v>
      </c>
      <c r="M35" s="33">
        <f t="shared" si="1"/>
        <v>98.08</v>
      </c>
      <c r="N35" s="33">
        <f t="shared" si="1"/>
        <v>590.5</v>
      </c>
      <c r="O35" s="33">
        <f t="shared" si="1"/>
        <v>0</v>
      </c>
      <c r="P35" s="33">
        <f t="shared" si="1"/>
        <v>0.93</v>
      </c>
      <c r="Q35" s="33">
        <f t="shared" si="1"/>
        <v>10.1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14.5525</v>
      </c>
      <c r="C36" s="41">
        <f t="shared" si="2"/>
        <v>16.610833333333336</v>
      </c>
      <c r="D36" s="41">
        <f t="shared" si="2"/>
        <v>21.473333333333333</v>
      </c>
      <c r="E36" s="41">
        <f t="shared" si="2"/>
        <v>11.145416666666664</v>
      </c>
      <c r="F36" s="41">
        <f t="shared" si="2"/>
        <v>8.8737499999999976</v>
      </c>
      <c r="G36" s="41">
        <f t="shared" si="2"/>
        <v>73.974583333333328</v>
      </c>
      <c r="H36" s="41">
        <f t="shared" si="2"/>
        <v>23.746666666666666</v>
      </c>
      <c r="I36" s="41">
        <f t="shared" si="2"/>
        <v>8.4583333333333304</v>
      </c>
      <c r="J36" s="41">
        <f t="shared" si="2"/>
        <v>0.4916666666666667</v>
      </c>
      <c r="K36" s="41">
        <f t="shared" si="2"/>
        <v>113.05458333333335</v>
      </c>
      <c r="L36" s="41">
        <f t="shared" si="2"/>
        <v>25.541250000000005</v>
      </c>
      <c r="M36" s="41">
        <f t="shared" si="2"/>
        <v>75.554166666666674</v>
      </c>
      <c r="N36" s="41">
        <f t="shared" si="2"/>
        <v>130.10416666666669</v>
      </c>
      <c r="O36" s="41">
        <f t="shared" si="2"/>
        <v>0</v>
      </c>
      <c r="P36" s="41">
        <f t="shared" si="2"/>
        <v>0.79333333333333333</v>
      </c>
      <c r="Q36" s="41">
        <f t="shared" si="2"/>
        <v>10.072916666666668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7.3381417206976529</v>
      </c>
      <c r="C37" s="41">
        <f t="shared" ref="C37:Q37" si="3">STDEV(C9:C32)</f>
        <v>0.60703066799294803</v>
      </c>
      <c r="D37" s="41">
        <f t="shared" si="3"/>
        <v>5.7218130804436456</v>
      </c>
      <c r="E37" s="41">
        <f t="shared" si="3"/>
        <v>2.8898939038245617</v>
      </c>
      <c r="F37" s="41">
        <f t="shared" si="3"/>
        <v>8.3807381337604543</v>
      </c>
      <c r="G37" s="41">
        <f t="shared" si="3"/>
        <v>22.763880997749734</v>
      </c>
      <c r="H37" s="41">
        <f t="shared" si="3"/>
        <v>5.3069394001723307</v>
      </c>
      <c r="I37" s="41">
        <f t="shared" si="3"/>
        <v>0.7617181189611163</v>
      </c>
      <c r="J37" s="41">
        <f t="shared" si="3"/>
        <v>0.28069272487384034</v>
      </c>
      <c r="K37" s="41">
        <f t="shared" si="3"/>
        <v>61.441550731899476</v>
      </c>
      <c r="L37" s="41">
        <f t="shared" si="3"/>
        <v>3.5957805133238709</v>
      </c>
      <c r="M37" s="41">
        <f t="shared" si="3"/>
        <v>17.3542291341499</v>
      </c>
      <c r="N37" s="41">
        <f t="shared" si="3"/>
        <v>201.12286636081038</v>
      </c>
      <c r="O37" s="41">
        <f t="shared" si="3"/>
        <v>0</v>
      </c>
      <c r="P37" s="41">
        <f t="shared" si="3"/>
        <v>6.8630495608996062E-2</v>
      </c>
      <c r="Q37" s="41">
        <f t="shared" si="3"/>
        <v>1.899179838238332E-2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45631.041666666664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45631.041666666664</v>
      </c>
      <c r="B9" s="51">
        <v>16.84</v>
      </c>
      <c r="C9" s="51">
        <v>17.41</v>
      </c>
      <c r="D9" s="51">
        <v>23.95</v>
      </c>
      <c r="E9" s="51">
        <v>9.14</v>
      </c>
      <c r="F9" s="51">
        <v>2.5</v>
      </c>
      <c r="G9" s="51">
        <v>96.85</v>
      </c>
      <c r="H9" s="51">
        <v>34.22</v>
      </c>
      <c r="I9" s="51">
        <v>9.4</v>
      </c>
      <c r="J9" s="51">
        <v>0.15</v>
      </c>
      <c r="K9" s="51">
        <v>193.67</v>
      </c>
      <c r="L9" s="51">
        <v>21.87</v>
      </c>
      <c r="M9" s="51">
        <v>90.87</v>
      </c>
      <c r="N9" s="51">
        <v>1.8</v>
      </c>
      <c r="O9" s="51">
        <v>0</v>
      </c>
      <c r="P9" s="51">
        <v>0.92</v>
      </c>
      <c r="Q9" s="51">
        <v>10.08</v>
      </c>
    </row>
    <row r="10" spans="1:21" customFormat="1">
      <c r="A10" s="50">
        <v>45631.083333333336</v>
      </c>
      <c r="B10" s="51">
        <v>20.67</v>
      </c>
      <c r="C10" s="51">
        <v>19.7</v>
      </c>
      <c r="D10" s="51">
        <v>27.4</v>
      </c>
      <c r="E10" s="51">
        <v>9.6300000000000008</v>
      </c>
      <c r="F10" s="51">
        <v>3.15</v>
      </c>
      <c r="G10" s="51">
        <v>91.15</v>
      </c>
      <c r="H10" s="51">
        <v>34.22</v>
      </c>
      <c r="I10" s="51">
        <v>9.4700000000000006</v>
      </c>
      <c r="J10" s="51">
        <v>0.41</v>
      </c>
      <c r="K10" s="51">
        <v>93.69</v>
      </c>
      <c r="L10" s="51">
        <v>21.86</v>
      </c>
      <c r="M10" s="51">
        <v>88.37</v>
      </c>
      <c r="N10" s="51">
        <v>1.7</v>
      </c>
      <c r="O10" s="51">
        <v>0</v>
      </c>
      <c r="P10" s="51">
        <v>0.92</v>
      </c>
      <c r="Q10" s="51">
        <v>10.07</v>
      </c>
    </row>
    <row r="11" spans="1:21" customFormat="1">
      <c r="A11" s="50">
        <v>45631.125</v>
      </c>
      <c r="B11" s="51">
        <v>20.88</v>
      </c>
      <c r="C11" s="51">
        <v>17.73</v>
      </c>
      <c r="D11" s="51">
        <v>26.87</v>
      </c>
      <c r="E11" s="51">
        <v>10.48</v>
      </c>
      <c r="F11" s="51">
        <v>3.03</v>
      </c>
      <c r="G11" s="51">
        <v>91.72</v>
      </c>
      <c r="H11" s="51">
        <v>33.58</v>
      </c>
      <c r="I11" s="51">
        <v>9.5299999999999994</v>
      </c>
      <c r="J11" s="51">
        <v>0.52</v>
      </c>
      <c r="K11" s="51">
        <v>45.33</v>
      </c>
      <c r="L11" s="51">
        <v>21.67</v>
      </c>
      <c r="M11" s="51">
        <v>76.650000000000006</v>
      </c>
      <c r="N11" s="51">
        <v>1.9</v>
      </c>
      <c r="O11" s="51">
        <v>0</v>
      </c>
      <c r="P11" s="51">
        <v>0.88</v>
      </c>
      <c r="Q11" s="51">
        <v>10.07</v>
      </c>
    </row>
    <row r="12" spans="1:21" customFormat="1">
      <c r="A12" s="50">
        <v>45631.166666666664</v>
      </c>
      <c r="B12" s="51">
        <v>20.04</v>
      </c>
      <c r="C12" s="51">
        <v>18.05</v>
      </c>
      <c r="D12" s="51">
        <v>26.46</v>
      </c>
      <c r="E12" s="51">
        <v>10.48</v>
      </c>
      <c r="F12" s="51">
        <v>2.74</v>
      </c>
      <c r="G12" s="51">
        <v>91.72</v>
      </c>
      <c r="H12" s="51">
        <v>31.54</v>
      </c>
      <c r="I12" s="51">
        <v>9.4600000000000009</v>
      </c>
      <c r="J12" s="51">
        <v>0.54</v>
      </c>
      <c r="K12" s="51">
        <v>52.21</v>
      </c>
      <c r="L12" s="51">
        <v>21.11</v>
      </c>
      <c r="M12" s="51">
        <v>69.56</v>
      </c>
      <c r="N12" s="51">
        <v>2</v>
      </c>
      <c r="O12" s="51">
        <v>0</v>
      </c>
      <c r="P12" s="51">
        <v>0.88</v>
      </c>
      <c r="Q12" s="51">
        <v>10.08</v>
      </c>
    </row>
    <row r="13" spans="1:21" customFormat="1">
      <c r="A13" s="50">
        <v>45631.208333333336</v>
      </c>
      <c r="B13" s="51">
        <v>19.829999999999998</v>
      </c>
      <c r="C13" s="51">
        <v>17.71</v>
      </c>
      <c r="D13" s="51">
        <v>26.09</v>
      </c>
      <c r="E13" s="51">
        <v>10.119999999999999</v>
      </c>
      <c r="F13" s="51">
        <v>2.94</v>
      </c>
      <c r="G13" s="51">
        <v>82.35</v>
      </c>
      <c r="H13" s="51">
        <v>30.03</v>
      </c>
      <c r="I13" s="51">
        <v>9.5299999999999994</v>
      </c>
      <c r="J13" s="51">
        <v>0.42</v>
      </c>
      <c r="K13" s="51">
        <v>109.07</v>
      </c>
      <c r="L13" s="51">
        <v>20.58</v>
      </c>
      <c r="M13" s="51">
        <v>77.099999999999994</v>
      </c>
      <c r="N13" s="51">
        <v>2</v>
      </c>
      <c r="O13" s="51">
        <v>0</v>
      </c>
      <c r="P13" s="51">
        <v>0.85</v>
      </c>
      <c r="Q13" s="51">
        <v>10.08</v>
      </c>
    </row>
    <row r="14" spans="1:21" customFormat="1">
      <c r="A14" s="50">
        <v>45631.25</v>
      </c>
      <c r="B14" s="51">
        <v>20.329999999999998</v>
      </c>
      <c r="C14" s="51">
        <v>18.57</v>
      </c>
      <c r="D14" s="51">
        <v>26.69</v>
      </c>
      <c r="E14" s="51">
        <v>10.39</v>
      </c>
      <c r="F14" s="51">
        <v>3.03</v>
      </c>
      <c r="G14" s="51">
        <v>82.19</v>
      </c>
      <c r="H14" s="51">
        <v>27.67</v>
      </c>
      <c r="I14" s="51">
        <v>9.9600000000000009</v>
      </c>
      <c r="J14" s="51">
        <v>0.38</v>
      </c>
      <c r="K14" s="51">
        <v>140.75</v>
      </c>
      <c r="L14" s="51">
        <v>20.39</v>
      </c>
      <c r="M14" s="51">
        <v>74.23</v>
      </c>
      <c r="N14" s="51">
        <v>2</v>
      </c>
      <c r="O14" s="51">
        <v>0</v>
      </c>
      <c r="P14" s="51">
        <v>0.87</v>
      </c>
      <c r="Q14" s="51">
        <v>10.1</v>
      </c>
    </row>
    <row r="15" spans="1:21" customFormat="1">
      <c r="A15" s="50">
        <v>45631.291666666664</v>
      </c>
      <c r="B15" s="51">
        <v>20.6</v>
      </c>
      <c r="C15" s="51">
        <v>16.239999999999998</v>
      </c>
      <c r="D15" s="51">
        <v>26.36</v>
      </c>
      <c r="E15" s="51">
        <v>9.15</v>
      </c>
      <c r="F15" s="51">
        <v>3.05</v>
      </c>
      <c r="G15" s="51">
        <v>83.1</v>
      </c>
      <c r="H15" s="51">
        <v>29.98</v>
      </c>
      <c r="I15" s="51">
        <v>10.62</v>
      </c>
      <c r="J15" s="51">
        <v>0.24</v>
      </c>
      <c r="K15" s="51">
        <v>308.44</v>
      </c>
      <c r="L15" s="51">
        <v>19.78</v>
      </c>
      <c r="M15" s="51">
        <v>82.68</v>
      </c>
      <c r="N15" s="51">
        <v>26.6</v>
      </c>
      <c r="O15" s="51">
        <v>0</v>
      </c>
      <c r="P15" s="51">
        <v>0.92</v>
      </c>
      <c r="Q15" s="51">
        <v>10.09</v>
      </c>
    </row>
    <row r="16" spans="1:21" customFormat="1">
      <c r="A16" s="50">
        <v>45631.333333333336</v>
      </c>
      <c r="B16" s="51">
        <v>20.95</v>
      </c>
      <c r="C16" s="51">
        <v>17.25</v>
      </c>
      <c r="D16" s="51">
        <v>27.15</v>
      </c>
      <c r="E16" s="51">
        <v>8.7100000000000009</v>
      </c>
      <c r="F16" s="51">
        <v>2.88</v>
      </c>
      <c r="G16" s="51">
        <v>85.17</v>
      </c>
      <c r="H16" s="51">
        <v>29.98</v>
      </c>
      <c r="I16" s="51">
        <v>11.37</v>
      </c>
      <c r="J16" s="51">
        <v>0.68</v>
      </c>
      <c r="K16" s="51">
        <v>56.83</v>
      </c>
      <c r="L16" s="51">
        <v>21.28</v>
      </c>
      <c r="M16" s="51">
        <v>75.459999999999994</v>
      </c>
      <c r="N16" s="51">
        <v>83.8</v>
      </c>
      <c r="O16" s="51">
        <v>0</v>
      </c>
      <c r="P16" s="51">
        <v>0.95</v>
      </c>
      <c r="Q16" s="51">
        <v>10.1</v>
      </c>
    </row>
    <row r="17" spans="1:17" customFormat="1">
      <c r="A17" s="50">
        <v>45631.375</v>
      </c>
      <c r="B17" s="51">
        <v>21.21</v>
      </c>
      <c r="C17" s="51">
        <v>19.23</v>
      </c>
      <c r="D17" s="51">
        <v>28.15</v>
      </c>
      <c r="E17" s="51">
        <v>8.81</v>
      </c>
      <c r="F17" s="51">
        <v>3.08</v>
      </c>
      <c r="G17" s="51">
        <v>96.8</v>
      </c>
      <c r="H17" s="51">
        <v>31.03</v>
      </c>
      <c r="I17" s="51">
        <v>11.89</v>
      </c>
      <c r="J17" s="51">
        <v>0.9</v>
      </c>
      <c r="K17" s="51">
        <v>85.09</v>
      </c>
      <c r="L17" s="51">
        <v>24.81</v>
      </c>
      <c r="M17" s="51">
        <v>66.97</v>
      </c>
      <c r="N17" s="51">
        <v>226.2</v>
      </c>
      <c r="O17" s="51">
        <v>0</v>
      </c>
      <c r="P17" s="51">
        <v>0.98</v>
      </c>
      <c r="Q17" s="51">
        <v>10.11</v>
      </c>
    </row>
    <row r="18" spans="1:17" customFormat="1">
      <c r="A18" s="50">
        <v>45631.416666666664</v>
      </c>
      <c r="B18" s="51">
        <v>19.48</v>
      </c>
      <c r="C18" s="51">
        <v>20.81</v>
      </c>
      <c r="D18" s="51">
        <v>27.16</v>
      </c>
      <c r="E18" s="51">
        <v>8.23</v>
      </c>
      <c r="F18" s="51">
        <v>3.16</v>
      </c>
      <c r="G18" s="51">
        <v>100.13</v>
      </c>
      <c r="H18" s="51">
        <v>34.03</v>
      </c>
      <c r="I18" s="51">
        <v>11.92</v>
      </c>
      <c r="J18" s="51">
        <v>0.77</v>
      </c>
      <c r="K18" s="51">
        <v>52.96</v>
      </c>
      <c r="L18" s="51">
        <v>27.15</v>
      </c>
      <c r="M18" s="51">
        <v>51.16</v>
      </c>
      <c r="N18" s="51">
        <v>390.4</v>
      </c>
      <c r="O18" s="51">
        <v>0</v>
      </c>
      <c r="P18" s="51">
        <v>0.97</v>
      </c>
      <c r="Q18" s="51">
        <v>10.119999999999999</v>
      </c>
    </row>
    <row r="19" spans="1:17" customFormat="1">
      <c r="A19" s="50">
        <v>45631.458333333336</v>
      </c>
      <c r="B19" s="51">
        <v>16.82</v>
      </c>
      <c r="C19" s="51">
        <v>22.28</v>
      </c>
      <c r="D19" s="51">
        <v>25.89</v>
      </c>
      <c r="E19" s="51">
        <v>10.07</v>
      </c>
      <c r="F19" s="51">
        <v>3.39</v>
      </c>
      <c r="G19" s="51">
        <v>100.13</v>
      </c>
      <c r="H19" s="51">
        <v>34.03</v>
      </c>
      <c r="I19" s="51">
        <v>11.71</v>
      </c>
      <c r="J19" s="51">
        <v>0.4</v>
      </c>
      <c r="K19" s="51">
        <v>90.79</v>
      </c>
      <c r="L19" s="51">
        <v>29.9</v>
      </c>
      <c r="M19" s="51">
        <v>44.75</v>
      </c>
      <c r="N19" s="51">
        <v>458.9</v>
      </c>
      <c r="O19" s="51">
        <v>0</v>
      </c>
      <c r="P19" s="51">
        <v>0.96</v>
      </c>
      <c r="Q19" s="51">
        <v>10.1</v>
      </c>
    </row>
    <row r="20" spans="1:17" customFormat="1">
      <c r="A20" s="50">
        <v>45631.5</v>
      </c>
      <c r="B20" s="51">
        <v>11.69</v>
      </c>
      <c r="C20" s="51">
        <v>23.04</v>
      </c>
      <c r="D20" s="51">
        <v>22.76</v>
      </c>
      <c r="E20" s="51">
        <v>12.26</v>
      </c>
      <c r="F20" s="51">
        <v>5</v>
      </c>
      <c r="G20" s="51">
        <v>98.84</v>
      </c>
      <c r="H20" s="51">
        <v>31.54</v>
      </c>
      <c r="I20" s="51">
        <v>11.09</v>
      </c>
      <c r="J20" s="51">
        <v>0.42</v>
      </c>
      <c r="K20" s="51">
        <v>89.35</v>
      </c>
      <c r="L20" s="51">
        <v>31.08</v>
      </c>
      <c r="M20" s="51">
        <v>36.26</v>
      </c>
      <c r="N20" s="51">
        <v>539.70000000000005</v>
      </c>
      <c r="O20" s="51">
        <v>0</v>
      </c>
      <c r="P20" s="51">
        <v>0.88</v>
      </c>
      <c r="Q20" s="51">
        <v>10.08</v>
      </c>
    </row>
    <row r="21" spans="1:17" customFormat="1">
      <c r="A21" s="50">
        <v>45631.541666666664</v>
      </c>
      <c r="B21" s="51">
        <v>8.8800000000000008</v>
      </c>
      <c r="C21" s="51">
        <v>18.739999999999998</v>
      </c>
      <c r="D21" s="51">
        <v>16.809999999999999</v>
      </c>
      <c r="E21" s="51">
        <v>19.52</v>
      </c>
      <c r="F21" s="51">
        <v>15.54</v>
      </c>
      <c r="G21" s="51">
        <v>82.26</v>
      </c>
      <c r="H21" s="51">
        <v>29.09</v>
      </c>
      <c r="I21" s="51">
        <v>10.199999999999999</v>
      </c>
      <c r="J21" s="51">
        <v>0.77</v>
      </c>
      <c r="K21" s="51">
        <v>93.93</v>
      </c>
      <c r="L21" s="51">
        <v>31.66</v>
      </c>
      <c r="M21" s="51">
        <v>38.729999999999997</v>
      </c>
      <c r="N21" s="51">
        <v>530.9</v>
      </c>
      <c r="O21" s="51">
        <v>0</v>
      </c>
      <c r="P21" s="51">
        <v>0.78</v>
      </c>
      <c r="Q21" s="51">
        <v>10.050000000000001</v>
      </c>
    </row>
    <row r="22" spans="1:17" customFormat="1">
      <c r="A22" s="50">
        <v>45631.583333333336</v>
      </c>
      <c r="B22" s="51">
        <v>4.25</v>
      </c>
      <c r="C22" s="51">
        <v>18.22</v>
      </c>
      <c r="D22" s="51">
        <v>14.28</v>
      </c>
      <c r="E22" s="51">
        <v>37.450000000000003</v>
      </c>
      <c r="F22" s="51">
        <v>37.25</v>
      </c>
      <c r="G22" s="51">
        <v>80.760000000000005</v>
      </c>
      <c r="H22" s="51">
        <v>30.89</v>
      </c>
      <c r="I22" s="51">
        <v>8.98</v>
      </c>
      <c r="J22" s="51">
        <v>0.65</v>
      </c>
      <c r="K22" s="51">
        <v>340.88</v>
      </c>
      <c r="L22" s="51">
        <v>30.86</v>
      </c>
      <c r="M22" s="51">
        <v>38.549999999999997</v>
      </c>
      <c r="N22" s="51">
        <v>431.9</v>
      </c>
      <c r="O22" s="51">
        <v>0</v>
      </c>
      <c r="P22" s="51">
        <v>0.71</v>
      </c>
      <c r="Q22" s="51">
        <v>10.029999999999999</v>
      </c>
    </row>
    <row r="23" spans="1:17" customFormat="1">
      <c r="A23" s="50">
        <v>45631.625</v>
      </c>
      <c r="B23" s="51">
        <v>3.66</v>
      </c>
      <c r="C23" s="51">
        <v>16.809999999999999</v>
      </c>
      <c r="D23" s="51">
        <v>13.01</v>
      </c>
      <c r="E23" s="51">
        <v>60.63</v>
      </c>
      <c r="F23" s="51">
        <v>65.849999999999994</v>
      </c>
      <c r="G23" s="51">
        <v>77.48</v>
      </c>
      <c r="H23" s="51">
        <v>31.35</v>
      </c>
      <c r="I23" s="51">
        <v>6.94</v>
      </c>
      <c r="J23" s="51">
        <v>0.52</v>
      </c>
      <c r="K23" s="51">
        <v>343.5</v>
      </c>
      <c r="L23" s="51">
        <v>30.81</v>
      </c>
      <c r="M23" s="51">
        <v>39.33</v>
      </c>
      <c r="N23" s="51">
        <v>128.4</v>
      </c>
      <c r="O23" s="51">
        <v>0</v>
      </c>
      <c r="P23" s="51">
        <v>0.72</v>
      </c>
      <c r="Q23" s="51">
        <v>10.039999999999999</v>
      </c>
    </row>
    <row r="24" spans="1:17" customFormat="1">
      <c r="A24" s="50">
        <v>45631.666666666664</v>
      </c>
      <c r="B24" s="51">
        <v>3.77</v>
      </c>
      <c r="C24" s="51">
        <v>21.62</v>
      </c>
      <c r="D24" s="51">
        <v>15.67</v>
      </c>
      <c r="E24" s="51">
        <v>61.25</v>
      </c>
      <c r="F24" s="51">
        <v>44.12</v>
      </c>
      <c r="G24" s="51">
        <v>77.48</v>
      </c>
      <c r="H24" s="51">
        <v>34.520000000000003</v>
      </c>
      <c r="I24" s="51">
        <v>5.58</v>
      </c>
      <c r="J24" s="51">
        <v>0.45</v>
      </c>
      <c r="K24" s="51">
        <v>58.67</v>
      </c>
      <c r="L24" s="51">
        <v>30.52</v>
      </c>
      <c r="M24" s="51">
        <v>41.41</v>
      </c>
      <c r="N24" s="51">
        <v>68.900000000000006</v>
      </c>
      <c r="O24" s="51">
        <v>0</v>
      </c>
      <c r="P24" s="51">
        <v>0.77</v>
      </c>
      <c r="Q24" s="51">
        <v>10.06</v>
      </c>
    </row>
    <row r="25" spans="1:17" customFormat="1">
      <c r="A25" s="50">
        <v>45631.708333333336</v>
      </c>
      <c r="B25" s="51">
        <v>3.94</v>
      </c>
      <c r="C25" s="51">
        <v>23.55</v>
      </c>
      <c r="D25" s="51">
        <v>16.82</v>
      </c>
      <c r="E25" s="51">
        <v>30.28</v>
      </c>
      <c r="F25" s="51">
        <v>25.56</v>
      </c>
      <c r="G25" s="51">
        <v>80.31</v>
      </c>
      <c r="H25" s="51">
        <v>34.869999999999997</v>
      </c>
      <c r="I25" s="51">
        <v>6.51</v>
      </c>
      <c r="J25" s="51">
        <v>0.31</v>
      </c>
      <c r="K25" s="51">
        <v>155.06</v>
      </c>
      <c r="L25" s="51">
        <v>29.63</v>
      </c>
      <c r="M25" s="51">
        <v>54.25</v>
      </c>
      <c r="N25" s="51">
        <v>31.2</v>
      </c>
      <c r="O25" s="51">
        <v>0</v>
      </c>
      <c r="P25" s="51">
        <v>0.8</v>
      </c>
      <c r="Q25" s="51">
        <v>10.09</v>
      </c>
    </row>
    <row r="26" spans="1:17" customFormat="1">
      <c r="A26" s="50">
        <v>45631.75</v>
      </c>
      <c r="B26" s="51">
        <v>5</v>
      </c>
      <c r="C26" s="51">
        <v>23.53</v>
      </c>
      <c r="D26" s="51">
        <v>17.489999999999998</v>
      </c>
      <c r="E26" s="51">
        <v>12.36</v>
      </c>
      <c r="F26" s="51">
        <v>6.2</v>
      </c>
      <c r="G26" s="51">
        <v>91.69</v>
      </c>
      <c r="H26" s="51">
        <v>34.869999999999997</v>
      </c>
      <c r="I26" s="51">
        <v>8.0399999999999991</v>
      </c>
      <c r="J26" s="51">
        <v>0.26</v>
      </c>
      <c r="K26" s="51">
        <v>153.07</v>
      </c>
      <c r="L26" s="51">
        <v>27.22</v>
      </c>
      <c r="M26" s="51">
        <v>58.5</v>
      </c>
      <c r="N26" s="51">
        <v>3.5</v>
      </c>
      <c r="O26" s="51">
        <v>0</v>
      </c>
      <c r="P26" s="51">
        <v>0.87</v>
      </c>
      <c r="Q26" s="51">
        <v>10.07</v>
      </c>
    </row>
    <row r="27" spans="1:17" customFormat="1">
      <c r="A27" s="50">
        <v>45631.791666666664</v>
      </c>
      <c r="B27" s="51">
        <v>6.89</v>
      </c>
      <c r="C27" s="51">
        <v>23.47</v>
      </c>
      <c r="D27" s="51">
        <v>19.14</v>
      </c>
      <c r="E27" s="51">
        <v>8.42</v>
      </c>
      <c r="F27" s="51">
        <v>2.6</v>
      </c>
      <c r="G27" s="51">
        <v>110.74</v>
      </c>
      <c r="H27" s="51">
        <v>35.07</v>
      </c>
      <c r="I27" s="51">
        <v>10.73</v>
      </c>
      <c r="J27" s="51">
        <v>0.26</v>
      </c>
      <c r="K27" s="51">
        <v>165.54</v>
      </c>
      <c r="L27" s="51">
        <v>25.62</v>
      </c>
      <c r="M27" s="51">
        <v>65.77</v>
      </c>
      <c r="N27" s="51">
        <v>2.2000000000000002</v>
      </c>
      <c r="O27" s="51">
        <v>0</v>
      </c>
      <c r="P27" s="51">
        <v>0.98</v>
      </c>
      <c r="Q27" s="51">
        <v>10.06</v>
      </c>
    </row>
    <row r="28" spans="1:17" customFormat="1">
      <c r="A28" s="50">
        <v>45631.833333333336</v>
      </c>
      <c r="B28" s="51">
        <v>9.5299999999999994</v>
      </c>
      <c r="C28" s="51">
        <v>23.7</v>
      </c>
      <c r="D28" s="51">
        <v>21.24</v>
      </c>
      <c r="E28" s="51">
        <v>8.5399999999999991</v>
      </c>
      <c r="F28" s="51">
        <v>2.95</v>
      </c>
      <c r="G28" s="51">
        <v>130.37</v>
      </c>
      <c r="H28" s="51">
        <v>38.29</v>
      </c>
      <c r="I28" s="51">
        <v>12.65</v>
      </c>
      <c r="J28" s="51">
        <v>0.25</v>
      </c>
      <c r="K28" s="51">
        <v>190.51</v>
      </c>
      <c r="L28" s="51">
        <v>24.36</v>
      </c>
      <c r="M28" s="51">
        <v>76.260000000000005</v>
      </c>
      <c r="N28" s="51">
        <v>2</v>
      </c>
      <c r="O28" s="51">
        <v>0</v>
      </c>
      <c r="P28" s="51">
        <v>1.0900000000000001</v>
      </c>
      <c r="Q28" s="51">
        <v>10.08</v>
      </c>
    </row>
    <row r="29" spans="1:17" customFormat="1">
      <c r="A29" s="50">
        <v>45631.875</v>
      </c>
      <c r="B29" s="51">
        <v>11.52</v>
      </c>
      <c r="C29" s="51">
        <v>24.62</v>
      </c>
      <c r="D29" s="51">
        <v>23.45</v>
      </c>
      <c r="E29" s="51">
        <v>8.67</v>
      </c>
      <c r="F29" s="51">
        <v>2.77</v>
      </c>
      <c r="G29" s="51">
        <v>130.37</v>
      </c>
      <c r="H29" s="51">
        <v>42.54</v>
      </c>
      <c r="I29" s="51">
        <v>14.02</v>
      </c>
      <c r="J29" s="51">
        <v>0.22</v>
      </c>
      <c r="K29" s="51">
        <v>192.11</v>
      </c>
      <c r="L29" s="51">
        <v>22.75</v>
      </c>
      <c r="M29" s="51">
        <v>80.61</v>
      </c>
      <c r="N29" s="51">
        <v>2</v>
      </c>
      <c r="O29" s="51">
        <v>0</v>
      </c>
      <c r="P29" s="51">
        <v>1.17</v>
      </c>
      <c r="Q29" s="51">
        <v>10.09</v>
      </c>
    </row>
    <row r="30" spans="1:17" customFormat="1">
      <c r="A30" s="50">
        <v>45631.916666666664</v>
      </c>
      <c r="B30" s="51">
        <v>16.2</v>
      </c>
      <c r="C30" s="51">
        <v>23.1</v>
      </c>
      <c r="D30" s="51">
        <v>25.55</v>
      </c>
      <c r="E30" s="51">
        <v>9.09</v>
      </c>
      <c r="F30" s="51">
        <v>2.83</v>
      </c>
      <c r="G30" s="51">
        <v>130.31</v>
      </c>
      <c r="H30" s="51">
        <v>44.92</v>
      </c>
      <c r="I30" s="51">
        <v>14.73</v>
      </c>
      <c r="J30" s="51">
        <v>0.21</v>
      </c>
      <c r="K30" s="51">
        <v>194.62</v>
      </c>
      <c r="L30" s="51">
        <v>22.14</v>
      </c>
      <c r="M30" s="51">
        <v>86.59</v>
      </c>
      <c r="N30" s="51">
        <v>1.9</v>
      </c>
      <c r="O30" s="51">
        <v>0</v>
      </c>
      <c r="P30" s="51">
        <v>1.23</v>
      </c>
      <c r="Q30" s="51">
        <v>10.07</v>
      </c>
    </row>
    <row r="31" spans="1:17" customFormat="1">
      <c r="A31" s="50">
        <v>45631.958333333336</v>
      </c>
      <c r="B31" s="51">
        <v>18.53</v>
      </c>
      <c r="C31" s="51">
        <v>21.71</v>
      </c>
      <c r="D31" s="51">
        <v>26.64</v>
      </c>
      <c r="E31" s="51">
        <v>9.5299999999999994</v>
      </c>
      <c r="F31" s="51">
        <v>3.59</v>
      </c>
      <c r="G31" s="51">
        <v>129.59</v>
      </c>
      <c r="H31" s="51">
        <v>44.92</v>
      </c>
      <c r="I31" s="51">
        <v>15.13</v>
      </c>
      <c r="J31" s="51">
        <v>0.21</v>
      </c>
      <c r="K31" s="51">
        <v>229.54</v>
      </c>
      <c r="L31" s="51">
        <v>21.08</v>
      </c>
      <c r="M31" s="51">
        <v>86.27</v>
      </c>
      <c r="N31" s="51">
        <v>1.8</v>
      </c>
      <c r="O31" s="51">
        <v>0</v>
      </c>
      <c r="P31" s="51">
        <v>1.25</v>
      </c>
      <c r="Q31" s="51">
        <v>10.09</v>
      </c>
    </row>
    <row r="32" spans="1:17" customFormat="1">
      <c r="A32" s="50">
        <v>45632</v>
      </c>
      <c r="B32" s="51">
        <v>20.71</v>
      </c>
      <c r="C32" s="51">
        <v>21.47</v>
      </c>
      <c r="D32" s="51">
        <v>28.42</v>
      </c>
      <c r="E32" s="51">
        <v>9.74</v>
      </c>
      <c r="F32" s="51">
        <v>2.5</v>
      </c>
      <c r="G32" s="51">
        <v>130.66999999999999</v>
      </c>
      <c r="H32" s="51">
        <v>44</v>
      </c>
      <c r="I32" s="51">
        <v>15.17</v>
      </c>
      <c r="J32" s="51">
        <v>0.19</v>
      </c>
      <c r="K32" s="51">
        <v>227.89</v>
      </c>
      <c r="L32" s="51">
        <v>20.7</v>
      </c>
      <c r="M32" s="51">
        <v>87.73</v>
      </c>
      <c r="N32" s="51">
        <v>1.7</v>
      </c>
      <c r="O32" s="51">
        <v>0</v>
      </c>
      <c r="P32" s="51">
        <v>1.26</v>
      </c>
      <c r="Q32" s="51">
        <v>10.08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3.66</v>
      </c>
      <c r="C34" s="41">
        <f t="shared" si="0"/>
        <v>16.239999999999998</v>
      </c>
      <c r="D34" s="41">
        <f t="shared" si="0"/>
        <v>13.01</v>
      </c>
      <c r="E34" s="41">
        <f t="shared" si="0"/>
        <v>8.23</v>
      </c>
      <c r="F34" s="41">
        <f t="shared" si="0"/>
        <v>2.5</v>
      </c>
      <c r="G34" s="41">
        <f t="shared" si="0"/>
        <v>77.48</v>
      </c>
      <c r="H34" s="41">
        <f t="shared" si="0"/>
        <v>27.67</v>
      </c>
      <c r="I34" s="41">
        <f t="shared" si="0"/>
        <v>5.58</v>
      </c>
      <c r="J34" s="41">
        <f t="shared" si="0"/>
        <v>0.15</v>
      </c>
      <c r="K34" s="41">
        <f t="shared" si="0"/>
        <v>45.33</v>
      </c>
      <c r="L34" s="41">
        <f t="shared" si="0"/>
        <v>19.78</v>
      </c>
      <c r="M34" s="41">
        <f t="shared" si="0"/>
        <v>36.26</v>
      </c>
      <c r="N34" s="41">
        <f t="shared" si="0"/>
        <v>1.7</v>
      </c>
      <c r="O34" s="41">
        <f t="shared" si="0"/>
        <v>0</v>
      </c>
      <c r="P34" s="41">
        <f t="shared" si="0"/>
        <v>0.71</v>
      </c>
      <c r="Q34" s="41">
        <f t="shared" si="0"/>
        <v>10.029999999999999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21.21</v>
      </c>
      <c r="C35" s="33">
        <f t="shared" si="1"/>
        <v>24.62</v>
      </c>
      <c r="D35" s="33">
        <f t="shared" si="1"/>
        <v>28.42</v>
      </c>
      <c r="E35" s="33">
        <f t="shared" si="1"/>
        <v>61.25</v>
      </c>
      <c r="F35" s="33">
        <f t="shared" si="1"/>
        <v>65.849999999999994</v>
      </c>
      <c r="G35" s="33">
        <f t="shared" si="1"/>
        <v>130.66999999999999</v>
      </c>
      <c r="H35" s="33">
        <f t="shared" si="1"/>
        <v>44.92</v>
      </c>
      <c r="I35" s="33">
        <f t="shared" si="1"/>
        <v>15.17</v>
      </c>
      <c r="J35" s="33">
        <f t="shared" si="1"/>
        <v>0.9</v>
      </c>
      <c r="K35" s="33">
        <f t="shared" si="1"/>
        <v>343.5</v>
      </c>
      <c r="L35" s="33">
        <f t="shared" si="1"/>
        <v>31.66</v>
      </c>
      <c r="M35" s="33">
        <f t="shared" si="1"/>
        <v>90.87</v>
      </c>
      <c r="N35" s="33">
        <f t="shared" si="1"/>
        <v>539.70000000000005</v>
      </c>
      <c r="O35" s="33">
        <f t="shared" si="1"/>
        <v>0</v>
      </c>
      <c r="P35" s="33">
        <f t="shared" si="1"/>
        <v>1.26</v>
      </c>
      <c r="Q35" s="33">
        <f t="shared" si="1"/>
        <v>10.119999999999999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14.25916666666666</v>
      </c>
      <c r="C36" s="41">
        <f t="shared" si="2"/>
        <v>20.356666666666669</v>
      </c>
      <c r="D36" s="41">
        <f t="shared" si="2"/>
        <v>23.060416666666665</v>
      </c>
      <c r="E36" s="41">
        <f t="shared" si="2"/>
        <v>16.372916666666669</v>
      </c>
      <c r="F36" s="41">
        <f t="shared" si="2"/>
        <v>10.404583333333333</v>
      </c>
      <c r="G36" s="41">
        <f t="shared" si="2"/>
        <v>98.007499999999993</v>
      </c>
      <c r="H36" s="41">
        <f t="shared" si="2"/>
        <v>34.465833333333329</v>
      </c>
      <c r="I36" s="41">
        <f t="shared" si="2"/>
        <v>10.609583333333331</v>
      </c>
      <c r="J36" s="41">
        <f t="shared" si="2"/>
        <v>0.42208333333333337</v>
      </c>
      <c r="K36" s="41">
        <f t="shared" si="2"/>
        <v>152.64583333333334</v>
      </c>
      <c r="L36" s="41">
        <f t="shared" si="2"/>
        <v>24.951250000000005</v>
      </c>
      <c r="M36" s="41">
        <f t="shared" si="2"/>
        <v>66.169166666666655</v>
      </c>
      <c r="N36" s="41">
        <f t="shared" si="2"/>
        <v>122.64166666666667</v>
      </c>
      <c r="O36" s="41">
        <f t="shared" si="2"/>
        <v>0</v>
      </c>
      <c r="P36" s="41">
        <f t="shared" si="2"/>
        <v>0.94208333333333361</v>
      </c>
      <c r="Q36" s="41">
        <f t="shared" si="2"/>
        <v>10.078750000000001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6.7826478840376749</v>
      </c>
      <c r="C37" s="41">
        <f t="shared" ref="C37:Q37" si="3">STDEV(C9:C32)</f>
        <v>2.6520601781267481</v>
      </c>
      <c r="D37" s="41">
        <f t="shared" si="3"/>
        <v>4.9113962233074755</v>
      </c>
      <c r="E37" s="41">
        <f t="shared" si="3"/>
        <v>15.460001822140242</v>
      </c>
      <c r="F37" s="41">
        <f t="shared" si="3"/>
        <v>16.391945259305189</v>
      </c>
      <c r="G37" s="41">
        <f t="shared" si="3"/>
        <v>18.797351860209492</v>
      </c>
      <c r="H37" s="41">
        <f t="shared" si="3"/>
        <v>5.0117339849828904</v>
      </c>
      <c r="I37" s="41">
        <f t="shared" si="3"/>
        <v>2.5641872670652894</v>
      </c>
      <c r="J37" s="41">
        <f t="shared" si="3"/>
        <v>0.20974060929730759</v>
      </c>
      <c r="K37" s="41">
        <f t="shared" si="3"/>
        <v>89.740028484054093</v>
      </c>
      <c r="L37" s="41">
        <f t="shared" si="3"/>
        <v>4.2247215627314958</v>
      </c>
      <c r="M37" s="41">
        <f t="shared" si="3"/>
        <v>18.642410722227797</v>
      </c>
      <c r="N37" s="41">
        <f t="shared" si="3"/>
        <v>191.43015735491505</v>
      </c>
      <c r="O37" s="41">
        <f t="shared" si="3"/>
        <v>0</v>
      </c>
      <c r="P37" s="41">
        <f t="shared" si="3"/>
        <v>0.15712025764464027</v>
      </c>
      <c r="Q37" s="41">
        <f t="shared" si="3"/>
        <v>2.1123343773510564E-2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3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45632.041666666664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45632.041666666664</v>
      </c>
      <c r="B9" s="51">
        <v>26</v>
      </c>
      <c r="C9" s="51">
        <v>22.71</v>
      </c>
      <c r="D9" s="51">
        <v>32.4</v>
      </c>
      <c r="E9" s="51">
        <v>9.86</v>
      </c>
      <c r="F9" s="51">
        <v>2.7</v>
      </c>
      <c r="G9" s="51">
        <v>130.66999999999999</v>
      </c>
      <c r="H9" s="51">
        <v>42.22</v>
      </c>
      <c r="I9" s="51">
        <v>15.04</v>
      </c>
      <c r="J9" s="51">
        <v>0.22</v>
      </c>
      <c r="K9" s="51">
        <v>236.62</v>
      </c>
      <c r="L9" s="51">
        <v>20.329999999999998</v>
      </c>
      <c r="M9" s="51">
        <v>89.04</v>
      </c>
      <c r="N9" s="51">
        <v>1.8</v>
      </c>
      <c r="O9" s="51">
        <v>0</v>
      </c>
      <c r="P9" s="51">
        <v>1.25</v>
      </c>
      <c r="Q9" s="51">
        <v>10.1</v>
      </c>
    </row>
    <row r="10" spans="1:21" customFormat="1">
      <c r="A10" s="50">
        <v>45632.083333333336</v>
      </c>
      <c r="B10" s="51">
        <v>28.35</v>
      </c>
      <c r="C10" s="51">
        <v>20.82</v>
      </c>
      <c r="D10" s="51">
        <v>34.47</v>
      </c>
      <c r="E10" s="51">
        <v>9.85</v>
      </c>
      <c r="F10" s="51">
        <v>2.74</v>
      </c>
      <c r="G10" s="51">
        <v>122.18</v>
      </c>
      <c r="H10" s="51">
        <v>43.83</v>
      </c>
      <c r="I10" s="51">
        <v>14.84</v>
      </c>
      <c r="J10" s="51">
        <v>0.16</v>
      </c>
      <c r="K10" s="51">
        <v>214.64</v>
      </c>
      <c r="L10" s="51">
        <v>19.79</v>
      </c>
      <c r="M10" s="51">
        <v>90.98</v>
      </c>
      <c r="N10" s="51">
        <v>1.7</v>
      </c>
      <c r="O10" s="51">
        <v>0</v>
      </c>
      <c r="P10" s="51">
        <v>1.27</v>
      </c>
      <c r="Q10" s="51">
        <v>10.11</v>
      </c>
    </row>
    <row r="11" spans="1:21" customFormat="1">
      <c r="A11" s="50">
        <v>45632.125</v>
      </c>
      <c r="B11" s="51">
        <v>29.18</v>
      </c>
      <c r="C11" s="51">
        <v>20.32</v>
      </c>
      <c r="D11" s="51">
        <v>35.369999999999997</v>
      </c>
      <c r="E11" s="51">
        <v>9.41</v>
      </c>
      <c r="F11" s="51">
        <v>3.68</v>
      </c>
      <c r="G11" s="51">
        <v>122.18</v>
      </c>
      <c r="H11" s="51">
        <v>43.83</v>
      </c>
      <c r="I11" s="51">
        <v>15.19</v>
      </c>
      <c r="J11" s="51">
        <v>0.19</v>
      </c>
      <c r="K11" s="51">
        <v>219.71</v>
      </c>
      <c r="L11" s="51">
        <v>19.64</v>
      </c>
      <c r="M11" s="51">
        <v>91.8</v>
      </c>
      <c r="N11" s="51">
        <v>1.7</v>
      </c>
      <c r="O11" s="51">
        <v>0</v>
      </c>
      <c r="P11" s="51">
        <v>1.27</v>
      </c>
      <c r="Q11" s="51">
        <v>10.130000000000001</v>
      </c>
    </row>
    <row r="12" spans="1:21" customFormat="1">
      <c r="A12" s="50">
        <v>45632.166666666664</v>
      </c>
      <c r="B12" s="51">
        <v>32.1</v>
      </c>
      <c r="C12" s="51">
        <v>20.07</v>
      </c>
      <c r="D12" s="51">
        <v>37.54</v>
      </c>
      <c r="E12" s="51">
        <v>9.4</v>
      </c>
      <c r="F12" s="51">
        <v>3.8</v>
      </c>
      <c r="G12" s="51">
        <v>119.09</v>
      </c>
      <c r="H12" s="51">
        <v>42.42</v>
      </c>
      <c r="I12" s="51">
        <v>15.43</v>
      </c>
      <c r="J12" s="51">
        <v>0.41</v>
      </c>
      <c r="K12" s="51">
        <v>110.34</v>
      </c>
      <c r="L12" s="51">
        <v>19.97</v>
      </c>
      <c r="M12" s="51">
        <v>87.55</v>
      </c>
      <c r="N12" s="51">
        <v>1.6</v>
      </c>
      <c r="O12" s="51">
        <v>0</v>
      </c>
      <c r="P12" s="51">
        <v>1.27</v>
      </c>
      <c r="Q12" s="51">
        <v>10.130000000000001</v>
      </c>
    </row>
    <row r="13" spans="1:21" customFormat="1">
      <c r="A13" s="50">
        <v>45632.208333333336</v>
      </c>
      <c r="B13" s="51">
        <v>31.92</v>
      </c>
      <c r="C13" s="51">
        <v>20.66</v>
      </c>
      <c r="D13" s="51">
        <v>37.56</v>
      </c>
      <c r="E13" s="51">
        <v>9.92</v>
      </c>
      <c r="F13" s="51">
        <v>2.82</v>
      </c>
      <c r="G13" s="51">
        <v>119.03</v>
      </c>
      <c r="H13" s="51">
        <v>40.729999999999997</v>
      </c>
      <c r="I13" s="51">
        <v>15.41</v>
      </c>
      <c r="J13" s="51">
        <v>0.42</v>
      </c>
      <c r="K13" s="51">
        <v>43.11</v>
      </c>
      <c r="L13" s="51">
        <v>19.87</v>
      </c>
      <c r="M13" s="51">
        <v>78.77</v>
      </c>
      <c r="N13" s="51">
        <v>1.8</v>
      </c>
      <c r="O13" s="51">
        <v>0</v>
      </c>
      <c r="P13" s="51">
        <v>1.24</v>
      </c>
      <c r="Q13" s="51">
        <v>10.130000000000001</v>
      </c>
    </row>
    <row r="14" spans="1:21" customFormat="1">
      <c r="A14" s="50">
        <v>45632.25</v>
      </c>
      <c r="B14" s="51">
        <v>29.98</v>
      </c>
      <c r="C14" s="51">
        <v>21.21</v>
      </c>
      <c r="D14" s="51">
        <v>36.29</v>
      </c>
      <c r="E14" s="51">
        <v>9.2799999999999994</v>
      </c>
      <c r="F14" s="51">
        <v>2.62</v>
      </c>
      <c r="G14" s="51">
        <v>117.62</v>
      </c>
      <c r="H14" s="51">
        <v>42.81</v>
      </c>
      <c r="I14" s="51">
        <v>15.03</v>
      </c>
      <c r="J14" s="51">
        <v>0.4</v>
      </c>
      <c r="K14" s="51">
        <v>63.12</v>
      </c>
      <c r="L14" s="51">
        <v>19.48</v>
      </c>
      <c r="M14" s="51">
        <v>76.92</v>
      </c>
      <c r="N14" s="51">
        <v>1.8</v>
      </c>
      <c r="O14" s="51">
        <v>0</v>
      </c>
      <c r="P14" s="51">
        <v>1.22</v>
      </c>
      <c r="Q14" s="51">
        <v>10.130000000000001</v>
      </c>
    </row>
    <row r="15" spans="1:21" customFormat="1">
      <c r="A15" s="50">
        <v>45632.291666666664</v>
      </c>
      <c r="B15" s="51">
        <v>29.05</v>
      </c>
      <c r="C15" s="51">
        <v>21.91</v>
      </c>
      <c r="D15" s="51">
        <v>35.840000000000003</v>
      </c>
      <c r="E15" s="51">
        <v>9.3699999999999992</v>
      </c>
      <c r="F15" s="51">
        <v>3.16</v>
      </c>
      <c r="G15" s="51">
        <v>120.03</v>
      </c>
      <c r="H15" s="51">
        <v>42.81</v>
      </c>
      <c r="I15" s="51">
        <v>15.01</v>
      </c>
      <c r="J15" s="51">
        <v>0.36</v>
      </c>
      <c r="K15" s="51">
        <v>127.75</v>
      </c>
      <c r="L15" s="51">
        <v>19.43</v>
      </c>
      <c r="M15" s="51">
        <v>79.510000000000005</v>
      </c>
      <c r="N15" s="51">
        <v>25.8</v>
      </c>
      <c r="O15" s="51">
        <v>0</v>
      </c>
      <c r="P15" s="51">
        <v>1.19</v>
      </c>
      <c r="Q15" s="51">
        <v>10.130000000000001</v>
      </c>
    </row>
    <row r="16" spans="1:21" customFormat="1">
      <c r="A16" s="50">
        <v>45632.333333333336</v>
      </c>
      <c r="B16" s="51">
        <v>27.63</v>
      </c>
      <c r="C16" s="51">
        <v>22.22</v>
      </c>
      <c r="D16" s="51">
        <v>35.119999999999997</v>
      </c>
      <c r="E16" s="51">
        <v>9.68</v>
      </c>
      <c r="F16" s="51">
        <v>3</v>
      </c>
      <c r="G16" s="51">
        <v>124.38</v>
      </c>
      <c r="H16" s="51">
        <v>43.45</v>
      </c>
      <c r="I16" s="51">
        <v>14.65</v>
      </c>
      <c r="J16" s="51">
        <v>0.56000000000000005</v>
      </c>
      <c r="K16" s="51">
        <v>56.02</v>
      </c>
      <c r="L16" s="51">
        <v>21.15</v>
      </c>
      <c r="M16" s="51">
        <v>74.709999999999994</v>
      </c>
      <c r="N16" s="51">
        <v>133.6</v>
      </c>
      <c r="O16" s="51">
        <v>0</v>
      </c>
      <c r="P16" s="51">
        <v>1.18</v>
      </c>
      <c r="Q16" s="51">
        <v>10.119999999999999</v>
      </c>
    </row>
    <row r="17" spans="1:17" customFormat="1">
      <c r="A17" s="50">
        <v>45632.375</v>
      </c>
      <c r="B17" s="51">
        <v>27</v>
      </c>
      <c r="C17" s="51">
        <v>21.69</v>
      </c>
      <c r="D17" s="51">
        <v>34.04</v>
      </c>
      <c r="E17" s="51">
        <v>9.4700000000000006</v>
      </c>
      <c r="F17" s="51">
        <v>2.96</v>
      </c>
      <c r="G17" s="51">
        <v>128.69</v>
      </c>
      <c r="H17" s="51">
        <v>44.58</v>
      </c>
      <c r="I17" s="51">
        <v>14.6</v>
      </c>
      <c r="J17" s="51">
        <v>0.84</v>
      </c>
      <c r="K17" s="51">
        <v>64.180000000000007</v>
      </c>
      <c r="L17" s="51">
        <v>24.18</v>
      </c>
      <c r="M17" s="51">
        <v>66.459999999999994</v>
      </c>
      <c r="N17" s="51">
        <v>235.8</v>
      </c>
      <c r="O17" s="51">
        <v>0</v>
      </c>
      <c r="P17" s="51">
        <v>1.19</v>
      </c>
      <c r="Q17" s="51">
        <v>10.11</v>
      </c>
    </row>
    <row r="18" spans="1:17" customFormat="1">
      <c r="A18" s="50">
        <v>45632.416666666664</v>
      </c>
      <c r="B18" s="51">
        <v>24.79</v>
      </c>
      <c r="C18" s="51">
        <v>20.82</v>
      </c>
      <c r="D18" s="51">
        <v>31.98</v>
      </c>
      <c r="E18" s="51">
        <v>9.52</v>
      </c>
      <c r="F18" s="51">
        <v>3.43</v>
      </c>
      <c r="G18" s="51">
        <v>128.69</v>
      </c>
      <c r="H18" s="51">
        <v>44.58</v>
      </c>
      <c r="I18" s="51">
        <v>14.49</v>
      </c>
      <c r="J18" s="51">
        <v>0.47</v>
      </c>
      <c r="K18" s="51">
        <v>123.22</v>
      </c>
      <c r="L18" s="51">
        <v>27.85</v>
      </c>
      <c r="M18" s="51">
        <v>51.94</v>
      </c>
      <c r="N18" s="51">
        <v>389</v>
      </c>
      <c r="O18" s="51">
        <v>0</v>
      </c>
      <c r="P18" s="51">
        <v>1.17</v>
      </c>
      <c r="Q18" s="51">
        <v>10.11</v>
      </c>
    </row>
    <row r="19" spans="1:17" customFormat="1">
      <c r="A19" s="50">
        <v>45632.458333333336</v>
      </c>
      <c r="B19" s="51">
        <v>21.35</v>
      </c>
      <c r="C19" s="51">
        <v>21.37</v>
      </c>
      <c r="D19" s="51">
        <v>28.48</v>
      </c>
      <c r="E19" s="51">
        <v>11.23</v>
      </c>
      <c r="F19" s="51">
        <v>4.76</v>
      </c>
      <c r="G19" s="51">
        <v>116.38</v>
      </c>
      <c r="H19" s="51">
        <v>41.41</v>
      </c>
      <c r="I19" s="51">
        <v>14.07</v>
      </c>
      <c r="J19" s="51">
        <v>0.39</v>
      </c>
      <c r="K19" s="51">
        <v>108.78</v>
      </c>
      <c r="L19" s="51">
        <v>29.62</v>
      </c>
      <c r="M19" s="51">
        <v>48.51</v>
      </c>
      <c r="N19" s="51">
        <v>454.1</v>
      </c>
      <c r="O19" s="51">
        <v>0</v>
      </c>
      <c r="P19" s="51">
        <v>1.1200000000000001</v>
      </c>
      <c r="Q19" s="51">
        <v>10.09</v>
      </c>
    </row>
    <row r="20" spans="1:17" customFormat="1">
      <c r="A20" s="50">
        <v>45632.5</v>
      </c>
      <c r="B20" s="51">
        <v>15.96</v>
      </c>
      <c r="C20" s="51">
        <v>20.27</v>
      </c>
      <c r="D20" s="51">
        <v>23.28</v>
      </c>
      <c r="E20" s="51">
        <v>12.43</v>
      </c>
      <c r="F20" s="51">
        <v>8.07</v>
      </c>
      <c r="G20" s="51">
        <v>106.38</v>
      </c>
      <c r="H20" s="51">
        <v>41.2</v>
      </c>
      <c r="I20" s="51">
        <v>13.54</v>
      </c>
      <c r="J20" s="51">
        <v>0.56999999999999995</v>
      </c>
      <c r="K20" s="51">
        <v>353.14</v>
      </c>
      <c r="L20" s="51">
        <v>30.15</v>
      </c>
      <c r="M20" s="51">
        <v>49.06</v>
      </c>
      <c r="N20" s="51">
        <v>469.4</v>
      </c>
      <c r="O20" s="51">
        <v>0</v>
      </c>
      <c r="P20" s="51">
        <v>1.1299999999999999</v>
      </c>
      <c r="Q20" s="51">
        <v>10.1</v>
      </c>
    </row>
    <row r="21" spans="1:17" customFormat="1">
      <c r="A21" s="50">
        <v>45632.541666666664</v>
      </c>
      <c r="B21" s="51">
        <v>8.44</v>
      </c>
      <c r="C21" s="51">
        <v>21.54</v>
      </c>
      <c r="D21" s="51">
        <v>19.12</v>
      </c>
      <c r="E21" s="51">
        <v>16.29</v>
      </c>
      <c r="F21" s="51">
        <v>43.91</v>
      </c>
      <c r="G21" s="51">
        <v>91.18</v>
      </c>
      <c r="H21" s="51">
        <v>38.07</v>
      </c>
      <c r="I21" s="51">
        <v>13.09</v>
      </c>
      <c r="J21" s="51">
        <v>0.56000000000000005</v>
      </c>
      <c r="K21" s="51">
        <v>333.71</v>
      </c>
      <c r="L21" s="51">
        <v>31.06</v>
      </c>
      <c r="M21" s="51">
        <v>46.23</v>
      </c>
      <c r="N21" s="51">
        <v>458.4</v>
      </c>
      <c r="O21" s="51">
        <v>0</v>
      </c>
      <c r="P21" s="51">
        <v>1.1299999999999999</v>
      </c>
      <c r="Q21" s="51">
        <v>10.08</v>
      </c>
    </row>
    <row r="22" spans="1:17" customFormat="1">
      <c r="A22" s="50">
        <v>45632.583333333336</v>
      </c>
      <c r="B22" s="51">
        <v>3.56</v>
      </c>
      <c r="C22" s="51">
        <v>22.87</v>
      </c>
      <c r="D22" s="51">
        <v>16.149999999999999</v>
      </c>
      <c r="E22" s="51">
        <v>16.77</v>
      </c>
      <c r="F22" s="51">
        <v>41.24</v>
      </c>
      <c r="G22" s="51">
        <v>93.8</v>
      </c>
      <c r="H22" s="51">
        <v>39.33</v>
      </c>
      <c r="I22" s="51">
        <v>11.35</v>
      </c>
      <c r="J22" s="51">
        <v>0.68</v>
      </c>
      <c r="K22" s="51">
        <v>359.93</v>
      </c>
      <c r="L22" s="51">
        <v>30.6</v>
      </c>
      <c r="M22" s="51">
        <v>44.37</v>
      </c>
      <c r="N22" s="51">
        <v>273.10000000000002</v>
      </c>
      <c r="O22" s="51">
        <v>0</v>
      </c>
      <c r="P22" s="51">
        <v>1.1399999999999999</v>
      </c>
      <c r="Q22" s="51">
        <v>10.07</v>
      </c>
    </row>
    <row r="23" spans="1:17" customFormat="1">
      <c r="A23" s="50">
        <v>45632.625</v>
      </c>
      <c r="B23" s="51">
        <v>3.58</v>
      </c>
      <c r="C23" s="51">
        <v>19.13</v>
      </c>
      <c r="D23" s="51">
        <v>14.18</v>
      </c>
      <c r="E23" s="51">
        <v>13.7</v>
      </c>
      <c r="F23" s="51">
        <v>46.24</v>
      </c>
      <c r="G23" s="51">
        <v>93.8</v>
      </c>
      <c r="H23" s="51">
        <v>39.33</v>
      </c>
      <c r="I23" s="51">
        <v>10.050000000000001</v>
      </c>
      <c r="J23" s="51">
        <v>0.86</v>
      </c>
      <c r="K23" s="51">
        <v>323.3</v>
      </c>
      <c r="L23" s="51">
        <v>30.32</v>
      </c>
      <c r="M23" s="51">
        <v>44.45</v>
      </c>
      <c r="N23" s="51">
        <v>144.5</v>
      </c>
      <c r="O23" s="51">
        <v>0</v>
      </c>
      <c r="P23" s="51">
        <v>0.77</v>
      </c>
      <c r="Q23" s="51">
        <v>10.07</v>
      </c>
    </row>
    <row r="24" spans="1:17" customFormat="1">
      <c r="A24" s="50">
        <v>45632.666666666664</v>
      </c>
      <c r="B24" s="51">
        <v>3.68</v>
      </c>
      <c r="C24" s="51">
        <v>20.71</v>
      </c>
      <c r="D24" s="51">
        <v>15.02</v>
      </c>
      <c r="E24" s="51">
        <v>14.46</v>
      </c>
      <c r="F24" s="51">
        <v>35.06</v>
      </c>
      <c r="G24" s="51">
        <v>88.76</v>
      </c>
      <c r="H24" s="51">
        <v>36.18</v>
      </c>
      <c r="I24" s="51">
        <v>8.19</v>
      </c>
      <c r="J24" s="51">
        <v>0.8</v>
      </c>
      <c r="K24" s="51">
        <v>319.2</v>
      </c>
      <c r="L24" s="51">
        <v>30.03</v>
      </c>
      <c r="M24" s="51">
        <v>45.31</v>
      </c>
      <c r="N24" s="51">
        <v>80.5</v>
      </c>
      <c r="O24" s="51">
        <v>0</v>
      </c>
      <c r="P24" s="51">
        <v>0.73</v>
      </c>
      <c r="Q24" s="51">
        <v>10.06</v>
      </c>
    </row>
    <row r="25" spans="1:17" customFormat="1">
      <c r="A25" s="50">
        <v>45632.708333333336</v>
      </c>
      <c r="B25" s="51">
        <v>4.21</v>
      </c>
      <c r="C25" s="51">
        <v>23.54</v>
      </c>
      <c r="D25" s="51">
        <v>16.63</v>
      </c>
      <c r="E25" s="51">
        <v>12.78</v>
      </c>
      <c r="F25" s="51">
        <v>11.34</v>
      </c>
      <c r="G25" s="51">
        <v>79.540000000000006</v>
      </c>
      <c r="H25" s="51">
        <v>33.81</v>
      </c>
      <c r="I25" s="51">
        <v>8.02</v>
      </c>
      <c r="J25" s="51">
        <v>0.26</v>
      </c>
      <c r="K25" s="51">
        <v>298.62</v>
      </c>
      <c r="L25" s="51">
        <v>29.1</v>
      </c>
      <c r="M25" s="51">
        <v>54.85</v>
      </c>
      <c r="N25" s="51">
        <v>28.5</v>
      </c>
      <c r="O25" s="51">
        <v>0</v>
      </c>
      <c r="P25" s="51">
        <v>0.74</v>
      </c>
      <c r="Q25" s="51">
        <v>10.06</v>
      </c>
    </row>
    <row r="26" spans="1:17" customFormat="1">
      <c r="A26" s="50">
        <v>45632.75</v>
      </c>
      <c r="B26" s="51">
        <v>5.23</v>
      </c>
      <c r="C26" s="51">
        <v>20.93</v>
      </c>
      <c r="D26" s="51">
        <v>16.48</v>
      </c>
      <c r="E26" s="51">
        <v>12</v>
      </c>
      <c r="F26" s="51">
        <v>4.51</v>
      </c>
      <c r="G26" s="51">
        <v>87.31</v>
      </c>
      <c r="H26" s="51">
        <v>34.67</v>
      </c>
      <c r="I26" s="51">
        <v>8.82</v>
      </c>
      <c r="J26" s="51">
        <v>0.28999999999999998</v>
      </c>
      <c r="K26" s="51">
        <v>161.51</v>
      </c>
      <c r="L26" s="51">
        <v>26.77</v>
      </c>
      <c r="M26" s="51">
        <v>65.61</v>
      </c>
      <c r="N26" s="51">
        <v>3.6</v>
      </c>
      <c r="O26" s="51">
        <v>0</v>
      </c>
      <c r="P26" s="51">
        <v>0.78</v>
      </c>
      <c r="Q26" s="51">
        <v>10.039999999999999</v>
      </c>
    </row>
    <row r="27" spans="1:17" customFormat="1">
      <c r="A27" s="50">
        <v>45632.791666666664</v>
      </c>
      <c r="B27" s="51">
        <v>6.13</v>
      </c>
      <c r="C27" s="51">
        <v>19.18</v>
      </c>
      <c r="D27" s="51">
        <v>16.12</v>
      </c>
      <c r="E27" s="51">
        <v>8.66</v>
      </c>
      <c r="F27" s="51">
        <v>3.78</v>
      </c>
      <c r="G27" s="51">
        <v>116.35</v>
      </c>
      <c r="H27" s="51">
        <v>38.840000000000003</v>
      </c>
      <c r="I27" s="51">
        <v>9.6999999999999993</v>
      </c>
      <c r="J27" s="51">
        <v>0.24</v>
      </c>
      <c r="K27" s="51">
        <v>180.96</v>
      </c>
      <c r="L27" s="51">
        <v>24.94</v>
      </c>
      <c r="M27" s="51">
        <v>80.06</v>
      </c>
      <c r="N27" s="51">
        <v>2.5</v>
      </c>
      <c r="O27" s="51">
        <v>0</v>
      </c>
      <c r="P27" s="51">
        <v>0.82</v>
      </c>
      <c r="Q27" s="51">
        <v>10.039999999999999</v>
      </c>
    </row>
    <row r="28" spans="1:17" customFormat="1">
      <c r="A28" s="50">
        <v>45632.833333333336</v>
      </c>
      <c r="B28" s="51">
        <v>6.98</v>
      </c>
      <c r="C28" s="51">
        <v>19.97</v>
      </c>
      <c r="D28" s="51">
        <v>16.89</v>
      </c>
      <c r="E28" s="51">
        <v>8.7799999999999994</v>
      </c>
      <c r="F28" s="51">
        <v>2.96</v>
      </c>
      <c r="G28" s="51">
        <v>116.35</v>
      </c>
      <c r="H28" s="51">
        <v>39.24</v>
      </c>
      <c r="I28" s="51">
        <v>10.29</v>
      </c>
      <c r="J28" s="51">
        <v>0.21</v>
      </c>
      <c r="K28" s="51">
        <v>198.14</v>
      </c>
      <c r="L28" s="51">
        <v>23.74</v>
      </c>
      <c r="M28" s="51">
        <v>81.209999999999994</v>
      </c>
      <c r="N28" s="51">
        <v>2</v>
      </c>
      <c r="O28" s="51">
        <v>0</v>
      </c>
      <c r="P28" s="51">
        <v>0.89</v>
      </c>
      <c r="Q28" s="51">
        <v>10.039999999999999</v>
      </c>
    </row>
    <row r="29" spans="1:17" customFormat="1">
      <c r="A29" s="50">
        <v>45632.875</v>
      </c>
      <c r="B29" s="51">
        <v>9.09</v>
      </c>
      <c r="C29" s="51">
        <v>18.82</v>
      </c>
      <c r="D29" s="51">
        <v>18.27</v>
      </c>
      <c r="E29" s="51">
        <v>8.84</v>
      </c>
      <c r="F29" s="51">
        <v>3.03</v>
      </c>
      <c r="G29" s="51">
        <v>113.68</v>
      </c>
      <c r="H29" s="51">
        <v>40.65</v>
      </c>
      <c r="I29" s="51">
        <v>10.76</v>
      </c>
      <c r="J29" s="51">
        <v>0.16</v>
      </c>
      <c r="K29" s="51">
        <v>257.69</v>
      </c>
      <c r="L29" s="51">
        <v>23.24</v>
      </c>
      <c r="M29" s="51">
        <v>80.91</v>
      </c>
      <c r="N29" s="51">
        <v>1.8</v>
      </c>
      <c r="O29" s="51">
        <v>0</v>
      </c>
      <c r="P29" s="51">
        <v>0.95</v>
      </c>
      <c r="Q29" s="51">
        <v>10.039999999999999</v>
      </c>
    </row>
    <row r="30" spans="1:17" customFormat="1">
      <c r="A30" s="50">
        <v>45632.916666666664</v>
      </c>
      <c r="B30" s="51">
        <v>16.32</v>
      </c>
      <c r="C30" s="51">
        <v>18.2</v>
      </c>
      <c r="D30" s="51">
        <v>23.95</v>
      </c>
      <c r="E30" s="51">
        <v>8.67</v>
      </c>
      <c r="F30" s="51">
        <v>2.72</v>
      </c>
      <c r="G30" s="51">
        <v>131.21</v>
      </c>
      <c r="H30" s="51">
        <v>44.44</v>
      </c>
      <c r="I30" s="51">
        <v>12.14</v>
      </c>
      <c r="J30" s="51">
        <v>0.32</v>
      </c>
      <c r="K30" s="51">
        <v>166.06</v>
      </c>
      <c r="L30" s="51">
        <v>23.08</v>
      </c>
      <c r="M30" s="51">
        <v>84.03</v>
      </c>
      <c r="N30" s="51">
        <v>1.8</v>
      </c>
      <c r="O30" s="51">
        <v>0</v>
      </c>
      <c r="P30" s="51">
        <v>1.1499999999999999</v>
      </c>
      <c r="Q30" s="51">
        <v>10.09</v>
      </c>
    </row>
    <row r="31" spans="1:17" customFormat="1">
      <c r="A31" s="50">
        <v>45632.958333333336</v>
      </c>
      <c r="B31" s="51">
        <v>21.86</v>
      </c>
      <c r="C31" s="51">
        <v>20.32</v>
      </c>
      <c r="D31" s="51">
        <v>29.5</v>
      </c>
      <c r="E31" s="51">
        <v>8.2899999999999991</v>
      </c>
      <c r="F31" s="51">
        <v>2.66</v>
      </c>
      <c r="G31" s="51">
        <v>145.31</v>
      </c>
      <c r="H31" s="51">
        <v>52.14</v>
      </c>
      <c r="I31" s="51">
        <v>14.09</v>
      </c>
      <c r="J31" s="51">
        <v>0.24</v>
      </c>
      <c r="K31" s="51">
        <v>193.26</v>
      </c>
      <c r="L31" s="51">
        <v>22.44</v>
      </c>
      <c r="M31" s="51">
        <v>86.04</v>
      </c>
      <c r="N31" s="51">
        <v>2</v>
      </c>
      <c r="O31" s="51">
        <v>0</v>
      </c>
      <c r="P31" s="51">
        <v>1.29</v>
      </c>
      <c r="Q31" s="51">
        <v>10.119999999999999</v>
      </c>
    </row>
    <row r="32" spans="1:17" customFormat="1">
      <c r="A32" s="50">
        <v>45633</v>
      </c>
      <c r="B32" s="51">
        <v>25.91</v>
      </c>
      <c r="C32" s="51">
        <v>21.59</v>
      </c>
      <c r="D32" s="51">
        <v>33.409999999999997</v>
      </c>
      <c r="E32" s="51">
        <v>8.9</v>
      </c>
      <c r="F32" s="51">
        <v>2.6</v>
      </c>
      <c r="G32" s="51">
        <v>153.36000000000001</v>
      </c>
      <c r="H32" s="51">
        <v>54.81</v>
      </c>
      <c r="I32" s="51">
        <v>15.56</v>
      </c>
      <c r="J32" s="51">
        <v>0.45</v>
      </c>
      <c r="K32" s="51">
        <v>163.89</v>
      </c>
      <c r="L32" s="51">
        <v>22.83</v>
      </c>
      <c r="M32" s="51">
        <v>87.27</v>
      </c>
      <c r="N32" s="51">
        <v>2</v>
      </c>
      <c r="O32" s="51">
        <v>0</v>
      </c>
      <c r="P32" s="51">
        <v>1.35</v>
      </c>
      <c r="Q32" s="51">
        <v>10.130000000000001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3.56</v>
      </c>
      <c r="C34" s="41">
        <f t="shared" si="0"/>
        <v>18.2</v>
      </c>
      <c r="D34" s="41">
        <f t="shared" si="0"/>
        <v>14.18</v>
      </c>
      <c r="E34" s="41">
        <f t="shared" si="0"/>
        <v>8.2899999999999991</v>
      </c>
      <c r="F34" s="41">
        <f t="shared" si="0"/>
        <v>2.6</v>
      </c>
      <c r="G34" s="41">
        <f t="shared" si="0"/>
        <v>79.540000000000006</v>
      </c>
      <c r="H34" s="41">
        <f t="shared" si="0"/>
        <v>33.81</v>
      </c>
      <c r="I34" s="41">
        <f t="shared" si="0"/>
        <v>8.02</v>
      </c>
      <c r="J34" s="41">
        <f t="shared" si="0"/>
        <v>0.16</v>
      </c>
      <c r="K34" s="41">
        <f t="shared" si="0"/>
        <v>43.11</v>
      </c>
      <c r="L34" s="41">
        <f t="shared" si="0"/>
        <v>19.43</v>
      </c>
      <c r="M34" s="41">
        <f t="shared" si="0"/>
        <v>44.37</v>
      </c>
      <c r="N34" s="41">
        <f t="shared" si="0"/>
        <v>1.6</v>
      </c>
      <c r="O34" s="41">
        <f t="shared" si="0"/>
        <v>0</v>
      </c>
      <c r="P34" s="41">
        <f t="shared" si="0"/>
        <v>0.73</v>
      </c>
      <c r="Q34" s="41">
        <f t="shared" si="0"/>
        <v>10.039999999999999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32.1</v>
      </c>
      <c r="C35" s="33">
        <f t="shared" si="1"/>
        <v>23.54</v>
      </c>
      <c r="D35" s="33">
        <f t="shared" si="1"/>
        <v>37.56</v>
      </c>
      <c r="E35" s="33">
        <f t="shared" si="1"/>
        <v>16.77</v>
      </c>
      <c r="F35" s="33">
        <f t="shared" si="1"/>
        <v>46.24</v>
      </c>
      <c r="G35" s="33">
        <f t="shared" si="1"/>
        <v>153.36000000000001</v>
      </c>
      <c r="H35" s="33">
        <f t="shared" si="1"/>
        <v>54.81</v>
      </c>
      <c r="I35" s="33">
        <f t="shared" si="1"/>
        <v>15.56</v>
      </c>
      <c r="J35" s="33">
        <f t="shared" si="1"/>
        <v>0.86</v>
      </c>
      <c r="K35" s="33">
        <f t="shared" si="1"/>
        <v>359.93</v>
      </c>
      <c r="L35" s="33">
        <f t="shared" si="1"/>
        <v>31.06</v>
      </c>
      <c r="M35" s="33">
        <f t="shared" si="1"/>
        <v>91.8</v>
      </c>
      <c r="N35" s="33">
        <f t="shared" si="1"/>
        <v>469.4</v>
      </c>
      <c r="O35" s="33">
        <f t="shared" si="1"/>
        <v>0</v>
      </c>
      <c r="P35" s="33">
        <f t="shared" si="1"/>
        <v>1.35</v>
      </c>
      <c r="Q35" s="33">
        <f t="shared" si="1"/>
        <v>10.130000000000001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18.262500000000003</v>
      </c>
      <c r="C36" s="41">
        <f t="shared" si="2"/>
        <v>20.869583333333335</v>
      </c>
      <c r="D36" s="41">
        <f t="shared" si="2"/>
        <v>26.587083333333329</v>
      </c>
      <c r="E36" s="41">
        <f t="shared" si="2"/>
        <v>10.731666666666667</v>
      </c>
      <c r="F36" s="41">
        <f t="shared" si="2"/>
        <v>10.157916666666667</v>
      </c>
      <c r="G36" s="41">
        <f t="shared" si="2"/>
        <v>115.24874999999999</v>
      </c>
      <c r="H36" s="41">
        <f t="shared" si="2"/>
        <v>41.89083333333334</v>
      </c>
      <c r="I36" s="41">
        <f t="shared" si="2"/>
        <v>12.889999999999999</v>
      </c>
      <c r="J36" s="41">
        <f t="shared" si="2"/>
        <v>0.41916666666666663</v>
      </c>
      <c r="K36" s="41">
        <f t="shared" si="2"/>
        <v>194.87083333333337</v>
      </c>
      <c r="L36" s="41">
        <f t="shared" si="2"/>
        <v>24.56708333333334</v>
      </c>
      <c r="M36" s="41">
        <f t="shared" si="2"/>
        <v>70.232916666666668</v>
      </c>
      <c r="N36" s="41">
        <f t="shared" si="2"/>
        <v>113.28333333333335</v>
      </c>
      <c r="O36" s="41">
        <f t="shared" si="2"/>
        <v>0</v>
      </c>
      <c r="P36" s="41">
        <f t="shared" si="2"/>
        <v>1.0933333333333333</v>
      </c>
      <c r="Q36" s="41">
        <f t="shared" si="2"/>
        <v>10.092916666666666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10.786553726948554</v>
      </c>
      <c r="C37" s="41">
        <f t="shared" ref="C37:Q37" si="3">STDEV(C9:C32)</f>
        <v>1.3043788432302381</v>
      </c>
      <c r="D37" s="41">
        <f t="shared" si="3"/>
        <v>8.7318579521830006</v>
      </c>
      <c r="E37" s="41">
        <f t="shared" si="3"/>
        <v>2.4503321277393972</v>
      </c>
      <c r="F37" s="41">
        <f t="shared" si="3"/>
        <v>14.606520872293773</v>
      </c>
      <c r="G37" s="41">
        <f t="shared" si="3"/>
        <v>18.402059504896279</v>
      </c>
      <c r="H37" s="41">
        <f t="shared" si="3"/>
        <v>4.6748177520083356</v>
      </c>
      <c r="I37" s="41">
        <f t="shared" si="3"/>
        <v>2.549006626631003</v>
      </c>
      <c r="J37" s="41">
        <f t="shared" si="3"/>
        <v>0.21280561995412148</v>
      </c>
      <c r="K37" s="41">
        <f t="shared" si="3"/>
        <v>98.915364697242055</v>
      </c>
      <c r="L37" s="41">
        <f t="shared" si="3"/>
        <v>4.2684356967279236</v>
      </c>
      <c r="M37" s="41">
        <f t="shared" si="3"/>
        <v>17.31099059762369</v>
      </c>
      <c r="N37" s="41">
        <f t="shared" si="3"/>
        <v>169.00326126687781</v>
      </c>
      <c r="O37" s="41">
        <f t="shared" si="3"/>
        <v>0</v>
      </c>
      <c r="P37" s="41">
        <f t="shared" si="3"/>
        <v>0.19752086662837323</v>
      </c>
      <c r="Q37" s="41">
        <f t="shared" si="3"/>
        <v>3.3163516710079624E-2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45633.041666666664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45633.041666666664</v>
      </c>
      <c r="B9" s="51">
        <v>24.53</v>
      </c>
      <c r="C9" s="51">
        <v>22.53</v>
      </c>
      <c r="D9" s="51">
        <v>32.01</v>
      </c>
      <c r="E9" s="51">
        <v>9.0299999999999994</v>
      </c>
      <c r="F9" s="51">
        <v>3.19</v>
      </c>
      <c r="G9" s="51">
        <v>158.6</v>
      </c>
      <c r="H9" s="51">
        <v>54.81</v>
      </c>
      <c r="I9" s="51">
        <v>15.81</v>
      </c>
      <c r="J9" s="51">
        <v>0.54</v>
      </c>
      <c r="K9" s="51">
        <v>66.540000000000006</v>
      </c>
      <c r="L9" s="51">
        <v>22.99</v>
      </c>
      <c r="M9" s="51">
        <v>71.27</v>
      </c>
      <c r="N9" s="51">
        <v>2.1</v>
      </c>
      <c r="O9" s="51">
        <v>0</v>
      </c>
      <c r="P9" s="51">
        <v>1.33</v>
      </c>
      <c r="Q9" s="51">
        <v>10.119999999999999</v>
      </c>
    </row>
    <row r="10" spans="1:21" customFormat="1">
      <c r="A10" s="50">
        <v>45633.083333333336</v>
      </c>
      <c r="B10" s="51">
        <v>18.11</v>
      </c>
      <c r="C10" s="51">
        <v>22.57</v>
      </c>
      <c r="D10" s="51">
        <v>27.55</v>
      </c>
      <c r="E10" s="51">
        <v>8.4499999999999993</v>
      </c>
      <c r="F10" s="51">
        <v>3</v>
      </c>
      <c r="G10" s="51">
        <v>158.6</v>
      </c>
      <c r="H10" s="51">
        <v>53.11</v>
      </c>
      <c r="I10" s="51">
        <v>15.15</v>
      </c>
      <c r="J10" s="51">
        <v>0.62</v>
      </c>
      <c r="K10" s="51">
        <v>68.56</v>
      </c>
      <c r="L10" s="51">
        <v>22.53</v>
      </c>
      <c r="M10" s="51">
        <v>63.5</v>
      </c>
      <c r="N10" s="51">
        <v>2.1</v>
      </c>
      <c r="O10" s="51">
        <v>0</v>
      </c>
      <c r="P10" s="51">
        <v>1.2</v>
      </c>
      <c r="Q10" s="51">
        <v>10.1</v>
      </c>
    </row>
    <row r="11" spans="1:21" customFormat="1">
      <c r="A11" s="50">
        <v>45633.125</v>
      </c>
      <c r="B11" s="51">
        <v>12.03</v>
      </c>
      <c r="C11" s="51">
        <v>25.17</v>
      </c>
      <c r="D11" s="51">
        <v>23.53</v>
      </c>
      <c r="E11" s="51">
        <v>9.48</v>
      </c>
      <c r="F11" s="51">
        <v>3.09</v>
      </c>
      <c r="G11" s="51">
        <v>131.04</v>
      </c>
      <c r="H11" s="51">
        <v>43.74</v>
      </c>
      <c r="I11" s="51">
        <v>13.36</v>
      </c>
      <c r="J11" s="51">
        <v>0.51</v>
      </c>
      <c r="K11" s="51">
        <v>70.22</v>
      </c>
      <c r="L11" s="51">
        <v>21.93</v>
      </c>
      <c r="M11" s="51">
        <v>63.67</v>
      </c>
      <c r="N11" s="51">
        <v>2</v>
      </c>
      <c r="O11" s="51">
        <v>0</v>
      </c>
      <c r="P11" s="51">
        <v>1.02</v>
      </c>
      <c r="Q11" s="51">
        <v>10.08</v>
      </c>
    </row>
    <row r="12" spans="1:21" customFormat="1">
      <c r="A12" s="50">
        <v>45633.166666666664</v>
      </c>
      <c r="B12" s="51">
        <v>10.59</v>
      </c>
      <c r="C12" s="51">
        <v>21.88</v>
      </c>
      <c r="D12" s="51">
        <v>21.11</v>
      </c>
      <c r="E12" s="51">
        <v>9.49</v>
      </c>
      <c r="F12" s="51">
        <v>2.82</v>
      </c>
      <c r="G12" s="51">
        <v>96.37</v>
      </c>
      <c r="H12" s="51">
        <v>36.229999999999997</v>
      </c>
      <c r="I12" s="51">
        <v>11.96</v>
      </c>
      <c r="J12" s="51">
        <v>0.52</v>
      </c>
      <c r="K12" s="51">
        <v>60.37</v>
      </c>
      <c r="L12" s="51">
        <v>21.32</v>
      </c>
      <c r="M12" s="51">
        <v>62.89</v>
      </c>
      <c r="N12" s="51">
        <v>2.1</v>
      </c>
      <c r="O12" s="51">
        <v>0</v>
      </c>
      <c r="P12" s="51">
        <v>0.9</v>
      </c>
      <c r="Q12" s="51">
        <v>10.039999999999999</v>
      </c>
    </row>
    <row r="13" spans="1:21" customFormat="1">
      <c r="A13" s="50">
        <v>45633.208333333336</v>
      </c>
      <c r="B13" s="51">
        <v>10.130000000000001</v>
      </c>
      <c r="C13" s="51">
        <v>21.19</v>
      </c>
      <c r="D13" s="51">
        <v>20.49</v>
      </c>
      <c r="E13" s="51">
        <v>9.15</v>
      </c>
      <c r="F13" s="51">
        <v>2.89</v>
      </c>
      <c r="G13" s="51">
        <v>69.349999999999994</v>
      </c>
      <c r="H13" s="51">
        <v>22.08</v>
      </c>
      <c r="I13" s="51">
        <v>11.04</v>
      </c>
      <c r="J13" s="51">
        <v>0.73</v>
      </c>
      <c r="K13" s="51">
        <v>51.75</v>
      </c>
      <c r="L13" s="51">
        <v>21.32</v>
      </c>
      <c r="M13" s="51">
        <v>63.2</v>
      </c>
      <c r="N13" s="51">
        <v>2.1</v>
      </c>
      <c r="O13" s="51">
        <v>0</v>
      </c>
      <c r="P13" s="51">
        <v>0.82</v>
      </c>
      <c r="Q13" s="51">
        <v>10.039999999999999</v>
      </c>
    </row>
    <row r="14" spans="1:21" customFormat="1">
      <c r="A14" s="50">
        <v>45633.25</v>
      </c>
      <c r="B14" s="51">
        <v>10.78</v>
      </c>
      <c r="C14" s="51">
        <v>21</v>
      </c>
      <c r="D14" s="51">
        <v>20.88</v>
      </c>
      <c r="E14" s="51">
        <v>9.44</v>
      </c>
      <c r="F14" s="51">
        <v>3.13</v>
      </c>
      <c r="G14" s="51">
        <v>52.19</v>
      </c>
      <c r="H14" s="51">
        <v>16.75</v>
      </c>
      <c r="I14" s="51">
        <v>10.26</v>
      </c>
      <c r="J14" s="51">
        <v>0.62</v>
      </c>
      <c r="K14" s="51">
        <v>70.400000000000006</v>
      </c>
      <c r="L14" s="51">
        <v>21.18</v>
      </c>
      <c r="M14" s="51">
        <v>64.98</v>
      </c>
      <c r="N14" s="51">
        <v>2.2999999999999998</v>
      </c>
      <c r="O14" s="51">
        <v>0</v>
      </c>
      <c r="P14" s="51">
        <v>0.76</v>
      </c>
      <c r="Q14" s="51">
        <v>10.039999999999999</v>
      </c>
    </row>
    <row r="15" spans="1:21" customFormat="1">
      <c r="A15" s="50">
        <v>45633.291666666664</v>
      </c>
      <c r="B15" s="51">
        <v>11.89</v>
      </c>
      <c r="C15" s="51">
        <v>20.350000000000001</v>
      </c>
      <c r="D15" s="51">
        <v>20.9</v>
      </c>
      <c r="E15" s="51">
        <v>9.19</v>
      </c>
      <c r="F15" s="51">
        <v>2.61</v>
      </c>
      <c r="G15" s="51">
        <v>49.88</v>
      </c>
      <c r="H15" s="51">
        <v>18.579999999999998</v>
      </c>
      <c r="I15" s="51">
        <v>9.75</v>
      </c>
      <c r="J15" s="51">
        <v>0.56999999999999995</v>
      </c>
      <c r="K15" s="51">
        <v>90.91</v>
      </c>
      <c r="L15" s="51">
        <v>20.67</v>
      </c>
      <c r="M15" s="51">
        <v>67.459999999999994</v>
      </c>
      <c r="N15" s="51">
        <v>15.2</v>
      </c>
      <c r="O15" s="51">
        <v>0</v>
      </c>
      <c r="P15" s="51">
        <v>0.73</v>
      </c>
      <c r="Q15" s="51">
        <v>10.050000000000001</v>
      </c>
    </row>
    <row r="16" spans="1:21" customFormat="1">
      <c r="A16" s="50">
        <v>45633.333333333336</v>
      </c>
      <c r="B16" s="51">
        <v>12.85</v>
      </c>
      <c r="C16" s="51">
        <v>20.09</v>
      </c>
      <c r="D16" s="51">
        <v>22.1</v>
      </c>
      <c r="E16" s="51">
        <v>8.66</v>
      </c>
      <c r="F16" s="51">
        <v>4.17</v>
      </c>
      <c r="G16" s="51">
        <v>60.52</v>
      </c>
      <c r="H16" s="51">
        <v>18.579999999999998</v>
      </c>
      <c r="I16" s="51">
        <v>9.42</v>
      </c>
      <c r="J16" s="51">
        <v>0.46</v>
      </c>
      <c r="K16" s="51">
        <v>68.59</v>
      </c>
      <c r="L16" s="51">
        <v>21.39</v>
      </c>
      <c r="M16" s="51">
        <v>67.400000000000006</v>
      </c>
      <c r="N16" s="51">
        <v>32.5</v>
      </c>
      <c r="O16" s="51">
        <v>0</v>
      </c>
      <c r="P16" s="51">
        <v>0.73</v>
      </c>
      <c r="Q16" s="51">
        <v>10.06</v>
      </c>
    </row>
    <row r="17" spans="1:17" customFormat="1">
      <c r="A17" s="50">
        <v>45633.375</v>
      </c>
      <c r="B17" s="51">
        <v>11.93</v>
      </c>
      <c r="C17" s="51">
        <v>20.37</v>
      </c>
      <c r="D17" s="51">
        <v>21.53</v>
      </c>
      <c r="E17" s="51">
        <v>8.3699999999999992</v>
      </c>
      <c r="F17" s="51">
        <v>3.2</v>
      </c>
      <c r="G17" s="51">
        <v>60.52</v>
      </c>
      <c r="H17" s="51">
        <v>18.57</v>
      </c>
      <c r="I17" s="51">
        <v>9.4</v>
      </c>
      <c r="J17" s="51">
        <v>0.64</v>
      </c>
      <c r="K17" s="51">
        <v>71.13</v>
      </c>
      <c r="L17" s="51">
        <v>22.62</v>
      </c>
      <c r="M17" s="51">
        <v>65.709999999999994</v>
      </c>
      <c r="N17" s="51">
        <v>76.099999999999994</v>
      </c>
      <c r="O17" s="51">
        <v>0</v>
      </c>
      <c r="P17" s="51">
        <v>0.7</v>
      </c>
      <c r="Q17" s="51">
        <v>10.06</v>
      </c>
    </row>
    <row r="18" spans="1:17" customFormat="1">
      <c r="A18" s="50">
        <v>45633.416666666664</v>
      </c>
      <c r="B18" s="51">
        <v>11.34</v>
      </c>
      <c r="C18" s="51">
        <v>20.87</v>
      </c>
      <c r="D18" s="51">
        <v>21.14</v>
      </c>
      <c r="E18" s="51">
        <v>8.2799999999999994</v>
      </c>
      <c r="F18" s="51">
        <v>3.57</v>
      </c>
      <c r="G18" s="51">
        <v>62.81</v>
      </c>
      <c r="H18" s="51">
        <v>18.46</v>
      </c>
      <c r="I18" s="51">
        <v>9.08</v>
      </c>
      <c r="J18" s="51">
        <v>0.54</v>
      </c>
      <c r="K18" s="51">
        <v>116.24</v>
      </c>
      <c r="L18" s="51">
        <v>24.68</v>
      </c>
      <c r="M18" s="51">
        <v>62.77</v>
      </c>
      <c r="N18" s="51">
        <v>171.1</v>
      </c>
      <c r="O18" s="51">
        <v>0</v>
      </c>
      <c r="P18" s="51">
        <v>0.7</v>
      </c>
      <c r="Q18" s="51">
        <v>10.07</v>
      </c>
    </row>
    <row r="19" spans="1:17" customFormat="1">
      <c r="A19" s="50">
        <v>45633.458333333336</v>
      </c>
      <c r="B19" s="51">
        <v>9.5</v>
      </c>
      <c r="C19" s="51">
        <v>21.67</v>
      </c>
      <c r="D19" s="51">
        <v>20.010000000000002</v>
      </c>
      <c r="E19" s="51">
        <v>8.48</v>
      </c>
      <c r="F19" s="51">
        <v>3.71</v>
      </c>
      <c r="G19" s="51">
        <v>62.81</v>
      </c>
      <c r="H19" s="51">
        <v>18.739999999999998</v>
      </c>
      <c r="I19" s="51">
        <v>8.8800000000000008</v>
      </c>
      <c r="J19" s="51">
        <v>0.83</v>
      </c>
      <c r="K19" s="51">
        <v>70.239999999999995</v>
      </c>
      <c r="L19" s="51">
        <v>25.57</v>
      </c>
      <c r="M19" s="51">
        <v>51.96</v>
      </c>
      <c r="N19" s="51">
        <v>165.6</v>
      </c>
      <c r="O19" s="51">
        <v>0</v>
      </c>
      <c r="P19" s="51">
        <v>0.68</v>
      </c>
      <c r="Q19" s="51">
        <v>10.07</v>
      </c>
    </row>
    <row r="20" spans="1:17" customFormat="1">
      <c r="A20" s="50">
        <v>45633.5</v>
      </c>
      <c r="B20" s="51">
        <v>7.02</v>
      </c>
      <c r="C20" s="51">
        <v>21.86</v>
      </c>
      <c r="D20" s="51">
        <v>18.3</v>
      </c>
      <c r="E20" s="51">
        <v>8.23</v>
      </c>
      <c r="F20" s="51">
        <v>3.95</v>
      </c>
      <c r="G20" s="51">
        <v>60.47</v>
      </c>
      <c r="H20" s="51">
        <v>18.739999999999998</v>
      </c>
      <c r="I20" s="51">
        <v>8.42</v>
      </c>
      <c r="J20" s="51">
        <v>0.8</v>
      </c>
      <c r="K20" s="51">
        <v>108</v>
      </c>
      <c r="L20" s="51">
        <v>25.17</v>
      </c>
      <c r="M20" s="51">
        <v>55.11</v>
      </c>
      <c r="N20" s="51">
        <v>59.6</v>
      </c>
      <c r="O20" s="51">
        <v>0</v>
      </c>
      <c r="P20" s="51">
        <v>0.65</v>
      </c>
      <c r="Q20" s="51">
        <v>10.06</v>
      </c>
    </row>
    <row r="21" spans="1:17" customFormat="1">
      <c r="A21" s="50">
        <v>45633.541666666664</v>
      </c>
      <c r="B21" s="51">
        <v>6.62</v>
      </c>
      <c r="C21" s="51">
        <v>20.96</v>
      </c>
      <c r="D21" s="51">
        <v>17.48</v>
      </c>
      <c r="E21" s="51">
        <v>8.8000000000000007</v>
      </c>
      <c r="F21" s="51">
        <v>3.62</v>
      </c>
      <c r="G21" s="51">
        <v>66.31</v>
      </c>
      <c r="H21" s="51">
        <v>23.24</v>
      </c>
      <c r="I21" s="51">
        <v>8.09</v>
      </c>
      <c r="J21" s="51">
        <v>0.75</v>
      </c>
      <c r="K21" s="51">
        <v>111.7</v>
      </c>
      <c r="L21" s="51">
        <v>25.84</v>
      </c>
      <c r="M21" s="51">
        <v>54.02</v>
      </c>
      <c r="N21" s="51">
        <v>177.9</v>
      </c>
      <c r="O21" s="51">
        <v>0</v>
      </c>
      <c r="P21" s="51">
        <v>0.65</v>
      </c>
      <c r="Q21" s="51">
        <v>10.029999999999999</v>
      </c>
    </row>
    <row r="22" spans="1:17" customFormat="1">
      <c r="A22" s="50">
        <v>45633.583333333336</v>
      </c>
      <c r="B22" s="51">
        <v>6.34</v>
      </c>
      <c r="C22" s="51">
        <v>18.86</v>
      </c>
      <c r="D22" s="51">
        <v>16.29</v>
      </c>
      <c r="E22" s="51">
        <v>8.9600000000000009</v>
      </c>
      <c r="F22" s="51">
        <v>4.01</v>
      </c>
      <c r="G22" s="51">
        <v>67.25</v>
      </c>
      <c r="H22" s="51">
        <v>25.27</v>
      </c>
      <c r="I22" s="51">
        <v>8.11</v>
      </c>
      <c r="J22" s="51">
        <v>0.72</v>
      </c>
      <c r="K22" s="51">
        <v>156.27000000000001</v>
      </c>
      <c r="L22" s="51">
        <v>27.02</v>
      </c>
      <c r="M22" s="51">
        <v>49.98</v>
      </c>
      <c r="N22" s="51">
        <v>196.1</v>
      </c>
      <c r="O22" s="51">
        <v>0</v>
      </c>
      <c r="P22" s="51">
        <v>0.62</v>
      </c>
      <c r="Q22" s="51">
        <v>10.029999999999999</v>
      </c>
    </row>
    <row r="23" spans="1:17" customFormat="1">
      <c r="A23" s="50">
        <v>45633.625</v>
      </c>
      <c r="B23" s="51">
        <v>5.55</v>
      </c>
      <c r="C23" s="51">
        <v>18.04</v>
      </c>
      <c r="D23" s="51">
        <v>15.23</v>
      </c>
      <c r="E23" s="51">
        <v>9.8000000000000007</v>
      </c>
      <c r="F23" s="51">
        <v>4.7699999999999996</v>
      </c>
      <c r="G23" s="51">
        <v>67.25</v>
      </c>
      <c r="H23" s="51">
        <v>26.86</v>
      </c>
      <c r="I23" s="51">
        <v>7.97</v>
      </c>
      <c r="J23" s="51">
        <v>0.4</v>
      </c>
      <c r="K23" s="51">
        <v>105.75</v>
      </c>
      <c r="L23" s="51">
        <v>27.11</v>
      </c>
      <c r="M23" s="51">
        <v>45.98</v>
      </c>
      <c r="N23" s="51">
        <v>156.69999999999999</v>
      </c>
      <c r="O23" s="51">
        <v>0</v>
      </c>
      <c r="P23" s="51">
        <v>0.64</v>
      </c>
      <c r="Q23" s="51">
        <v>10.02</v>
      </c>
    </row>
    <row r="24" spans="1:17" customFormat="1">
      <c r="A24" s="50">
        <v>45633.666666666664</v>
      </c>
      <c r="B24" s="51">
        <v>5.0599999999999996</v>
      </c>
      <c r="C24" s="51">
        <v>17.5</v>
      </c>
      <c r="D24" s="51">
        <v>14.49</v>
      </c>
      <c r="E24" s="51">
        <v>9.59</v>
      </c>
      <c r="F24" s="51">
        <v>4.46</v>
      </c>
      <c r="G24" s="51">
        <v>61.86</v>
      </c>
      <c r="H24" s="51">
        <v>26.86</v>
      </c>
      <c r="I24" s="51">
        <v>7.65</v>
      </c>
      <c r="J24" s="51">
        <v>0.3</v>
      </c>
      <c r="K24" s="51">
        <v>127.1</v>
      </c>
      <c r="L24" s="51">
        <v>26.96</v>
      </c>
      <c r="M24" s="51">
        <v>48.25</v>
      </c>
      <c r="N24" s="51">
        <v>71</v>
      </c>
      <c r="O24" s="51">
        <v>0</v>
      </c>
      <c r="P24" s="51">
        <v>0.64</v>
      </c>
      <c r="Q24" s="51">
        <v>10.029999999999999</v>
      </c>
    </row>
    <row r="25" spans="1:17" customFormat="1">
      <c r="A25" s="50">
        <v>45633.708333333336</v>
      </c>
      <c r="B25" s="51">
        <v>4.8899999999999997</v>
      </c>
      <c r="C25" s="51">
        <v>17.329999999999998</v>
      </c>
      <c r="D25" s="51">
        <v>14.32</v>
      </c>
      <c r="E25" s="51">
        <v>9.32</v>
      </c>
      <c r="F25" s="51">
        <v>3.97</v>
      </c>
      <c r="G25" s="51">
        <v>59.93</v>
      </c>
      <c r="H25" s="51">
        <v>25.2</v>
      </c>
      <c r="I25" s="51">
        <v>7.33</v>
      </c>
      <c r="J25" s="51">
        <v>0.35</v>
      </c>
      <c r="K25" s="51">
        <v>141.22999999999999</v>
      </c>
      <c r="L25" s="51">
        <v>26.12</v>
      </c>
      <c r="M25" s="51">
        <v>52.76</v>
      </c>
      <c r="N25" s="51">
        <v>36.5</v>
      </c>
      <c r="O25" s="51">
        <v>0</v>
      </c>
      <c r="P25" s="51">
        <v>0.65</v>
      </c>
      <c r="Q25" s="51">
        <v>10.01</v>
      </c>
    </row>
    <row r="26" spans="1:17" customFormat="1">
      <c r="A26" s="50">
        <v>45633.75</v>
      </c>
      <c r="B26" s="51">
        <v>4.6900000000000004</v>
      </c>
      <c r="C26" s="51">
        <v>17.96</v>
      </c>
      <c r="D26" s="51">
        <v>14.29</v>
      </c>
      <c r="E26" s="51">
        <v>8.51</v>
      </c>
      <c r="F26" s="51">
        <v>3.93</v>
      </c>
      <c r="G26" s="51">
        <v>60.99</v>
      </c>
      <c r="H26" s="51">
        <v>25.2</v>
      </c>
      <c r="I26" s="51">
        <v>7.29</v>
      </c>
      <c r="J26" s="51">
        <v>0.24</v>
      </c>
      <c r="K26" s="51">
        <v>168.48</v>
      </c>
      <c r="L26" s="51">
        <v>24.62</v>
      </c>
      <c r="M26" s="51">
        <v>61.86</v>
      </c>
      <c r="N26" s="51">
        <v>3.5</v>
      </c>
      <c r="O26" s="51">
        <v>0</v>
      </c>
      <c r="P26" s="51">
        <v>0.68</v>
      </c>
      <c r="Q26" s="51">
        <v>10.029999999999999</v>
      </c>
    </row>
    <row r="27" spans="1:17" customFormat="1">
      <c r="A27" s="50">
        <v>45633.791666666664</v>
      </c>
      <c r="B27" s="51">
        <v>4.68</v>
      </c>
      <c r="C27" s="51">
        <v>18.760000000000002</v>
      </c>
      <c r="D27" s="51">
        <v>14.9</v>
      </c>
      <c r="E27" s="51">
        <v>9.58</v>
      </c>
      <c r="F27" s="51">
        <v>6.53</v>
      </c>
      <c r="G27" s="51">
        <v>74.66</v>
      </c>
      <c r="H27" s="51">
        <v>27.15</v>
      </c>
      <c r="I27" s="51">
        <v>7.71</v>
      </c>
      <c r="J27" s="51">
        <v>0.27</v>
      </c>
      <c r="K27" s="51">
        <v>202.82</v>
      </c>
      <c r="L27" s="51">
        <v>23.47</v>
      </c>
      <c r="M27" s="51">
        <v>66.78</v>
      </c>
      <c r="N27" s="51">
        <v>2.2999999999999998</v>
      </c>
      <c r="O27" s="51">
        <v>0</v>
      </c>
      <c r="P27" s="51">
        <v>0.72</v>
      </c>
      <c r="Q27" s="51">
        <v>10.02</v>
      </c>
    </row>
    <row r="28" spans="1:17" customFormat="1">
      <c r="A28" s="50">
        <v>45633.833333333336</v>
      </c>
      <c r="B28" s="51">
        <v>4.91</v>
      </c>
      <c r="C28" s="51">
        <v>19.75</v>
      </c>
      <c r="D28" s="51">
        <v>15.54</v>
      </c>
      <c r="E28" s="51">
        <v>9.5</v>
      </c>
      <c r="F28" s="51">
        <v>3.85</v>
      </c>
      <c r="G28" s="51">
        <v>79.5</v>
      </c>
      <c r="H28" s="51">
        <v>28.88</v>
      </c>
      <c r="I28" s="51">
        <v>8.3800000000000008</v>
      </c>
      <c r="J28" s="51">
        <v>0.22</v>
      </c>
      <c r="K28" s="51">
        <v>186.73</v>
      </c>
      <c r="L28" s="51">
        <v>23.32</v>
      </c>
      <c r="M28" s="51">
        <v>69.33</v>
      </c>
      <c r="N28" s="51">
        <v>2.1</v>
      </c>
      <c r="O28" s="51">
        <v>0</v>
      </c>
      <c r="P28" s="51">
        <v>0.76</v>
      </c>
      <c r="Q28" s="51">
        <v>10.039999999999999</v>
      </c>
    </row>
    <row r="29" spans="1:17" customFormat="1">
      <c r="A29" s="50">
        <v>45633.875</v>
      </c>
      <c r="B29" s="51">
        <v>4.62</v>
      </c>
      <c r="C29" s="51">
        <v>19.170000000000002</v>
      </c>
      <c r="D29" s="51">
        <v>15.07</v>
      </c>
      <c r="E29" s="51">
        <v>9.64</v>
      </c>
      <c r="F29" s="51">
        <v>4.0599999999999996</v>
      </c>
      <c r="G29" s="51">
        <v>79.5</v>
      </c>
      <c r="H29" s="51">
        <v>29.31</v>
      </c>
      <c r="I29" s="51">
        <v>8.6999999999999993</v>
      </c>
      <c r="J29" s="51">
        <v>0.18</v>
      </c>
      <c r="K29" s="51">
        <v>228.24</v>
      </c>
      <c r="L29" s="51">
        <v>21.42</v>
      </c>
      <c r="M29" s="51">
        <v>74.75</v>
      </c>
      <c r="N29" s="51">
        <v>2.1</v>
      </c>
      <c r="O29" s="51">
        <v>0</v>
      </c>
      <c r="P29" s="51">
        <v>0.76</v>
      </c>
      <c r="Q29" s="51">
        <v>10.029999999999999</v>
      </c>
    </row>
    <row r="30" spans="1:17" customFormat="1">
      <c r="A30" s="50">
        <v>45633.916666666664</v>
      </c>
      <c r="B30" s="51">
        <v>4.42</v>
      </c>
      <c r="C30" s="51">
        <v>18.309999999999999</v>
      </c>
      <c r="D30" s="51">
        <v>14.46</v>
      </c>
      <c r="E30" s="51">
        <v>9.5299999999999994</v>
      </c>
      <c r="F30" s="51">
        <v>4.1399999999999997</v>
      </c>
      <c r="G30" s="51">
        <v>78.45</v>
      </c>
      <c r="H30" s="51">
        <v>29.31</v>
      </c>
      <c r="I30" s="51">
        <v>8.75</v>
      </c>
      <c r="J30" s="51">
        <v>0.18</v>
      </c>
      <c r="K30" s="51">
        <v>224.48</v>
      </c>
      <c r="L30" s="51">
        <v>21</v>
      </c>
      <c r="M30" s="51">
        <v>79.28</v>
      </c>
      <c r="N30" s="51">
        <v>1.8</v>
      </c>
      <c r="O30" s="51">
        <v>0</v>
      </c>
      <c r="P30" s="51">
        <v>0.76</v>
      </c>
      <c r="Q30" s="51">
        <v>10.029999999999999</v>
      </c>
    </row>
    <row r="31" spans="1:17" customFormat="1">
      <c r="A31" s="50">
        <v>45633.958333333336</v>
      </c>
      <c r="B31" s="51">
        <v>5.09</v>
      </c>
      <c r="C31" s="51">
        <v>17.73</v>
      </c>
      <c r="D31" s="51">
        <v>14.43</v>
      </c>
      <c r="E31" s="51">
        <v>10.36</v>
      </c>
      <c r="F31" s="51">
        <v>5.76</v>
      </c>
      <c r="G31" s="51">
        <v>78.45</v>
      </c>
      <c r="H31" s="51">
        <v>31.07</v>
      </c>
      <c r="I31" s="51">
        <v>8.99</v>
      </c>
      <c r="J31" s="51">
        <v>0.18</v>
      </c>
      <c r="K31" s="51">
        <v>203.61</v>
      </c>
      <c r="L31" s="51">
        <v>20.43</v>
      </c>
      <c r="M31" s="51">
        <v>82.8</v>
      </c>
      <c r="N31" s="51">
        <v>1.7</v>
      </c>
      <c r="O31" s="51">
        <v>0</v>
      </c>
      <c r="P31" s="51">
        <v>0.76</v>
      </c>
      <c r="Q31" s="51">
        <v>10.01</v>
      </c>
    </row>
    <row r="32" spans="1:17" customFormat="1">
      <c r="A32" s="50">
        <v>45634</v>
      </c>
      <c r="B32" s="51">
        <v>5.74</v>
      </c>
      <c r="C32" s="51">
        <v>17.36</v>
      </c>
      <c r="D32" s="51">
        <v>15.02</v>
      </c>
      <c r="E32" s="51">
        <v>9.73</v>
      </c>
      <c r="F32" s="51">
        <v>3.49</v>
      </c>
      <c r="G32" s="51">
        <v>78.13</v>
      </c>
      <c r="H32" s="51">
        <v>32.14</v>
      </c>
      <c r="I32" s="51">
        <v>9.2100000000000009</v>
      </c>
      <c r="J32" s="51">
        <v>0.14000000000000001</v>
      </c>
      <c r="K32" s="51">
        <v>213.22</v>
      </c>
      <c r="L32" s="51">
        <v>20.170000000000002</v>
      </c>
      <c r="M32" s="51">
        <v>85.14</v>
      </c>
      <c r="N32" s="51">
        <v>1.7</v>
      </c>
      <c r="O32" s="51">
        <v>0</v>
      </c>
      <c r="P32" s="51">
        <v>0.78</v>
      </c>
      <c r="Q32" s="51">
        <v>10.02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4.42</v>
      </c>
      <c r="C34" s="41">
        <f t="shared" si="0"/>
        <v>17.329999999999998</v>
      </c>
      <c r="D34" s="41">
        <f t="shared" si="0"/>
        <v>14.29</v>
      </c>
      <c r="E34" s="41">
        <f t="shared" si="0"/>
        <v>8.23</v>
      </c>
      <c r="F34" s="41">
        <f t="shared" si="0"/>
        <v>2.61</v>
      </c>
      <c r="G34" s="41">
        <f t="shared" si="0"/>
        <v>49.88</v>
      </c>
      <c r="H34" s="41">
        <f t="shared" si="0"/>
        <v>16.75</v>
      </c>
      <c r="I34" s="41">
        <f t="shared" si="0"/>
        <v>7.29</v>
      </c>
      <c r="J34" s="41">
        <f t="shared" si="0"/>
        <v>0.14000000000000001</v>
      </c>
      <c r="K34" s="41">
        <f t="shared" si="0"/>
        <v>51.75</v>
      </c>
      <c r="L34" s="41">
        <f t="shared" si="0"/>
        <v>20.170000000000002</v>
      </c>
      <c r="M34" s="41">
        <f t="shared" si="0"/>
        <v>45.98</v>
      </c>
      <c r="N34" s="41">
        <f t="shared" si="0"/>
        <v>1.7</v>
      </c>
      <c r="O34" s="41">
        <f t="shared" si="0"/>
        <v>0</v>
      </c>
      <c r="P34" s="41">
        <f t="shared" si="0"/>
        <v>0.62</v>
      </c>
      <c r="Q34" s="41">
        <f t="shared" si="0"/>
        <v>10.01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24.53</v>
      </c>
      <c r="C35" s="33">
        <f t="shared" si="1"/>
        <v>25.17</v>
      </c>
      <c r="D35" s="33">
        <f t="shared" si="1"/>
        <v>32.01</v>
      </c>
      <c r="E35" s="33">
        <f t="shared" si="1"/>
        <v>10.36</v>
      </c>
      <c r="F35" s="33">
        <f t="shared" si="1"/>
        <v>6.53</v>
      </c>
      <c r="G35" s="33">
        <f t="shared" si="1"/>
        <v>158.6</v>
      </c>
      <c r="H35" s="33">
        <f t="shared" si="1"/>
        <v>54.81</v>
      </c>
      <c r="I35" s="33">
        <f t="shared" si="1"/>
        <v>15.81</v>
      </c>
      <c r="J35" s="33">
        <f t="shared" si="1"/>
        <v>0.83</v>
      </c>
      <c r="K35" s="33">
        <f t="shared" si="1"/>
        <v>228.24</v>
      </c>
      <c r="L35" s="33">
        <f t="shared" si="1"/>
        <v>27.11</v>
      </c>
      <c r="M35" s="33">
        <f t="shared" si="1"/>
        <v>85.14</v>
      </c>
      <c r="N35" s="33">
        <f t="shared" si="1"/>
        <v>196.1</v>
      </c>
      <c r="O35" s="33">
        <f t="shared" si="1"/>
        <v>0</v>
      </c>
      <c r="P35" s="33">
        <f t="shared" si="1"/>
        <v>1.33</v>
      </c>
      <c r="Q35" s="33">
        <f t="shared" si="1"/>
        <v>10.119999999999999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8.8879166666666674</v>
      </c>
      <c r="C36" s="41">
        <f t="shared" si="2"/>
        <v>20.053333333333335</v>
      </c>
      <c r="D36" s="41">
        <f t="shared" si="2"/>
        <v>18.794583333333335</v>
      </c>
      <c r="E36" s="41">
        <f t="shared" si="2"/>
        <v>9.1487499999999979</v>
      </c>
      <c r="F36" s="41">
        <f t="shared" si="2"/>
        <v>3.8299999999999996</v>
      </c>
      <c r="G36" s="41">
        <f t="shared" si="2"/>
        <v>78.143333333333331</v>
      </c>
      <c r="H36" s="41">
        <f t="shared" si="2"/>
        <v>27.869999999999994</v>
      </c>
      <c r="I36" s="41">
        <f t="shared" si="2"/>
        <v>9.6129166666666688</v>
      </c>
      <c r="J36" s="41">
        <f t="shared" si="2"/>
        <v>0.47125</v>
      </c>
      <c r="K36" s="41">
        <f t="shared" si="2"/>
        <v>124.27416666666664</v>
      </c>
      <c r="L36" s="41">
        <f t="shared" si="2"/>
        <v>23.285416666666663</v>
      </c>
      <c r="M36" s="41">
        <f t="shared" si="2"/>
        <v>63.785416666666663</v>
      </c>
      <c r="N36" s="41">
        <f t="shared" si="2"/>
        <v>49.42499999999999</v>
      </c>
      <c r="O36" s="41">
        <f t="shared" si="2"/>
        <v>0</v>
      </c>
      <c r="P36" s="41">
        <f t="shared" si="2"/>
        <v>0.77666666666666684</v>
      </c>
      <c r="Q36" s="41">
        <f t="shared" si="2"/>
        <v>10.045416666666666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4.9278824971580901</v>
      </c>
      <c r="C37" s="41">
        <f t="shared" ref="C37:Q37" si="3">STDEV(C9:C32)</f>
        <v>2.0190477020586646</v>
      </c>
      <c r="D37" s="41">
        <f t="shared" si="3"/>
        <v>4.6045601018863778</v>
      </c>
      <c r="E37" s="41">
        <f t="shared" si="3"/>
        <v>0.56801953809019501</v>
      </c>
      <c r="F37" s="41">
        <f t="shared" si="3"/>
        <v>0.90418351350096782</v>
      </c>
      <c r="G37" s="41">
        <f t="shared" si="3"/>
        <v>29.719511621399352</v>
      </c>
      <c r="H37" s="41">
        <f t="shared" si="3"/>
        <v>10.288786213112333</v>
      </c>
      <c r="I37" s="41">
        <f t="shared" si="3"/>
        <v>2.3070863973695257</v>
      </c>
      <c r="J37" s="41">
        <f t="shared" si="3"/>
        <v>0.21965016651979535</v>
      </c>
      <c r="K37" s="41">
        <f t="shared" si="3"/>
        <v>59.26829557313868</v>
      </c>
      <c r="L37" s="41">
        <f t="shared" si="3"/>
        <v>2.2961366024480374</v>
      </c>
      <c r="M37" s="41">
        <f t="shared" si="3"/>
        <v>10.409611352711167</v>
      </c>
      <c r="N37" s="41">
        <f t="shared" si="3"/>
        <v>69.092051074918402</v>
      </c>
      <c r="O37" s="41">
        <f t="shared" si="3"/>
        <v>0</v>
      </c>
      <c r="P37" s="41">
        <f t="shared" si="3"/>
        <v>0.17583754030271753</v>
      </c>
      <c r="Q37" s="41">
        <f t="shared" si="3"/>
        <v>2.7659288347390034E-2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45634.041666666664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45634.041666666664</v>
      </c>
      <c r="B9" s="51">
        <v>9.69</v>
      </c>
      <c r="C9" s="51">
        <v>17.55</v>
      </c>
      <c r="D9" s="51">
        <v>18.29</v>
      </c>
      <c r="E9" s="51">
        <v>9.83</v>
      </c>
      <c r="F9" s="51">
        <v>7.21</v>
      </c>
      <c r="G9" s="51">
        <v>82.98</v>
      </c>
      <c r="H9" s="51">
        <v>32.14</v>
      </c>
      <c r="I9" s="51">
        <v>9.51</v>
      </c>
      <c r="J9" s="51">
        <v>0.49</v>
      </c>
      <c r="K9" s="51">
        <v>62.63</v>
      </c>
      <c r="L9" s="51">
        <v>19.96</v>
      </c>
      <c r="M9" s="51">
        <v>82.38</v>
      </c>
      <c r="N9" s="51">
        <v>1.7</v>
      </c>
      <c r="O9" s="51">
        <v>0</v>
      </c>
      <c r="P9" s="51">
        <v>0.79</v>
      </c>
      <c r="Q9" s="51">
        <v>10.039999999999999</v>
      </c>
    </row>
    <row r="10" spans="1:21" customFormat="1">
      <c r="A10" s="50">
        <v>45634.083333333336</v>
      </c>
      <c r="B10" s="51">
        <v>10.64</v>
      </c>
      <c r="C10" s="51">
        <v>18.02</v>
      </c>
      <c r="D10" s="51">
        <v>19.18</v>
      </c>
      <c r="E10" s="51">
        <v>9.74</v>
      </c>
      <c r="F10" s="51">
        <v>3.94</v>
      </c>
      <c r="G10" s="51">
        <v>89.12</v>
      </c>
      <c r="H10" s="51">
        <v>31.89</v>
      </c>
      <c r="I10" s="51">
        <v>9.75</v>
      </c>
      <c r="J10" s="51">
        <v>0.27</v>
      </c>
      <c r="K10" s="51">
        <v>338.47</v>
      </c>
      <c r="L10" s="51">
        <v>19.649999999999999</v>
      </c>
      <c r="M10" s="51">
        <v>85.51</v>
      </c>
      <c r="N10" s="51">
        <v>2</v>
      </c>
      <c r="O10" s="51">
        <v>0</v>
      </c>
      <c r="P10" s="51">
        <v>0.81</v>
      </c>
      <c r="Q10" s="51">
        <v>10.050000000000001</v>
      </c>
    </row>
    <row r="11" spans="1:21" customFormat="1">
      <c r="A11" s="50">
        <v>45634.125</v>
      </c>
      <c r="B11" s="51">
        <v>12.21</v>
      </c>
      <c r="C11" s="51">
        <v>17.829999999999998</v>
      </c>
      <c r="D11" s="51">
        <v>20.149999999999999</v>
      </c>
      <c r="E11" s="51">
        <v>9.9700000000000006</v>
      </c>
      <c r="F11" s="51">
        <v>4.92</v>
      </c>
      <c r="G11" s="51">
        <v>92.37</v>
      </c>
      <c r="H11" s="51">
        <v>35.61</v>
      </c>
      <c r="I11" s="51">
        <v>9.89</v>
      </c>
      <c r="J11" s="51">
        <v>0.47</v>
      </c>
      <c r="K11" s="51">
        <v>38.07</v>
      </c>
      <c r="L11" s="51">
        <v>19.940000000000001</v>
      </c>
      <c r="M11" s="51">
        <v>82.91</v>
      </c>
      <c r="N11" s="51">
        <v>2.2000000000000002</v>
      </c>
      <c r="O11" s="51">
        <v>0</v>
      </c>
      <c r="P11" s="51">
        <v>0.85</v>
      </c>
      <c r="Q11" s="51">
        <v>10.07</v>
      </c>
    </row>
    <row r="12" spans="1:21" customFormat="1">
      <c r="A12" s="50">
        <v>45634.166666666664</v>
      </c>
      <c r="B12" s="51">
        <v>11.79</v>
      </c>
      <c r="C12" s="51">
        <v>17.690000000000001</v>
      </c>
      <c r="D12" s="51">
        <v>19.850000000000001</v>
      </c>
      <c r="E12" s="51">
        <v>9.6199999999999992</v>
      </c>
      <c r="F12" s="51">
        <v>3.61</v>
      </c>
      <c r="G12" s="51">
        <v>92.49</v>
      </c>
      <c r="H12" s="51">
        <v>35.61</v>
      </c>
      <c r="I12" s="51">
        <v>9.92</v>
      </c>
      <c r="J12" s="51">
        <v>0.6</v>
      </c>
      <c r="K12" s="51">
        <v>56.57</v>
      </c>
      <c r="L12" s="51">
        <v>19.75</v>
      </c>
      <c r="M12" s="51">
        <v>82.41</v>
      </c>
      <c r="N12" s="51">
        <v>2.2000000000000002</v>
      </c>
      <c r="O12" s="51">
        <v>0</v>
      </c>
      <c r="P12" s="51">
        <v>0.85</v>
      </c>
      <c r="Q12" s="51">
        <v>10.06</v>
      </c>
    </row>
    <row r="13" spans="1:21" customFormat="1">
      <c r="A13" s="50">
        <v>45634.208333333336</v>
      </c>
      <c r="B13" s="51">
        <v>10.4</v>
      </c>
      <c r="C13" s="51">
        <v>17.670000000000002</v>
      </c>
      <c r="D13" s="51">
        <v>18.88</v>
      </c>
      <c r="E13" s="51">
        <v>9.16</v>
      </c>
      <c r="F13" s="51">
        <v>3.28</v>
      </c>
      <c r="G13" s="51">
        <v>92.49</v>
      </c>
      <c r="H13" s="51">
        <v>33.270000000000003</v>
      </c>
      <c r="I13" s="51">
        <v>9.7799999999999994</v>
      </c>
      <c r="J13" s="51">
        <v>0.21</v>
      </c>
      <c r="K13" s="51">
        <v>180.75</v>
      </c>
      <c r="L13" s="51">
        <v>19.55</v>
      </c>
      <c r="M13" s="51">
        <v>86.74</v>
      </c>
      <c r="N13" s="51">
        <v>2</v>
      </c>
      <c r="O13" s="51">
        <v>0</v>
      </c>
      <c r="P13" s="51">
        <v>0.83</v>
      </c>
      <c r="Q13" s="51">
        <v>10.050000000000001</v>
      </c>
    </row>
    <row r="14" spans="1:21" customFormat="1">
      <c r="A14" s="50">
        <v>45634.25</v>
      </c>
      <c r="B14" s="51">
        <v>8.74</v>
      </c>
      <c r="C14" s="51">
        <v>17.100000000000001</v>
      </c>
      <c r="D14" s="51">
        <v>17.29</v>
      </c>
      <c r="E14" s="51">
        <v>9.43</v>
      </c>
      <c r="F14" s="51">
        <v>3.18</v>
      </c>
      <c r="G14" s="51">
        <v>78.38</v>
      </c>
      <c r="H14" s="51">
        <v>31.35</v>
      </c>
      <c r="I14" s="51">
        <v>9.7799999999999994</v>
      </c>
      <c r="J14" s="51">
        <v>0.23</v>
      </c>
      <c r="K14" s="51">
        <v>176.23</v>
      </c>
      <c r="L14" s="51">
        <v>18.82</v>
      </c>
      <c r="M14" s="51">
        <v>89.59</v>
      </c>
      <c r="N14" s="51">
        <v>1.8</v>
      </c>
      <c r="O14" s="51">
        <v>0</v>
      </c>
      <c r="P14" s="51">
        <v>0.82</v>
      </c>
      <c r="Q14" s="51">
        <v>10.050000000000001</v>
      </c>
    </row>
    <row r="15" spans="1:21" customFormat="1">
      <c r="A15" s="50">
        <v>45634.291666666664</v>
      </c>
      <c r="B15" s="51">
        <v>10.6</v>
      </c>
      <c r="C15" s="51">
        <v>16.97</v>
      </c>
      <c r="D15" s="51">
        <v>18.72</v>
      </c>
      <c r="E15" s="51">
        <v>9.6999999999999993</v>
      </c>
      <c r="F15" s="51">
        <v>3.09</v>
      </c>
      <c r="G15" s="51">
        <v>78.38</v>
      </c>
      <c r="H15" s="51">
        <v>28.69</v>
      </c>
      <c r="I15" s="51">
        <v>9.68</v>
      </c>
      <c r="J15" s="51">
        <v>0.57999999999999996</v>
      </c>
      <c r="K15" s="51">
        <v>42.98</v>
      </c>
      <c r="L15" s="51">
        <v>19.100000000000001</v>
      </c>
      <c r="M15" s="51">
        <v>87.92</v>
      </c>
      <c r="N15" s="51">
        <v>31.9</v>
      </c>
      <c r="O15" s="51">
        <v>0</v>
      </c>
      <c r="P15" s="51">
        <v>0.8</v>
      </c>
      <c r="Q15" s="51">
        <v>10.06</v>
      </c>
    </row>
    <row r="16" spans="1:21" customFormat="1">
      <c r="A16" s="50">
        <v>45634.333333333336</v>
      </c>
      <c r="B16" s="51">
        <v>12.55</v>
      </c>
      <c r="C16" s="51">
        <v>17.77</v>
      </c>
      <c r="D16" s="51">
        <v>20.69</v>
      </c>
      <c r="E16" s="51">
        <v>9.57</v>
      </c>
      <c r="F16" s="51">
        <v>2.94</v>
      </c>
      <c r="G16" s="51">
        <v>75.34</v>
      </c>
      <c r="H16" s="51">
        <v>27.71</v>
      </c>
      <c r="I16" s="51">
        <v>9.9</v>
      </c>
      <c r="J16" s="51">
        <v>0.66</v>
      </c>
      <c r="K16" s="51">
        <v>122.76</v>
      </c>
      <c r="L16" s="51">
        <v>20.420000000000002</v>
      </c>
      <c r="M16" s="51">
        <v>83.16</v>
      </c>
      <c r="N16" s="51">
        <v>82.6</v>
      </c>
      <c r="O16" s="51">
        <v>0</v>
      </c>
      <c r="P16" s="51">
        <v>0.81</v>
      </c>
      <c r="Q16" s="51">
        <v>10.06</v>
      </c>
    </row>
    <row r="17" spans="1:17" customFormat="1">
      <c r="A17" s="50">
        <v>45634.375</v>
      </c>
      <c r="B17" s="51">
        <v>12.38</v>
      </c>
      <c r="C17" s="51">
        <v>17.59</v>
      </c>
      <c r="D17" s="51">
        <v>20.38</v>
      </c>
      <c r="E17" s="51">
        <v>9.83</v>
      </c>
      <c r="F17" s="51">
        <v>3.19</v>
      </c>
      <c r="G17" s="51">
        <v>75.34</v>
      </c>
      <c r="H17" s="51">
        <v>27.05</v>
      </c>
      <c r="I17" s="51">
        <v>10.02</v>
      </c>
      <c r="J17" s="51">
        <v>0.61</v>
      </c>
      <c r="K17" s="51">
        <v>84.52</v>
      </c>
      <c r="L17" s="51">
        <v>22.22</v>
      </c>
      <c r="M17" s="51">
        <v>72.819999999999993</v>
      </c>
      <c r="N17" s="51">
        <v>134.19999999999999</v>
      </c>
      <c r="O17" s="51">
        <v>0</v>
      </c>
      <c r="P17" s="51">
        <v>0.8</v>
      </c>
      <c r="Q17" s="51">
        <v>10.06</v>
      </c>
    </row>
    <row r="18" spans="1:17" customFormat="1">
      <c r="A18" s="50">
        <v>45634.416666666664</v>
      </c>
      <c r="B18" s="51">
        <v>12.13</v>
      </c>
      <c r="C18" s="51">
        <v>17.52</v>
      </c>
      <c r="D18" s="51">
        <v>19.88</v>
      </c>
      <c r="E18" s="51">
        <v>9.91</v>
      </c>
      <c r="F18" s="51">
        <v>3.36</v>
      </c>
      <c r="G18" s="51">
        <v>75.31</v>
      </c>
      <c r="H18" s="51">
        <v>29.89</v>
      </c>
      <c r="I18" s="51">
        <v>9.89</v>
      </c>
      <c r="J18" s="51">
        <v>0.37</v>
      </c>
      <c r="K18" s="51">
        <v>111.75</v>
      </c>
      <c r="L18" s="51">
        <v>25.47</v>
      </c>
      <c r="M18" s="51">
        <v>63.63</v>
      </c>
      <c r="N18" s="51">
        <v>310.10000000000002</v>
      </c>
      <c r="O18" s="51">
        <v>0</v>
      </c>
      <c r="P18" s="51">
        <v>0.79</v>
      </c>
      <c r="Q18" s="51">
        <v>10.06</v>
      </c>
    </row>
    <row r="19" spans="1:17" customFormat="1">
      <c r="A19" s="50">
        <v>45634.458333333336</v>
      </c>
      <c r="B19" s="51">
        <v>10.59</v>
      </c>
      <c r="C19" s="51">
        <v>16.79</v>
      </c>
      <c r="D19" s="51">
        <v>18.61</v>
      </c>
      <c r="E19" s="51">
        <v>8.5500000000000007</v>
      </c>
      <c r="F19" s="51">
        <v>3.82</v>
      </c>
      <c r="G19" s="51">
        <v>75.31</v>
      </c>
      <c r="H19" s="51">
        <v>29.89</v>
      </c>
      <c r="I19" s="51">
        <v>9.74</v>
      </c>
      <c r="J19" s="51">
        <v>0.27</v>
      </c>
      <c r="K19" s="51">
        <v>296.97000000000003</v>
      </c>
      <c r="L19" s="51">
        <v>27.11</v>
      </c>
      <c r="M19" s="51">
        <v>58.31</v>
      </c>
      <c r="N19" s="51">
        <v>420.9</v>
      </c>
      <c r="O19" s="51">
        <v>0</v>
      </c>
      <c r="P19" s="51">
        <v>0.78</v>
      </c>
      <c r="Q19" s="51">
        <v>10.050000000000001</v>
      </c>
    </row>
    <row r="20" spans="1:17" customFormat="1">
      <c r="A20" s="50">
        <v>45634.5</v>
      </c>
      <c r="B20" s="51">
        <v>7.85</v>
      </c>
      <c r="C20" s="51">
        <v>16.54</v>
      </c>
      <c r="D20" s="51">
        <v>16.28</v>
      </c>
      <c r="E20" s="51">
        <v>8.3699999999999992</v>
      </c>
      <c r="F20" s="51">
        <v>4.3899999999999997</v>
      </c>
      <c r="G20" s="51">
        <v>67.260000000000005</v>
      </c>
      <c r="H20" s="51">
        <v>29.18</v>
      </c>
      <c r="I20" s="51">
        <v>9.42</v>
      </c>
      <c r="J20" s="51">
        <v>0.43</v>
      </c>
      <c r="K20" s="51">
        <v>285.20999999999998</v>
      </c>
      <c r="L20" s="51">
        <v>28.67</v>
      </c>
      <c r="M20" s="51">
        <v>61.27</v>
      </c>
      <c r="N20" s="51">
        <v>416.4</v>
      </c>
      <c r="O20" s="51">
        <v>0</v>
      </c>
      <c r="P20" s="51">
        <v>0.74</v>
      </c>
      <c r="Q20" s="51">
        <v>10.039999999999999</v>
      </c>
    </row>
    <row r="21" spans="1:17" customFormat="1">
      <c r="A21" s="50">
        <v>45634.541666666664</v>
      </c>
      <c r="B21" s="51">
        <v>5.97</v>
      </c>
      <c r="C21" s="51">
        <v>15.76</v>
      </c>
      <c r="D21" s="51">
        <v>13.79</v>
      </c>
      <c r="E21" s="51">
        <v>8.02</v>
      </c>
      <c r="F21" s="51">
        <v>4.4000000000000004</v>
      </c>
      <c r="G21" s="51">
        <v>67.260000000000005</v>
      </c>
      <c r="H21" s="51">
        <v>29.18</v>
      </c>
      <c r="I21" s="51">
        <v>9.0500000000000007</v>
      </c>
      <c r="J21" s="51">
        <v>0.32</v>
      </c>
      <c r="K21" s="51">
        <v>292.61</v>
      </c>
      <c r="L21" s="51">
        <v>28.64</v>
      </c>
      <c r="M21" s="51">
        <v>62.28</v>
      </c>
      <c r="N21" s="51">
        <v>267.10000000000002</v>
      </c>
      <c r="O21" s="51">
        <v>0</v>
      </c>
      <c r="P21" s="51">
        <v>0.71</v>
      </c>
      <c r="Q21" s="51">
        <v>10.029999999999999</v>
      </c>
    </row>
    <row r="22" spans="1:17" customFormat="1">
      <c r="A22" s="50">
        <v>45634.583333333336</v>
      </c>
      <c r="B22" s="51">
        <v>4.3499999999999996</v>
      </c>
      <c r="C22" s="51">
        <v>15.81</v>
      </c>
      <c r="D22" s="51">
        <v>13.1</v>
      </c>
      <c r="E22" s="51">
        <v>8.0500000000000007</v>
      </c>
      <c r="F22" s="51">
        <v>6.66</v>
      </c>
      <c r="G22" s="51">
        <v>57.73</v>
      </c>
      <c r="H22" s="51">
        <v>28.83</v>
      </c>
      <c r="I22" s="51">
        <v>8.61</v>
      </c>
      <c r="J22" s="51">
        <v>0.61</v>
      </c>
      <c r="K22" s="51">
        <v>304.63</v>
      </c>
      <c r="L22" s="51">
        <v>28.22</v>
      </c>
      <c r="M22" s="51">
        <v>61.27</v>
      </c>
      <c r="N22" s="51">
        <v>242.1</v>
      </c>
      <c r="O22" s="51">
        <v>0</v>
      </c>
      <c r="P22" s="51">
        <v>0.7</v>
      </c>
      <c r="Q22" s="51">
        <v>10.039999999999999</v>
      </c>
    </row>
    <row r="23" spans="1:17" customFormat="1">
      <c r="A23" s="50">
        <v>45634.625</v>
      </c>
      <c r="B23" s="51">
        <v>3.94</v>
      </c>
      <c r="C23" s="51">
        <v>15.35</v>
      </c>
      <c r="D23" s="51">
        <v>12.53</v>
      </c>
      <c r="E23" s="51">
        <v>8.39</v>
      </c>
      <c r="F23" s="51">
        <v>9</v>
      </c>
      <c r="G23" s="51">
        <v>54.65</v>
      </c>
      <c r="H23" s="51">
        <v>27.51</v>
      </c>
      <c r="I23" s="51">
        <v>8.09</v>
      </c>
      <c r="J23" s="51">
        <v>0.44</v>
      </c>
      <c r="K23" s="51">
        <v>319.74</v>
      </c>
      <c r="L23" s="51">
        <v>28.38</v>
      </c>
      <c r="M23" s="51">
        <v>60.37</v>
      </c>
      <c r="N23" s="51">
        <v>139.5</v>
      </c>
      <c r="O23" s="51">
        <v>0</v>
      </c>
      <c r="P23" s="51">
        <v>0.63</v>
      </c>
      <c r="Q23" s="51">
        <v>10.039999999999999</v>
      </c>
    </row>
    <row r="24" spans="1:17" customFormat="1">
      <c r="A24" s="50">
        <v>45634.666666666664</v>
      </c>
      <c r="B24" s="51">
        <v>3.96</v>
      </c>
      <c r="C24" s="51">
        <v>16.559999999999999</v>
      </c>
      <c r="D24" s="51">
        <v>13.18</v>
      </c>
      <c r="E24" s="51">
        <v>8.99</v>
      </c>
      <c r="F24" s="51">
        <v>10.74</v>
      </c>
      <c r="G24" s="51">
        <v>54.77</v>
      </c>
      <c r="H24" s="51">
        <v>27.42</v>
      </c>
      <c r="I24" s="51">
        <v>7.86</v>
      </c>
      <c r="J24" s="51">
        <v>0.53</v>
      </c>
      <c r="K24" s="51">
        <v>334.34</v>
      </c>
      <c r="L24" s="51">
        <v>27.95</v>
      </c>
      <c r="M24" s="51">
        <v>61.85</v>
      </c>
      <c r="N24" s="51">
        <v>68.7</v>
      </c>
      <c r="O24" s="51">
        <v>0</v>
      </c>
      <c r="P24" s="51">
        <v>0.66</v>
      </c>
      <c r="Q24" s="51">
        <v>10.039999999999999</v>
      </c>
    </row>
    <row r="25" spans="1:17" customFormat="1">
      <c r="A25" s="50">
        <v>45634.708333333336</v>
      </c>
      <c r="B25" s="51">
        <v>3.99</v>
      </c>
      <c r="C25" s="51">
        <v>17.41</v>
      </c>
      <c r="D25" s="51">
        <v>13.63</v>
      </c>
      <c r="E25" s="51">
        <v>9.1199999999999992</v>
      </c>
      <c r="F25" s="51">
        <v>11.14</v>
      </c>
      <c r="G25" s="51">
        <v>66.900000000000006</v>
      </c>
      <c r="H25" s="51">
        <v>28.81</v>
      </c>
      <c r="I25" s="51">
        <v>8.11</v>
      </c>
      <c r="J25" s="51">
        <v>0.27</v>
      </c>
      <c r="K25" s="51">
        <v>161.27000000000001</v>
      </c>
      <c r="L25" s="51">
        <v>27.5</v>
      </c>
      <c r="M25" s="51">
        <v>69.33</v>
      </c>
      <c r="N25" s="51">
        <v>35.799999999999997</v>
      </c>
      <c r="O25" s="51">
        <v>0</v>
      </c>
      <c r="P25" s="51">
        <v>0.7</v>
      </c>
      <c r="Q25" s="51">
        <v>10.029999999999999</v>
      </c>
    </row>
    <row r="26" spans="1:17" customFormat="1">
      <c r="A26" s="50">
        <v>45634.75</v>
      </c>
      <c r="B26" s="51">
        <v>4.17</v>
      </c>
      <c r="C26" s="51">
        <v>16.96</v>
      </c>
      <c r="D26" s="51">
        <v>13.34</v>
      </c>
      <c r="E26" s="51">
        <v>9.4499999999999993</v>
      </c>
      <c r="F26" s="51">
        <v>5.49</v>
      </c>
      <c r="G26" s="51">
        <v>70.14</v>
      </c>
      <c r="H26" s="51">
        <v>28.81</v>
      </c>
      <c r="I26" s="51">
        <v>8.36</v>
      </c>
      <c r="J26" s="51">
        <v>0.27</v>
      </c>
      <c r="K26" s="51">
        <v>176.42</v>
      </c>
      <c r="L26" s="51">
        <v>25.46</v>
      </c>
      <c r="M26" s="51">
        <v>81.260000000000005</v>
      </c>
      <c r="N26" s="51">
        <v>3.9</v>
      </c>
      <c r="O26" s="51">
        <v>0</v>
      </c>
      <c r="P26" s="51">
        <v>0.71</v>
      </c>
      <c r="Q26" s="51">
        <v>10.029999999999999</v>
      </c>
    </row>
    <row r="27" spans="1:17" customFormat="1">
      <c r="A27" s="50">
        <v>45634.791666666664</v>
      </c>
      <c r="B27" s="51">
        <v>5.29</v>
      </c>
      <c r="C27" s="51">
        <v>15.79</v>
      </c>
      <c r="D27" s="51">
        <v>13.84</v>
      </c>
      <c r="E27" s="51">
        <v>10.39</v>
      </c>
      <c r="F27" s="51">
        <v>3.89</v>
      </c>
      <c r="G27" s="51">
        <v>82.88</v>
      </c>
      <c r="H27" s="51">
        <v>33.07</v>
      </c>
      <c r="I27" s="51">
        <v>8.8000000000000007</v>
      </c>
      <c r="J27" s="51">
        <v>0.21</v>
      </c>
      <c r="K27" s="51">
        <v>178.99</v>
      </c>
      <c r="L27" s="51">
        <v>23.99</v>
      </c>
      <c r="M27" s="51">
        <v>90.1</v>
      </c>
      <c r="N27" s="51">
        <v>2.1</v>
      </c>
      <c r="O27" s="51">
        <v>0</v>
      </c>
      <c r="P27" s="51">
        <v>0.76</v>
      </c>
      <c r="Q27" s="51">
        <v>10.02</v>
      </c>
    </row>
    <row r="28" spans="1:17" customFormat="1">
      <c r="A28" s="50">
        <v>45634.833333333336</v>
      </c>
      <c r="B28" s="51">
        <v>5.66</v>
      </c>
      <c r="C28" s="51">
        <v>16.170000000000002</v>
      </c>
      <c r="D28" s="51">
        <v>14.34</v>
      </c>
      <c r="E28" s="51">
        <v>11.03</v>
      </c>
      <c r="F28" s="51">
        <v>3.85</v>
      </c>
      <c r="G28" s="51">
        <v>82.88</v>
      </c>
      <c r="H28" s="51">
        <v>33.07</v>
      </c>
      <c r="I28" s="51">
        <v>9.4499999999999993</v>
      </c>
      <c r="J28" s="51">
        <v>0.21</v>
      </c>
      <c r="K28" s="51">
        <v>183.55</v>
      </c>
      <c r="L28" s="51">
        <v>22.7</v>
      </c>
      <c r="M28" s="51">
        <v>93.26</v>
      </c>
      <c r="N28" s="51">
        <v>1.8</v>
      </c>
      <c r="O28" s="51">
        <v>0</v>
      </c>
      <c r="P28" s="51">
        <v>0.8</v>
      </c>
      <c r="Q28" s="51">
        <v>10.02</v>
      </c>
    </row>
    <row r="29" spans="1:17" customFormat="1">
      <c r="A29" s="50">
        <v>45634.875</v>
      </c>
      <c r="B29" s="51">
        <v>6.29</v>
      </c>
      <c r="C29" s="51">
        <v>15.85</v>
      </c>
      <c r="D29" s="51">
        <v>14.41</v>
      </c>
      <c r="E29" s="51">
        <v>11.05</v>
      </c>
      <c r="F29" s="51">
        <v>4.57</v>
      </c>
      <c r="G29" s="51">
        <v>80.2</v>
      </c>
      <c r="H29" s="51">
        <v>33.58</v>
      </c>
      <c r="I29" s="51">
        <v>10.11</v>
      </c>
      <c r="J29" s="51">
        <v>0.15</v>
      </c>
      <c r="K29" s="51">
        <v>236.97</v>
      </c>
      <c r="L29" s="51">
        <v>22.25</v>
      </c>
      <c r="M29" s="51">
        <v>93.14</v>
      </c>
      <c r="N29" s="51">
        <v>1.7</v>
      </c>
      <c r="O29" s="51">
        <v>0</v>
      </c>
      <c r="P29" s="51">
        <v>0.84</v>
      </c>
      <c r="Q29" s="51">
        <v>10.02</v>
      </c>
    </row>
    <row r="30" spans="1:17" customFormat="1">
      <c r="A30" s="50">
        <v>45634.916666666664</v>
      </c>
      <c r="B30" s="51">
        <v>8.41</v>
      </c>
      <c r="C30" s="51">
        <v>15.57</v>
      </c>
      <c r="D30" s="51">
        <v>16.100000000000001</v>
      </c>
      <c r="E30" s="51">
        <v>10.73</v>
      </c>
      <c r="F30" s="51">
        <v>3.21</v>
      </c>
      <c r="G30" s="51">
        <v>84.14</v>
      </c>
      <c r="H30" s="51">
        <v>34.81</v>
      </c>
      <c r="I30" s="51">
        <v>10.7</v>
      </c>
      <c r="J30" s="51">
        <v>0.33</v>
      </c>
      <c r="K30" s="51">
        <v>170.17</v>
      </c>
      <c r="L30" s="51">
        <v>22.9</v>
      </c>
      <c r="M30" s="51">
        <v>93.97</v>
      </c>
      <c r="N30" s="51">
        <v>2</v>
      </c>
      <c r="O30" s="51">
        <v>0</v>
      </c>
      <c r="P30" s="51">
        <v>0.91</v>
      </c>
      <c r="Q30" s="51">
        <v>10.039999999999999</v>
      </c>
    </row>
    <row r="31" spans="1:17" customFormat="1">
      <c r="A31" s="50">
        <v>45634.958333333336</v>
      </c>
      <c r="B31" s="51">
        <v>9.42</v>
      </c>
      <c r="C31" s="51">
        <v>17.239999999999998</v>
      </c>
      <c r="D31" s="51">
        <v>17.739999999999998</v>
      </c>
      <c r="E31" s="51">
        <v>11.3</v>
      </c>
      <c r="F31" s="51">
        <v>2.95</v>
      </c>
      <c r="G31" s="51">
        <v>96.37</v>
      </c>
      <c r="H31" s="51">
        <v>35.29</v>
      </c>
      <c r="I31" s="51">
        <v>11.61</v>
      </c>
      <c r="J31" s="51">
        <v>0.23</v>
      </c>
      <c r="K31" s="51">
        <v>195.5</v>
      </c>
      <c r="L31" s="51">
        <v>22.92</v>
      </c>
      <c r="M31" s="51">
        <v>89.64</v>
      </c>
      <c r="N31" s="51">
        <v>2.1</v>
      </c>
      <c r="O31" s="51">
        <v>0</v>
      </c>
      <c r="P31" s="51">
        <v>1</v>
      </c>
      <c r="Q31" s="51">
        <v>10.06</v>
      </c>
    </row>
    <row r="32" spans="1:17" customFormat="1">
      <c r="A32" s="50">
        <v>45635</v>
      </c>
      <c r="B32" s="51">
        <v>8.83</v>
      </c>
      <c r="C32" s="51">
        <v>17.09</v>
      </c>
      <c r="D32" s="51">
        <v>17.32</v>
      </c>
      <c r="E32" s="51">
        <v>10.59</v>
      </c>
      <c r="F32" s="51">
        <v>3.99</v>
      </c>
      <c r="G32" s="51">
        <v>96.37</v>
      </c>
      <c r="H32" s="51">
        <v>37.17</v>
      </c>
      <c r="I32" s="51">
        <v>11.88</v>
      </c>
      <c r="J32" s="51">
        <v>0.12</v>
      </c>
      <c r="K32" s="51">
        <v>210.27</v>
      </c>
      <c r="L32" s="51">
        <v>22.71</v>
      </c>
      <c r="M32" s="51">
        <v>94.63</v>
      </c>
      <c r="N32" s="51">
        <v>2.1</v>
      </c>
      <c r="O32" s="51">
        <v>0</v>
      </c>
      <c r="P32" s="51">
        <v>1</v>
      </c>
      <c r="Q32" s="51">
        <v>10.050000000000001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3.94</v>
      </c>
      <c r="C34" s="41">
        <f t="shared" si="0"/>
        <v>15.35</v>
      </c>
      <c r="D34" s="41">
        <f t="shared" si="0"/>
        <v>12.53</v>
      </c>
      <c r="E34" s="41">
        <f t="shared" si="0"/>
        <v>8.02</v>
      </c>
      <c r="F34" s="41">
        <f t="shared" si="0"/>
        <v>2.94</v>
      </c>
      <c r="G34" s="41">
        <f t="shared" si="0"/>
        <v>54.65</v>
      </c>
      <c r="H34" s="41">
        <f t="shared" si="0"/>
        <v>27.05</v>
      </c>
      <c r="I34" s="41">
        <f t="shared" si="0"/>
        <v>7.86</v>
      </c>
      <c r="J34" s="41">
        <f t="shared" si="0"/>
        <v>0.12</v>
      </c>
      <c r="K34" s="41">
        <f t="shared" si="0"/>
        <v>38.07</v>
      </c>
      <c r="L34" s="41">
        <f t="shared" si="0"/>
        <v>18.82</v>
      </c>
      <c r="M34" s="41">
        <f t="shared" si="0"/>
        <v>58.31</v>
      </c>
      <c r="N34" s="41">
        <f t="shared" si="0"/>
        <v>1.7</v>
      </c>
      <c r="O34" s="41">
        <f t="shared" si="0"/>
        <v>0</v>
      </c>
      <c r="P34" s="41">
        <f t="shared" si="0"/>
        <v>0.63</v>
      </c>
      <c r="Q34" s="41">
        <f t="shared" si="0"/>
        <v>10.02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12.55</v>
      </c>
      <c r="C35" s="33">
        <f t="shared" si="1"/>
        <v>18.02</v>
      </c>
      <c r="D35" s="33">
        <f t="shared" si="1"/>
        <v>20.69</v>
      </c>
      <c r="E35" s="33">
        <f t="shared" si="1"/>
        <v>11.3</v>
      </c>
      <c r="F35" s="33">
        <f t="shared" si="1"/>
        <v>11.14</v>
      </c>
      <c r="G35" s="33">
        <f t="shared" si="1"/>
        <v>96.37</v>
      </c>
      <c r="H35" s="33">
        <f t="shared" si="1"/>
        <v>37.17</v>
      </c>
      <c r="I35" s="33">
        <f t="shared" si="1"/>
        <v>11.88</v>
      </c>
      <c r="J35" s="33">
        <f t="shared" si="1"/>
        <v>0.66</v>
      </c>
      <c r="K35" s="33">
        <f t="shared" si="1"/>
        <v>338.47</v>
      </c>
      <c r="L35" s="33">
        <f t="shared" si="1"/>
        <v>28.67</v>
      </c>
      <c r="M35" s="33">
        <f t="shared" si="1"/>
        <v>94.63</v>
      </c>
      <c r="N35" s="33">
        <f t="shared" si="1"/>
        <v>420.9</v>
      </c>
      <c r="O35" s="33">
        <f t="shared" si="1"/>
        <v>0</v>
      </c>
      <c r="P35" s="33">
        <f t="shared" si="1"/>
        <v>1</v>
      </c>
      <c r="Q35" s="33">
        <f t="shared" si="1"/>
        <v>10.07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8.3270833333333325</v>
      </c>
      <c r="C36" s="41">
        <f t="shared" si="2"/>
        <v>16.858333333333334</v>
      </c>
      <c r="D36" s="41">
        <f t="shared" si="2"/>
        <v>16.729999999999997</v>
      </c>
      <c r="E36" s="41">
        <f t="shared" si="2"/>
        <v>9.6162499999999991</v>
      </c>
      <c r="F36" s="41">
        <f t="shared" si="2"/>
        <v>4.8674999999999988</v>
      </c>
      <c r="G36" s="41">
        <f t="shared" si="2"/>
        <v>77.877500000000012</v>
      </c>
      <c r="H36" s="41">
        <f t="shared" si="2"/>
        <v>31.24291666666667</v>
      </c>
      <c r="I36" s="41">
        <f t="shared" si="2"/>
        <v>9.5795833333333338</v>
      </c>
      <c r="J36" s="41">
        <f t="shared" si="2"/>
        <v>0.37000000000000005</v>
      </c>
      <c r="K36" s="41">
        <f t="shared" si="2"/>
        <v>190.05708333333337</v>
      </c>
      <c r="L36" s="41">
        <f t="shared" si="2"/>
        <v>23.511666666666667</v>
      </c>
      <c r="M36" s="41">
        <f t="shared" si="2"/>
        <v>78.656249999999986</v>
      </c>
      <c r="N36" s="41">
        <f t="shared" si="2"/>
        <v>90.704166666666652</v>
      </c>
      <c r="O36" s="41">
        <f t="shared" si="2"/>
        <v>0</v>
      </c>
      <c r="P36" s="41">
        <f t="shared" si="2"/>
        <v>0.79541666666666666</v>
      </c>
      <c r="Q36" s="41">
        <f t="shared" si="2"/>
        <v>10.044583333333334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3.0624166063771465</v>
      </c>
      <c r="C37" s="41">
        <f t="shared" ref="C37:Q37" si="3">STDEV(C9:C32)</f>
        <v>0.82300439359947264</v>
      </c>
      <c r="D37" s="41">
        <f t="shared" si="3"/>
        <v>2.7647108505152342</v>
      </c>
      <c r="E37" s="41">
        <f t="shared" si="3"/>
        <v>0.93501365951427273</v>
      </c>
      <c r="F37" s="41">
        <f t="shared" si="3"/>
        <v>2.3827883738978199</v>
      </c>
      <c r="G37" s="41">
        <f t="shared" si="3"/>
        <v>12.300440518799295</v>
      </c>
      <c r="H37" s="41">
        <f t="shared" si="3"/>
        <v>3.0561391943696052</v>
      </c>
      <c r="I37" s="41">
        <f t="shared" si="3"/>
        <v>0.98686803296728942</v>
      </c>
      <c r="J37" s="41">
        <f t="shared" si="3"/>
        <v>0.16495058548599914</v>
      </c>
      <c r="K37" s="41">
        <f t="shared" si="3"/>
        <v>95.29567203453928</v>
      </c>
      <c r="L37" s="41">
        <f t="shared" si="3"/>
        <v>3.4993051070011143</v>
      </c>
      <c r="M37" s="41">
        <f t="shared" si="3"/>
        <v>12.862994719433662</v>
      </c>
      <c r="N37" s="41">
        <f t="shared" si="3"/>
        <v>136.82465287388078</v>
      </c>
      <c r="O37" s="41">
        <f t="shared" si="3"/>
        <v>0</v>
      </c>
      <c r="P37" s="41">
        <f t="shared" si="3"/>
        <v>9.0936153745203419E-2</v>
      </c>
      <c r="Q37" s="41">
        <f t="shared" si="3"/>
        <v>1.4440030912488959E-2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45635.041666666664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45635.041666666664</v>
      </c>
      <c r="B9" s="51">
        <v>7.39</v>
      </c>
      <c r="C9" s="51">
        <v>17.36</v>
      </c>
      <c r="D9" s="51">
        <v>16.350000000000001</v>
      </c>
      <c r="E9" s="51">
        <v>11.03</v>
      </c>
      <c r="F9" s="51">
        <v>3.57</v>
      </c>
      <c r="G9" s="51">
        <v>92.84</v>
      </c>
      <c r="H9" s="51">
        <v>37.17</v>
      </c>
      <c r="I9" s="51">
        <v>11.82</v>
      </c>
      <c r="J9" s="51">
        <v>0.11</v>
      </c>
      <c r="K9" s="51">
        <v>187.12</v>
      </c>
      <c r="L9" s="51">
        <v>21.75</v>
      </c>
      <c r="M9" s="51">
        <v>95.54</v>
      </c>
      <c r="N9" s="51">
        <v>1.7</v>
      </c>
      <c r="O9" s="51">
        <v>0</v>
      </c>
      <c r="P9" s="51">
        <v>0.98</v>
      </c>
      <c r="Q9" s="51">
        <v>10.029999999999999</v>
      </c>
    </row>
    <row r="10" spans="1:21" customFormat="1">
      <c r="A10" s="50">
        <v>45635.083333333336</v>
      </c>
      <c r="B10" s="51">
        <v>7.01</v>
      </c>
      <c r="C10" s="51">
        <v>15.52</v>
      </c>
      <c r="D10" s="51">
        <v>15.06</v>
      </c>
      <c r="E10" s="51">
        <v>10.76</v>
      </c>
      <c r="F10" s="51">
        <v>3.59</v>
      </c>
      <c r="G10" s="51">
        <v>82.52</v>
      </c>
      <c r="H10" s="51">
        <v>33.93</v>
      </c>
      <c r="I10" s="51">
        <v>11.63</v>
      </c>
      <c r="J10" s="51">
        <v>0.15</v>
      </c>
      <c r="K10" s="51">
        <v>169.58</v>
      </c>
      <c r="L10" s="51">
        <v>21.51</v>
      </c>
      <c r="M10" s="51">
        <v>96.17</v>
      </c>
      <c r="N10" s="51">
        <v>1.7</v>
      </c>
      <c r="O10" s="51">
        <v>0</v>
      </c>
      <c r="P10" s="51">
        <v>0.93</v>
      </c>
      <c r="Q10" s="51">
        <v>10.029999999999999</v>
      </c>
    </row>
    <row r="11" spans="1:21" customFormat="1">
      <c r="A11" s="50">
        <v>45635.125</v>
      </c>
      <c r="B11" s="51">
        <v>7.29</v>
      </c>
      <c r="C11" s="51">
        <v>15.03</v>
      </c>
      <c r="D11" s="51">
        <v>14.87</v>
      </c>
      <c r="E11" s="51">
        <v>9.25</v>
      </c>
      <c r="F11" s="51">
        <v>3.27</v>
      </c>
      <c r="G11" s="51">
        <v>69.010000000000005</v>
      </c>
      <c r="H11" s="51">
        <v>31.74</v>
      </c>
      <c r="I11" s="51">
        <v>11.11</v>
      </c>
      <c r="J11" s="51">
        <v>0.15</v>
      </c>
      <c r="K11" s="51">
        <v>167.87</v>
      </c>
      <c r="L11" s="51">
        <v>20.97</v>
      </c>
      <c r="M11" s="51">
        <v>98.72</v>
      </c>
      <c r="N11" s="51">
        <v>1.7</v>
      </c>
      <c r="O11" s="51">
        <v>0</v>
      </c>
      <c r="P11" s="51">
        <v>0.9</v>
      </c>
      <c r="Q11" s="51">
        <v>10.029999999999999</v>
      </c>
    </row>
    <row r="12" spans="1:21" customFormat="1">
      <c r="A12" s="50">
        <v>45635.166666666664</v>
      </c>
      <c r="B12" s="51">
        <v>8.41</v>
      </c>
      <c r="C12" s="51">
        <v>14.18</v>
      </c>
      <c r="D12" s="51">
        <v>15.43</v>
      </c>
      <c r="E12" s="51">
        <v>9.9</v>
      </c>
      <c r="F12" s="51">
        <v>2.88</v>
      </c>
      <c r="G12" s="51">
        <v>54.32</v>
      </c>
      <c r="H12" s="51">
        <v>29.92</v>
      </c>
      <c r="I12" s="51">
        <v>10.79</v>
      </c>
      <c r="J12" s="51">
        <v>0.27</v>
      </c>
      <c r="K12" s="51">
        <v>172.04</v>
      </c>
      <c r="L12" s="51">
        <v>20.77</v>
      </c>
      <c r="M12" s="51">
        <v>100.51</v>
      </c>
      <c r="N12" s="51">
        <v>1.7</v>
      </c>
      <c r="O12" s="51">
        <v>0</v>
      </c>
      <c r="P12" s="51">
        <v>0.84</v>
      </c>
      <c r="Q12" s="51">
        <v>10.029999999999999</v>
      </c>
    </row>
    <row r="13" spans="1:21" customFormat="1">
      <c r="A13" s="50">
        <v>45635.208333333336</v>
      </c>
      <c r="B13" s="51">
        <v>10.32</v>
      </c>
      <c r="C13" s="51">
        <v>14.23</v>
      </c>
      <c r="D13" s="51">
        <v>17</v>
      </c>
      <c r="E13" s="51">
        <v>9.98</v>
      </c>
      <c r="F13" s="51">
        <v>3.09</v>
      </c>
      <c r="G13" s="51">
        <v>47.2</v>
      </c>
      <c r="H13" s="51">
        <v>26.47</v>
      </c>
      <c r="I13" s="51">
        <v>10.29</v>
      </c>
      <c r="J13" s="51">
        <v>0.28999999999999998</v>
      </c>
      <c r="K13" s="51">
        <v>222.37</v>
      </c>
      <c r="L13" s="51">
        <v>20.39</v>
      </c>
      <c r="M13" s="51">
        <v>102.08</v>
      </c>
      <c r="N13" s="51">
        <v>1.8</v>
      </c>
      <c r="O13" s="51">
        <v>0</v>
      </c>
      <c r="P13" s="51">
        <v>0.77</v>
      </c>
      <c r="Q13" s="51">
        <v>10.02</v>
      </c>
    </row>
    <row r="14" spans="1:21" customFormat="1">
      <c r="A14" s="50">
        <v>45635.25</v>
      </c>
      <c r="B14" s="51">
        <v>14.03</v>
      </c>
      <c r="C14" s="51">
        <v>14.5</v>
      </c>
      <c r="D14" s="51">
        <v>20.09</v>
      </c>
      <c r="E14" s="51">
        <v>9.75</v>
      </c>
      <c r="F14" s="51">
        <v>2.92</v>
      </c>
      <c r="G14" s="51">
        <v>42.62</v>
      </c>
      <c r="H14" s="51">
        <v>20.04</v>
      </c>
      <c r="I14" s="51">
        <v>9.94</v>
      </c>
      <c r="J14" s="51">
        <v>0.13</v>
      </c>
      <c r="K14" s="51">
        <v>297.02</v>
      </c>
      <c r="L14" s="51">
        <v>20.010000000000002</v>
      </c>
      <c r="M14" s="51">
        <v>103.54</v>
      </c>
      <c r="N14" s="51">
        <v>1.8</v>
      </c>
      <c r="O14" s="51">
        <v>0</v>
      </c>
      <c r="P14" s="51">
        <v>0.76</v>
      </c>
      <c r="Q14" s="51">
        <v>10.039999999999999</v>
      </c>
    </row>
    <row r="15" spans="1:21" customFormat="1">
      <c r="A15" s="50">
        <v>45635.291666666664</v>
      </c>
      <c r="B15" s="51">
        <v>15.65</v>
      </c>
      <c r="C15" s="51">
        <v>14.99</v>
      </c>
      <c r="D15" s="51">
        <v>21.45</v>
      </c>
      <c r="E15" s="51">
        <v>10.17</v>
      </c>
      <c r="F15" s="51">
        <v>6.7</v>
      </c>
      <c r="G15" s="51">
        <v>42.62</v>
      </c>
      <c r="H15" s="51">
        <v>20.16</v>
      </c>
      <c r="I15" s="51">
        <v>9.75</v>
      </c>
      <c r="J15" s="51">
        <v>0.27</v>
      </c>
      <c r="K15" s="51">
        <v>165.42</v>
      </c>
      <c r="L15" s="51">
        <v>20.63</v>
      </c>
      <c r="M15" s="51">
        <v>102.72</v>
      </c>
      <c r="N15" s="51">
        <v>19</v>
      </c>
      <c r="O15" s="51">
        <v>0</v>
      </c>
      <c r="P15" s="51">
        <v>0.75</v>
      </c>
      <c r="Q15" s="51">
        <v>10.029999999999999</v>
      </c>
    </row>
    <row r="16" spans="1:21" customFormat="1">
      <c r="A16" s="50">
        <v>45635.333333333336</v>
      </c>
      <c r="B16" s="51">
        <v>17.27</v>
      </c>
      <c r="C16" s="51">
        <v>14.76</v>
      </c>
      <c r="D16" s="51">
        <v>22.75</v>
      </c>
      <c r="E16" s="51">
        <v>9.98</v>
      </c>
      <c r="F16" s="51">
        <v>5.52</v>
      </c>
      <c r="G16" s="51">
        <v>39.229999999999997</v>
      </c>
      <c r="H16" s="51">
        <v>20.16</v>
      </c>
      <c r="I16" s="51">
        <v>9.83</v>
      </c>
      <c r="J16" s="51">
        <v>0.3</v>
      </c>
      <c r="K16" s="51">
        <v>208.23</v>
      </c>
      <c r="L16" s="51">
        <v>22.19</v>
      </c>
      <c r="M16" s="51">
        <v>101.87</v>
      </c>
      <c r="N16" s="51">
        <v>79.400000000000006</v>
      </c>
      <c r="O16" s="51">
        <v>0</v>
      </c>
      <c r="P16" s="51">
        <v>0.74</v>
      </c>
      <c r="Q16" s="51">
        <v>10.050000000000001</v>
      </c>
    </row>
    <row r="17" spans="1:17" customFormat="1">
      <c r="A17" s="50">
        <v>45635.375</v>
      </c>
      <c r="B17" s="51">
        <v>17.059999999999999</v>
      </c>
      <c r="C17" s="51">
        <v>14.25</v>
      </c>
      <c r="D17" s="51">
        <v>22.05</v>
      </c>
      <c r="E17" s="51">
        <v>9.69</v>
      </c>
      <c r="F17" s="51">
        <v>2.4300000000000002</v>
      </c>
      <c r="G17" s="51">
        <v>44.61</v>
      </c>
      <c r="H17" s="51">
        <v>20.52</v>
      </c>
      <c r="I17" s="51">
        <v>10.02</v>
      </c>
      <c r="J17" s="51">
        <v>0.48</v>
      </c>
      <c r="K17" s="51">
        <v>279.77999999999997</v>
      </c>
      <c r="L17" s="51">
        <v>24.38</v>
      </c>
      <c r="M17" s="51">
        <v>94.06</v>
      </c>
      <c r="N17" s="51">
        <v>139.69999999999999</v>
      </c>
      <c r="O17" s="51">
        <v>0</v>
      </c>
      <c r="P17" s="51">
        <v>0.77</v>
      </c>
      <c r="Q17" s="51">
        <v>10.06</v>
      </c>
    </row>
    <row r="18" spans="1:17" customFormat="1">
      <c r="A18" s="50">
        <v>45635.416666666664</v>
      </c>
      <c r="B18" s="51">
        <v>14.72</v>
      </c>
      <c r="C18" s="51">
        <v>15.19</v>
      </c>
      <c r="D18" s="51">
        <v>20.87</v>
      </c>
      <c r="E18" s="51">
        <v>9.81</v>
      </c>
      <c r="F18" s="51">
        <v>4.34</v>
      </c>
      <c r="G18" s="51">
        <v>44.61</v>
      </c>
      <c r="H18" s="51">
        <v>20.52</v>
      </c>
      <c r="I18" s="51">
        <v>9.9700000000000006</v>
      </c>
      <c r="J18" s="51">
        <v>0.64</v>
      </c>
      <c r="K18" s="51">
        <v>295.93</v>
      </c>
      <c r="L18" s="51">
        <v>25.92</v>
      </c>
      <c r="M18" s="51">
        <v>85.48</v>
      </c>
      <c r="N18" s="51">
        <v>238.1</v>
      </c>
      <c r="O18" s="51">
        <v>0</v>
      </c>
      <c r="P18" s="51">
        <v>0.78</v>
      </c>
      <c r="Q18" s="51">
        <v>10.07</v>
      </c>
    </row>
    <row r="19" spans="1:17" customFormat="1">
      <c r="A19" s="50">
        <v>45635.458333333336</v>
      </c>
      <c r="B19" s="51">
        <v>12.46</v>
      </c>
      <c r="C19" s="51">
        <v>15.87</v>
      </c>
      <c r="D19" s="51">
        <v>19.399999999999999</v>
      </c>
      <c r="E19" s="51">
        <v>8.73</v>
      </c>
      <c r="F19" s="51">
        <v>4.07</v>
      </c>
      <c r="G19" s="51">
        <v>45.77</v>
      </c>
      <c r="H19" s="51">
        <v>19.87</v>
      </c>
      <c r="I19" s="51">
        <v>10.32</v>
      </c>
      <c r="J19" s="51">
        <v>0.89</v>
      </c>
      <c r="K19" s="51">
        <v>293.95999999999998</v>
      </c>
      <c r="L19" s="51">
        <v>27.24</v>
      </c>
      <c r="M19" s="51">
        <v>77.63</v>
      </c>
      <c r="N19" s="51">
        <v>357.3</v>
      </c>
      <c r="O19" s="51">
        <v>0</v>
      </c>
      <c r="P19" s="51">
        <v>0.79</v>
      </c>
      <c r="Q19" s="51">
        <v>10.050000000000001</v>
      </c>
    </row>
    <row r="20" spans="1:17" customFormat="1">
      <c r="A20" s="50">
        <v>45635.5</v>
      </c>
      <c r="B20" s="51">
        <v>9.4499999999999993</v>
      </c>
      <c r="C20" s="51">
        <v>16.420000000000002</v>
      </c>
      <c r="D20" s="51">
        <v>17.190000000000001</v>
      </c>
      <c r="E20" s="51">
        <v>8.4700000000000006</v>
      </c>
      <c r="F20" s="51">
        <v>4.82</v>
      </c>
      <c r="G20" s="51">
        <v>51.81</v>
      </c>
      <c r="H20" s="51">
        <v>21.24</v>
      </c>
      <c r="I20" s="51">
        <v>10.28</v>
      </c>
      <c r="J20" s="51">
        <v>1</v>
      </c>
      <c r="K20" s="51">
        <v>323.3</v>
      </c>
      <c r="L20" s="51">
        <v>27.46</v>
      </c>
      <c r="M20" s="51">
        <v>72.03</v>
      </c>
      <c r="N20" s="51">
        <v>294.89999999999998</v>
      </c>
      <c r="O20" s="51">
        <v>0</v>
      </c>
      <c r="P20" s="51">
        <v>0.81</v>
      </c>
      <c r="Q20" s="51">
        <v>10.06</v>
      </c>
    </row>
    <row r="21" spans="1:17" customFormat="1">
      <c r="A21" s="50">
        <v>45635.541666666664</v>
      </c>
      <c r="B21" s="51">
        <v>8.07</v>
      </c>
      <c r="C21" s="51">
        <v>16.57</v>
      </c>
      <c r="D21" s="51">
        <v>16.48</v>
      </c>
      <c r="E21" s="51">
        <v>8.67</v>
      </c>
      <c r="F21" s="51">
        <v>5.12</v>
      </c>
      <c r="G21" s="51">
        <v>57.25</v>
      </c>
      <c r="H21" s="51">
        <v>23.71</v>
      </c>
      <c r="I21" s="51">
        <v>10.16</v>
      </c>
      <c r="J21" s="51">
        <v>0.92</v>
      </c>
      <c r="K21" s="51">
        <v>350.6</v>
      </c>
      <c r="L21" s="51">
        <v>28.27</v>
      </c>
      <c r="M21" s="51">
        <v>68.489999999999995</v>
      </c>
      <c r="N21" s="51">
        <v>330.3</v>
      </c>
      <c r="O21" s="51">
        <v>0</v>
      </c>
      <c r="P21" s="51">
        <v>0.82</v>
      </c>
      <c r="Q21" s="51">
        <v>10.050000000000001</v>
      </c>
    </row>
    <row r="22" spans="1:17" customFormat="1">
      <c r="A22" s="50">
        <v>45635.583333333336</v>
      </c>
      <c r="B22" s="51">
        <v>6.7</v>
      </c>
      <c r="C22" s="51">
        <v>15.94</v>
      </c>
      <c r="D22" s="51">
        <v>15.05</v>
      </c>
      <c r="E22" s="51">
        <v>8.89</v>
      </c>
      <c r="F22" s="51">
        <v>7.92</v>
      </c>
      <c r="G22" s="51">
        <v>60.64</v>
      </c>
      <c r="H22" s="51">
        <v>24.01</v>
      </c>
      <c r="I22" s="51">
        <v>10.06</v>
      </c>
      <c r="J22" s="51">
        <v>0.89</v>
      </c>
      <c r="K22" s="51">
        <v>345.93</v>
      </c>
      <c r="L22" s="51">
        <v>28.32</v>
      </c>
      <c r="M22" s="51">
        <v>66.42</v>
      </c>
      <c r="N22" s="51">
        <v>360.9</v>
      </c>
      <c r="O22" s="51">
        <v>0</v>
      </c>
      <c r="P22" s="51">
        <v>0.81</v>
      </c>
      <c r="Q22" s="51">
        <v>10.039999999999999</v>
      </c>
    </row>
    <row r="23" spans="1:17" customFormat="1">
      <c r="A23" s="50">
        <v>45635.625</v>
      </c>
      <c r="B23" s="51">
        <v>6.09</v>
      </c>
      <c r="C23" s="51">
        <v>14.08</v>
      </c>
      <c r="D23" s="51">
        <v>13.59</v>
      </c>
      <c r="E23" s="51">
        <v>8.94</v>
      </c>
      <c r="F23" s="51">
        <v>11.65</v>
      </c>
      <c r="G23" s="51">
        <v>67.22</v>
      </c>
      <c r="H23" s="51">
        <v>26.85</v>
      </c>
      <c r="I23" s="51">
        <v>10.11</v>
      </c>
      <c r="J23" s="51">
        <v>0.87</v>
      </c>
      <c r="K23" s="51">
        <v>332</v>
      </c>
      <c r="L23" s="51">
        <v>28.52</v>
      </c>
      <c r="M23" s="51">
        <v>62.06</v>
      </c>
      <c r="N23" s="51">
        <v>148.1</v>
      </c>
      <c r="O23" s="51">
        <v>0</v>
      </c>
      <c r="P23" s="51">
        <v>0.82</v>
      </c>
      <c r="Q23" s="51">
        <v>10.029999999999999</v>
      </c>
    </row>
    <row r="24" spans="1:17" customFormat="1">
      <c r="A24" s="50">
        <v>45635.666666666664</v>
      </c>
      <c r="B24" s="51">
        <v>5.21</v>
      </c>
      <c r="C24" s="51">
        <v>14.12</v>
      </c>
      <c r="D24" s="51">
        <v>12.81</v>
      </c>
      <c r="E24" s="51">
        <v>9.3699999999999992</v>
      </c>
      <c r="F24" s="51">
        <v>14.39</v>
      </c>
      <c r="G24" s="51">
        <v>68.459999999999994</v>
      </c>
      <c r="H24" s="51">
        <v>26.85</v>
      </c>
      <c r="I24" s="51">
        <v>9.7200000000000006</v>
      </c>
      <c r="J24" s="51">
        <v>0.59</v>
      </c>
      <c r="K24" s="51">
        <v>315.39999999999998</v>
      </c>
      <c r="L24" s="51">
        <v>28.32</v>
      </c>
      <c r="M24" s="51">
        <v>60.91</v>
      </c>
      <c r="N24" s="51">
        <v>80.2</v>
      </c>
      <c r="O24" s="51">
        <v>0</v>
      </c>
      <c r="P24" s="51">
        <v>0.81</v>
      </c>
      <c r="Q24" s="51">
        <v>10.01</v>
      </c>
    </row>
    <row r="25" spans="1:17" customFormat="1">
      <c r="A25" s="50">
        <v>45635.708333333336</v>
      </c>
      <c r="B25" s="51">
        <v>5.38</v>
      </c>
      <c r="C25" s="51">
        <v>15.49</v>
      </c>
      <c r="D25" s="51">
        <v>13.76</v>
      </c>
      <c r="E25" s="51">
        <v>8.35</v>
      </c>
      <c r="F25" s="51">
        <v>10.54</v>
      </c>
      <c r="G25" s="51">
        <v>77.75</v>
      </c>
      <c r="H25" s="51">
        <v>24.95</v>
      </c>
      <c r="I25" s="51">
        <v>9.7799999999999994</v>
      </c>
      <c r="J25" s="51">
        <v>0.55000000000000004</v>
      </c>
      <c r="K25" s="51">
        <v>326.97000000000003</v>
      </c>
      <c r="L25" s="51">
        <v>27.29</v>
      </c>
      <c r="M25" s="51">
        <v>64.73</v>
      </c>
      <c r="N25" s="51">
        <v>17.100000000000001</v>
      </c>
      <c r="O25" s="51">
        <v>0</v>
      </c>
      <c r="P25" s="51">
        <v>0.84</v>
      </c>
      <c r="Q25" s="51">
        <v>10.02</v>
      </c>
    </row>
    <row r="26" spans="1:17" customFormat="1">
      <c r="A26" s="50">
        <v>45635.75</v>
      </c>
      <c r="B26" s="51">
        <v>6.4</v>
      </c>
      <c r="C26" s="51">
        <v>16.059999999999999</v>
      </c>
      <c r="D26" s="51">
        <v>14.83</v>
      </c>
      <c r="E26" s="51">
        <v>8.02</v>
      </c>
      <c r="F26" s="51">
        <v>3.33</v>
      </c>
      <c r="G26" s="51">
        <v>95.57</v>
      </c>
      <c r="H26" s="51">
        <v>29.17</v>
      </c>
      <c r="I26" s="51">
        <v>9.98</v>
      </c>
      <c r="J26" s="51">
        <v>0.25</v>
      </c>
      <c r="K26" s="51">
        <v>176.89</v>
      </c>
      <c r="L26" s="51">
        <v>25.87</v>
      </c>
      <c r="M26" s="51">
        <v>80.41</v>
      </c>
      <c r="N26" s="51">
        <v>3.3</v>
      </c>
      <c r="O26" s="51">
        <v>0</v>
      </c>
      <c r="P26" s="51">
        <v>0.88</v>
      </c>
      <c r="Q26" s="51">
        <v>10.02</v>
      </c>
    </row>
    <row r="27" spans="1:17" customFormat="1">
      <c r="A27" s="50">
        <v>45635.791666666664</v>
      </c>
      <c r="B27" s="51">
        <v>6.64</v>
      </c>
      <c r="C27" s="51">
        <v>18.37</v>
      </c>
      <c r="D27" s="51">
        <v>16.239999999999998</v>
      </c>
      <c r="E27" s="51">
        <v>10.25</v>
      </c>
      <c r="F27" s="51">
        <v>18.010000000000002</v>
      </c>
      <c r="G27" s="51">
        <v>109.19</v>
      </c>
      <c r="H27" s="51">
        <v>30.3</v>
      </c>
      <c r="I27" s="51">
        <v>10.28</v>
      </c>
      <c r="J27" s="51">
        <v>0.21</v>
      </c>
      <c r="K27" s="51">
        <v>261.92</v>
      </c>
      <c r="L27" s="51">
        <v>23.86</v>
      </c>
      <c r="M27" s="51">
        <v>84.69</v>
      </c>
      <c r="N27" s="51">
        <v>2.1</v>
      </c>
      <c r="O27" s="51">
        <v>0</v>
      </c>
      <c r="P27" s="51">
        <v>0.97</v>
      </c>
      <c r="Q27" s="51">
        <v>10.039999999999999</v>
      </c>
    </row>
    <row r="28" spans="1:17" customFormat="1">
      <c r="A28" s="50">
        <v>45635.833333333336</v>
      </c>
      <c r="B28" s="51">
        <v>7.7</v>
      </c>
      <c r="C28" s="51">
        <v>20</v>
      </c>
      <c r="D28" s="51">
        <v>17.96</v>
      </c>
      <c r="E28" s="51">
        <v>10.07</v>
      </c>
      <c r="F28" s="51">
        <v>4.55</v>
      </c>
      <c r="G28" s="51">
        <v>109.54</v>
      </c>
      <c r="H28" s="51">
        <v>30.4</v>
      </c>
      <c r="I28" s="51">
        <v>11.28</v>
      </c>
      <c r="J28" s="51">
        <v>0.77</v>
      </c>
      <c r="K28" s="51">
        <v>318.63</v>
      </c>
      <c r="L28" s="51">
        <v>24.65</v>
      </c>
      <c r="M28" s="51">
        <v>65.86</v>
      </c>
      <c r="N28" s="51">
        <v>1.8</v>
      </c>
      <c r="O28" s="51">
        <v>0</v>
      </c>
      <c r="P28" s="51">
        <v>1.05</v>
      </c>
      <c r="Q28" s="51">
        <v>10.039999999999999</v>
      </c>
    </row>
    <row r="29" spans="1:17" customFormat="1">
      <c r="A29" s="50">
        <v>45635.875</v>
      </c>
      <c r="B29" s="51">
        <v>7.47</v>
      </c>
      <c r="C29" s="51">
        <v>20.11</v>
      </c>
      <c r="D29" s="51">
        <v>17.850000000000001</v>
      </c>
      <c r="E29" s="51">
        <v>10.24</v>
      </c>
      <c r="F29" s="51">
        <v>4.95</v>
      </c>
      <c r="G29" s="51">
        <v>109.54</v>
      </c>
      <c r="H29" s="51">
        <v>30.4</v>
      </c>
      <c r="I29" s="51">
        <v>11.41</v>
      </c>
      <c r="J29" s="51">
        <v>0.39</v>
      </c>
      <c r="K29" s="51">
        <v>345.89</v>
      </c>
      <c r="L29" s="51">
        <v>23.57</v>
      </c>
      <c r="M29" s="51">
        <v>56.47</v>
      </c>
      <c r="N29" s="51">
        <v>1.8</v>
      </c>
      <c r="O29" s="51">
        <v>0</v>
      </c>
      <c r="P29" s="51">
        <v>1.02</v>
      </c>
      <c r="Q29" s="51">
        <v>10.050000000000001</v>
      </c>
    </row>
    <row r="30" spans="1:17" customFormat="1">
      <c r="A30" s="50">
        <v>45635.916666666664</v>
      </c>
      <c r="B30" s="51">
        <v>6.84</v>
      </c>
      <c r="C30" s="51">
        <v>19.93</v>
      </c>
      <c r="D30" s="51">
        <v>17.22</v>
      </c>
      <c r="E30" s="51">
        <v>10.119999999999999</v>
      </c>
      <c r="F30" s="51">
        <v>3.46</v>
      </c>
      <c r="G30" s="51">
        <v>101.23</v>
      </c>
      <c r="H30" s="51">
        <v>28.44</v>
      </c>
      <c r="I30" s="51">
        <v>10.79</v>
      </c>
      <c r="J30" s="51">
        <v>0.37</v>
      </c>
      <c r="K30" s="51">
        <v>45.1</v>
      </c>
      <c r="L30" s="51">
        <v>22.45</v>
      </c>
      <c r="M30" s="51">
        <v>55.08</v>
      </c>
      <c r="N30" s="51">
        <v>1.7</v>
      </c>
      <c r="O30" s="51">
        <v>0</v>
      </c>
      <c r="P30" s="51">
        <v>0.96</v>
      </c>
      <c r="Q30" s="51">
        <v>10.050000000000001</v>
      </c>
    </row>
    <row r="31" spans="1:17" customFormat="1">
      <c r="A31" s="50">
        <v>45635.958333333336</v>
      </c>
      <c r="B31" s="51">
        <v>7.2</v>
      </c>
      <c r="C31" s="51">
        <v>20.27</v>
      </c>
      <c r="D31" s="51">
        <v>17.71</v>
      </c>
      <c r="E31" s="51">
        <v>9.42</v>
      </c>
      <c r="F31" s="51">
        <v>4.03</v>
      </c>
      <c r="G31" s="51">
        <v>91.21</v>
      </c>
      <c r="H31" s="51">
        <v>28.44</v>
      </c>
      <c r="I31" s="51">
        <v>10.039999999999999</v>
      </c>
      <c r="J31" s="51">
        <v>0.59</v>
      </c>
      <c r="K31" s="51">
        <v>47.73</v>
      </c>
      <c r="L31" s="51">
        <v>21.66</v>
      </c>
      <c r="M31" s="51">
        <v>53.56</v>
      </c>
      <c r="N31" s="51">
        <v>1.7</v>
      </c>
      <c r="O31" s="51">
        <v>0</v>
      </c>
      <c r="P31" s="51">
        <v>0.89</v>
      </c>
      <c r="Q31" s="51">
        <v>10.050000000000001</v>
      </c>
    </row>
    <row r="32" spans="1:17" customFormat="1">
      <c r="A32" s="50">
        <v>45636</v>
      </c>
      <c r="B32" s="51">
        <v>9.49</v>
      </c>
      <c r="C32" s="51">
        <v>22.89</v>
      </c>
      <c r="D32" s="51">
        <v>20.239999999999998</v>
      </c>
      <c r="E32" s="51">
        <v>10.09</v>
      </c>
      <c r="F32" s="51">
        <v>2.78</v>
      </c>
      <c r="G32" s="51">
        <v>88.02</v>
      </c>
      <c r="H32" s="51">
        <v>24.3</v>
      </c>
      <c r="I32" s="51">
        <v>9.24</v>
      </c>
      <c r="J32" s="51">
        <v>0.51</v>
      </c>
      <c r="K32" s="51">
        <v>55.18</v>
      </c>
      <c r="L32" s="51">
        <v>20.71</v>
      </c>
      <c r="M32" s="51">
        <v>53.78</v>
      </c>
      <c r="N32" s="51">
        <v>1.7</v>
      </c>
      <c r="O32" s="51">
        <v>0</v>
      </c>
      <c r="P32" s="51">
        <v>0.85</v>
      </c>
      <c r="Q32" s="51">
        <v>10.029999999999999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5.21</v>
      </c>
      <c r="C34" s="41">
        <f t="shared" si="0"/>
        <v>14.08</v>
      </c>
      <c r="D34" s="41">
        <f t="shared" si="0"/>
        <v>12.81</v>
      </c>
      <c r="E34" s="41">
        <f t="shared" si="0"/>
        <v>8.02</v>
      </c>
      <c r="F34" s="41">
        <f t="shared" si="0"/>
        <v>2.4300000000000002</v>
      </c>
      <c r="G34" s="41">
        <f t="shared" si="0"/>
        <v>39.229999999999997</v>
      </c>
      <c r="H34" s="41">
        <f t="shared" si="0"/>
        <v>19.87</v>
      </c>
      <c r="I34" s="41">
        <f t="shared" si="0"/>
        <v>9.24</v>
      </c>
      <c r="J34" s="41">
        <f t="shared" si="0"/>
        <v>0.11</v>
      </c>
      <c r="K34" s="41">
        <f t="shared" si="0"/>
        <v>45.1</v>
      </c>
      <c r="L34" s="41">
        <f t="shared" si="0"/>
        <v>20.010000000000002</v>
      </c>
      <c r="M34" s="41">
        <f t="shared" si="0"/>
        <v>53.56</v>
      </c>
      <c r="N34" s="41">
        <f t="shared" si="0"/>
        <v>1.7</v>
      </c>
      <c r="O34" s="41">
        <f t="shared" si="0"/>
        <v>0</v>
      </c>
      <c r="P34" s="41">
        <f t="shared" si="0"/>
        <v>0.74</v>
      </c>
      <c r="Q34" s="41">
        <f t="shared" si="0"/>
        <v>10.01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17.27</v>
      </c>
      <c r="C35" s="33">
        <f t="shared" si="1"/>
        <v>22.89</v>
      </c>
      <c r="D35" s="33">
        <f t="shared" si="1"/>
        <v>22.75</v>
      </c>
      <c r="E35" s="33">
        <f t="shared" si="1"/>
        <v>11.03</v>
      </c>
      <c r="F35" s="33">
        <f t="shared" si="1"/>
        <v>18.010000000000002</v>
      </c>
      <c r="G35" s="33">
        <f t="shared" si="1"/>
        <v>109.54</v>
      </c>
      <c r="H35" s="33">
        <f t="shared" si="1"/>
        <v>37.17</v>
      </c>
      <c r="I35" s="33">
        <f t="shared" si="1"/>
        <v>11.82</v>
      </c>
      <c r="J35" s="33">
        <f t="shared" si="1"/>
        <v>1</v>
      </c>
      <c r="K35" s="33">
        <f t="shared" si="1"/>
        <v>350.6</v>
      </c>
      <c r="L35" s="33">
        <f t="shared" si="1"/>
        <v>28.52</v>
      </c>
      <c r="M35" s="33">
        <f t="shared" si="1"/>
        <v>103.54</v>
      </c>
      <c r="N35" s="33">
        <f t="shared" si="1"/>
        <v>360.9</v>
      </c>
      <c r="O35" s="33">
        <f t="shared" si="1"/>
        <v>0</v>
      </c>
      <c r="P35" s="33">
        <f t="shared" si="1"/>
        <v>1.05</v>
      </c>
      <c r="Q35" s="33">
        <f t="shared" si="1"/>
        <v>10.07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9.3437499999999982</v>
      </c>
      <c r="C36" s="41">
        <f t="shared" si="2"/>
        <v>16.505416666666665</v>
      </c>
      <c r="D36" s="41">
        <f t="shared" si="2"/>
        <v>17.343749999999996</v>
      </c>
      <c r="E36" s="41">
        <f t="shared" si="2"/>
        <v>9.5812500000000007</v>
      </c>
      <c r="F36" s="41">
        <f t="shared" si="2"/>
        <v>5.7470833333333333</v>
      </c>
      <c r="G36" s="41">
        <f t="shared" si="2"/>
        <v>70.532500000000013</v>
      </c>
      <c r="H36" s="41">
        <f t="shared" si="2"/>
        <v>26.231666666666669</v>
      </c>
      <c r="I36" s="41">
        <f t="shared" si="2"/>
        <v>10.358333333333333</v>
      </c>
      <c r="J36" s="41">
        <f t="shared" si="2"/>
        <v>0.48291666666666666</v>
      </c>
      <c r="K36" s="41">
        <f t="shared" si="2"/>
        <v>237.70250000000007</v>
      </c>
      <c r="L36" s="41">
        <f t="shared" si="2"/>
        <v>24.029583333333331</v>
      </c>
      <c r="M36" s="41">
        <f t="shared" si="2"/>
        <v>79.283750000000012</v>
      </c>
      <c r="N36" s="41">
        <f t="shared" si="2"/>
        <v>87.062499999999986</v>
      </c>
      <c r="O36" s="41">
        <f t="shared" si="2"/>
        <v>0</v>
      </c>
      <c r="P36" s="41">
        <f t="shared" si="2"/>
        <v>0.85583333333333345</v>
      </c>
      <c r="Q36" s="41">
        <f t="shared" si="2"/>
        <v>10.03875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3.7480485502168532</v>
      </c>
      <c r="C37" s="41">
        <f t="shared" ref="C37:Q37" si="3">STDEV(C9:C32)</f>
        <v>2.4630044911019522</v>
      </c>
      <c r="D37" s="41">
        <f t="shared" si="3"/>
        <v>2.7879863584283697</v>
      </c>
      <c r="E37" s="41">
        <f t="shared" si="3"/>
        <v>0.77541188213524315</v>
      </c>
      <c r="F37" s="41">
        <f t="shared" si="3"/>
        <v>4.0071658413035696</v>
      </c>
      <c r="G37" s="41">
        <f t="shared" si="3"/>
        <v>24.207817862256245</v>
      </c>
      <c r="H37" s="41">
        <f t="shared" si="3"/>
        <v>4.9022467490331181</v>
      </c>
      <c r="I37" s="41">
        <f t="shared" si="3"/>
        <v>0.66534506684203698</v>
      </c>
      <c r="J37" s="41">
        <f t="shared" si="3"/>
        <v>0.28526843447907957</v>
      </c>
      <c r="K37" s="41">
        <f t="shared" si="3"/>
        <v>97.419323422444918</v>
      </c>
      <c r="L37" s="41">
        <f t="shared" si="3"/>
        <v>3.0243856424889133</v>
      </c>
      <c r="M37" s="41">
        <f t="shared" si="3"/>
        <v>18.195109188173706</v>
      </c>
      <c r="N37" s="41">
        <f t="shared" si="3"/>
        <v>129.15085824253208</v>
      </c>
      <c r="O37" s="41">
        <f t="shared" si="3"/>
        <v>0</v>
      </c>
      <c r="P37" s="41">
        <f t="shared" si="3"/>
        <v>8.8755485643896403E-2</v>
      </c>
      <c r="Q37" s="41">
        <f t="shared" si="3"/>
        <v>1.4836060651405625E-2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45636.041666666664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45636.041666666664</v>
      </c>
      <c r="B9" s="51">
        <v>11.25</v>
      </c>
      <c r="C9" s="51">
        <v>24.57</v>
      </c>
      <c r="D9" s="51">
        <v>22.25</v>
      </c>
      <c r="E9" s="51">
        <v>9.92</v>
      </c>
      <c r="F9" s="51">
        <v>3.76</v>
      </c>
      <c r="G9" s="51">
        <v>84.53</v>
      </c>
      <c r="H9" s="51">
        <v>24.3</v>
      </c>
      <c r="I9" s="51">
        <v>8.99</v>
      </c>
      <c r="J9" s="51">
        <v>0.45</v>
      </c>
      <c r="K9" s="51">
        <v>82.87</v>
      </c>
      <c r="L9" s="51">
        <v>19.41</v>
      </c>
      <c r="M9" s="51">
        <v>57.39</v>
      </c>
      <c r="N9" s="51">
        <v>1.7</v>
      </c>
      <c r="O9" s="51">
        <v>0</v>
      </c>
      <c r="P9" s="51">
        <v>0.82</v>
      </c>
      <c r="Q9" s="51">
        <v>10.050000000000001</v>
      </c>
    </row>
    <row r="10" spans="1:21" customFormat="1">
      <c r="A10" s="50">
        <v>45636.083333333336</v>
      </c>
      <c r="B10" s="51">
        <v>11.74</v>
      </c>
      <c r="C10" s="51">
        <v>21.89</v>
      </c>
      <c r="D10" s="51">
        <v>22.2</v>
      </c>
      <c r="E10" s="51">
        <v>10.26</v>
      </c>
      <c r="F10" s="51">
        <v>3.15</v>
      </c>
      <c r="G10" s="51">
        <v>84.53</v>
      </c>
      <c r="H10" s="51">
        <v>23.38</v>
      </c>
      <c r="I10" s="51">
        <v>8.56</v>
      </c>
      <c r="J10" s="51">
        <v>0.52</v>
      </c>
      <c r="K10" s="51">
        <v>47.77</v>
      </c>
      <c r="L10" s="51">
        <v>18.600000000000001</v>
      </c>
      <c r="M10" s="51">
        <v>59.56</v>
      </c>
      <c r="N10" s="51">
        <v>1.5</v>
      </c>
      <c r="O10" s="51">
        <v>0</v>
      </c>
      <c r="P10" s="51">
        <v>0.76</v>
      </c>
      <c r="Q10" s="51">
        <v>10.050000000000001</v>
      </c>
    </row>
    <row r="11" spans="1:21" customFormat="1">
      <c r="A11" s="50">
        <v>45636.125</v>
      </c>
      <c r="B11" s="51">
        <v>11.62</v>
      </c>
      <c r="C11" s="51">
        <v>21.32</v>
      </c>
      <c r="D11" s="51">
        <v>21.52</v>
      </c>
      <c r="E11" s="51">
        <v>9.68</v>
      </c>
      <c r="F11" s="51">
        <v>3.57</v>
      </c>
      <c r="G11" s="51">
        <v>74.260000000000005</v>
      </c>
      <c r="H11" s="51">
        <v>22.44</v>
      </c>
      <c r="I11" s="51">
        <v>8.09</v>
      </c>
      <c r="J11" s="51">
        <v>0.51</v>
      </c>
      <c r="K11" s="51">
        <v>48.79</v>
      </c>
      <c r="L11" s="51">
        <v>18.11</v>
      </c>
      <c r="M11" s="51">
        <v>60.82</v>
      </c>
      <c r="N11" s="51">
        <v>1.4</v>
      </c>
      <c r="O11" s="51">
        <v>0</v>
      </c>
      <c r="P11" s="51">
        <v>0.71</v>
      </c>
      <c r="Q11" s="51">
        <v>10.050000000000001</v>
      </c>
    </row>
    <row r="12" spans="1:21" customFormat="1">
      <c r="A12" s="50">
        <v>45636.166666666664</v>
      </c>
      <c r="B12" s="51">
        <v>10.51</v>
      </c>
      <c r="C12" s="51">
        <v>20.420000000000002</v>
      </c>
      <c r="D12" s="51">
        <v>20.28</v>
      </c>
      <c r="E12" s="51">
        <v>9.23</v>
      </c>
      <c r="F12" s="51">
        <v>4.41</v>
      </c>
      <c r="G12" s="51">
        <v>62.05</v>
      </c>
      <c r="H12" s="51">
        <v>22.44</v>
      </c>
      <c r="I12" s="51">
        <v>7.62</v>
      </c>
      <c r="J12" s="51">
        <v>0.85</v>
      </c>
      <c r="K12" s="51">
        <v>52.47</v>
      </c>
      <c r="L12" s="51">
        <v>17.670000000000002</v>
      </c>
      <c r="M12" s="51">
        <v>61.34</v>
      </c>
      <c r="N12" s="51">
        <v>1.6</v>
      </c>
      <c r="O12" s="51">
        <v>0</v>
      </c>
      <c r="P12" s="51">
        <v>0.65</v>
      </c>
      <c r="Q12" s="51">
        <v>10.039999999999999</v>
      </c>
    </row>
    <row r="13" spans="1:21" customFormat="1">
      <c r="A13" s="50">
        <v>45636.208333333336</v>
      </c>
      <c r="B13" s="51">
        <v>8.57</v>
      </c>
      <c r="C13" s="51">
        <v>19.940000000000001</v>
      </c>
      <c r="D13" s="51">
        <v>18.36</v>
      </c>
      <c r="E13" s="51">
        <v>8.44</v>
      </c>
      <c r="F13" s="51">
        <v>4.24</v>
      </c>
      <c r="G13" s="51">
        <v>54.21</v>
      </c>
      <c r="H13" s="51">
        <v>19.11</v>
      </c>
      <c r="I13" s="51">
        <v>7.13</v>
      </c>
      <c r="J13" s="51">
        <v>0.68</v>
      </c>
      <c r="K13" s="51">
        <v>56.14</v>
      </c>
      <c r="L13" s="51">
        <v>16.98</v>
      </c>
      <c r="M13" s="51">
        <v>67.400000000000006</v>
      </c>
      <c r="N13" s="51">
        <v>1.5</v>
      </c>
      <c r="O13" s="51">
        <v>0</v>
      </c>
      <c r="P13" s="51">
        <v>0.63</v>
      </c>
      <c r="Q13" s="51">
        <v>10.06</v>
      </c>
    </row>
    <row r="14" spans="1:21" customFormat="1">
      <c r="A14" s="50">
        <v>45636.25</v>
      </c>
      <c r="B14" s="51">
        <v>7.99</v>
      </c>
      <c r="C14" s="51">
        <v>20.03</v>
      </c>
      <c r="D14" s="51">
        <v>18.22</v>
      </c>
      <c r="E14" s="51">
        <v>7.98</v>
      </c>
      <c r="F14" s="51">
        <v>3.61</v>
      </c>
      <c r="G14" s="51">
        <v>51.11</v>
      </c>
      <c r="H14" s="51">
        <v>15.48</v>
      </c>
      <c r="I14" s="51">
        <v>6.5</v>
      </c>
      <c r="J14" s="51">
        <v>0.18</v>
      </c>
      <c r="K14" s="51">
        <v>239.09</v>
      </c>
      <c r="L14" s="51">
        <v>16.079999999999998</v>
      </c>
      <c r="M14" s="51">
        <v>80.239999999999995</v>
      </c>
      <c r="N14" s="51">
        <v>1.6</v>
      </c>
      <c r="O14" s="51">
        <v>0</v>
      </c>
      <c r="P14" s="51">
        <v>0.6</v>
      </c>
      <c r="Q14" s="51">
        <v>10.039999999999999</v>
      </c>
    </row>
    <row r="15" spans="1:21" customFormat="1">
      <c r="A15" s="50">
        <v>45636.291666666664</v>
      </c>
      <c r="B15" s="51">
        <v>12.34</v>
      </c>
      <c r="C15" s="51">
        <v>20.62</v>
      </c>
      <c r="D15" s="51">
        <v>21.81</v>
      </c>
      <c r="E15" s="51">
        <v>7.55</v>
      </c>
      <c r="F15" s="51">
        <v>2.95</v>
      </c>
      <c r="G15" s="51">
        <v>59.64</v>
      </c>
      <c r="H15" s="51">
        <v>17.96</v>
      </c>
      <c r="I15" s="51">
        <v>6.4</v>
      </c>
      <c r="J15" s="51">
        <v>0.17</v>
      </c>
      <c r="K15" s="51">
        <v>231.15</v>
      </c>
      <c r="L15" s="51">
        <v>14.99</v>
      </c>
      <c r="M15" s="51">
        <v>85.93</v>
      </c>
      <c r="N15" s="51">
        <v>23.6</v>
      </c>
      <c r="O15" s="51">
        <v>0</v>
      </c>
      <c r="P15" s="51">
        <v>0.6</v>
      </c>
      <c r="Q15" s="51">
        <v>10.050000000000001</v>
      </c>
    </row>
    <row r="16" spans="1:21" customFormat="1">
      <c r="A16" s="50">
        <v>45636.333333333336</v>
      </c>
      <c r="B16" s="51">
        <v>12.67</v>
      </c>
      <c r="C16" s="51">
        <v>20.07</v>
      </c>
      <c r="D16" s="51">
        <v>22</v>
      </c>
      <c r="E16" s="51">
        <v>7.38</v>
      </c>
      <c r="F16" s="51">
        <v>4.51</v>
      </c>
      <c r="G16" s="51">
        <v>61.04</v>
      </c>
      <c r="H16" s="51">
        <v>17.98</v>
      </c>
      <c r="I16" s="51">
        <v>6.53</v>
      </c>
      <c r="J16" s="51">
        <v>0.5</v>
      </c>
      <c r="K16" s="51">
        <v>195.65</v>
      </c>
      <c r="L16" s="51">
        <v>17.82</v>
      </c>
      <c r="M16" s="51">
        <v>82.66</v>
      </c>
      <c r="N16" s="51">
        <v>132.69999999999999</v>
      </c>
      <c r="O16" s="51">
        <v>0</v>
      </c>
      <c r="P16" s="51">
        <v>0.62</v>
      </c>
      <c r="Q16" s="51">
        <v>10.06</v>
      </c>
    </row>
    <row r="17" spans="1:17" customFormat="1">
      <c r="A17" s="50">
        <v>45636.375</v>
      </c>
      <c r="B17" s="51">
        <v>11.69</v>
      </c>
      <c r="C17" s="51">
        <v>21.65</v>
      </c>
      <c r="D17" s="51">
        <v>21.26</v>
      </c>
      <c r="E17" s="51">
        <v>7.16</v>
      </c>
      <c r="F17" s="51">
        <v>8.52</v>
      </c>
      <c r="G17" s="51">
        <v>67.48</v>
      </c>
      <c r="H17" s="51">
        <v>21.7</v>
      </c>
      <c r="I17" s="51">
        <v>6.98</v>
      </c>
      <c r="J17" s="51">
        <v>0.92</v>
      </c>
      <c r="K17" s="51">
        <v>53.63</v>
      </c>
      <c r="L17" s="51">
        <v>20.39</v>
      </c>
      <c r="M17" s="51">
        <v>59.79</v>
      </c>
      <c r="N17" s="51">
        <v>237.4</v>
      </c>
      <c r="O17" s="51">
        <v>0</v>
      </c>
      <c r="P17" s="51">
        <v>0.65</v>
      </c>
      <c r="Q17" s="51">
        <v>10.07</v>
      </c>
    </row>
    <row r="18" spans="1:17" customFormat="1">
      <c r="A18" s="50">
        <v>45636.416666666664</v>
      </c>
      <c r="B18" s="51">
        <v>8.75</v>
      </c>
      <c r="C18" s="51">
        <v>21.24</v>
      </c>
      <c r="D18" s="51">
        <v>19.46</v>
      </c>
      <c r="E18" s="51">
        <v>7.78</v>
      </c>
      <c r="F18" s="51">
        <v>9</v>
      </c>
      <c r="G18" s="51">
        <v>74.25</v>
      </c>
      <c r="H18" s="51">
        <v>32.24</v>
      </c>
      <c r="I18" s="51">
        <v>7.44</v>
      </c>
      <c r="J18" s="51">
        <v>1.06</v>
      </c>
      <c r="K18" s="51">
        <v>46.42</v>
      </c>
      <c r="L18" s="51">
        <v>21.85</v>
      </c>
      <c r="M18" s="51">
        <v>53.69</v>
      </c>
      <c r="N18" s="51">
        <v>396.4</v>
      </c>
      <c r="O18" s="51">
        <v>0</v>
      </c>
      <c r="P18" s="51">
        <v>0.65</v>
      </c>
      <c r="Q18" s="51">
        <v>10.039999999999999</v>
      </c>
    </row>
    <row r="19" spans="1:17" customFormat="1">
      <c r="A19" s="50">
        <v>45636.458333333336</v>
      </c>
      <c r="B19" s="51">
        <v>6.68</v>
      </c>
      <c r="C19" s="51">
        <v>20.64</v>
      </c>
      <c r="D19" s="51">
        <v>17.489999999999998</v>
      </c>
      <c r="E19" s="51">
        <v>9.3800000000000008</v>
      </c>
      <c r="F19" s="51">
        <v>9.9600000000000009</v>
      </c>
      <c r="G19" s="51">
        <v>83.72</v>
      </c>
      <c r="H19" s="51">
        <v>33.74</v>
      </c>
      <c r="I19" s="51">
        <v>7.94</v>
      </c>
      <c r="J19" s="51">
        <v>0.97</v>
      </c>
      <c r="K19" s="51">
        <v>56.39</v>
      </c>
      <c r="L19" s="51">
        <v>23.86</v>
      </c>
      <c r="M19" s="51">
        <v>49.38</v>
      </c>
      <c r="N19" s="51">
        <v>462.9</v>
      </c>
      <c r="O19" s="51">
        <v>0</v>
      </c>
      <c r="P19" s="51">
        <v>0.68</v>
      </c>
      <c r="Q19" s="51">
        <v>10.039999999999999</v>
      </c>
    </row>
    <row r="20" spans="1:17" customFormat="1">
      <c r="A20" s="50">
        <v>45636.5</v>
      </c>
      <c r="B20" s="51">
        <v>4.8099999999999996</v>
      </c>
      <c r="C20" s="51">
        <v>19.78</v>
      </c>
      <c r="D20" s="51">
        <v>15.47</v>
      </c>
      <c r="E20" s="51">
        <v>9.67</v>
      </c>
      <c r="F20" s="51">
        <v>6.61</v>
      </c>
      <c r="G20" s="51">
        <v>93.74</v>
      </c>
      <c r="H20" s="51">
        <v>37.96</v>
      </c>
      <c r="I20" s="51">
        <v>8.1</v>
      </c>
      <c r="J20" s="51">
        <v>0.75</v>
      </c>
      <c r="K20" s="51">
        <v>62.27</v>
      </c>
      <c r="L20" s="51">
        <v>25.88</v>
      </c>
      <c r="M20" s="51">
        <v>42.3</v>
      </c>
      <c r="N20" s="51">
        <v>514.5</v>
      </c>
      <c r="O20" s="51">
        <v>0</v>
      </c>
      <c r="P20" s="51">
        <v>0.7</v>
      </c>
      <c r="Q20" s="51">
        <v>10.029999999999999</v>
      </c>
    </row>
    <row r="21" spans="1:17" customFormat="1">
      <c r="A21" s="50">
        <v>45636.541666666664</v>
      </c>
      <c r="B21" s="51">
        <v>4.0599999999999996</v>
      </c>
      <c r="C21" s="51">
        <v>18.829999999999998</v>
      </c>
      <c r="D21" s="51">
        <v>14.45</v>
      </c>
      <c r="E21" s="51">
        <v>9.34</v>
      </c>
      <c r="F21" s="51">
        <v>5.24</v>
      </c>
      <c r="G21" s="51">
        <v>93.74</v>
      </c>
      <c r="H21" s="51">
        <v>37.96</v>
      </c>
      <c r="I21" s="51">
        <v>8.1199999999999992</v>
      </c>
      <c r="J21" s="51">
        <v>0.7</v>
      </c>
      <c r="K21" s="51">
        <v>359.02</v>
      </c>
      <c r="L21" s="51">
        <v>26.33</v>
      </c>
      <c r="M21" s="51">
        <v>34.200000000000003</v>
      </c>
      <c r="N21" s="51">
        <v>516.70000000000005</v>
      </c>
      <c r="O21" s="51">
        <v>0</v>
      </c>
      <c r="P21" s="51">
        <v>0.68</v>
      </c>
      <c r="Q21" s="51">
        <v>10.039999999999999</v>
      </c>
    </row>
    <row r="22" spans="1:17" customFormat="1">
      <c r="A22" s="50">
        <v>45636.583333333336</v>
      </c>
      <c r="B22" s="51">
        <v>3.82</v>
      </c>
      <c r="C22" s="51">
        <v>17.850000000000001</v>
      </c>
      <c r="D22" s="51">
        <v>13.74</v>
      </c>
      <c r="E22" s="51">
        <v>9.33</v>
      </c>
      <c r="F22" s="51">
        <v>6.51</v>
      </c>
      <c r="G22" s="51">
        <v>82.47</v>
      </c>
      <c r="H22" s="51">
        <v>37.020000000000003</v>
      </c>
      <c r="I22" s="51">
        <v>7.74</v>
      </c>
      <c r="J22" s="51">
        <v>0.65</v>
      </c>
      <c r="K22" s="51">
        <v>317.55</v>
      </c>
      <c r="L22" s="51">
        <v>26.32</v>
      </c>
      <c r="M22" s="51">
        <v>34.9</v>
      </c>
      <c r="N22" s="51">
        <v>429.6</v>
      </c>
      <c r="O22" s="51">
        <v>0</v>
      </c>
      <c r="P22" s="51">
        <v>0.7</v>
      </c>
      <c r="Q22" s="51">
        <v>10.02</v>
      </c>
    </row>
    <row r="23" spans="1:17" customFormat="1">
      <c r="A23" s="50">
        <v>45636.625</v>
      </c>
      <c r="B23" s="51">
        <v>3.44</v>
      </c>
      <c r="C23" s="51">
        <v>18.920000000000002</v>
      </c>
      <c r="D23" s="51">
        <v>14</v>
      </c>
      <c r="E23" s="51">
        <v>9.7200000000000006</v>
      </c>
      <c r="F23" s="51">
        <v>8.8800000000000008</v>
      </c>
      <c r="G23" s="51">
        <v>87.11</v>
      </c>
      <c r="H23" s="51">
        <v>37.020000000000003</v>
      </c>
      <c r="I23" s="51">
        <v>7.59</v>
      </c>
      <c r="J23" s="51">
        <v>0.68</v>
      </c>
      <c r="K23" s="51">
        <v>326.2</v>
      </c>
      <c r="L23" s="51">
        <v>26.15</v>
      </c>
      <c r="M23" s="51">
        <v>34.01</v>
      </c>
      <c r="N23" s="51">
        <v>126.3</v>
      </c>
      <c r="O23" s="51">
        <v>0</v>
      </c>
      <c r="P23" s="51">
        <v>0.64</v>
      </c>
      <c r="Q23" s="51">
        <v>10.039999999999999</v>
      </c>
    </row>
    <row r="24" spans="1:17" customFormat="1">
      <c r="A24" s="50">
        <v>45636.666666666664</v>
      </c>
      <c r="B24" s="51">
        <v>3.46</v>
      </c>
      <c r="C24" s="51">
        <v>19.739999999999998</v>
      </c>
      <c r="D24" s="51">
        <v>14.44</v>
      </c>
      <c r="E24" s="51">
        <v>9.8000000000000007</v>
      </c>
      <c r="F24" s="51">
        <v>9.57</v>
      </c>
      <c r="G24" s="51">
        <v>87.11</v>
      </c>
      <c r="H24" s="51">
        <v>37.590000000000003</v>
      </c>
      <c r="I24" s="51">
        <v>7.62</v>
      </c>
      <c r="J24" s="51">
        <v>0.97</v>
      </c>
      <c r="K24" s="51">
        <v>333.98</v>
      </c>
      <c r="L24" s="51">
        <v>25.85</v>
      </c>
      <c r="M24" s="51">
        <v>34.74</v>
      </c>
      <c r="N24" s="51">
        <v>67.5</v>
      </c>
      <c r="O24" s="51">
        <v>0</v>
      </c>
      <c r="P24" s="51">
        <v>0.64</v>
      </c>
      <c r="Q24" s="51">
        <v>10.050000000000001</v>
      </c>
    </row>
    <row r="25" spans="1:17" customFormat="1">
      <c r="A25" s="50">
        <v>45636.708333333336</v>
      </c>
      <c r="B25" s="51">
        <v>3.97</v>
      </c>
      <c r="C25" s="51">
        <v>21.97</v>
      </c>
      <c r="D25" s="51">
        <v>16.010000000000002</v>
      </c>
      <c r="E25" s="51">
        <v>9.09</v>
      </c>
      <c r="F25" s="51">
        <v>6.55</v>
      </c>
      <c r="G25" s="51">
        <v>88.76</v>
      </c>
      <c r="H25" s="51">
        <v>37.590000000000003</v>
      </c>
      <c r="I25" s="51">
        <v>7.55</v>
      </c>
      <c r="J25" s="51">
        <v>0.48</v>
      </c>
      <c r="K25" s="51">
        <v>57.12</v>
      </c>
      <c r="L25" s="51">
        <v>24.85</v>
      </c>
      <c r="M25" s="51">
        <v>39.85</v>
      </c>
      <c r="N25" s="51">
        <v>32.4</v>
      </c>
      <c r="O25" s="51">
        <v>0</v>
      </c>
      <c r="P25" s="51">
        <v>0.68</v>
      </c>
      <c r="Q25" s="51">
        <v>10.039999999999999</v>
      </c>
    </row>
    <row r="26" spans="1:17" customFormat="1">
      <c r="A26" s="50">
        <v>45636.75</v>
      </c>
      <c r="B26" s="51">
        <v>4.0999999999999996</v>
      </c>
      <c r="C26" s="51">
        <v>22.69</v>
      </c>
      <c r="D26" s="51">
        <v>16.489999999999998</v>
      </c>
      <c r="E26" s="51">
        <v>8.94</v>
      </c>
      <c r="F26" s="51">
        <v>4.12</v>
      </c>
      <c r="G26" s="51">
        <v>102.34</v>
      </c>
      <c r="H26" s="51">
        <v>40.9</v>
      </c>
      <c r="I26" s="51">
        <v>8.08</v>
      </c>
      <c r="J26" s="51">
        <v>0.35</v>
      </c>
      <c r="K26" s="51">
        <v>177.84</v>
      </c>
      <c r="L26" s="51">
        <v>22.55</v>
      </c>
      <c r="M26" s="51">
        <v>67.27</v>
      </c>
      <c r="N26" s="51">
        <v>3.6</v>
      </c>
      <c r="O26" s="51">
        <v>0</v>
      </c>
      <c r="P26" s="51">
        <v>0.77</v>
      </c>
      <c r="Q26" s="51">
        <v>10.06</v>
      </c>
    </row>
    <row r="27" spans="1:17" customFormat="1">
      <c r="A27" s="50">
        <v>45636.791666666664</v>
      </c>
      <c r="B27" s="51">
        <v>4.74</v>
      </c>
      <c r="C27" s="51">
        <v>23.02</v>
      </c>
      <c r="D27" s="51">
        <v>16.97</v>
      </c>
      <c r="E27" s="51">
        <v>9.1199999999999992</v>
      </c>
      <c r="F27" s="51">
        <v>5.36</v>
      </c>
      <c r="G27" s="51">
        <v>123.67</v>
      </c>
      <c r="H27" s="51">
        <v>42.29</v>
      </c>
      <c r="I27" s="51">
        <v>9.18</v>
      </c>
      <c r="J27" s="51">
        <v>0.23</v>
      </c>
      <c r="K27" s="51">
        <v>195.63</v>
      </c>
      <c r="L27" s="51">
        <v>19.84</v>
      </c>
      <c r="M27" s="51">
        <v>76.349999999999994</v>
      </c>
      <c r="N27" s="51">
        <v>1.7</v>
      </c>
      <c r="O27" s="51">
        <v>0</v>
      </c>
      <c r="P27" s="51">
        <v>0.89</v>
      </c>
      <c r="Q27" s="51">
        <v>10.06</v>
      </c>
    </row>
    <row r="28" spans="1:17" customFormat="1">
      <c r="A28" s="50">
        <v>45636.833333333336</v>
      </c>
      <c r="B28" s="51">
        <v>5.1100000000000003</v>
      </c>
      <c r="C28" s="51">
        <v>21.49</v>
      </c>
      <c r="D28" s="51">
        <v>16.5</v>
      </c>
      <c r="E28" s="51">
        <v>9.15</v>
      </c>
      <c r="F28" s="51">
        <v>3.12</v>
      </c>
      <c r="G28" s="51">
        <v>123.67</v>
      </c>
      <c r="H28" s="51">
        <v>42.29</v>
      </c>
      <c r="I28" s="51">
        <v>9.77</v>
      </c>
      <c r="J28" s="51">
        <v>0.17</v>
      </c>
      <c r="K28" s="51">
        <v>202.76</v>
      </c>
      <c r="L28" s="51">
        <v>18.25</v>
      </c>
      <c r="M28" s="51">
        <v>80.11</v>
      </c>
      <c r="N28" s="51">
        <v>1.4</v>
      </c>
      <c r="O28" s="51">
        <v>0</v>
      </c>
      <c r="P28" s="51">
        <v>0.92</v>
      </c>
      <c r="Q28" s="51">
        <v>10.039999999999999</v>
      </c>
    </row>
    <row r="29" spans="1:17" customFormat="1">
      <c r="A29" s="50">
        <v>45636.875</v>
      </c>
      <c r="B29" s="51">
        <v>6.83</v>
      </c>
      <c r="C29" s="51">
        <v>20.66</v>
      </c>
      <c r="D29" s="51">
        <v>17.62</v>
      </c>
      <c r="E29" s="51">
        <v>8.89</v>
      </c>
      <c r="F29" s="51">
        <v>7.13</v>
      </c>
      <c r="G29" s="51">
        <v>117.39</v>
      </c>
      <c r="H29" s="51">
        <v>41</v>
      </c>
      <c r="I29" s="51">
        <v>10.1</v>
      </c>
      <c r="J29" s="51">
        <v>0.16</v>
      </c>
      <c r="K29" s="51">
        <v>236.58</v>
      </c>
      <c r="L29" s="51">
        <v>17.43</v>
      </c>
      <c r="M29" s="51">
        <v>82.77</v>
      </c>
      <c r="N29" s="51">
        <v>1.4</v>
      </c>
      <c r="O29" s="51">
        <v>0</v>
      </c>
      <c r="P29" s="51">
        <v>0.97</v>
      </c>
      <c r="Q29" s="51">
        <v>10.039999999999999</v>
      </c>
    </row>
    <row r="30" spans="1:17" customFormat="1">
      <c r="A30" s="50">
        <v>45636.916666666664</v>
      </c>
      <c r="B30" s="51">
        <v>7.59</v>
      </c>
      <c r="C30" s="51">
        <v>20.440000000000001</v>
      </c>
      <c r="D30" s="51">
        <v>17.920000000000002</v>
      </c>
      <c r="E30" s="51">
        <v>8.7100000000000009</v>
      </c>
      <c r="F30" s="51">
        <v>6.11</v>
      </c>
      <c r="G30" s="51">
        <v>114.11</v>
      </c>
      <c r="H30" s="51">
        <v>41.91</v>
      </c>
      <c r="I30" s="51">
        <v>10.67</v>
      </c>
      <c r="J30" s="51">
        <v>0.54</v>
      </c>
      <c r="K30" s="51">
        <v>231.78</v>
      </c>
      <c r="L30" s="51">
        <v>17.489999999999998</v>
      </c>
      <c r="M30" s="51">
        <v>83.29</v>
      </c>
      <c r="N30" s="51">
        <v>1.4</v>
      </c>
      <c r="O30" s="51">
        <v>0</v>
      </c>
      <c r="P30" s="51">
        <v>1.01</v>
      </c>
      <c r="Q30" s="51">
        <v>10.050000000000001</v>
      </c>
    </row>
    <row r="31" spans="1:17" customFormat="1">
      <c r="A31" s="50">
        <v>45636.958333333336</v>
      </c>
      <c r="B31" s="51">
        <v>8.99</v>
      </c>
      <c r="C31" s="51">
        <v>21.28</v>
      </c>
      <c r="D31" s="51">
        <v>19.559999999999999</v>
      </c>
      <c r="E31" s="51">
        <v>8.73</v>
      </c>
      <c r="F31" s="51">
        <v>3.84</v>
      </c>
      <c r="G31" s="51">
        <v>122.62</v>
      </c>
      <c r="H31" s="51">
        <v>41.91</v>
      </c>
      <c r="I31" s="51">
        <v>11.65</v>
      </c>
      <c r="J31" s="51">
        <v>0.34</v>
      </c>
      <c r="K31" s="51">
        <v>111.64</v>
      </c>
      <c r="L31" s="51">
        <v>17.75</v>
      </c>
      <c r="M31" s="51">
        <v>73.25</v>
      </c>
      <c r="N31" s="51">
        <v>1.4</v>
      </c>
      <c r="O31" s="51">
        <v>0</v>
      </c>
      <c r="P31" s="51">
        <v>1.05</v>
      </c>
      <c r="Q31" s="51">
        <v>10.039999999999999</v>
      </c>
    </row>
    <row r="32" spans="1:17" customFormat="1">
      <c r="A32" s="50">
        <v>45637</v>
      </c>
      <c r="B32" s="51">
        <v>8.6199999999999992</v>
      </c>
      <c r="C32" s="51">
        <v>21.89</v>
      </c>
      <c r="D32" s="51">
        <v>19.54</v>
      </c>
      <c r="E32" s="51">
        <v>8.48</v>
      </c>
      <c r="F32" s="51">
        <v>3.33</v>
      </c>
      <c r="G32" s="51">
        <v>127.05</v>
      </c>
      <c r="H32" s="51">
        <v>43.41</v>
      </c>
      <c r="I32" s="51">
        <v>11.92</v>
      </c>
      <c r="J32" s="51">
        <v>0.45</v>
      </c>
      <c r="K32" s="51">
        <v>74.459999999999994</v>
      </c>
      <c r="L32" s="51">
        <v>17.25</v>
      </c>
      <c r="M32" s="51">
        <v>69.06</v>
      </c>
      <c r="N32" s="51">
        <v>1.4</v>
      </c>
      <c r="O32" s="51">
        <v>0</v>
      </c>
      <c r="P32" s="51">
        <v>1.05</v>
      </c>
      <c r="Q32" s="51">
        <v>10.07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3.44</v>
      </c>
      <c r="C34" s="41">
        <f t="shared" si="0"/>
        <v>17.850000000000001</v>
      </c>
      <c r="D34" s="41">
        <f t="shared" si="0"/>
        <v>13.74</v>
      </c>
      <c r="E34" s="41">
        <f t="shared" si="0"/>
        <v>7.16</v>
      </c>
      <c r="F34" s="41">
        <f t="shared" si="0"/>
        <v>2.95</v>
      </c>
      <c r="G34" s="41">
        <f t="shared" si="0"/>
        <v>51.11</v>
      </c>
      <c r="H34" s="41">
        <f t="shared" si="0"/>
        <v>15.48</v>
      </c>
      <c r="I34" s="41">
        <f t="shared" si="0"/>
        <v>6.4</v>
      </c>
      <c r="J34" s="41">
        <f t="shared" si="0"/>
        <v>0.16</v>
      </c>
      <c r="K34" s="41">
        <f t="shared" si="0"/>
        <v>46.42</v>
      </c>
      <c r="L34" s="41">
        <f t="shared" si="0"/>
        <v>14.99</v>
      </c>
      <c r="M34" s="41">
        <f t="shared" si="0"/>
        <v>34.01</v>
      </c>
      <c r="N34" s="41">
        <f t="shared" si="0"/>
        <v>1.4</v>
      </c>
      <c r="O34" s="41">
        <f t="shared" si="0"/>
        <v>0</v>
      </c>
      <c r="P34" s="41">
        <f t="shared" si="0"/>
        <v>0.6</v>
      </c>
      <c r="Q34" s="41">
        <f t="shared" si="0"/>
        <v>10.02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12.67</v>
      </c>
      <c r="C35" s="33">
        <f t="shared" si="1"/>
        <v>24.57</v>
      </c>
      <c r="D35" s="33">
        <f t="shared" si="1"/>
        <v>22.25</v>
      </c>
      <c r="E35" s="33">
        <f t="shared" si="1"/>
        <v>10.26</v>
      </c>
      <c r="F35" s="33">
        <f t="shared" si="1"/>
        <v>9.9600000000000009</v>
      </c>
      <c r="G35" s="33">
        <f t="shared" si="1"/>
        <v>127.05</v>
      </c>
      <c r="H35" s="33">
        <f t="shared" si="1"/>
        <v>43.41</v>
      </c>
      <c r="I35" s="33">
        <f t="shared" si="1"/>
        <v>11.92</v>
      </c>
      <c r="J35" s="33">
        <f t="shared" si="1"/>
        <v>1.06</v>
      </c>
      <c r="K35" s="33">
        <f t="shared" si="1"/>
        <v>359.02</v>
      </c>
      <c r="L35" s="33">
        <f t="shared" si="1"/>
        <v>26.33</v>
      </c>
      <c r="M35" s="33">
        <f t="shared" si="1"/>
        <v>85.93</v>
      </c>
      <c r="N35" s="33">
        <f t="shared" si="1"/>
        <v>516.70000000000005</v>
      </c>
      <c r="O35" s="33">
        <f t="shared" si="1"/>
        <v>0</v>
      </c>
      <c r="P35" s="33">
        <f t="shared" si="1"/>
        <v>1.05</v>
      </c>
      <c r="Q35" s="33">
        <f t="shared" si="1"/>
        <v>10.07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7.6395833333333352</v>
      </c>
      <c r="C36" s="41">
        <f t="shared" si="2"/>
        <v>20.872916666666672</v>
      </c>
      <c r="D36" s="41">
        <f t="shared" si="2"/>
        <v>18.231666666666666</v>
      </c>
      <c r="E36" s="41">
        <f t="shared" si="2"/>
        <v>8.9054166666666656</v>
      </c>
      <c r="F36" s="41">
        <f t="shared" si="2"/>
        <v>5.5854166666666671</v>
      </c>
      <c r="G36" s="41">
        <f t="shared" si="2"/>
        <v>88.358333333333334</v>
      </c>
      <c r="H36" s="41">
        <f t="shared" si="2"/>
        <v>32.067499999999988</v>
      </c>
      <c r="I36" s="41">
        <f t="shared" si="2"/>
        <v>8.3445833333333344</v>
      </c>
      <c r="J36" s="41">
        <f t="shared" si="2"/>
        <v>0.55333333333333334</v>
      </c>
      <c r="K36" s="41">
        <f t="shared" si="2"/>
        <v>158.21666666666667</v>
      </c>
      <c r="L36" s="41">
        <f t="shared" si="2"/>
        <v>20.487500000000001</v>
      </c>
      <c r="M36" s="41">
        <f t="shared" si="2"/>
        <v>61.262499999999989</v>
      </c>
      <c r="N36" s="41">
        <f t="shared" si="2"/>
        <v>123.40000000000002</v>
      </c>
      <c r="O36" s="41">
        <f t="shared" si="2"/>
        <v>0</v>
      </c>
      <c r="P36" s="41">
        <f t="shared" si="2"/>
        <v>0.75291666666666668</v>
      </c>
      <c r="Q36" s="41">
        <f t="shared" si="2"/>
        <v>10.047083333333331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3.2007940307892633</v>
      </c>
      <c r="C37" s="41">
        <f t="shared" ref="C37:Q37" si="3">STDEV(C9:C32)</f>
        <v>1.4554649015726953</v>
      </c>
      <c r="D37" s="41">
        <f t="shared" si="3"/>
        <v>2.7666361094872585</v>
      </c>
      <c r="E37" s="41">
        <f t="shared" si="3"/>
        <v>0.83805665039743715</v>
      </c>
      <c r="F37" s="41">
        <f t="shared" si="3"/>
        <v>2.2523977159938893</v>
      </c>
      <c r="G37" s="41">
        <f t="shared" si="3"/>
        <v>23.464433152931871</v>
      </c>
      <c r="H37" s="41">
        <f t="shared" si="3"/>
        <v>9.6475152241393598</v>
      </c>
      <c r="I37" s="41">
        <f t="shared" si="3"/>
        <v>1.5187007581329532</v>
      </c>
      <c r="J37" s="41">
        <f t="shared" si="3"/>
        <v>0.27505994076654056</v>
      </c>
      <c r="K37" s="41">
        <f t="shared" si="3"/>
        <v>107.79827435364258</v>
      </c>
      <c r="L37" s="41">
        <f t="shared" si="3"/>
        <v>3.7514788388395459</v>
      </c>
      <c r="M37" s="41">
        <f t="shared" si="3"/>
        <v>17.626269241995185</v>
      </c>
      <c r="N37" s="41">
        <f t="shared" si="3"/>
        <v>188.62385620709475</v>
      </c>
      <c r="O37" s="41">
        <f t="shared" si="3"/>
        <v>0</v>
      </c>
      <c r="P37" s="41">
        <f t="shared" si="3"/>
        <v>0.14766234004195691</v>
      </c>
      <c r="Q37" s="41">
        <f t="shared" si="3"/>
        <v>1.1970676733137814E-2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4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 ht="25.5" customHeigh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45637.041666666664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45637.041666666664</v>
      </c>
      <c r="B9" s="51">
        <v>8.36</v>
      </c>
      <c r="C9" s="51">
        <v>22.61</v>
      </c>
      <c r="D9" s="51">
        <v>19.87</v>
      </c>
      <c r="E9" s="51">
        <v>8.6</v>
      </c>
      <c r="F9" s="51">
        <v>4.49</v>
      </c>
      <c r="G9" s="51">
        <v>127.05</v>
      </c>
      <c r="H9" s="51">
        <v>43.41</v>
      </c>
      <c r="I9" s="51">
        <v>11.94</v>
      </c>
      <c r="J9" s="51">
        <v>0.85</v>
      </c>
      <c r="K9" s="51">
        <v>56.98</v>
      </c>
      <c r="L9" s="51">
        <v>16.97</v>
      </c>
      <c r="M9" s="51">
        <v>67.099999999999994</v>
      </c>
      <c r="N9" s="51">
        <v>1.5</v>
      </c>
      <c r="O9" s="51">
        <v>0</v>
      </c>
      <c r="P9" s="51">
        <v>1.03</v>
      </c>
      <c r="Q9" s="51">
        <v>10.06</v>
      </c>
    </row>
    <row r="10" spans="1:21" customFormat="1">
      <c r="A10" s="50">
        <v>45637.083333333336</v>
      </c>
      <c r="B10" s="51">
        <v>7.31</v>
      </c>
      <c r="C10" s="51">
        <v>22.37</v>
      </c>
      <c r="D10" s="51">
        <v>18.899999999999999</v>
      </c>
      <c r="E10" s="51">
        <v>7.89</v>
      </c>
      <c r="F10" s="51">
        <v>3.58</v>
      </c>
      <c r="G10" s="51">
        <v>125.92</v>
      </c>
      <c r="H10" s="51">
        <v>42.17</v>
      </c>
      <c r="I10" s="51">
        <v>11.5</v>
      </c>
      <c r="J10" s="51">
        <v>0.86</v>
      </c>
      <c r="K10" s="51">
        <v>54.25</v>
      </c>
      <c r="L10" s="51">
        <v>16.579999999999998</v>
      </c>
      <c r="M10" s="51">
        <v>65.430000000000007</v>
      </c>
      <c r="N10" s="51">
        <v>1.6</v>
      </c>
      <c r="O10" s="51">
        <v>0</v>
      </c>
      <c r="P10" s="51">
        <v>0.96</v>
      </c>
      <c r="Q10" s="51">
        <v>10.08</v>
      </c>
    </row>
    <row r="11" spans="1:21" customFormat="1">
      <c r="A11" s="50">
        <v>45637.125</v>
      </c>
      <c r="B11" s="51">
        <v>6.42</v>
      </c>
      <c r="C11" s="51">
        <v>21.44</v>
      </c>
      <c r="D11" s="51">
        <v>17.7</v>
      </c>
      <c r="E11" s="51">
        <v>9.01</v>
      </c>
      <c r="F11" s="51">
        <v>4.16</v>
      </c>
      <c r="G11" s="51">
        <v>117.56</v>
      </c>
      <c r="H11" s="51">
        <v>38.630000000000003</v>
      </c>
      <c r="I11" s="51">
        <v>11.13</v>
      </c>
      <c r="J11" s="51">
        <v>0.46</v>
      </c>
      <c r="K11" s="51">
        <v>48.37</v>
      </c>
      <c r="L11" s="51">
        <v>15.94</v>
      </c>
      <c r="M11" s="51">
        <v>64.64</v>
      </c>
      <c r="N11" s="51">
        <v>1.4</v>
      </c>
      <c r="O11" s="51">
        <v>0</v>
      </c>
      <c r="P11" s="51">
        <v>0.9</v>
      </c>
      <c r="Q11" s="51">
        <v>10.06</v>
      </c>
    </row>
    <row r="12" spans="1:21" customFormat="1">
      <c r="A12" s="50">
        <v>45637.166666666664</v>
      </c>
      <c r="B12" s="51">
        <v>6.25</v>
      </c>
      <c r="C12" s="51">
        <v>20.11</v>
      </c>
      <c r="D12" s="51">
        <v>16.73</v>
      </c>
      <c r="E12" s="51">
        <v>9.11</v>
      </c>
      <c r="F12" s="51">
        <v>3.97</v>
      </c>
      <c r="G12" s="51">
        <v>96.99</v>
      </c>
      <c r="H12" s="51">
        <v>34.03</v>
      </c>
      <c r="I12" s="51">
        <v>10.4</v>
      </c>
      <c r="J12" s="51">
        <v>0.23</v>
      </c>
      <c r="K12" s="51">
        <v>109.22</v>
      </c>
      <c r="L12" s="51">
        <v>15.36</v>
      </c>
      <c r="M12" s="51">
        <v>70.78</v>
      </c>
      <c r="N12" s="51">
        <v>1.6</v>
      </c>
      <c r="O12" s="51">
        <v>0</v>
      </c>
      <c r="P12" s="51">
        <v>0.82</v>
      </c>
      <c r="Q12" s="51">
        <v>10.06</v>
      </c>
    </row>
    <row r="13" spans="1:21" customFormat="1">
      <c r="A13" s="50">
        <v>45637.208333333336</v>
      </c>
      <c r="B13" s="51">
        <v>6.69</v>
      </c>
      <c r="C13" s="51">
        <v>19.71</v>
      </c>
      <c r="D13" s="51">
        <v>16.8</v>
      </c>
      <c r="E13" s="51">
        <v>8.92</v>
      </c>
      <c r="F13" s="51">
        <v>8.52</v>
      </c>
      <c r="G13" s="51">
        <v>82.09</v>
      </c>
      <c r="H13" s="51">
        <v>32.74</v>
      </c>
      <c r="I13" s="51">
        <v>9.9499999999999993</v>
      </c>
      <c r="J13" s="51">
        <v>0.15</v>
      </c>
      <c r="K13" s="51">
        <v>236.86</v>
      </c>
      <c r="L13" s="51">
        <v>14.49</v>
      </c>
      <c r="M13" s="51">
        <v>85.16</v>
      </c>
      <c r="N13" s="51">
        <v>1.6</v>
      </c>
      <c r="O13" s="51">
        <v>0</v>
      </c>
      <c r="P13" s="51">
        <v>0.78</v>
      </c>
      <c r="Q13" s="51">
        <v>10.050000000000001</v>
      </c>
    </row>
    <row r="14" spans="1:21" customFormat="1">
      <c r="A14" s="50">
        <v>45637.25</v>
      </c>
      <c r="B14" s="51">
        <v>9.98</v>
      </c>
      <c r="C14" s="51">
        <v>19.02</v>
      </c>
      <c r="D14" s="51">
        <v>19.239999999999998</v>
      </c>
      <c r="E14" s="51">
        <v>8.74</v>
      </c>
      <c r="F14" s="51">
        <v>3.46</v>
      </c>
      <c r="G14" s="51">
        <v>73.89</v>
      </c>
      <c r="H14" s="51">
        <v>28.78</v>
      </c>
      <c r="I14" s="51">
        <v>9.65</v>
      </c>
      <c r="J14" s="51">
        <v>0.13</v>
      </c>
      <c r="K14" s="51">
        <v>217.75</v>
      </c>
      <c r="L14" s="51">
        <v>13.06</v>
      </c>
      <c r="M14" s="51">
        <v>89.22</v>
      </c>
      <c r="N14" s="51">
        <v>1.3</v>
      </c>
      <c r="O14" s="51">
        <v>0</v>
      </c>
      <c r="P14" s="51">
        <v>0.72</v>
      </c>
      <c r="Q14" s="51">
        <v>10.050000000000001</v>
      </c>
    </row>
    <row r="15" spans="1:21" customFormat="1">
      <c r="A15" s="50">
        <v>45637.291666666664</v>
      </c>
      <c r="B15" s="51">
        <v>12.65</v>
      </c>
      <c r="C15" s="51">
        <v>18.62</v>
      </c>
      <c r="D15" s="51">
        <v>21.01</v>
      </c>
      <c r="E15" s="51">
        <v>8.23</v>
      </c>
      <c r="F15" s="51">
        <v>3.1</v>
      </c>
      <c r="G15" s="51">
        <v>71.959999999999994</v>
      </c>
      <c r="H15" s="51">
        <v>27.47</v>
      </c>
      <c r="I15" s="51">
        <v>9.5299999999999994</v>
      </c>
      <c r="J15" s="51">
        <v>0.15</v>
      </c>
      <c r="K15" s="51">
        <v>218.56</v>
      </c>
      <c r="L15" s="51">
        <v>12.79</v>
      </c>
      <c r="M15" s="51">
        <v>90.51</v>
      </c>
      <c r="N15" s="51">
        <v>20.100000000000001</v>
      </c>
      <c r="O15" s="51">
        <v>0</v>
      </c>
      <c r="P15" s="51">
        <v>0.7</v>
      </c>
      <c r="Q15" s="51">
        <v>10.039999999999999</v>
      </c>
    </row>
    <row r="16" spans="1:21" customFormat="1">
      <c r="A16" s="50">
        <v>45637.333333333336</v>
      </c>
      <c r="B16" s="51">
        <v>17.96</v>
      </c>
      <c r="C16" s="51">
        <v>19.04</v>
      </c>
      <c r="D16" s="51">
        <v>25.71</v>
      </c>
      <c r="E16" s="51">
        <v>8.3000000000000007</v>
      </c>
      <c r="F16" s="51">
        <v>3.63</v>
      </c>
      <c r="G16" s="51">
        <v>75.31</v>
      </c>
      <c r="H16" s="51">
        <v>29.23</v>
      </c>
      <c r="I16" s="51">
        <v>9.8800000000000008</v>
      </c>
      <c r="J16" s="51">
        <v>0.56999999999999995</v>
      </c>
      <c r="K16" s="51">
        <v>190.62</v>
      </c>
      <c r="L16" s="51">
        <v>15.57</v>
      </c>
      <c r="M16" s="51">
        <v>86.83</v>
      </c>
      <c r="N16" s="51">
        <v>138</v>
      </c>
      <c r="O16" s="51">
        <v>0</v>
      </c>
      <c r="P16" s="51">
        <v>0.74</v>
      </c>
      <c r="Q16" s="51">
        <v>10.06</v>
      </c>
    </row>
    <row r="17" spans="1:17" customFormat="1">
      <c r="A17" s="50">
        <v>45637.375</v>
      </c>
      <c r="B17" s="51">
        <v>17.600000000000001</v>
      </c>
      <c r="C17" s="51">
        <v>20.62</v>
      </c>
      <c r="D17" s="51">
        <v>25.61</v>
      </c>
      <c r="E17" s="51">
        <v>8.65</v>
      </c>
      <c r="F17" s="51">
        <v>3.42</v>
      </c>
      <c r="G17" s="51">
        <v>84.05</v>
      </c>
      <c r="H17" s="51">
        <v>29.23</v>
      </c>
      <c r="I17" s="51">
        <v>10.4</v>
      </c>
      <c r="J17" s="51">
        <v>1.08</v>
      </c>
      <c r="K17" s="51">
        <v>53.45</v>
      </c>
      <c r="L17" s="51">
        <v>18.440000000000001</v>
      </c>
      <c r="M17" s="51">
        <v>64.900000000000006</v>
      </c>
      <c r="N17" s="51">
        <v>257.7</v>
      </c>
      <c r="O17" s="51">
        <v>0</v>
      </c>
      <c r="P17" s="51">
        <v>0.75</v>
      </c>
      <c r="Q17" s="51">
        <v>10.07</v>
      </c>
    </row>
    <row r="18" spans="1:17" customFormat="1">
      <c r="A18" s="50">
        <v>45637.416666666664</v>
      </c>
      <c r="B18" s="51">
        <v>14.84</v>
      </c>
      <c r="C18" s="51">
        <v>23.14</v>
      </c>
      <c r="D18" s="51">
        <v>24.24</v>
      </c>
      <c r="E18" s="51">
        <v>8.59</v>
      </c>
      <c r="F18" s="51">
        <v>3.79</v>
      </c>
      <c r="G18" s="51">
        <v>84.28</v>
      </c>
      <c r="H18" s="51">
        <v>28.61</v>
      </c>
      <c r="I18" s="51">
        <v>10.35</v>
      </c>
      <c r="J18" s="51">
        <v>1.18</v>
      </c>
      <c r="K18" s="51">
        <v>48.97</v>
      </c>
      <c r="L18" s="51">
        <v>20.420000000000002</v>
      </c>
      <c r="M18" s="51">
        <v>54.23</v>
      </c>
      <c r="N18" s="51">
        <v>405.1</v>
      </c>
      <c r="O18" s="51">
        <v>0</v>
      </c>
      <c r="P18" s="51">
        <v>0.75</v>
      </c>
      <c r="Q18" s="51">
        <v>10.08</v>
      </c>
    </row>
    <row r="19" spans="1:17" customFormat="1">
      <c r="A19" s="50">
        <v>45637.458333333336</v>
      </c>
      <c r="B19" s="51">
        <v>10.69</v>
      </c>
      <c r="C19" s="51">
        <v>24.54</v>
      </c>
      <c r="D19" s="51">
        <v>22.29</v>
      </c>
      <c r="E19" s="51">
        <v>7.77</v>
      </c>
      <c r="F19" s="51">
        <v>3.73</v>
      </c>
      <c r="G19" s="51">
        <v>88.89</v>
      </c>
      <c r="H19" s="51">
        <v>29.54</v>
      </c>
      <c r="I19" s="51">
        <v>10.210000000000001</v>
      </c>
      <c r="J19" s="51">
        <v>0.95</v>
      </c>
      <c r="K19" s="51">
        <v>60.99</v>
      </c>
      <c r="L19" s="51">
        <v>23.83</v>
      </c>
      <c r="M19" s="51">
        <v>49.41</v>
      </c>
      <c r="N19" s="51">
        <v>502</v>
      </c>
      <c r="O19" s="51">
        <v>0</v>
      </c>
      <c r="P19" s="51">
        <v>0.75</v>
      </c>
      <c r="Q19" s="51">
        <v>10.09</v>
      </c>
    </row>
    <row r="20" spans="1:17" customFormat="1">
      <c r="A20" s="50">
        <v>45637.5</v>
      </c>
      <c r="B20" s="51">
        <v>6.74</v>
      </c>
      <c r="C20" s="51">
        <v>24.83</v>
      </c>
      <c r="D20" s="51">
        <v>19.73</v>
      </c>
      <c r="E20" s="51">
        <v>7.58</v>
      </c>
      <c r="F20" s="51">
        <v>5.29</v>
      </c>
      <c r="G20" s="51">
        <v>88.89</v>
      </c>
      <c r="H20" s="51">
        <v>29.78</v>
      </c>
      <c r="I20" s="51">
        <v>9.9</v>
      </c>
      <c r="J20" s="51">
        <v>0.94</v>
      </c>
      <c r="K20" s="51">
        <v>64.64</v>
      </c>
      <c r="L20" s="51">
        <v>25.56</v>
      </c>
      <c r="M20" s="51">
        <v>38.700000000000003</v>
      </c>
      <c r="N20" s="51">
        <v>541.1</v>
      </c>
      <c r="O20" s="51">
        <v>0</v>
      </c>
      <c r="P20" s="51">
        <v>0.72</v>
      </c>
      <c r="Q20" s="51">
        <v>10.08</v>
      </c>
    </row>
    <row r="21" spans="1:17" customFormat="1">
      <c r="A21" s="50">
        <v>45637.541666666664</v>
      </c>
      <c r="B21" s="51">
        <v>4.43</v>
      </c>
      <c r="C21" s="51">
        <v>23.76</v>
      </c>
      <c r="D21" s="51">
        <v>17.309999999999999</v>
      </c>
      <c r="E21" s="51">
        <v>8.0399999999999991</v>
      </c>
      <c r="F21" s="51">
        <v>7.64</v>
      </c>
      <c r="G21" s="51">
        <v>88.11</v>
      </c>
      <c r="H21" s="51">
        <v>29.78</v>
      </c>
      <c r="I21" s="51">
        <v>9.26</v>
      </c>
      <c r="J21" s="51">
        <v>0.78</v>
      </c>
      <c r="K21" s="51">
        <v>112.13</v>
      </c>
      <c r="L21" s="51">
        <v>26.52</v>
      </c>
      <c r="M21" s="51">
        <v>33.11</v>
      </c>
      <c r="N21" s="51">
        <v>542.9</v>
      </c>
      <c r="O21" s="51">
        <v>0</v>
      </c>
      <c r="P21" s="51">
        <v>0.69</v>
      </c>
      <c r="Q21" s="51">
        <v>10.06</v>
      </c>
    </row>
    <row r="22" spans="1:17" customFormat="1">
      <c r="A22" s="50">
        <v>45637.583333333336</v>
      </c>
      <c r="B22" s="51">
        <v>3.78</v>
      </c>
      <c r="C22" s="51">
        <v>20.97</v>
      </c>
      <c r="D22" s="51">
        <v>15.34</v>
      </c>
      <c r="E22" s="51">
        <v>7.84</v>
      </c>
      <c r="F22" s="51">
        <v>7.82</v>
      </c>
      <c r="G22" s="51">
        <v>86.91</v>
      </c>
      <c r="H22" s="51">
        <v>30.74</v>
      </c>
      <c r="I22" s="51">
        <v>8.5500000000000007</v>
      </c>
      <c r="J22" s="51">
        <v>0.48</v>
      </c>
      <c r="K22" s="51">
        <v>227.02</v>
      </c>
      <c r="L22" s="51">
        <v>26.45</v>
      </c>
      <c r="M22" s="51">
        <v>34.840000000000003</v>
      </c>
      <c r="N22" s="51">
        <v>477.6</v>
      </c>
      <c r="O22" s="51">
        <v>0</v>
      </c>
      <c r="P22" s="51">
        <v>0.65</v>
      </c>
      <c r="Q22" s="51">
        <v>10.039999999999999</v>
      </c>
    </row>
    <row r="23" spans="1:17" customFormat="1">
      <c r="A23" s="50">
        <v>45637.625</v>
      </c>
      <c r="B23" s="51">
        <v>4.0199999999999996</v>
      </c>
      <c r="C23" s="51">
        <v>19.010000000000002</v>
      </c>
      <c r="D23" s="51">
        <v>14.23</v>
      </c>
      <c r="E23" s="51">
        <v>9.11</v>
      </c>
      <c r="F23" s="51">
        <v>7.8</v>
      </c>
      <c r="G23" s="51">
        <v>80.3</v>
      </c>
      <c r="H23" s="51">
        <v>30.74</v>
      </c>
      <c r="I23" s="51">
        <v>8.09</v>
      </c>
      <c r="J23" s="51">
        <v>0.52</v>
      </c>
      <c r="K23" s="51">
        <v>359.03</v>
      </c>
      <c r="L23" s="51">
        <v>25.94</v>
      </c>
      <c r="M23" s="51">
        <v>33.72</v>
      </c>
      <c r="N23" s="51">
        <v>120.9</v>
      </c>
      <c r="O23" s="51">
        <v>0</v>
      </c>
      <c r="P23" s="51">
        <v>0.62</v>
      </c>
      <c r="Q23" s="51">
        <v>10.039999999999999</v>
      </c>
    </row>
    <row r="24" spans="1:17" customFormat="1">
      <c r="A24" s="50">
        <v>45637.666666666664</v>
      </c>
      <c r="B24" s="51">
        <v>4.22</v>
      </c>
      <c r="C24" s="51">
        <v>17.829999999999998</v>
      </c>
      <c r="D24" s="51">
        <v>14.03</v>
      </c>
      <c r="E24" s="51">
        <v>9.6199999999999992</v>
      </c>
      <c r="F24" s="51">
        <v>7.32</v>
      </c>
      <c r="G24" s="51">
        <v>74.27</v>
      </c>
      <c r="H24" s="51">
        <v>30.27</v>
      </c>
      <c r="I24" s="51">
        <v>7.77</v>
      </c>
      <c r="J24" s="51">
        <v>0.72</v>
      </c>
      <c r="K24" s="51">
        <v>47.28</v>
      </c>
      <c r="L24" s="51">
        <v>25.73</v>
      </c>
      <c r="M24" s="51">
        <v>33.31</v>
      </c>
      <c r="N24" s="51">
        <v>65</v>
      </c>
      <c r="O24" s="51">
        <v>0</v>
      </c>
      <c r="P24" s="51">
        <v>0.62</v>
      </c>
      <c r="Q24" s="51">
        <v>10.050000000000001</v>
      </c>
    </row>
    <row r="25" spans="1:17" customFormat="1">
      <c r="A25" s="50">
        <v>45637.708333333336</v>
      </c>
      <c r="B25" s="51">
        <v>4.76</v>
      </c>
      <c r="C25" s="51">
        <v>19</v>
      </c>
      <c r="D25" s="51">
        <v>15.09</v>
      </c>
      <c r="E25" s="51">
        <v>9.31</v>
      </c>
      <c r="F25" s="51">
        <v>6.7</v>
      </c>
      <c r="G25" s="51">
        <v>78.459999999999994</v>
      </c>
      <c r="H25" s="51">
        <v>31.34</v>
      </c>
      <c r="I25" s="51">
        <v>7.81</v>
      </c>
      <c r="J25" s="51">
        <v>0.54</v>
      </c>
      <c r="K25" s="51">
        <v>43.18</v>
      </c>
      <c r="L25" s="51">
        <v>25.16</v>
      </c>
      <c r="M25" s="51">
        <v>40.11</v>
      </c>
      <c r="N25" s="51">
        <v>33.299999999999997</v>
      </c>
      <c r="O25" s="51">
        <v>0</v>
      </c>
      <c r="P25" s="51">
        <v>0.67</v>
      </c>
      <c r="Q25" s="51">
        <v>10.039999999999999</v>
      </c>
    </row>
    <row r="26" spans="1:17" customFormat="1">
      <c r="A26" s="50">
        <v>45637.75</v>
      </c>
      <c r="B26" s="51">
        <v>5.83</v>
      </c>
      <c r="C26" s="51">
        <v>21.45</v>
      </c>
      <c r="D26" s="51">
        <v>17.23</v>
      </c>
      <c r="E26" s="51">
        <v>9.0399999999999991</v>
      </c>
      <c r="F26" s="51">
        <v>5.14</v>
      </c>
      <c r="G26" s="51">
        <v>101.99</v>
      </c>
      <c r="H26" s="51">
        <v>37.65</v>
      </c>
      <c r="I26" s="51">
        <v>8.18</v>
      </c>
      <c r="J26" s="51">
        <v>0.5</v>
      </c>
      <c r="K26" s="51">
        <v>61.62</v>
      </c>
      <c r="L26" s="51">
        <v>23.04</v>
      </c>
      <c r="M26" s="51">
        <v>45.19</v>
      </c>
      <c r="N26" s="51">
        <v>3.4</v>
      </c>
      <c r="O26" s="51">
        <v>0</v>
      </c>
      <c r="P26" s="51">
        <v>0.77</v>
      </c>
      <c r="Q26" s="51">
        <v>10.039999999999999</v>
      </c>
    </row>
    <row r="27" spans="1:17" customFormat="1">
      <c r="A27" s="50">
        <v>45637.791666666664</v>
      </c>
      <c r="B27" s="51">
        <v>6.49</v>
      </c>
      <c r="C27" s="51">
        <v>22.73</v>
      </c>
      <c r="D27" s="51">
        <v>18.440000000000001</v>
      </c>
      <c r="E27" s="51">
        <v>10.42</v>
      </c>
      <c r="F27" s="51">
        <v>3.14</v>
      </c>
      <c r="G27" s="51">
        <v>123.22</v>
      </c>
      <c r="H27" s="51">
        <v>49.39</v>
      </c>
      <c r="I27" s="51">
        <v>9.23</v>
      </c>
      <c r="J27" s="51">
        <v>0.48</v>
      </c>
      <c r="K27" s="51">
        <v>57.78</v>
      </c>
      <c r="L27" s="51">
        <v>21.53</v>
      </c>
      <c r="M27" s="51">
        <v>47.45</v>
      </c>
      <c r="N27" s="51">
        <v>1.6</v>
      </c>
      <c r="O27" s="51">
        <v>0</v>
      </c>
      <c r="P27" s="51">
        <v>0.9</v>
      </c>
      <c r="Q27" s="51">
        <v>10.050000000000001</v>
      </c>
    </row>
    <row r="28" spans="1:17" customFormat="1">
      <c r="A28" s="50">
        <v>45637.833333333336</v>
      </c>
      <c r="B28" s="51">
        <v>7.17</v>
      </c>
      <c r="C28" s="51">
        <v>25.71</v>
      </c>
      <c r="D28" s="51">
        <v>20.309999999999999</v>
      </c>
      <c r="E28" s="51">
        <v>9.73</v>
      </c>
      <c r="F28" s="51">
        <v>3.91</v>
      </c>
      <c r="G28" s="51">
        <v>149.02000000000001</v>
      </c>
      <c r="H28" s="51">
        <v>60.41</v>
      </c>
      <c r="I28" s="51">
        <v>10.46</v>
      </c>
      <c r="J28" s="51">
        <v>0.24</v>
      </c>
      <c r="K28" s="51">
        <v>180.67</v>
      </c>
      <c r="L28" s="51">
        <v>20.5</v>
      </c>
      <c r="M28" s="51">
        <v>71.58</v>
      </c>
      <c r="N28" s="51">
        <v>2</v>
      </c>
      <c r="O28" s="51">
        <v>0</v>
      </c>
      <c r="P28" s="51">
        <v>1.08</v>
      </c>
      <c r="Q28" s="51">
        <v>10.08</v>
      </c>
    </row>
    <row r="29" spans="1:17" customFormat="1">
      <c r="A29" s="50">
        <v>45637.875</v>
      </c>
      <c r="B29" s="51">
        <v>6.52</v>
      </c>
      <c r="C29" s="51">
        <v>25.69</v>
      </c>
      <c r="D29" s="51">
        <v>20</v>
      </c>
      <c r="E29" s="51">
        <v>9.66</v>
      </c>
      <c r="F29" s="51">
        <v>9.33</v>
      </c>
      <c r="G29" s="51">
        <v>150.57</v>
      </c>
      <c r="H29" s="51">
        <v>62.5</v>
      </c>
      <c r="I29" s="51">
        <v>11.92</v>
      </c>
      <c r="J29" s="51">
        <v>0.23</v>
      </c>
      <c r="K29" s="51">
        <v>184.09</v>
      </c>
      <c r="L29" s="51">
        <v>17.63</v>
      </c>
      <c r="M29" s="51">
        <v>78.400000000000006</v>
      </c>
      <c r="N29" s="51">
        <v>1.8</v>
      </c>
      <c r="O29" s="51">
        <v>0</v>
      </c>
      <c r="P29" s="51">
        <v>1.21</v>
      </c>
      <c r="Q29" s="51">
        <v>10.08</v>
      </c>
    </row>
    <row r="30" spans="1:17" customFormat="1">
      <c r="A30" s="50">
        <v>45637.916666666664</v>
      </c>
      <c r="B30" s="51">
        <v>8.7200000000000006</v>
      </c>
      <c r="C30" s="51">
        <v>25.93</v>
      </c>
      <c r="D30" s="51">
        <v>21.89</v>
      </c>
      <c r="E30" s="51">
        <v>9.98</v>
      </c>
      <c r="F30" s="51">
        <v>10.94</v>
      </c>
      <c r="G30" s="51">
        <v>150.57</v>
      </c>
      <c r="H30" s="51">
        <v>63.3</v>
      </c>
      <c r="I30" s="51">
        <v>13.78</v>
      </c>
      <c r="J30" s="51">
        <v>0.22</v>
      </c>
      <c r="K30" s="51">
        <v>214.46</v>
      </c>
      <c r="L30" s="51">
        <v>16.95</v>
      </c>
      <c r="M30" s="51">
        <v>84.03</v>
      </c>
      <c r="N30" s="51">
        <v>1.4</v>
      </c>
      <c r="O30" s="51">
        <v>0</v>
      </c>
      <c r="P30" s="51">
        <v>1.31</v>
      </c>
      <c r="Q30" s="51">
        <v>10.08</v>
      </c>
    </row>
    <row r="31" spans="1:17" customFormat="1">
      <c r="A31" s="50">
        <v>45637.958333333336</v>
      </c>
      <c r="B31" s="51">
        <v>9.3800000000000008</v>
      </c>
      <c r="C31" s="51">
        <v>25.98</v>
      </c>
      <c r="D31" s="51">
        <v>22.4</v>
      </c>
      <c r="E31" s="51">
        <v>9.2200000000000006</v>
      </c>
      <c r="F31" s="51">
        <v>6.8</v>
      </c>
      <c r="G31" s="51">
        <v>156.84</v>
      </c>
      <c r="H31" s="51">
        <v>63.3</v>
      </c>
      <c r="I31" s="51">
        <v>15.4</v>
      </c>
      <c r="J31" s="51">
        <v>0.2</v>
      </c>
      <c r="K31" s="51">
        <v>244.22</v>
      </c>
      <c r="L31" s="51">
        <v>15.98</v>
      </c>
      <c r="M31" s="51">
        <v>85.6</v>
      </c>
      <c r="N31" s="51">
        <v>1.4</v>
      </c>
      <c r="O31" s="51">
        <v>0</v>
      </c>
      <c r="P31" s="51">
        <v>1.35</v>
      </c>
      <c r="Q31" s="51">
        <v>10.1</v>
      </c>
    </row>
    <row r="32" spans="1:17" customFormat="1">
      <c r="A32" s="50">
        <v>45638</v>
      </c>
      <c r="B32" s="51">
        <v>8.84</v>
      </c>
      <c r="C32" s="51">
        <v>25.05</v>
      </c>
      <c r="D32" s="51">
        <v>21.34</v>
      </c>
      <c r="E32" s="51">
        <v>9.2100000000000009</v>
      </c>
      <c r="F32" s="51">
        <v>2.88</v>
      </c>
      <c r="G32" s="51">
        <v>156.84</v>
      </c>
      <c r="H32" s="51">
        <v>63.6</v>
      </c>
      <c r="I32" s="51">
        <v>16.07</v>
      </c>
      <c r="J32" s="51">
        <v>0.16</v>
      </c>
      <c r="K32" s="51">
        <v>217.19</v>
      </c>
      <c r="L32" s="51">
        <v>15.07</v>
      </c>
      <c r="M32" s="51">
        <v>85.34</v>
      </c>
      <c r="N32" s="51">
        <v>1.4</v>
      </c>
      <c r="O32" s="51">
        <v>0</v>
      </c>
      <c r="P32" s="51">
        <v>1.36</v>
      </c>
      <c r="Q32" s="51">
        <v>10.09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3.78</v>
      </c>
      <c r="C34" s="41">
        <f t="shared" si="0"/>
        <v>17.829999999999998</v>
      </c>
      <c r="D34" s="41">
        <f t="shared" si="0"/>
        <v>14.03</v>
      </c>
      <c r="E34" s="41">
        <f t="shared" si="0"/>
        <v>7.58</v>
      </c>
      <c r="F34" s="41">
        <f t="shared" si="0"/>
        <v>2.88</v>
      </c>
      <c r="G34" s="41">
        <f t="shared" si="0"/>
        <v>71.959999999999994</v>
      </c>
      <c r="H34" s="41">
        <f t="shared" si="0"/>
        <v>27.47</v>
      </c>
      <c r="I34" s="41">
        <f t="shared" si="0"/>
        <v>7.77</v>
      </c>
      <c r="J34" s="41">
        <f t="shared" si="0"/>
        <v>0.13</v>
      </c>
      <c r="K34" s="41">
        <f t="shared" si="0"/>
        <v>43.18</v>
      </c>
      <c r="L34" s="41">
        <f t="shared" si="0"/>
        <v>12.79</v>
      </c>
      <c r="M34" s="41">
        <f t="shared" si="0"/>
        <v>33.11</v>
      </c>
      <c r="N34" s="41">
        <f t="shared" si="0"/>
        <v>1.3</v>
      </c>
      <c r="O34" s="41">
        <f t="shared" si="0"/>
        <v>0</v>
      </c>
      <c r="P34" s="41">
        <f t="shared" si="0"/>
        <v>0.62</v>
      </c>
      <c r="Q34" s="41">
        <f t="shared" si="0"/>
        <v>10.039999999999999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17.96</v>
      </c>
      <c r="C35" s="33">
        <f t="shared" si="1"/>
        <v>25.98</v>
      </c>
      <c r="D35" s="33">
        <f t="shared" si="1"/>
        <v>25.71</v>
      </c>
      <c r="E35" s="33">
        <f t="shared" si="1"/>
        <v>10.42</v>
      </c>
      <c r="F35" s="33">
        <f t="shared" si="1"/>
        <v>10.94</v>
      </c>
      <c r="G35" s="33">
        <f t="shared" si="1"/>
        <v>156.84</v>
      </c>
      <c r="H35" s="33">
        <f t="shared" si="1"/>
        <v>63.6</v>
      </c>
      <c r="I35" s="33">
        <f t="shared" si="1"/>
        <v>16.07</v>
      </c>
      <c r="J35" s="33">
        <f t="shared" si="1"/>
        <v>1.18</v>
      </c>
      <c r="K35" s="33">
        <f t="shared" si="1"/>
        <v>359.03</v>
      </c>
      <c r="L35" s="33">
        <f t="shared" si="1"/>
        <v>26.52</v>
      </c>
      <c r="M35" s="33">
        <f t="shared" si="1"/>
        <v>90.51</v>
      </c>
      <c r="N35" s="33">
        <f t="shared" si="1"/>
        <v>542.9</v>
      </c>
      <c r="O35" s="33">
        <f t="shared" si="1"/>
        <v>0</v>
      </c>
      <c r="P35" s="33">
        <f t="shared" si="1"/>
        <v>1.36</v>
      </c>
      <c r="Q35" s="33">
        <f t="shared" si="1"/>
        <v>10.1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8.3187499999999996</v>
      </c>
      <c r="C36" s="41">
        <f t="shared" si="2"/>
        <v>22.048333333333332</v>
      </c>
      <c r="D36" s="41">
        <f t="shared" si="2"/>
        <v>19.393333333333327</v>
      </c>
      <c r="E36" s="41">
        <f t="shared" si="2"/>
        <v>8.8570833333333319</v>
      </c>
      <c r="F36" s="41">
        <f t="shared" si="2"/>
        <v>5.44</v>
      </c>
      <c r="G36" s="41">
        <f t="shared" si="2"/>
        <v>104.74916666666668</v>
      </c>
      <c r="H36" s="41">
        <f t="shared" si="2"/>
        <v>39.443333333333335</v>
      </c>
      <c r="I36" s="41">
        <f t="shared" si="2"/>
        <v>10.473333333333334</v>
      </c>
      <c r="J36" s="41">
        <f t="shared" si="2"/>
        <v>0.52583333333333337</v>
      </c>
      <c r="K36" s="41">
        <f t="shared" si="2"/>
        <v>137.88875000000002</v>
      </c>
      <c r="L36" s="41">
        <f t="shared" si="2"/>
        <v>19.56291666666667</v>
      </c>
      <c r="M36" s="41">
        <f t="shared" si="2"/>
        <v>62.482916666666661</v>
      </c>
      <c r="N36" s="41">
        <f t="shared" si="2"/>
        <v>130.23750000000004</v>
      </c>
      <c r="O36" s="41">
        <f t="shared" si="2"/>
        <v>0</v>
      </c>
      <c r="P36" s="41">
        <f t="shared" si="2"/>
        <v>0.86874999999999991</v>
      </c>
      <c r="Q36" s="41">
        <f t="shared" si="2"/>
        <v>10.063750000000001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3.9679830737936652</v>
      </c>
      <c r="C37" s="41">
        <f t="shared" ref="C37:Q37" si="3">STDEV(C9:C32)</f>
        <v>2.6752044483702142</v>
      </c>
      <c r="D37" s="41">
        <f t="shared" si="3"/>
        <v>3.3028915746090419</v>
      </c>
      <c r="E37" s="41">
        <f t="shared" si="3"/>
        <v>0.74279424950753914</v>
      </c>
      <c r="F37" s="41">
        <f t="shared" si="3"/>
        <v>2.3103886366094146</v>
      </c>
      <c r="G37" s="41">
        <f t="shared" si="3"/>
        <v>29.982241253443778</v>
      </c>
      <c r="H37" s="41">
        <f t="shared" si="3"/>
        <v>13.290168535806631</v>
      </c>
      <c r="I37" s="41">
        <f t="shared" si="3"/>
        <v>2.1562259030369502</v>
      </c>
      <c r="J37" s="41">
        <f t="shared" si="3"/>
        <v>0.32613569684047644</v>
      </c>
      <c r="K37" s="41">
        <f t="shared" si="3"/>
        <v>90.530398272696431</v>
      </c>
      <c r="L37" s="41">
        <f t="shared" si="3"/>
        <v>4.6564723344447208</v>
      </c>
      <c r="M37" s="41">
        <f t="shared" si="3"/>
        <v>20.546316390295971</v>
      </c>
      <c r="N37" s="41">
        <f t="shared" si="3"/>
        <v>201.13880738673109</v>
      </c>
      <c r="O37" s="41">
        <f t="shared" si="3"/>
        <v>0</v>
      </c>
      <c r="P37" s="41">
        <f t="shared" si="3"/>
        <v>0.23402550028278701</v>
      </c>
      <c r="Q37" s="41">
        <f t="shared" si="3"/>
        <v>1.8606333657491921E-2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landscape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45638.041666666664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45638.041666666664</v>
      </c>
      <c r="B9" s="51">
        <v>10.029999999999999</v>
      </c>
      <c r="C9" s="51">
        <v>24.11</v>
      </c>
      <c r="D9" s="51">
        <v>21.57</v>
      </c>
      <c r="E9" s="51">
        <v>9.4</v>
      </c>
      <c r="F9" s="51">
        <v>5.41</v>
      </c>
      <c r="G9" s="51">
        <v>148.35</v>
      </c>
      <c r="H9" s="51">
        <v>63.6</v>
      </c>
      <c r="I9" s="51">
        <v>16.079999999999998</v>
      </c>
      <c r="J9" s="51">
        <v>0.15</v>
      </c>
      <c r="K9" s="51">
        <v>235.64</v>
      </c>
      <c r="L9" s="51">
        <v>14.97</v>
      </c>
      <c r="M9" s="51">
        <v>86.82</v>
      </c>
      <c r="N9" s="51">
        <v>1.4</v>
      </c>
      <c r="O9" s="51">
        <v>0</v>
      </c>
      <c r="P9" s="51">
        <v>1.33</v>
      </c>
      <c r="Q9" s="51">
        <v>10.07</v>
      </c>
    </row>
    <row r="10" spans="1:21" customFormat="1">
      <c r="A10" s="50">
        <v>45638.083333333336</v>
      </c>
      <c r="B10" s="51">
        <v>12.21</v>
      </c>
      <c r="C10" s="51">
        <v>23.58</v>
      </c>
      <c r="D10" s="51">
        <v>23.29</v>
      </c>
      <c r="E10" s="51">
        <v>9.39</v>
      </c>
      <c r="F10" s="51">
        <v>14.58</v>
      </c>
      <c r="G10" s="51">
        <v>133.99</v>
      </c>
      <c r="H10" s="51">
        <v>58.44</v>
      </c>
      <c r="I10" s="51">
        <v>15.59</v>
      </c>
      <c r="J10" s="51">
        <v>0.15</v>
      </c>
      <c r="K10" s="51">
        <v>226.34</v>
      </c>
      <c r="L10" s="51">
        <v>14.24</v>
      </c>
      <c r="M10" s="51">
        <v>92.76</v>
      </c>
      <c r="N10" s="51">
        <v>1.4</v>
      </c>
      <c r="O10" s="51">
        <v>0</v>
      </c>
      <c r="P10" s="51">
        <v>1.27</v>
      </c>
      <c r="Q10" s="51">
        <v>10.07</v>
      </c>
    </row>
    <row r="11" spans="1:21" customFormat="1">
      <c r="A11" s="50">
        <v>45638.125</v>
      </c>
      <c r="B11" s="51">
        <v>11.41</v>
      </c>
      <c r="C11" s="51">
        <v>22.09</v>
      </c>
      <c r="D11" s="51">
        <v>22.04</v>
      </c>
      <c r="E11" s="51">
        <v>9.51</v>
      </c>
      <c r="F11" s="51">
        <v>7.36</v>
      </c>
      <c r="G11" s="51">
        <v>123.77</v>
      </c>
      <c r="H11" s="51">
        <v>57.25</v>
      </c>
      <c r="I11" s="51">
        <v>15.24</v>
      </c>
      <c r="J11" s="51">
        <v>0.15</v>
      </c>
      <c r="K11" s="51">
        <v>255.33</v>
      </c>
      <c r="L11" s="51">
        <v>13.38</v>
      </c>
      <c r="M11" s="51">
        <v>94.14</v>
      </c>
      <c r="N11" s="51">
        <v>1.3</v>
      </c>
      <c r="O11" s="51">
        <v>0</v>
      </c>
      <c r="P11" s="51">
        <v>1.23</v>
      </c>
      <c r="Q11" s="51">
        <v>10.08</v>
      </c>
    </row>
    <row r="12" spans="1:21" customFormat="1">
      <c r="A12" s="50">
        <v>45638.166666666664</v>
      </c>
      <c r="B12" s="51">
        <v>13.45</v>
      </c>
      <c r="C12" s="51">
        <v>21.8</v>
      </c>
      <c r="D12" s="51">
        <v>23.53</v>
      </c>
      <c r="E12" s="51">
        <v>9.7200000000000006</v>
      </c>
      <c r="F12" s="51">
        <v>6.49</v>
      </c>
      <c r="G12" s="51">
        <v>111.67</v>
      </c>
      <c r="H12" s="51">
        <v>53.19</v>
      </c>
      <c r="I12" s="51">
        <v>14.73</v>
      </c>
      <c r="J12" s="51">
        <v>0.18</v>
      </c>
      <c r="K12" s="51">
        <v>227.6</v>
      </c>
      <c r="L12" s="51">
        <v>13.39</v>
      </c>
      <c r="M12" s="51">
        <v>90.46</v>
      </c>
      <c r="N12" s="51">
        <v>1.7</v>
      </c>
      <c r="O12" s="51">
        <v>0</v>
      </c>
      <c r="P12" s="51">
        <v>1.1599999999999999</v>
      </c>
      <c r="Q12" s="51">
        <v>10.050000000000001</v>
      </c>
    </row>
    <row r="13" spans="1:21" customFormat="1">
      <c r="A13" s="50">
        <v>45638.208333333336</v>
      </c>
      <c r="B13" s="51">
        <v>13.98</v>
      </c>
      <c r="C13" s="51">
        <v>21.47</v>
      </c>
      <c r="D13" s="51">
        <v>23.63</v>
      </c>
      <c r="E13" s="51">
        <v>9.3800000000000008</v>
      </c>
      <c r="F13" s="51">
        <v>8.27</v>
      </c>
      <c r="G13" s="51">
        <v>99.8</v>
      </c>
      <c r="H13" s="51">
        <v>49.62</v>
      </c>
      <c r="I13" s="51">
        <v>14.02</v>
      </c>
      <c r="J13" s="51">
        <v>0.13</v>
      </c>
      <c r="K13" s="51">
        <v>209.91</v>
      </c>
      <c r="L13" s="51">
        <v>12.62</v>
      </c>
      <c r="M13" s="51">
        <v>94.1</v>
      </c>
      <c r="N13" s="51">
        <v>1.2</v>
      </c>
      <c r="O13" s="51">
        <v>0</v>
      </c>
      <c r="P13" s="51">
        <v>1.1000000000000001</v>
      </c>
      <c r="Q13" s="51">
        <v>10.08</v>
      </c>
    </row>
    <row r="14" spans="1:21" customFormat="1">
      <c r="A14" s="50">
        <v>45638.25</v>
      </c>
      <c r="B14" s="51">
        <v>17.54</v>
      </c>
      <c r="C14" s="51">
        <v>20.77</v>
      </c>
      <c r="D14" s="51">
        <v>26.23</v>
      </c>
      <c r="E14" s="51">
        <v>9.26</v>
      </c>
      <c r="F14" s="51">
        <v>10.41</v>
      </c>
      <c r="G14" s="51">
        <v>93.85</v>
      </c>
      <c r="H14" s="51">
        <v>43.38</v>
      </c>
      <c r="I14" s="51">
        <v>13.91</v>
      </c>
      <c r="J14" s="51">
        <v>0.14000000000000001</v>
      </c>
      <c r="K14" s="51">
        <v>359.06</v>
      </c>
      <c r="L14" s="51">
        <v>12.48</v>
      </c>
      <c r="M14" s="51">
        <v>94.56</v>
      </c>
      <c r="N14" s="51">
        <v>1.2</v>
      </c>
      <c r="O14" s="51">
        <v>0</v>
      </c>
      <c r="P14" s="51">
        <v>1.0900000000000001</v>
      </c>
      <c r="Q14" s="51">
        <v>10.08</v>
      </c>
    </row>
    <row r="15" spans="1:21" customFormat="1">
      <c r="A15" s="50">
        <v>45638.291666666664</v>
      </c>
      <c r="B15" s="51">
        <v>25.6</v>
      </c>
      <c r="C15" s="51">
        <v>21.57</v>
      </c>
      <c r="D15" s="51">
        <v>33.15</v>
      </c>
      <c r="E15" s="51">
        <v>9.19</v>
      </c>
      <c r="F15" s="51">
        <v>3.18</v>
      </c>
      <c r="G15" s="51">
        <v>101.48</v>
      </c>
      <c r="H15" s="51">
        <v>45.5</v>
      </c>
      <c r="I15" s="51">
        <v>14.4</v>
      </c>
      <c r="J15" s="51">
        <v>0.34</v>
      </c>
      <c r="K15" s="51">
        <v>65.540000000000006</v>
      </c>
      <c r="L15" s="51">
        <v>13.26</v>
      </c>
      <c r="M15" s="51">
        <v>88.38</v>
      </c>
      <c r="N15" s="51">
        <v>21.7</v>
      </c>
      <c r="O15" s="51">
        <v>0</v>
      </c>
      <c r="P15" s="51">
        <v>1.1200000000000001</v>
      </c>
      <c r="Q15" s="51">
        <v>10.130000000000001</v>
      </c>
    </row>
    <row r="16" spans="1:21" customFormat="1">
      <c r="A16" s="50">
        <v>45638.333333333336</v>
      </c>
      <c r="B16" s="51">
        <v>25.91</v>
      </c>
      <c r="C16" s="51">
        <v>23.29</v>
      </c>
      <c r="D16" s="51">
        <v>33.729999999999997</v>
      </c>
      <c r="E16" s="51">
        <v>9.4600000000000009</v>
      </c>
      <c r="F16" s="51">
        <v>3.15</v>
      </c>
      <c r="G16" s="51">
        <v>115.61</v>
      </c>
      <c r="H16" s="51">
        <v>48.45</v>
      </c>
      <c r="I16" s="51">
        <v>15.42</v>
      </c>
      <c r="J16" s="51">
        <v>0.8</v>
      </c>
      <c r="K16" s="51">
        <v>48.15</v>
      </c>
      <c r="L16" s="51">
        <v>15.24</v>
      </c>
      <c r="M16" s="51">
        <v>78.989999999999995</v>
      </c>
      <c r="N16" s="51">
        <v>140.19999999999999</v>
      </c>
      <c r="O16" s="51">
        <v>0</v>
      </c>
      <c r="P16" s="51">
        <v>1.2</v>
      </c>
      <c r="Q16" s="51">
        <v>10.119999999999999</v>
      </c>
    </row>
    <row r="17" spans="1:17" customFormat="1">
      <c r="A17" s="50">
        <v>45638.375</v>
      </c>
      <c r="B17" s="51">
        <v>23</v>
      </c>
      <c r="C17" s="51">
        <v>25.08</v>
      </c>
      <c r="D17" s="51">
        <v>32.15</v>
      </c>
      <c r="E17" s="51">
        <v>9.34</v>
      </c>
      <c r="F17" s="51">
        <v>4.0599999999999996</v>
      </c>
      <c r="G17" s="51">
        <v>117.59</v>
      </c>
      <c r="H17" s="51">
        <v>48.45</v>
      </c>
      <c r="I17" s="51">
        <v>15.63</v>
      </c>
      <c r="J17" s="51">
        <v>1.24</v>
      </c>
      <c r="K17" s="51">
        <v>53.69</v>
      </c>
      <c r="L17" s="51">
        <v>18.52</v>
      </c>
      <c r="M17" s="51">
        <v>69.319999999999993</v>
      </c>
      <c r="N17" s="51">
        <v>247</v>
      </c>
      <c r="O17" s="51">
        <v>0</v>
      </c>
      <c r="P17" s="51">
        <v>1.19</v>
      </c>
      <c r="Q17" s="51">
        <v>10.119999999999999</v>
      </c>
    </row>
    <row r="18" spans="1:17" customFormat="1">
      <c r="A18" s="50">
        <v>45638.416666666664</v>
      </c>
      <c r="B18" s="51">
        <v>17.84</v>
      </c>
      <c r="C18" s="51">
        <v>26.97</v>
      </c>
      <c r="D18" s="51">
        <v>29.03</v>
      </c>
      <c r="E18" s="51">
        <v>9.74</v>
      </c>
      <c r="F18" s="51">
        <v>3.75</v>
      </c>
      <c r="G18" s="51">
        <v>117.59</v>
      </c>
      <c r="H18" s="51">
        <v>46.79</v>
      </c>
      <c r="I18" s="51">
        <v>15.34</v>
      </c>
      <c r="J18" s="51">
        <v>0.99</v>
      </c>
      <c r="K18" s="51">
        <v>51.22</v>
      </c>
      <c r="L18" s="51">
        <v>21.93</v>
      </c>
      <c r="M18" s="51">
        <v>54.46</v>
      </c>
      <c r="N18" s="51">
        <v>426.1</v>
      </c>
      <c r="O18" s="51">
        <v>0</v>
      </c>
      <c r="P18" s="51">
        <v>1.1299999999999999</v>
      </c>
      <c r="Q18" s="51">
        <v>10.11</v>
      </c>
    </row>
    <row r="19" spans="1:17" customFormat="1">
      <c r="A19" s="50">
        <v>45638.458333333336</v>
      </c>
      <c r="B19" s="51">
        <v>15.34</v>
      </c>
      <c r="C19" s="51">
        <v>26.64</v>
      </c>
      <c r="D19" s="51">
        <v>27.57</v>
      </c>
      <c r="E19" s="51">
        <v>9.48</v>
      </c>
      <c r="F19" s="51">
        <v>3.89</v>
      </c>
      <c r="G19" s="51">
        <v>114.89</v>
      </c>
      <c r="H19" s="51">
        <v>44.74</v>
      </c>
      <c r="I19" s="51">
        <v>14.17</v>
      </c>
      <c r="J19" s="51">
        <v>0.93</v>
      </c>
      <c r="K19" s="51">
        <v>52.02</v>
      </c>
      <c r="L19" s="51">
        <v>23.93</v>
      </c>
      <c r="M19" s="51">
        <v>44.46</v>
      </c>
      <c r="N19" s="51">
        <v>501.6</v>
      </c>
      <c r="O19" s="51">
        <v>0</v>
      </c>
      <c r="P19" s="51">
        <v>1.07</v>
      </c>
      <c r="Q19" s="51">
        <v>10.1</v>
      </c>
    </row>
    <row r="20" spans="1:17" customFormat="1">
      <c r="A20" s="50">
        <v>45638.5</v>
      </c>
      <c r="B20" s="51">
        <v>12.39</v>
      </c>
      <c r="C20" s="51">
        <v>24.18</v>
      </c>
      <c r="D20" s="51">
        <v>23.92</v>
      </c>
      <c r="E20" s="51">
        <v>10.31</v>
      </c>
      <c r="F20" s="51">
        <v>4.46</v>
      </c>
      <c r="G20" s="51">
        <v>109</v>
      </c>
      <c r="H20" s="51">
        <v>40.97</v>
      </c>
      <c r="I20" s="51">
        <v>13.47</v>
      </c>
      <c r="J20" s="51">
        <v>0.64</v>
      </c>
      <c r="K20" s="51">
        <v>71.72</v>
      </c>
      <c r="L20" s="51">
        <v>25.99</v>
      </c>
      <c r="M20" s="51">
        <v>36</v>
      </c>
      <c r="N20" s="51">
        <v>548.5</v>
      </c>
      <c r="O20" s="51">
        <v>0</v>
      </c>
      <c r="P20" s="51">
        <v>0.97</v>
      </c>
      <c r="Q20" s="51">
        <v>10.09</v>
      </c>
    </row>
    <row r="21" spans="1:17" customFormat="1">
      <c r="A21" s="50">
        <v>45638.541666666664</v>
      </c>
      <c r="B21" s="51">
        <v>9.8699999999999992</v>
      </c>
      <c r="C21" s="51">
        <v>23.34</v>
      </c>
      <c r="D21" s="51">
        <v>21.46</v>
      </c>
      <c r="E21" s="51">
        <v>10.25</v>
      </c>
      <c r="F21" s="51">
        <v>3.64</v>
      </c>
      <c r="G21" s="51">
        <v>103</v>
      </c>
      <c r="H21" s="51">
        <v>38.590000000000003</v>
      </c>
      <c r="I21" s="51">
        <v>12.61</v>
      </c>
      <c r="J21" s="51">
        <v>0.62</v>
      </c>
      <c r="K21" s="51">
        <v>323.67</v>
      </c>
      <c r="L21" s="51">
        <v>26.51</v>
      </c>
      <c r="M21" s="51">
        <v>32.47</v>
      </c>
      <c r="N21" s="51">
        <v>559.9</v>
      </c>
      <c r="O21" s="51">
        <v>0</v>
      </c>
      <c r="P21" s="51">
        <v>0.9</v>
      </c>
      <c r="Q21" s="51">
        <v>10.07</v>
      </c>
    </row>
    <row r="22" spans="1:17" customFormat="1">
      <c r="A22" s="50">
        <v>45638.583333333336</v>
      </c>
      <c r="B22" s="51">
        <v>6.93</v>
      </c>
      <c r="C22" s="51">
        <v>22.19</v>
      </c>
      <c r="D22" s="51">
        <v>18.5</v>
      </c>
      <c r="E22" s="51">
        <v>11.88</v>
      </c>
      <c r="F22" s="51">
        <v>3.65</v>
      </c>
      <c r="G22" s="51">
        <v>90.25</v>
      </c>
      <c r="H22" s="51">
        <v>34.57</v>
      </c>
      <c r="I22" s="51">
        <v>11.85</v>
      </c>
      <c r="J22" s="51">
        <v>0.83</v>
      </c>
      <c r="K22" s="51">
        <v>40.81</v>
      </c>
      <c r="L22" s="51">
        <v>26.71</v>
      </c>
      <c r="M22" s="51">
        <v>31.53</v>
      </c>
      <c r="N22" s="51">
        <v>478.6</v>
      </c>
      <c r="O22" s="51">
        <v>0</v>
      </c>
      <c r="P22" s="51">
        <v>0.85</v>
      </c>
      <c r="Q22" s="51">
        <v>10.050000000000001</v>
      </c>
    </row>
    <row r="23" spans="1:17" customFormat="1">
      <c r="A23" s="50">
        <v>45638.625</v>
      </c>
      <c r="B23" s="51">
        <v>5.54</v>
      </c>
      <c r="C23" s="51">
        <v>21.77</v>
      </c>
      <c r="D23" s="51">
        <v>17.010000000000002</v>
      </c>
      <c r="E23" s="51">
        <v>12.21</v>
      </c>
      <c r="F23" s="51">
        <v>5.84</v>
      </c>
      <c r="G23" s="51">
        <v>85.87</v>
      </c>
      <c r="H23" s="51">
        <v>34.06</v>
      </c>
      <c r="I23" s="51">
        <v>11.19</v>
      </c>
      <c r="J23" s="51">
        <v>0.47</v>
      </c>
      <c r="K23" s="51">
        <v>309.81</v>
      </c>
      <c r="L23" s="51">
        <v>26.29</v>
      </c>
      <c r="M23" s="51">
        <v>34.159999999999997</v>
      </c>
      <c r="N23" s="51">
        <v>113.7</v>
      </c>
      <c r="O23" s="51">
        <v>0</v>
      </c>
      <c r="P23" s="51">
        <v>0.84</v>
      </c>
      <c r="Q23" s="51">
        <v>10.06</v>
      </c>
    </row>
    <row r="24" spans="1:17" customFormat="1">
      <c r="A24" s="50">
        <v>45638.666666666664</v>
      </c>
      <c r="B24" s="51">
        <v>4.1900000000000004</v>
      </c>
      <c r="C24" s="51">
        <v>22.28</v>
      </c>
      <c r="D24" s="51">
        <v>16.07</v>
      </c>
      <c r="E24" s="51">
        <v>11.64</v>
      </c>
      <c r="F24" s="51">
        <v>8.01</v>
      </c>
      <c r="G24" s="51">
        <v>84.75</v>
      </c>
      <c r="H24" s="51">
        <v>33.31</v>
      </c>
      <c r="I24" s="51">
        <v>10.67</v>
      </c>
      <c r="J24" s="51">
        <v>0.62</v>
      </c>
      <c r="K24" s="51">
        <v>340.78</v>
      </c>
      <c r="L24" s="51">
        <v>25.97</v>
      </c>
      <c r="M24" s="51">
        <v>34.06</v>
      </c>
      <c r="N24" s="51">
        <v>60.8</v>
      </c>
      <c r="O24" s="51">
        <v>0</v>
      </c>
      <c r="P24" s="51">
        <v>0.82</v>
      </c>
      <c r="Q24" s="51">
        <v>10.06</v>
      </c>
    </row>
    <row r="25" spans="1:17" customFormat="1">
      <c r="A25" s="50">
        <v>45638.708333333336</v>
      </c>
      <c r="B25" s="51">
        <v>4.28</v>
      </c>
      <c r="C25" s="51">
        <v>24.81</v>
      </c>
      <c r="D25" s="51">
        <v>17.75</v>
      </c>
      <c r="E25" s="51">
        <v>10.36</v>
      </c>
      <c r="F25" s="51">
        <v>6.83</v>
      </c>
      <c r="G25" s="51">
        <v>86.94</v>
      </c>
      <c r="H25" s="51">
        <v>33.31</v>
      </c>
      <c r="I25" s="51">
        <v>10.01</v>
      </c>
      <c r="J25" s="51">
        <v>0.44</v>
      </c>
      <c r="K25" s="51">
        <v>334.3</v>
      </c>
      <c r="L25" s="51">
        <v>25.43</v>
      </c>
      <c r="M25" s="51">
        <v>38.450000000000003</v>
      </c>
      <c r="N25" s="51">
        <v>31.9</v>
      </c>
      <c r="O25" s="51">
        <v>0</v>
      </c>
      <c r="P25" s="51">
        <v>0.83</v>
      </c>
      <c r="Q25" s="51">
        <v>10.06</v>
      </c>
    </row>
    <row r="26" spans="1:17" customFormat="1">
      <c r="A26" s="50">
        <v>45638.75</v>
      </c>
      <c r="B26" s="51">
        <v>5.17</v>
      </c>
      <c r="C26" s="51">
        <v>28.12</v>
      </c>
      <c r="D26" s="51">
        <v>20.190000000000001</v>
      </c>
      <c r="E26" s="51">
        <v>9.82</v>
      </c>
      <c r="F26" s="51">
        <v>5.47</v>
      </c>
      <c r="G26" s="51">
        <v>112.08</v>
      </c>
      <c r="H26" s="51">
        <v>36.32</v>
      </c>
      <c r="I26" s="51">
        <v>9.99</v>
      </c>
      <c r="J26" s="51">
        <v>0.34</v>
      </c>
      <c r="K26" s="51">
        <v>117.78</v>
      </c>
      <c r="L26" s="51">
        <v>23.48</v>
      </c>
      <c r="M26" s="51">
        <v>49.34</v>
      </c>
      <c r="N26" s="51">
        <v>3.1</v>
      </c>
      <c r="O26" s="51">
        <v>0</v>
      </c>
      <c r="P26" s="51">
        <v>0.93</v>
      </c>
      <c r="Q26" s="51">
        <v>10.08</v>
      </c>
    </row>
    <row r="27" spans="1:17" customFormat="1">
      <c r="A27" s="50">
        <v>45638.791666666664</v>
      </c>
      <c r="B27" s="51">
        <v>5.22</v>
      </c>
      <c r="C27" s="51">
        <v>28.41</v>
      </c>
      <c r="D27" s="51">
        <v>20.36</v>
      </c>
      <c r="E27" s="51">
        <v>8.86</v>
      </c>
      <c r="F27" s="51">
        <v>5.69</v>
      </c>
      <c r="G27" s="51">
        <v>131.05000000000001</v>
      </c>
      <c r="H27" s="51">
        <v>45.27</v>
      </c>
      <c r="I27" s="51">
        <v>10.59</v>
      </c>
      <c r="J27" s="51">
        <v>0.25</v>
      </c>
      <c r="K27" s="51">
        <v>178.55</v>
      </c>
      <c r="L27" s="51">
        <v>20.6</v>
      </c>
      <c r="M27" s="51">
        <v>68.73</v>
      </c>
      <c r="N27" s="51">
        <v>2</v>
      </c>
      <c r="O27" s="51">
        <v>0</v>
      </c>
      <c r="P27" s="51">
        <v>1</v>
      </c>
      <c r="Q27" s="51">
        <v>10.09</v>
      </c>
    </row>
    <row r="28" spans="1:17" customFormat="1">
      <c r="A28" s="50">
        <v>45638.833333333336</v>
      </c>
      <c r="B28" s="51">
        <v>6.22</v>
      </c>
      <c r="C28" s="51">
        <v>27.08</v>
      </c>
      <c r="D28" s="51">
        <v>20.32</v>
      </c>
      <c r="E28" s="51">
        <v>8.32</v>
      </c>
      <c r="F28" s="51">
        <v>3.73</v>
      </c>
      <c r="G28" s="51">
        <v>131.05000000000001</v>
      </c>
      <c r="H28" s="51">
        <v>45.97</v>
      </c>
      <c r="I28" s="51">
        <v>11.31</v>
      </c>
      <c r="J28" s="51">
        <v>0.18</v>
      </c>
      <c r="K28" s="51">
        <v>204.77</v>
      </c>
      <c r="L28" s="51">
        <v>18.190000000000001</v>
      </c>
      <c r="M28" s="51">
        <v>73.98</v>
      </c>
      <c r="N28" s="51">
        <v>1.7</v>
      </c>
      <c r="O28" s="51">
        <v>0</v>
      </c>
      <c r="P28" s="51">
        <v>1.1000000000000001</v>
      </c>
      <c r="Q28" s="51">
        <v>10.08</v>
      </c>
    </row>
    <row r="29" spans="1:17" customFormat="1">
      <c r="A29" s="50">
        <v>45638.875</v>
      </c>
      <c r="B29" s="51">
        <v>6.94</v>
      </c>
      <c r="C29" s="51">
        <v>26.62</v>
      </c>
      <c r="D29" s="51">
        <v>20.8</v>
      </c>
      <c r="E29" s="51">
        <v>8.31</v>
      </c>
      <c r="F29" s="51">
        <v>3.07</v>
      </c>
      <c r="G29" s="51">
        <v>132.69999999999999</v>
      </c>
      <c r="H29" s="51">
        <v>48.69</v>
      </c>
      <c r="I29" s="51">
        <v>12.24</v>
      </c>
      <c r="J29" s="51">
        <v>0.18</v>
      </c>
      <c r="K29" s="51">
        <v>210.3</v>
      </c>
      <c r="L29" s="51">
        <v>17.05</v>
      </c>
      <c r="M29" s="51">
        <v>83.27</v>
      </c>
      <c r="N29" s="51">
        <v>1.5</v>
      </c>
      <c r="O29" s="51">
        <v>0</v>
      </c>
      <c r="P29" s="51">
        <v>1.1399999999999999</v>
      </c>
      <c r="Q29" s="51">
        <v>10.06</v>
      </c>
    </row>
    <row r="30" spans="1:17" customFormat="1">
      <c r="A30" s="50">
        <v>45638.916666666664</v>
      </c>
      <c r="B30" s="51">
        <v>6.38</v>
      </c>
      <c r="C30" s="51">
        <v>24.21</v>
      </c>
      <c r="D30" s="51">
        <v>19.11</v>
      </c>
      <c r="E30" s="51">
        <v>8.76</v>
      </c>
      <c r="F30" s="51">
        <v>6.04</v>
      </c>
      <c r="G30" s="51">
        <v>133.9</v>
      </c>
      <c r="H30" s="51">
        <v>52.84</v>
      </c>
      <c r="I30" s="51">
        <v>12.73</v>
      </c>
      <c r="J30" s="51">
        <v>0.19</v>
      </c>
      <c r="K30" s="51">
        <v>216.06</v>
      </c>
      <c r="L30" s="51">
        <v>16.149999999999999</v>
      </c>
      <c r="M30" s="51">
        <v>84.89</v>
      </c>
      <c r="N30" s="51">
        <v>1.4</v>
      </c>
      <c r="O30" s="51">
        <v>0</v>
      </c>
      <c r="P30" s="51">
        <v>1.18</v>
      </c>
      <c r="Q30" s="51">
        <v>10.039999999999999</v>
      </c>
    </row>
    <row r="31" spans="1:17" customFormat="1">
      <c r="A31" s="50">
        <v>45638.958333333336</v>
      </c>
      <c r="B31" s="51">
        <v>6.01</v>
      </c>
      <c r="C31" s="51">
        <v>22.1</v>
      </c>
      <c r="D31" s="51">
        <v>17.72</v>
      </c>
      <c r="E31" s="51">
        <v>8.06</v>
      </c>
      <c r="F31" s="51">
        <v>11.58</v>
      </c>
      <c r="G31" s="51">
        <v>137.82</v>
      </c>
      <c r="H31" s="51">
        <v>52.84</v>
      </c>
      <c r="I31" s="51">
        <v>13.08</v>
      </c>
      <c r="J31" s="51">
        <v>0.14000000000000001</v>
      </c>
      <c r="K31" s="51">
        <v>224.59</v>
      </c>
      <c r="L31" s="51">
        <v>15.62</v>
      </c>
      <c r="M31" s="51">
        <v>90.97</v>
      </c>
      <c r="N31" s="51">
        <v>1.4</v>
      </c>
      <c r="O31" s="51">
        <v>0</v>
      </c>
      <c r="P31" s="51">
        <v>1.19</v>
      </c>
      <c r="Q31" s="51">
        <v>10.039999999999999</v>
      </c>
    </row>
    <row r="32" spans="1:17" customFormat="1">
      <c r="A32" s="50">
        <v>45639</v>
      </c>
      <c r="B32" s="51">
        <v>5.63</v>
      </c>
      <c r="C32" s="51">
        <v>20.82</v>
      </c>
      <c r="D32" s="51">
        <v>16.739999999999998</v>
      </c>
      <c r="E32" s="51">
        <v>7.6</v>
      </c>
      <c r="F32" s="51">
        <v>10.72</v>
      </c>
      <c r="G32" s="51">
        <v>137.82</v>
      </c>
      <c r="H32" s="51">
        <v>52.46</v>
      </c>
      <c r="I32" s="51">
        <v>13.07</v>
      </c>
      <c r="J32" s="51">
        <v>0.14000000000000001</v>
      </c>
      <c r="K32" s="51">
        <v>228.83</v>
      </c>
      <c r="L32" s="51">
        <v>15.1</v>
      </c>
      <c r="M32" s="51">
        <v>94.65</v>
      </c>
      <c r="N32" s="51">
        <v>1.4</v>
      </c>
      <c r="O32" s="51">
        <v>0</v>
      </c>
      <c r="P32" s="51">
        <v>1.18</v>
      </c>
      <c r="Q32" s="51">
        <v>10.029999999999999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4.1900000000000004</v>
      </c>
      <c r="C34" s="41">
        <f t="shared" si="0"/>
        <v>20.77</v>
      </c>
      <c r="D34" s="41">
        <f t="shared" si="0"/>
        <v>16.07</v>
      </c>
      <c r="E34" s="41">
        <f t="shared" si="0"/>
        <v>7.6</v>
      </c>
      <c r="F34" s="41">
        <f t="shared" si="0"/>
        <v>3.07</v>
      </c>
      <c r="G34" s="41">
        <f t="shared" si="0"/>
        <v>84.75</v>
      </c>
      <c r="H34" s="41">
        <f t="shared" si="0"/>
        <v>33.31</v>
      </c>
      <c r="I34" s="41">
        <f t="shared" si="0"/>
        <v>9.99</v>
      </c>
      <c r="J34" s="41">
        <f t="shared" si="0"/>
        <v>0.13</v>
      </c>
      <c r="K34" s="41">
        <f t="shared" si="0"/>
        <v>40.81</v>
      </c>
      <c r="L34" s="41">
        <f t="shared" si="0"/>
        <v>12.48</v>
      </c>
      <c r="M34" s="41">
        <f t="shared" si="0"/>
        <v>31.53</v>
      </c>
      <c r="N34" s="41">
        <f t="shared" si="0"/>
        <v>1.2</v>
      </c>
      <c r="O34" s="41">
        <f t="shared" si="0"/>
        <v>0</v>
      </c>
      <c r="P34" s="41">
        <f t="shared" si="0"/>
        <v>0.82</v>
      </c>
      <c r="Q34" s="41">
        <f t="shared" si="0"/>
        <v>10.029999999999999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25.91</v>
      </c>
      <c r="C35" s="33">
        <f t="shared" si="1"/>
        <v>28.41</v>
      </c>
      <c r="D35" s="33">
        <f t="shared" si="1"/>
        <v>33.729999999999997</v>
      </c>
      <c r="E35" s="33">
        <f t="shared" si="1"/>
        <v>12.21</v>
      </c>
      <c r="F35" s="33">
        <f t="shared" si="1"/>
        <v>14.58</v>
      </c>
      <c r="G35" s="33">
        <f t="shared" si="1"/>
        <v>148.35</v>
      </c>
      <c r="H35" s="33">
        <f t="shared" si="1"/>
        <v>63.6</v>
      </c>
      <c r="I35" s="33">
        <f t="shared" si="1"/>
        <v>16.079999999999998</v>
      </c>
      <c r="J35" s="33">
        <f t="shared" si="1"/>
        <v>1.24</v>
      </c>
      <c r="K35" s="33">
        <f t="shared" si="1"/>
        <v>359.06</v>
      </c>
      <c r="L35" s="33">
        <f t="shared" si="1"/>
        <v>26.71</v>
      </c>
      <c r="M35" s="33">
        <f t="shared" si="1"/>
        <v>94.65</v>
      </c>
      <c r="N35" s="33">
        <f t="shared" si="1"/>
        <v>559.9</v>
      </c>
      <c r="O35" s="33">
        <f t="shared" si="1"/>
        <v>0</v>
      </c>
      <c r="P35" s="33">
        <f t="shared" si="1"/>
        <v>1.33</v>
      </c>
      <c r="Q35" s="33">
        <f t="shared" si="1"/>
        <v>10.130000000000001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11.295</v>
      </c>
      <c r="C36" s="41">
        <f t="shared" si="2"/>
        <v>23.887500000000003</v>
      </c>
      <c r="D36" s="41">
        <f t="shared" si="2"/>
        <v>22.744583333333335</v>
      </c>
      <c r="E36" s="41">
        <f t="shared" si="2"/>
        <v>9.5937500000000018</v>
      </c>
      <c r="F36" s="41">
        <f t="shared" si="2"/>
        <v>6.22</v>
      </c>
      <c r="G36" s="41">
        <f t="shared" si="2"/>
        <v>114.78416666666669</v>
      </c>
      <c r="H36" s="41">
        <f t="shared" si="2"/>
        <v>46.192083333333336</v>
      </c>
      <c r="I36" s="41">
        <f t="shared" si="2"/>
        <v>13.222499999999998</v>
      </c>
      <c r="J36" s="41">
        <f t="shared" si="2"/>
        <v>0.42666666666666658</v>
      </c>
      <c r="K36" s="41">
        <f t="shared" si="2"/>
        <v>191.10291666666672</v>
      </c>
      <c r="L36" s="41">
        <f t="shared" si="2"/>
        <v>19.043750000000006</v>
      </c>
      <c r="M36" s="41">
        <f t="shared" si="2"/>
        <v>68.372916666666683</v>
      </c>
      <c r="N36" s="41">
        <f t="shared" si="2"/>
        <v>131.27916666666667</v>
      </c>
      <c r="O36" s="41">
        <f t="shared" si="2"/>
        <v>0</v>
      </c>
      <c r="P36" s="41">
        <f t="shared" si="2"/>
        <v>1.0758333333333334</v>
      </c>
      <c r="Q36" s="41">
        <f t="shared" si="2"/>
        <v>10.075833333333334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6.6794916494934107</v>
      </c>
      <c r="C37" s="41">
        <f t="shared" ref="C37:Q37" si="3">STDEV(C9:C32)</f>
        <v>2.3539407291861805</v>
      </c>
      <c r="D37" s="41">
        <f t="shared" si="3"/>
        <v>5.1741035595480263</v>
      </c>
      <c r="E37" s="41">
        <f t="shared" si="3"/>
        <v>1.1269613337759636</v>
      </c>
      <c r="F37" s="41">
        <f t="shared" si="3"/>
        <v>3.0545489953866167</v>
      </c>
      <c r="G37" s="41">
        <f t="shared" si="3"/>
        <v>18.666362892196751</v>
      </c>
      <c r="H37" s="41">
        <f t="shared" si="3"/>
        <v>8.31077612614129</v>
      </c>
      <c r="I37" s="41">
        <f t="shared" si="3"/>
        <v>1.9132245714681679</v>
      </c>
      <c r="J37" s="41">
        <f t="shared" si="3"/>
        <v>0.33005489222863837</v>
      </c>
      <c r="K37" s="41">
        <f t="shared" si="3"/>
        <v>104.65509042561055</v>
      </c>
      <c r="L37" s="41">
        <f t="shared" si="3"/>
        <v>5.2541882362301102</v>
      </c>
      <c r="M37" s="41">
        <f t="shared" si="3"/>
        <v>24.442592988321664</v>
      </c>
      <c r="N37" s="41">
        <f t="shared" si="3"/>
        <v>204.48818394515709</v>
      </c>
      <c r="O37" s="41">
        <f t="shared" si="3"/>
        <v>0</v>
      </c>
      <c r="P37" s="41">
        <f t="shared" si="3"/>
        <v>0.14867287307510146</v>
      </c>
      <c r="Q37" s="41">
        <f t="shared" si="3"/>
        <v>2.6525896561771362E-2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2" ySplit="8" topLeftCell="C9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45639.041666666664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45639.041666666664</v>
      </c>
      <c r="B9" s="51">
        <v>7.37</v>
      </c>
      <c r="C9" s="51">
        <v>21.07</v>
      </c>
      <c r="D9" s="51">
        <v>18.27</v>
      </c>
      <c r="E9" s="51">
        <v>7.69</v>
      </c>
      <c r="F9" s="51">
        <v>5.35</v>
      </c>
      <c r="G9" s="51">
        <v>131.69999999999999</v>
      </c>
      <c r="H9" s="51">
        <v>52.26</v>
      </c>
      <c r="I9" s="51">
        <v>13.07</v>
      </c>
      <c r="J9" s="51">
        <v>0.13</v>
      </c>
      <c r="K9" s="51">
        <v>210.65</v>
      </c>
      <c r="L9" s="51">
        <v>14.72</v>
      </c>
      <c r="M9" s="51">
        <v>101.85</v>
      </c>
      <c r="N9" s="51">
        <v>1.3</v>
      </c>
      <c r="O9" s="51">
        <v>0</v>
      </c>
      <c r="P9" s="51">
        <v>1.1599999999999999</v>
      </c>
      <c r="Q9" s="51">
        <v>10.06</v>
      </c>
    </row>
    <row r="10" spans="1:21" customFormat="1">
      <c r="A10" s="50">
        <v>45639.083333333336</v>
      </c>
      <c r="B10" s="51">
        <v>14.45</v>
      </c>
      <c r="C10" s="51">
        <v>22.95</v>
      </c>
      <c r="D10" s="51">
        <v>24.93</v>
      </c>
      <c r="E10" s="51">
        <v>7.71</v>
      </c>
      <c r="F10" s="51">
        <v>3.67</v>
      </c>
      <c r="G10" s="51">
        <v>125.73</v>
      </c>
      <c r="H10" s="51">
        <v>52.26</v>
      </c>
      <c r="I10" s="51">
        <v>12.92</v>
      </c>
      <c r="J10" s="51">
        <v>0.41</v>
      </c>
      <c r="K10" s="51">
        <v>337.94</v>
      </c>
      <c r="L10" s="51">
        <v>14.84</v>
      </c>
      <c r="M10" s="51">
        <v>101.63</v>
      </c>
      <c r="N10" s="51">
        <v>1.3</v>
      </c>
      <c r="O10" s="51">
        <v>0</v>
      </c>
      <c r="P10" s="51">
        <v>1.2</v>
      </c>
      <c r="Q10" s="51">
        <v>10.08</v>
      </c>
    </row>
    <row r="11" spans="1:21" customFormat="1">
      <c r="A11" s="50">
        <v>45639.125</v>
      </c>
      <c r="B11" s="51">
        <v>15.4</v>
      </c>
      <c r="C11" s="51">
        <v>23.84</v>
      </c>
      <c r="D11" s="51">
        <v>26.14</v>
      </c>
      <c r="E11" s="51">
        <v>9.7100000000000009</v>
      </c>
      <c r="F11" s="51">
        <v>6.55</v>
      </c>
      <c r="G11" s="51">
        <v>145.94</v>
      </c>
      <c r="H11" s="51">
        <v>54.14</v>
      </c>
      <c r="I11" s="51">
        <v>13.95</v>
      </c>
      <c r="J11" s="51">
        <v>0.19</v>
      </c>
      <c r="K11" s="51">
        <v>215.76</v>
      </c>
      <c r="L11" s="51">
        <v>15.03</v>
      </c>
      <c r="M11" s="51">
        <v>94.77</v>
      </c>
      <c r="N11" s="51">
        <v>1.6</v>
      </c>
      <c r="O11" s="51">
        <v>0</v>
      </c>
      <c r="P11" s="51">
        <v>1.28</v>
      </c>
      <c r="Q11" s="51">
        <v>10.1</v>
      </c>
    </row>
    <row r="12" spans="1:21" customFormat="1">
      <c r="A12" s="50">
        <v>45639.166666666664</v>
      </c>
      <c r="B12" s="51">
        <v>15.2</v>
      </c>
      <c r="C12" s="51">
        <v>23.64</v>
      </c>
      <c r="D12" s="51">
        <v>25.89</v>
      </c>
      <c r="E12" s="51">
        <v>9.49</v>
      </c>
      <c r="F12" s="51">
        <v>3.29</v>
      </c>
      <c r="G12" s="51">
        <v>157.69999999999999</v>
      </c>
      <c r="H12" s="51">
        <v>57.99</v>
      </c>
      <c r="I12" s="51">
        <v>14.81</v>
      </c>
      <c r="J12" s="51">
        <v>0.2</v>
      </c>
      <c r="K12" s="51">
        <v>192.57</v>
      </c>
      <c r="L12" s="51">
        <v>13.66</v>
      </c>
      <c r="M12" s="51">
        <v>105.49</v>
      </c>
      <c r="N12" s="51">
        <v>1.4</v>
      </c>
      <c r="O12" s="51">
        <v>0</v>
      </c>
      <c r="P12" s="51">
        <v>1.35</v>
      </c>
      <c r="Q12" s="51">
        <v>10.11</v>
      </c>
    </row>
    <row r="13" spans="1:21" customFormat="1">
      <c r="A13" s="50">
        <v>45639.208333333336</v>
      </c>
      <c r="B13" s="51">
        <v>17.920000000000002</v>
      </c>
      <c r="C13" s="51">
        <v>22.57</v>
      </c>
      <c r="D13" s="51">
        <v>27.51</v>
      </c>
      <c r="E13" s="51">
        <v>9.2100000000000009</v>
      </c>
      <c r="F13" s="51">
        <v>3.02</v>
      </c>
      <c r="G13" s="51">
        <v>157.69999999999999</v>
      </c>
      <c r="H13" s="51">
        <v>57.99</v>
      </c>
      <c r="I13" s="51">
        <v>15.28</v>
      </c>
      <c r="J13" s="51">
        <v>0.2</v>
      </c>
      <c r="K13" s="51">
        <v>210.4</v>
      </c>
      <c r="L13" s="51">
        <v>13.28</v>
      </c>
      <c r="M13" s="51">
        <v>106.14</v>
      </c>
      <c r="N13" s="51">
        <v>1.3</v>
      </c>
      <c r="O13" s="51">
        <v>0</v>
      </c>
      <c r="P13" s="51">
        <v>1.36</v>
      </c>
      <c r="Q13" s="51">
        <v>10.09</v>
      </c>
    </row>
    <row r="14" spans="1:21" customFormat="1">
      <c r="A14" s="50">
        <v>45639.25</v>
      </c>
      <c r="B14" s="51">
        <v>18.89</v>
      </c>
      <c r="C14" s="51">
        <v>22.96</v>
      </c>
      <c r="D14" s="51">
        <v>28.4</v>
      </c>
      <c r="E14" s="51">
        <v>9.2799999999999994</v>
      </c>
      <c r="F14" s="51">
        <v>4.01</v>
      </c>
      <c r="G14" s="51">
        <v>143.06</v>
      </c>
      <c r="H14" s="51">
        <v>54.8</v>
      </c>
      <c r="I14" s="51">
        <v>15.31</v>
      </c>
      <c r="J14" s="51">
        <v>0.16</v>
      </c>
      <c r="K14" s="51">
        <v>225.55</v>
      </c>
      <c r="L14" s="51">
        <v>12.93</v>
      </c>
      <c r="M14" s="51">
        <v>94.83</v>
      </c>
      <c r="N14" s="51">
        <v>1.4</v>
      </c>
      <c r="O14" s="51">
        <v>0</v>
      </c>
      <c r="P14" s="51">
        <v>1.36</v>
      </c>
      <c r="Q14" s="51">
        <v>10.09</v>
      </c>
    </row>
    <row r="15" spans="1:21" customFormat="1">
      <c r="A15" s="50">
        <v>45639.291666666664</v>
      </c>
      <c r="B15" s="51">
        <v>16.850000000000001</v>
      </c>
      <c r="C15" s="51">
        <v>21.98</v>
      </c>
      <c r="D15" s="51">
        <v>26.35</v>
      </c>
      <c r="E15" s="51">
        <v>9.7100000000000009</v>
      </c>
      <c r="F15" s="51">
        <v>5.52</v>
      </c>
      <c r="G15" s="51">
        <v>135.91999999999999</v>
      </c>
      <c r="H15" s="51">
        <v>54.8</v>
      </c>
      <c r="I15" s="51">
        <v>15.02</v>
      </c>
      <c r="J15" s="51">
        <v>0.13</v>
      </c>
      <c r="K15" s="51">
        <v>239</v>
      </c>
      <c r="L15" s="51">
        <v>12.23</v>
      </c>
      <c r="M15" s="51">
        <v>96.37</v>
      </c>
      <c r="N15" s="51">
        <v>21.6</v>
      </c>
      <c r="O15" s="51">
        <v>0</v>
      </c>
      <c r="P15" s="51">
        <v>1.29</v>
      </c>
      <c r="Q15" s="51">
        <v>10.07</v>
      </c>
    </row>
    <row r="16" spans="1:21" customFormat="1">
      <c r="A16" s="50">
        <v>45639.333333333336</v>
      </c>
      <c r="B16" s="51">
        <v>18.559999999999999</v>
      </c>
      <c r="C16" s="51">
        <v>21.56</v>
      </c>
      <c r="D16" s="51">
        <v>27.5</v>
      </c>
      <c r="E16" s="51">
        <v>9</v>
      </c>
      <c r="F16" s="51">
        <v>3.59</v>
      </c>
      <c r="G16" s="51">
        <v>124.04</v>
      </c>
      <c r="H16" s="51">
        <v>52.22</v>
      </c>
      <c r="I16" s="51">
        <v>14.74</v>
      </c>
      <c r="J16" s="51">
        <v>0.74</v>
      </c>
      <c r="K16" s="51">
        <v>60.36</v>
      </c>
      <c r="L16" s="51">
        <v>15.56</v>
      </c>
      <c r="M16" s="51">
        <v>93.42</v>
      </c>
      <c r="N16" s="51">
        <v>134.6</v>
      </c>
      <c r="O16" s="51">
        <v>0</v>
      </c>
      <c r="P16" s="51">
        <v>1.27</v>
      </c>
      <c r="Q16" s="51">
        <v>10.07</v>
      </c>
    </row>
    <row r="17" spans="1:17" customFormat="1">
      <c r="A17" s="50">
        <v>45639.375</v>
      </c>
      <c r="B17" s="51">
        <v>18.079999999999998</v>
      </c>
      <c r="C17" s="51">
        <v>22.86</v>
      </c>
      <c r="D17" s="51">
        <v>27.33</v>
      </c>
      <c r="E17" s="51">
        <v>9.35</v>
      </c>
      <c r="F17" s="51">
        <v>4.13</v>
      </c>
      <c r="G17" s="51">
        <v>125.58</v>
      </c>
      <c r="H17" s="51">
        <v>51.5</v>
      </c>
      <c r="I17" s="51">
        <v>14.76</v>
      </c>
      <c r="J17" s="51">
        <v>0.97</v>
      </c>
      <c r="K17" s="51">
        <v>53.3</v>
      </c>
      <c r="L17" s="51">
        <v>19.2</v>
      </c>
      <c r="M17" s="51">
        <v>65.34</v>
      </c>
      <c r="N17" s="51">
        <v>272.39999999999998</v>
      </c>
      <c r="O17" s="51">
        <v>0</v>
      </c>
      <c r="P17" s="51">
        <v>1.26</v>
      </c>
      <c r="Q17" s="51">
        <v>10.08</v>
      </c>
    </row>
    <row r="18" spans="1:17" customFormat="1">
      <c r="A18" s="50">
        <v>45639.416666666664</v>
      </c>
      <c r="B18" s="51">
        <v>14.71</v>
      </c>
      <c r="C18" s="51">
        <v>22.83</v>
      </c>
      <c r="D18" s="51">
        <v>25.08</v>
      </c>
      <c r="E18" s="51">
        <v>9.82</v>
      </c>
      <c r="F18" s="51">
        <v>3.14</v>
      </c>
      <c r="G18" s="51">
        <v>125.58</v>
      </c>
      <c r="H18" s="51">
        <v>51.5</v>
      </c>
      <c r="I18" s="51">
        <v>14.36</v>
      </c>
      <c r="J18" s="51">
        <v>0.8</v>
      </c>
      <c r="K18" s="51">
        <v>65.87</v>
      </c>
      <c r="L18" s="51">
        <v>21.82</v>
      </c>
      <c r="M18" s="51">
        <v>50.12</v>
      </c>
      <c r="N18" s="51">
        <v>411.2</v>
      </c>
      <c r="O18" s="51">
        <v>0</v>
      </c>
      <c r="P18" s="51">
        <v>1.17</v>
      </c>
      <c r="Q18" s="51">
        <v>10.07</v>
      </c>
    </row>
    <row r="19" spans="1:17" customFormat="1">
      <c r="A19" s="50">
        <v>45639.458333333336</v>
      </c>
      <c r="B19" s="51">
        <v>11.63</v>
      </c>
      <c r="C19" s="51">
        <v>24.8</v>
      </c>
      <c r="D19" s="51">
        <v>22.35</v>
      </c>
      <c r="E19" s="51">
        <v>10.61</v>
      </c>
      <c r="F19" s="51">
        <v>4.63</v>
      </c>
      <c r="G19" s="51">
        <v>109.06</v>
      </c>
      <c r="H19" s="51">
        <v>44.49</v>
      </c>
      <c r="I19" s="51">
        <v>13.47</v>
      </c>
      <c r="J19" s="51">
        <v>1.2</v>
      </c>
      <c r="K19" s="51">
        <v>55.89</v>
      </c>
      <c r="L19" s="51">
        <v>24.09</v>
      </c>
      <c r="M19" s="51">
        <v>41.06</v>
      </c>
      <c r="N19" s="51">
        <v>526.29999999999995</v>
      </c>
      <c r="O19" s="51">
        <v>0</v>
      </c>
      <c r="P19" s="51">
        <v>1.0900000000000001</v>
      </c>
      <c r="Q19" s="51">
        <v>10.09</v>
      </c>
    </row>
    <row r="20" spans="1:17" customFormat="1">
      <c r="A20" s="50">
        <v>45639.5</v>
      </c>
      <c r="B20" s="51">
        <v>6.84</v>
      </c>
      <c r="C20" s="51">
        <v>25.21</v>
      </c>
      <c r="D20" s="51">
        <v>20.010000000000002</v>
      </c>
      <c r="E20" s="51">
        <v>10.050000000000001</v>
      </c>
      <c r="F20" s="51">
        <v>7.96</v>
      </c>
      <c r="G20" s="51">
        <v>102.6</v>
      </c>
      <c r="H20" s="51">
        <v>39.229999999999997</v>
      </c>
      <c r="I20" s="51">
        <v>12.36</v>
      </c>
      <c r="J20" s="51">
        <v>1.07</v>
      </c>
      <c r="K20" s="51">
        <v>50.41</v>
      </c>
      <c r="L20" s="51">
        <v>25.41</v>
      </c>
      <c r="M20" s="51">
        <v>32.07</v>
      </c>
      <c r="N20" s="51">
        <v>564.9</v>
      </c>
      <c r="O20" s="51">
        <v>0</v>
      </c>
      <c r="P20" s="51">
        <v>1</v>
      </c>
      <c r="Q20" s="51">
        <v>10.07</v>
      </c>
    </row>
    <row r="21" spans="1:17" customFormat="1">
      <c r="A21" s="50">
        <v>45639.541666666664</v>
      </c>
      <c r="B21" s="51">
        <v>3.98</v>
      </c>
      <c r="C21" s="51">
        <v>24.04</v>
      </c>
      <c r="D21" s="51">
        <v>17.100000000000001</v>
      </c>
      <c r="E21" s="51">
        <v>10.34</v>
      </c>
      <c r="F21" s="51">
        <v>8.31</v>
      </c>
      <c r="G21" s="51">
        <v>94.4</v>
      </c>
      <c r="H21" s="51">
        <v>36.94</v>
      </c>
      <c r="I21" s="51">
        <v>11.07</v>
      </c>
      <c r="J21" s="51">
        <v>0.91</v>
      </c>
      <c r="K21" s="51">
        <v>53.52</v>
      </c>
      <c r="L21" s="51">
        <v>26.7</v>
      </c>
      <c r="M21" s="51">
        <v>28.97</v>
      </c>
      <c r="N21" s="51">
        <v>576.5</v>
      </c>
      <c r="O21" s="51">
        <v>0</v>
      </c>
      <c r="P21" s="51">
        <v>0.89</v>
      </c>
      <c r="Q21" s="51">
        <v>10.050000000000001</v>
      </c>
    </row>
    <row r="22" spans="1:17" customFormat="1">
      <c r="A22" s="50">
        <v>45639.583333333336</v>
      </c>
      <c r="B22" s="51">
        <v>3.77</v>
      </c>
      <c r="C22" s="51">
        <v>22.44</v>
      </c>
      <c r="D22" s="51">
        <v>16.07</v>
      </c>
      <c r="E22" s="51">
        <v>10.029999999999999</v>
      </c>
      <c r="F22" s="51">
        <v>8.1300000000000008</v>
      </c>
      <c r="G22" s="51">
        <v>84.68</v>
      </c>
      <c r="H22" s="51">
        <v>32.79</v>
      </c>
      <c r="I22" s="51">
        <v>10.01</v>
      </c>
      <c r="J22" s="51">
        <v>0.7</v>
      </c>
      <c r="K22" s="51">
        <v>59.32</v>
      </c>
      <c r="L22" s="51">
        <v>26.7</v>
      </c>
      <c r="M22" s="51">
        <v>26.34</v>
      </c>
      <c r="N22" s="51">
        <v>482.2</v>
      </c>
      <c r="O22" s="51">
        <v>0</v>
      </c>
      <c r="P22" s="51">
        <v>0.81</v>
      </c>
      <c r="Q22" s="51">
        <v>10.050000000000001</v>
      </c>
    </row>
    <row r="23" spans="1:17" customFormat="1">
      <c r="A23" s="50">
        <v>45639.625</v>
      </c>
      <c r="B23" s="51">
        <v>3.85</v>
      </c>
      <c r="C23" s="51">
        <v>22.66</v>
      </c>
      <c r="D23" s="51">
        <v>16.27</v>
      </c>
      <c r="E23" s="51">
        <v>11.38</v>
      </c>
      <c r="F23" s="51">
        <v>10.72</v>
      </c>
      <c r="G23" s="51">
        <v>78.41</v>
      </c>
      <c r="H23" s="51">
        <v>32.79</v>
      </c>
      <c r="I23" s="51">
        <v>9.24</v>
      </c>
      <c r="J23" s="51">
        <v>0.74</v>
      </c>
      <c r="K23" s="51">
        <v>351.5</v>
      </c>
      <c r="L23" s="51">
        <v>26.46</v>
      </c>
      <c r="M23" s="51">
        <v>26.8</v>
      </c>
      <c r="N23" s="51">
        <v>111</v>
      </c>
      <c r="O23" s="51">
        <v>0</v>
      </c>
      <c r="P23" s="51">
        <v>0.74</v>
      </c>
      <c r="Q23" s="51">
        <v>10.06</v>
      </c>
    </row>
    <row r="24" spans="1:17" customFormat="1">
      <c r="A24" s="50">
        <v>45639.666666666664</v>
      </c>
      <c r="B24" s="51">
        <v>4.1399999999999997</v>
      </c>
      <c r="C24" s="51">
        <v>22.41</v>
      </c>
      <c r="D24" s="51">
        <v>16.04</v>
      </c>
      <c r="E24" s="51">
        <v>11.78</v>
      </c>
      <c r="F24" s="51">
        <v>11.39</v>
      </c>
      <c r="G24" s="51">
        <v>74.88</v>
      </c>
      <c r="H24" s="51">
        <v>28.54</v>
      </c>
      <c r="I24" s="51">
        <v>8.5299999999999994</v>
      </c>
      <c r="J24" s="51">
        <v>0.62</v>
      </c>
      <c r="K24" s="51">
        <v>41.12</v>
      </c>
      <c r="L24" s="51">
        <v>25.95</v>
      </c>
      <c r="M24" s="51">
        <v>26.85</v>
      </c>
      <c r="N24" s="51">
        <v>67</v>
      </c>
      <c r="O24" s="51">
        <v>0</v>
      </c>
      <c r="P24" s="51">
        <v>0.72</v>
      </c>
      <c r="Q24" s="51">
        <v>10.039999999999999</v>
      </c>
    </row>
    <row r="25" spans="1:17" customFormat="1">
      <c r="A25" s="50">
        <v>45639.708333333336</v>
      </c>
      <c r="B25" s="51">
        <v>4.8899999999999997</v>
      </c>
      <c r="C25" s="51">
        <v>21.4</v>
      </c>
      <c r="D25" s="51">
        <v>16.46</v>
      </c>
      <c r="E25" s="51">
        <v>11.14</v>
      </c>
      <c r="F25" s="51">
        <v>6.33</v>
      </c>
      <c r="G25" s="51">
        <v>76.69</v>
      </c>
      <c r="H25" s="51">
        <v>25.63</v>
      </c>
      <c r="I25" s="51">
        <v>8.2200000000000006</v>
      </c>
      <c r="J25" s="51">
        <v>0.53</v>
      </c>
      <c r="K25" s="51">
        <v>50.36</v>
      </c>
      <c r="L25" s="51">
        <v>25.55</v>
      </c>
      <c r="M25" s="51">
        <v>33.82</v>
      </c>
      <c r="N25" s="51">
        <v>35.5</v>
      </c>
      <c r="O25" s="51">
        <v>0</v>
      </c>
      <c r="P25" s="51">
        <v>0.71</v>
      </c>
      <c r="Q25" s="51">
        <v>10.039999999999999</v>
      </c>
    </row>
    <row r="26" spans="1:17" customFormat="1">
      <c r="A26" s="50">
        <v>45639.75</v>
      </c>
      <c r="B26" s="51">
        <v>5.79</v>
      </c>
      <c r="C26" s="51">
        <v>22.59</v>
      </c>
      <c r="D26" s="51">
        <v>17.79</v>
      </c>
      <c r="E26" s="51">
        <v>10.43</v>
      </c>
      <c r="F26" s="51">
        <v>4</v>
      </c>
      <c r="G26" s="51">
        <v>88.17</v>
      </c>
      <c r="H26" s="51">
        <v>26.99</v>
      </c>
      <c r="I26" s="51">
        <v>8.41</v>
      </c>
      <c r="J26" s="51">
        <v>0.43</v>
      </c>
      <c r="K26" s="51">
        <v>154.54</v>
      </c>
      <c r="L26" s="51">
        <v>23.24</v>
      </c>
      <c r="M26" s="51">
        <v>50.69</v>
      </c>
      <c r="N26" s="51">
        <v>3.2</v>
      </c>
      <c r="O26" s="51">
        <v>0</v>
      </c>
      <c r="P26" s="51">
        <v>0.78</v>
      </c>
      <c r="Q26" s="51">
        <v>10.050000000000001</v>
      </c>
    </row>
    <row r="27" spans="1:17" customFormat="1">
      <c r="A27" s="50">
        <v>45639.791666666664</v>
      </c>
      <c r="B27" s="51">
        <v>7.14</v>
      </c>
      <c r="C27" s="51">
        <v>24.72</v>
      </c>
      <c r="D27" s="51">
        <v>19.989999999999998</v>
      </c>
      <c r="E27" s="51">
        <v>11.09</v>
      </c>
      <c r="F27" s="51">
        <v>3.5</v>
      </c>
      <c r="G27" s="51">
        <v>121.22</v>
      </c>
      <c r="H27" s="51">
        <v>31.55</v>
      </c>
      <c r="I27" s="51">
        <v>9.01</v>
      </c>
      <c r="J27" s="51">
        <v>0.28000000000000003</v>
      </c>
      <c r="K27" s="51">
        <v>173.04</v>
      </c>
      <c r="L27" s="51">
        <v>19.649999999999999</v>
      </c>
      <c r="M27" s="51">
        <v>70.72</v>
      </c>
      <c r="N27" s="51">
        <v>2</v>
      </c>
      <c r="O27" s="51">
        <v>0</v>
      </c>
      <c r="P27" s="51">
        <v>0.87</v>
      </c>
      <c r="Q27" s="51">
        <v>10.050000000000001</v>
      </c>
    </row>
    <row r="28" spans="1:17" customFormat="1">
      <c r="A28" s="50">
        <v>45639.833333333336</v>
      </c>
      <c r="B28" s="51">
        <v>8.4499999999999993</v>
      </c>
      <c r="C28" s="51">
        <v>25.3</v>
      </c>
      <c r="D28" s="51">
        <v>21.34</v>
      </c>
      <c r="E28" s="51">
        <v>10.74</v>
      </c>
      <c r="F28" s="51">
        <v>3.34</v>
      </c>
      <c r="G28" s="51">
        <v>128.63</v>
      </c>
      <c r="H28" s="51">
        <v>34.630000000000003</v>
      </c>
      <c r="I28" s="51">
        <v>10.15</v>
      </c>
      <c r="J28" s="51">
        <v>0.21</v>
      </c>
      <c r="K28" s="51">
        <v>204.82</v>
      </c>
      <c r="L28" s="51">
        <v>17.82</v>
      </c>
      <c r="M28" s="51">
        <v>78.42</v>
      </c>
      <c r="N28" s="51">
        <v>1.7</v>
      </c>
      <c r="O28" s="51">
        <v>0</v>
      </c>
      <c r="P28" s="51">
        <v>1</v>
      </c>
      <c r="Q28" s="51">
        <v>10.06</v>
      </c>
    </row>
    <row r="29" spans="1:17" customFormat="1">
      <c r="A29" s="50">
        <v>45639.875</v>
      </c>
      <c r="B29" s="51">
        <v>8.34</v>
      </c>
      <c r="C29" s="51">
        <v>25.5</v>
      </c>
      <c r="D29" s="51">
        <v>21.31</v>
      </c>
      <c r="E29" s="51">
        <v>10.49</v>
      </c>
      <c r="F29" s="51">
        <v>2.97</v>
      </c>
      <c r="G29" s="51">
        <v>128.63</v>
      </c>
      <c r="H29" s="51">
        <v>39.909999999999997</v>
      </c>
      <c r="I29" s="51">
        <v>11.76</v>
      </c>
      <c r="J29" s="51">
        <v>0.17</v>
      </c>
      <c r="K29" s="51">
        <v>216.22</v>
      </c>
      <c r="L29" s="51">
        <v>16.260000000000002</v>
      </c>
      <c r="M29" s="51">
        <v>83.19</v>
      </c>
      <c r="N29" s="51">
        <v>1.3</v>
      </c>
      <c r="O29" s="51">
        <v>0</v>
      </c>
      <c r="P29" s="51">
        <v>1.1100000000000001</v>
      </c>
      <c r="Q29" s="51">
        <v>10.07</v>
      </c>
    </row>
    <row r="30" spans="1:17" customFormat="1">
      <c r="A30" s="50">
        <v>45639.916666666664</v>
      </c>
      <c r="B30" s="51">
        <v>14.41</v>
      </c>
      <c r="C30" s="51">
        <v>25.74</v>
      </c>
      <c r="D30" s="51">
        <v>26.36</v>
      </c>
      <c r="E30" s="51">
        <v>10.47</v>
      </c>
      <c r="F30" s="51">
        <v>4.2</v>
      </c>
      <c r="G30" s="51">
        <v>120.64</v>
      </c>
      <c r="H30" s="51">
        <v>39.909999999999997</v>
      </c>
      <c r="I30" s="51">
        <v>12.45</v>
      </c>
      <c r="J30" s="51">
        <v>0.26</v>
      </c>
      <c r="K30" s="51">
        <v>182.12</v>
      </c>
      <c r="L30" s="51">
        <v>16.13</v>
      </c>
      <c r="M30" s="51">
        <v>82.08</v>
      </c>
      <c r="N30" s="51">
        <v>1.1000000000000001</v>
      </c>
      <c r="O30" s="51">
        <v>0</v>
      </c>
      <c r="P30" s="51">
        <v>1.2</v>
      </c>
      <c r="Q30" s="51">
        <v>10.1</v>
      </c>
    </row>
    <row r="31" spans="1:17" customFormat="1">
      <c r="A31" s="50">
        <v>45639.958333333336</v>
      </c>
      <c r="B31" s="51">
        <v>17</v>
      </c>
      <c r="C31" s="51">
        <v>27.56</v>
      </c>
      <c r="D31" s="51">
        <v>29.39</v>
      </c>
      <c r="E31" s="51">
        <v>10.56</v>
      </c>
      <c r="F31" s="51">
        <v>6.57</v>
      </c>
      <c r="G31" s="51">
        <v>130.08000000000001</v>
      </c>
      <c r="H31" s="51">
        <v>39.43</v>
      </c>
      <c r="I31" s="51">
        <v>13.14</v>
      </c>
      <c r="J31" s="51">
        <v>0.14000000000000001</v>
      </c>
      <c r="K31" s="51">
        <v>142.66</v>
      </c>
      <c r="L31" s="51">
        <v>16.84</v>
      </c>
      <c r="M31" s="51">
        <v>70.14</v>
      </c>
      <c r="N31" s="51">
        <v>1.5</v>
      </c>
      <c r="O31" s="51">
        <v>0</v>
      </c>
      <c r="P31" s="51">
        <v>1.21</v>
      </c>
      <c r="Q31" s="51">
        <v>10.119999999999999</v>
      </c>
    </row>
    <row r="32" spans="1:17" customFormat="1">
      <c r="A32" s="50">
        <v>45640</v>
      </c>
      <c r="B32" s="51">
        <v>17.62</v>
      </c>
      <c r="C32" s="51">
        <v>27.79</v>
      </c>
      <c r="D32" s="51">
        <v>30</v>
      </c>
      <c r="E32" s="51">
        <v>10.08</v>
      </c>
      <c r="F32" s="51">
        <v>5.5</v>
      </c>
      <c r="G32" s="51">
        <v>140.1</v>
      </c>
      <c r="H32" s="51">
        <v>45.91</v>
      </c>
      <c r="I32" s="51">
        <v>13.24</v>
      </c>
      <c r="J32" s="51">
        <v>0.22</v>
      </c>
      <c r="K32" s="51">
        <v>166.54</v>
      </c>
      <c r="L32" s="51">
        <v>15.56</v>
      </c>
      <c r="M32" s="51">
        <v>76.22</v>
      </c>
      <c r="N32" s="51">
        <v>1.5</v>
      </c>
      <c r="O32" s="51">
        <v>0</v>
      </c>
      <c r="P32" s="51">
        <v>1.2</v>
      </c>
      <c r="Q32" s="51">
        <v>10.119999999999999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3.77</v>
      </c>
      <c r="C34" s="41">
        <f t="shared" si="0"/>
        <v>21.07</v>
      </c>
      <c r="D34" s="41">
        <f t="shared" si="0"/>
        <v>16.04</v>
      </c>
      <c r="E34" s="41">
        <f t="shared" si="0"/>
        <v>7.69</v>
      </c>
      <c r="F34" s="41">
        <f t="shared" si="0"/>
        <v>2.97</v>
      </c>
      <c r="G34" s="41">
        <f t="shared" si="0"/>
        <v>74.88</v>
      </c>
      <c r="H34" s="41">
        <f t="shared" si="0"/>
        <v>25.63</v>
      </c>
      <c r="I34" s="41">
        <f t="shared" si="0"/>
        <v>8.2200000000000006</v>
      </c>
      <c r="J34" s="41">
        <f t="shared" si="0"/>
        <v>0.13</v>
      </c>
      <c r="K34" s="41">
        <f t="shared" si="0"/>
        <v>41.12</v>
      </c>
      <c r="L34" s="41">
        <f t="shared" si="0"/>
        <v>12.23</v>
      </c>
      <c r="M34" s="41">
        <f t="shared" si="0"/>
        <v>26.34</v>
      </c>
      <c r="N34" s="41">
        <f t="shared" si="0"/>
        <v>1.1000000000000001</v>
      </c>
      <c r="O34" s="41">
        <f t="shared" si="0"/>
        <v>0</v>
      </c>
      <c r="P34" s="41">
        <f t="shared" si="0"/>
        <v>0.71</v>
      </c>
      <c r="Q34" s="41">
        <f t="shared" si="0"/>
        <v>10.039999999999999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18.89</v>
      </c>
      <c r="C35" s="33">
        <f t="shared" si="1"/>
        <v>27.79</v>
      </c>
      <c r="D35" s="33">
        <f t="shared" si="1"/>
        <v>30</v>
      </c>
      <c r="E35" s="33">
        <f t="shared" si="1"/>
        <v>11.78</v>
      </c>
      <c r="F35" s="33">
        <f t="shared" si="1"/>
        <v>11.39</v>
      </c>
      <c r="G35" s="33">
        <f t="shared" si="1"/>
        <v>157.69999999999999</v>
      </c>
      <c r="H35" s="33">
        <f t="shared" si="1"/>
        <v>57.99</v>
      </c>
      <c r="I35" s="33">
        <f t="shared" si="1"/>
        <v>15.31</v>
      </c>
      <c r="J35" s="33">
        <f t="shared" si="1"/>
        <v>1.2</v>
      </c>
      <c r="K35" s="33">
        <f t="shared" si="1"/>
        <v>351.5</v>
      </c>
      <c r="L35" s="33">
        <f t="shared" si="1"/>
        <v>26.7</v>
      </c>
      <c r="M35" s="33">
        <f t="shared" si="1"/>
        <v>106.14</v>
      </c>
      <c r="N35" s="33">
        <f t="shared" si="1"/>
        <v>576.5</v>
      </c>
      <c r="O35" s="33">
        <f t="shared" si="1"/>
        <v>0</v>
      </c>
      <c r="P35" s="33">
        <f t="shared" si="1"/>
        <v>1.36</v>
      </c>
      <c r="Q35" s="33">
        <f t="shared" si="1"/>
        <v>10.119999999999999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11.469999999999999</v>
      </c>
      <c r="C36" s="41">
        <f t="shared" si="2"/>
        <v>23.684166666666659</v>
      </c>
      <c r="D36" s="41">
        <f t="shared" si="2"/>
        <v>22.828333333333333</v>
      </c>
      <c r="E36" s="41">
        <f t="shared" si="2"/>
        <v>10.006666666666669</v>
      </c>
      <c r="F36" s="41">
        <f t="shared" si="2"/>
        <v>5.4091666666666676</v>
      </c>
      <c r="G36" s="41">
        <f t="shared" si="2"/>
        <v>118.7975</v>
      </c>
      <c r="H36" s="41">
        <f t="shared" si="2"/>
        <v>43.258333333333326</v>
      </c>
      <c r="I36" s="41">
        <f t="shared" si="2"/>
        <v>12.303333333333329</v>
      </c>
      <c r="J36" s="41">
        <f t="shared" si="2"/>
        <v>0.47541666666666665</v>
      </c>
      <c r="K36" s="41">
        <f t="shared" si="2"/>
        <v>154.72749999999999</v>
      </c>
      <c r="L36" s="41">
        <f t="shared" si="2"/>
        <v>19.151249999999997</v>
      </c>
      <c r="M36" s="41">
        <f t="shared" si="2"/>
        <v>68.222083333333345</v>
      </c>
      <c r="N36" s="41">
        <f t="shared" si="2"/>
        <v>134.32499999999996</v>
      </c>
      <c r="O36" s="41">
        <f t="shared" si="2"/>
        <v>0</v>
      </c>
      <c r="P36" s="41">
        <f t="shared" si="2"/>
        <v>1.0845833333333332</v>
      </c>
      <c r="Q36" s="41">
        <f t="shared" si="2"/>
        <v>10.074583333333335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5.6106544607791475</v>
      </c>
      <c r="C37" s="41">
        <f t="shared" ref="C37:Q37" si="3">STDEV(C9:C32)</f>
        <v>1.810745502648728</v>
      </c>
      <c r="D37" s="41">
        <f t="shared" si="3"/>
        <v>4.7516190985779767</v>
      </c>
      <c r="E37" s="41">
        <f t="shared" si="3"/>
        <v>1.0036874044228474</v>
      </c>
      <c r="F37" s="41">
        <f t="shared" si="3"/>
        <v>2.4049566870666643</v>
      </c>
      <c r="G37" s="41">
        <f t="shared" si="3"/>
        <v>24.804021807482915</v>
      </c>
      <c r="H37" s="41">
        <f t="shared" si="3"/>
        <v>10.470712224713031</v>
      </c>
      <c r="I37" s="41">
        <f t="shared" si="3"/>
        <v>2.3994721641783547</v>
      </c>
      <c r="J37" s="41">
        <f t="shared" si="3"/>
        <v>0.33850026223953211</v>
      </c>
      <c r="K37" s="41">
        <f t="shared" si="3"/>
        <v>91.91994817089018</v>
      </c>
      <c r="L37" s="41">
        <f t="shared" si="3"/>
        <v>5.103462858900226</v>
      </c>
      <c r="M37" s="41">
        <f t="shared" si="3"/>
        <v>28.818368082687734</v>
      </c>
      <c r="N37" s="41">
        <f t="shared" si="3"/>
        <v>209.33778663452873</v>
      </c>
      <c r="O37" s="41">
        <f t="shared" si="3"/>
        <v>0</v>
      </c>
      <c r="P37" s="41">
        <f t="shared" si="3"/>
        <v>0.21823360373027265</v>
      </c>
      <c r="Q37" s="41">
        <f t="shared" si="3"/>
        <v>2.3770490779200262E-2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45640.041666666664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45640.041666666664</v>
      </c>
      <c r="B9" s="51">
        <v>17.71</v>
      </c>
      <c r="C9" s="51">
        <v>27.51</v>
      </c>
      <c r="D9" s="51">
        <v>29.93</v>
      </c>
      <c r="E9" s="51">
        <v>10.199999999999999</v>
      </c>
      <c r="F9" s="51">
        <v>3.92</v>
      </c>
      <c r="G9" s="51">
        <v>140.38</v>
      </c>
      <c r="H9" s="51">
        <v>45.91</v>
      </c>
      <c r="I9" s="51">
        <v>13.36</v>
      </c>
      <c r="J9" s="51">
        <v>0.32</v>
      </c>
      <c r="K9" s="51">
        <v>58.51</v>
      </c>
      <c r="L9" s="51">
        <v>15.47</v>
      </c>
      <c r="M9" s="51">
        <v>77.45</v>
      </c>
      <c r="N9" s="51">
        <v>1.3</v>
      </c>
      <c r="O9" s="51">
        <v>0</v>
      </c>
      <c r="P9" s="51">
        <v>1.2</v>
      </c>
      <c r="Q9" s="51">
        <v>10.130000000000001</v>
      </c>
    </row>
    <row r="10" spans="1:21" customFormat="1">
      <c r="A10" s="50">
        <v>45640.083333333336</v>
      </c>
      <c r="B10" s="51">
        <v>16.55</v>
      </c>
      <c r="C10" s="51">
        <v>26.84</v>
      </c>
      <c r="D10" s="51">
        <v>28.65</v>
      </c>
      <c r="E10" s="51">
        <v>9.48</v>
      </c>
      <c r="F10" s="51">
        <v>4.4400000000000004</v>
      </c>
      <c r="G10" s="51">
        <v>140.38</v>
      </c>
      <c r="H10" s="51">
        <v>42.76</v>
      </c>
      <c r="I10" s="51">
        <v>13.24</v>
      </c>
      <c r="J10" s="51">
        <v>0.56000000000000005</v>
      </c>
      <c r="K10" s="51">
        <v>47.67</v>
      </c>
      <c r="L10" s="51">
        <v>15.21</v>
      </c>
      <c r="M10" s="51">
        <v>56.74</v>
      </c>
      <c r="N10" s="51">
        <v>1.4</v>
      </c>
      <c r="O10" s="51">
        <v>0</v>
      </c>
      <c r="P10" s="51">
        <v>1.1499999999999999</v>
      </c>
      <c r="Q10" s="51">
        <v>10.1</v>
      </c>
    </row>
    <row r="11" spans="1:21" customFormat="1">
      <c r="A11" s="50">
        <v>45640.125</v>
      </c>
      <c r="B11" s="51">
        <v>13.68</v>
      </c>
      <c r="C11" s="51">
        <v>24.95</v>
      </c>
      <c r="D11" s="51">
        <v>25.35</v>
      </c>
      <c r="E11" s="51">
        <v>9.1300000000000008</v>
      </c>
      <c r="F11" s="51">
        <v>3.51</v>
      </c>
      <c r="G11" s="51">
        <v>122.03</v>
      </c>
      <c r="H11" s="51">
        <v>39.22</v>
      </c>
      <c r="I11" s="51">
        <v>12.49</v>
      </c>
      <c r="J11" s="51">
        <v>0.51</v>
      </c>
      <c r="K11" s="51">
        <v>49.53</v>
      </c>
      <c r="L11" s="51">
        <v>14.79</v>
      </c>
      <c r="M11" s="51">
        <v>56.51</v>
      </c>
      <c r="N11" s="51">
        <v>1.4</v>
      </c>
      <c r="O11" s="51">
        <v>0</v>
      </c>
      <c r="P11" s="51">
        <v>1.04</v>
      </c>
      <c r="Q11" s="51">
        <v>10.07</v>
      </c>
    </row>
    <row r="12" spans="1:21" customFormat="1">
      <c r="A12" s="50">
        <v>45640.166666666664</v>
      </c>
      <c r="B12" s="51">
        <v>12.19</v>
      </c>
      <c r="C12" s="51">
        <v>23.89</v>
      </c>
      <c r="D12" s="51">
        <v>23.61</v>
      </c>
      <c r="E12" s="51">
        <v>9.14</v>
      </c>
      <c r="F12" s="51">
        <v>3.09</v>
      </c>
      <c r="G12" s="51">
        <v>101.31</v>
      </c>
      <c r="H12" s="51">
        <v>34.97</v>
      </c>
      <c r="I12" s="51">
        <v>11.67</v>
      </c>
      <c r="J12" s="51">
        <v>0.53</v>
      </c>
      <c r="K12" s="51">
        <v>49.99</v>
      </c>
      <c r="L12" s="51">
        <v>14.13</v>
      </c>
      <c r="M12" s="51">
        <v>57.27</v>
      </c>
      <c r="N12" s="51">
        <v>1.4</v>
      </c>
      <c r="O12" s="51">
        <v>0</v>
      </c>
      <c r="P12" s="51">
        <v>0.96</v>
      </c>
      <c r="Q12" s="51">
        <v>10.08</v>
      </c>
    </row>
    <row r="13" spans="1:21" customFormat="1">
      <c r="A13" s="50">
        <v>45640.208333333336</v>
      </c>
      <c r="B13" s="51">
        <v>10.54</v>
      </c>
      <c r="C13" s="51">
        <v>23.13</v>
      </c>
      <c r="D13" s="51">
        <v>21.89</v>
      </c>
      <c r="E13" s="51">
        <v>8.8000000000000007</v>
      </c>
      <c r="F13" s="51">
        <v>3.45</v>
      </c>
      <c r="G13" s="51">
        <v>88.2</v>
      </c>
      <c r="H13" s="51">
        <v>31.36</v>
      </c>
      <c r="I13" s="51">
        <v>10.91</v>
      </c>
      <c r="J13" s="51">
        <v>0.4</v>
      </c>
      <c r="K13" s="51">
        <v>142.94</v>
      </c>
      <c r="L13" s="51">
        <v>13.45</v>
      </c>
      <c r="M13" s="51">
        <v>65.42</v>
      </c>
      <c r="N13" s="51">
        <v>1.6</v>
      </c>
      <c r="O13" s="51">
        <v>0</v>
      </c>
      <c r="P13" s="51">
        <v>0.88</v>
      </c>
      <c r="Q13" s="51">
        <v>10.06</v>
      </c>
    </row>
    <row r="14" spans="1:21" customFormat="1">
      <c r="A14" s="50">
        <v>45640.25</v>
      </c>
      <c r="B14" s="51">
        <v>9.68</v>
      </c>
      <c r="C14" s="51">
        <v>22.89</v>
      </c>
      <c r="D14" s="51">
        <v>20.91</v>
      </c>
      <c r="E14" s="51">
        <v>8.02</v>
      </c>
      <c r="F14" s="51">
        <v>3.54</v>
      </c>
      <c r="G14" s="51">
        <v>70</v>
      </c>
      <c r="H14" s="51">
        <v>24.76</v>
      </c>
      <c r="I14" s="51">
        <v>10.119999999999999</v>
      </c>
      <c r="J14" s="51">
        <v>0.62</v>
      </c>
      <c r="K14" s="51">
        <v>47.89</v>
      </c>
      <c r="L14" s="51">
        <v>12.98</v>
      </c>
      <c r="M14" s="51">
        <v>58.74</v>
      </c>
      <c r="N14" s="51">
        <v>1.2</v>
      </c>
      <c r="O14" s="51">
        <v>0</v>
      </c>
      <c r="P14" s="51">
        <v>0.8</v>
      </c>
      <c r="Q14" s="51">
        <v>10.050000000000001</v>
      </c>
    </row>
    <row r="15" spans="1:21" customFormat="1">
      <c r="A15" s="50">
        <v>45640.291666666664</v>
      </c>
      <c r="B15" s="51">
        <v>9.31</v>
      </c>
      <c r="C15" s="51">
        <v>24.52</v>
      </c>
      <c r="D15" s="51">
        <v>21.63</v>
      </c>
      <c r="E15" s="51">
        <v>7.58</v>
      </c>
      <c r="F15" s="51">
        <v>3.54</v>
      </c>
      <c r="G15" s="51">
        <v>61.93</v>
      </c>
      <c r="H15" s="51">
        <v>24.76</v>
      </c>
      <c r="I15" s="51">
        <v>9.76</v>
      </c>
      <c r="J15" s="51">
        <v>0.56999999999999995</v>
      </c>
      <c r="K15" s="51">
        <v>58.69</v>
      </c>
      <c r="L15" s="51">
        <v>12.98</v>
      </c>
      <c r="M15" s="51">
        <v>56.77</v>
      </c>
      <c r="N15" s="51">
        <v>20.100000000000001</v>
      </c>
      <c r="O15" s="51">
        <v>0</v>
      </c>
      <c r="P15" s="51">
        <v>0.76</v>
      </c>
      <c r="Q15" s="51">
        <v>10.08</v>
      </c>
    </row>
    <row r="16" spans="1:21" customFormat="1">
      <c r="A16" s="50">
        <v>45640.333333333336</v>
      </c>
      <c r="B16" s="51">
        <v>9.93</v>
      </c>
      <c r="C16" s="51">
        <v>25.3</v>
      </c>
      <c r="D16" s="51">
        <v>22.4</v>
      </c>
      <c r="E16" s="51">
        <v>7.95</v>
      </c>
      <c r="F16" s="51">
        <v>3.9</v>
      </c>
      <c r="G16" s="51">
        <v>60.95</v>
      </c>
      <c r="H16" s="51">
        <v>24.29</v>
      </c>
      <c r="I16" s="51">
        <v>9.43</v>
      </c>
      <c r="J16" s="51">
        <v>0.88</v>
      </c>
      <c r="K16" s="51">
        <v>62.25</v>
      </c>
      <c r="L16" s="51">
        <v>14.57</v>
      </c>
      <c r="M16" s="51">
        <v>53.98</v>
      </c>
      <c r="N16" s="51">
        <v>149.1</v>
      </c>
      <c r="O16" s="51">
        <v>0</v>
      </c>
      <c r="P16" s="51">
        <v>0.75</v>
      </c>
      <c r="Q16" s="51">
        <v>10.07</v>
      </c>
    </row>
    <row r="17" spans="1:17" customFormat="1">
      <c r="A17" s="50">
        <v>45640.375</v>
      </c>
      <c r="B17" s="51">
        <v>9</v>
      </c>
      <c r="C17" s="51">
        <v>25.33</v>
      </c>
      <c r="D17" s="51">
        <v>21.8</v>
      </c>
      <c r="E17" s="51">
        <v>7.2</v>
      </c>
      <c r="F17" s="51">
        <v>6.11</v>
      </c>
      <c r="G17" s="51">
        <v>73.900000000000006</v>
      </c>
      <c r="H17" s="51">
        <v>24.67</v>
      </c>
      <c r="I17" s="51">
        <v>9.42</v>
      </c>
      <c r="J17" s="51">
        <v>1.1100000000000001</v>
      </c>
      <c r="K17" s="51">
        <v>53.59</v>
      </c>
      <c r="L17" s="51">
        <v>18.2</v>
      </c>
      <c r="M17" s="51">
        <v>49.01</v>
      </c>
      <c r="N17" s="51">
        <v>290.3</v>
      </c>
      <c r="O17" s="51">
        <v>0</v>
      </c>
      <c r="P17" s="51">
        <v>0.75</v>
      </c>
      <c r="Q17" s="51">
        <v>10.06</v>
      </c>
    </row>
    <row r="18" spans="1:17" customFormat="1">
      <c r="A18" s="50">
        <v>45640.416666666664</v>
      </c>
      <c r="B18" s="51">
        <v>6.74</v>
      </c>
      <c r="C18" s="51">
        <v>24.77</v>
      </c>
      <c r="D18" s="51">
        <v>19.7</v>
      </c>
      <c r="E18" s="51">
        <v>7.51</v>
      </c>
      <c r="F18" s="51">
        <v>5.95</v>
      </c>
      <c r="G18" s="51">
        <v>73.900000000000006</v>
      </c>
      <c r="H18" s="51">
        <v>25.78</v>
      </c>
      <c r="I18" s="51">
        <v>9.1199999999999992</v>
      </c>
      <c r="J18" s="51">
        <v>1.23</v>
      </c>
      <c r="K18" s="51">
        <v>55.12</v>
      </c>
      <c r="L18" s="51">
        <v>20.54</v>
      </c>
      <c r="M18" s="51">
        <v>38.9</v>
      </c>
      <c r="N18" s="51">
        <v>439</v>
      </c>
      <c r="O18" s="51">
        <v>0</v>
      </c>
      <c r="P18" s="51">
        <v>0.71</v>
      </c>
      <c r="Q18" s="51">
        <v>10.07</v>
      </c>
    </row>
    <row r="19" spans="1:17" customFormat="1">
      <c r="A19" s="50">
        <v>45640.458333333336</v>
      </c>
      <c r="B19" s="51">
        <v>4.8600000000000003</v>
      </c>
      <c r="C19" s="51">
        <v>23.98</v>
      </c>
      <c r="D19" s="51">
        <v>17.73</v>
      </c>
      <c r="E19" s="51">
        <v>8.44</v>
      </c>
      <c r="F19" s="51">
        <v>5.68</v>
      </c>
      <c r="G19" s="51">
        <v>69.349999999999994</v>
      </c>
      <c r="H19" s="51">
        <v>25.78</v>
      </c>
      <c r="I19" s="51">
        <v>8.73</v>
      </c>
      <c r="J19" s="51">
        <v>1.1000000000000001</v>
      </c>
      <c r="K19" s="51">
        <v>59.91</v>
      </c>
      <c r="L19" s="51">
        <v>22.82</v>
      </c>
      <c r="M19" s="51">
        <v>30.22</v>
      </c>
      <c r="N19" s="51">
        <v>548.5</v>
      </c>
      <c r="O19" s="51">
        <v>0</v>
      </c>
      <c r="P19" s="51">
        <v>0.71</v>
      </c>
      <c r="Q19" s="51">
        <v>10.07</v>
      </c>
    </row>
    <row r="20" spans="1:17" customFormat="1">
      <c r="A20" s="50">
        <v>45640.5</v>
      </c>
      <c r="B20" s="51">
        <v>5.0599999999999996</v>
      </c>
      <c r="C20" s="51">
        <v>23.49</v>
      </c>
      <c r="D20" s="51">
        <v>17.420000000000002</v>
      </c>
      <c r="E20" s="51">
        <v>8.27</v>
      </c>
      <c r="F20" s="51">
        <v>4.9400000000000004</v>
      </c>
      <c r="G20" s="51">
        <v>66.680000000000007</v>
      </c>
      <c r="H20" s="51">
        <v>24.4</v>
      </c>
      <c r="I20" s="51">
        <v>8.33</v>
      </c>
      <c r="J20" s="51">
        <v>0.99</v>
      </c>
      <c r="K20" s="51">
        <v>50.15</v>
      </c>
      <c r="L20" s="51">
        <v>24.76</v>
      </c>
      <c r="M20" s="51">
        <v>25.96</v>
      </c>
      <c r="N20" s="51">
        <v>582.5</v>
      </c>
      <c r="O20" s="51">
        <v>0</v>
      </c>
      <c r="P20" s="51">
        <v>0.67</v>
      </c>
      <c r="Q20" s="51">
        <v>10.050000000000001</v>
      </c>
    </row>
    <row r="21" spans="1:17" customFormat="1">
      <c r="A21" s="50">
        <v>45640.541666666664</v>
      </c>
      <c r="B21" s="51">
        <v>5.07</v>
      </c>
      <c r="C21" s="51">
        <v>21.43</v>
      </c>
      <c r="D21" s="51">
        <v>16.61</v>
      </c>
      <c r="E21" s="51">
        <v>8.5500000000000007</v>
      </c>
      <c r="F21" s="51">
        <v>4.1900000000000004</v>
      </c>
      <c r="G21" s="51">
        <v>71.09</v>
      </c>
      <c r="H21" s="51">
        <v>25.24</v>
      </c>
      <c r="I21" s="51">
        <v>7.86</v>
      </c>
      <c r="J21" s="51">
        <v>0.45</v>
      </c>
      <c r="K21" s="51">
        <v>110.08</v>
      </c>
      <c r="L21" s="51">
        <v>25.8</v>
      </c>
      <c r="M21" s="51">
        <v>22.9</v>
      </c>
      <c r="N21" s="51">
        <v>589.5</v>
      </c>
      <c r="O21" s="51">
        <v>0</v>
      </c>
      <c r="P21" s="51">
        <v>0.64</v>
      </c>
      <c r="Q21" s="51">
        <v>10.050000000000001</v>
      </c>
    </row>
    <row r="22" spans="1:17" customFormat="1">
      <c r="A22" s="50">
        <v>45640.583333333336</v>
      </c>
      <c r="B22" s="51">
        <v>4.43</v>
      </c>
      <c r="C22" s="51">
        <v>19.25</v>
      </c>
      <c r="D22" s="51">
        <v>14.96</v>
      </c>
      <c r="E22" s="51">
        <v>9.3699999999999992</v>
      </c>
      <c r="F22" s="51">
        <v>5.73</v>
      </c>
      <c r="G22" s="51">
        <v>71.09</v>
      </c>
      <c r="H22" s="51">
        <v>25.24</v>
      </c>
      <c r="I22" s="51">
        <v>7.75</v>
      </c>
      <c r="J22" s="51">
        <v>0.56000000000000005</v>
      </c>
      <c r="K22" s="51">
        <v>359.43</v>
      </c>
      <c r="L22" s="51">
        <v>25.62</v>
      </c>
      <c r="M22" s="51">
        <v>23.15</v>
      </c>
      <c r="N22" s="51">
        <v>509.7</v>
      </c>
      <c r="O22" s="51">
        <v>0</v>
      </c>
      <c r="P22" s="51">
        <v>0.63</v>
      </c>
      <c r="Q22" s="51">
        <v>10.039999999999999</v>
      </c>
    </row>
    <row r="23" spans="1:17" customFormat="1">
      <c r="A23" s="50">
        <v>45640.625</v>
      </c>
      <c r="B23" s="51">
        <v>4.1100000000000003</v>
      </c>
      <c r="C23" s="51">
        <v>18.420000000000002</v>
      </c>
      <c r="D23" s="51">
        <v>14.27</v>
      </c>
      <c r="E23" s="51">
        <v>12.46</v>
      </c>
      <c r="F23" s="51">
        <v>9.09</v>
      </c>
      <c r="G23" s="51">
        <v>69.31</v>
      </c>
      <c r="H23" s="51">
        <v>26.83</v>
      </c>
      <c r="I23" s="51">
        <v>7.48</v>
      </c>
      <c r="J23" s="51">
        <v>0.54</v>
      </c>
      <c r="K23" s="51">
        <v>65.53</v>
      </c>
      <c r="L23" s="51">
        <v>25.26</v>
      </c>
      <c r="M23" s="51">
        <v>22.01</v>
      </c>
      <c r="N23" s="51">
        <v>97.5</v>
      </c>
      <c r="O23" s="51">
        <v>0</v>
      </c>
      <c r="P23" s="51">
        <v>0.64</v>
      </c>
      <c r="Q23" s="51">
        <v>10.039999999999999</v>
      </c>
    </row>
    <row r="24" spans="1:17" customFormat="1">
      <c r="A24" s="50">
        <v>45640.666666666664</v>
      </c>
      <c r="B24" s="51">
        <v>4.2</v>
      </c>
      <c r="C24" s="51">
        <v>18.8</v>
      </c>
      <c r="D24" s="51">
        <v>14.48</v>
      </c>
      <c r="E24" s="51">
        <v>11.25</v>
      </c>
      <c r="F24" s="51">
        <v>7.72</v>
      </c>
      <c r="G24" s="51">
        <v>67.91</v>
      </c>
      <c r="H24" s="51">
        <v>26.83</v>
      </c>
      <c r="I24" s="51">
        <v>7.43</v>
      </c>
      <c r="J24" s="51">
        <v>0.36</v>
      </c>
      <c r="K24" s="51">
        <v>88.94</v>
      </c>
      <c r="L24" s="51">
        <v>25.16</v>
      </c>
      <c r="M24" s="51">
        <v>26.59</v>
      </c>
      <c r="N24" s="51">
        <v>52.2</v>
      </c>
      <c r="O24" s="51">
        <v>0</v>
      </c>
      <c r="P24" s="51">
        <v>0.69</v>
      </c>
      <c r="Q24" s="51">
        <v>10.02</v>
      </c>
    </row>
    <row r="25" spans="1:17" customFormat="1">
      <c r="A25" s="50">
        <v>45640.708333333336</v>
      </c>
      <c r="B25" s="51">
        <v>4.22</v>
      </c>
      <c r="C25" s="51">
        <v>22.97</v>
      </c>
      <c r="D25" s="51">
        <v>16.739999999999998</v>
      </c>
      <c r="E25" s="51">
        <v>10.64</v>
      </c>
      <c r="F25" s="51">
        <v>6.48</v>
      </c>
      <c r="G25" s="51">
        <v>75.98</v>
      </c>
      <c r="H25" s="51">
        <v>26.41</v>
      </c>
      <c r="I25" s="51">
        <v>7.45</v>
      </c>
      <c r="J25" s="51">
        <v>0.28000000000000003</v>
      </c>
      <c r="K25" s="51">
        <v>118.89</v>
      </c>
      <c r="L25" s="51">
        <v>24.63</v>
      </c>
      <c r="M25" s="51">
        <v>32.86</v>
      </c>
      <c r="N25" s="51">
        <v>28.1</v>
      </c>
      <c r="O25" s="51">
        <v>0</v>
      </c>
      <c r="P25" s="51">
        <v>0.74</v>
      </c>
      <c r="Q25" s="51">
        <v>10.050000000000001</v>
      </c>
    </row>
    <row r="26" spans="1:17" customFormat="1">
      <c r="A26" s="50">
        <v>45640.75</v>
      </c>
      <c r="B26" s="51">
        <v>5.36</v>
      </c>
      <c r="C26" s="51">
        <v>26.85</v>
      </c>
      <c r="D26" s="51">
        <v>19.68</v>
      </c>
      <c r="E26" s="51">
        <v>9.42</v>
      </c>
      <c r="F26" s="51">
        <v>3.77</v>
      </c>
      <c r="G26" s="51">
        <v>96.41</v>
      </c>
      <c r="H26" s="51">
        <v>33.39</v>
      </c>
      <c r="I26" s="51">
        <v>8.18</v>
      </c>
      <c r="J26" s="51">
        <v>0.32</v>
      </c>
      <c r="K26" s="51">
        <v>168.58</v>
      </c>
      <c r="L26" s="51">
        <v>21.89</v>
      </c>
      <c r="M26" s="51">
        <v>48.48</v>
      </c>
      <c r="N26" s="51">
        <v>3.6</v>
      </c>
      <c r="O26" s="51">
        <v>0</v>
      </c>
      <c r="P26" s="51">
        <v>0.84</v>
      </c>
      <c r="Q26" s="51">
        <v>10.06</v>
      </c>
    </row>
    <row r="27" spans="1:17" customFormat="1">
      <c r="A27" s="50">
        <v>45640.791666666664</v>
      </c>
      <c r="B27" s="51">
        <v>7.21</v>
      </c>
      <c r="C27" s="51">
        <v>28.94</v>
      </c>
      <c r="D27" s="51">
        <v>22.25</v>
      </c>
      <c r="E27" s="51">
        <v>9.1999999999999993</v>
      </c>
      <c r="F27" s="51">
        <v>3.11</v>
      </c>
      <c r="G27" s="51">
        <v>121.16</v>
      </c>
      <c r="H27" s="51">
        <v>35.96</v>
      </c>
      <c r="I27" s="51">
        <v>9.5299999999999994</v>
      </c>
      <c r="J27" s="51">
        <v>0.28000000000000003</v>
      </c>
      <c r="K27" s="51">
        <v>204</v>
      </c>
      <c r="L27" s="51">
        <v>18.809999999999999</v>
      </c>
      <c r="M27" s="51">
        <v>71.650000000000006</v>
      </c>
      <c r="N27" s="51">
        <v>1.8</v>
      </c>
      <c r="O27" s="51">
        <v>0</v>
      </c>
      <c r="P27" s="51">
        <v>0.97</v>
      </c>
      <c r="Q27" s="51">
        <v>10.09</v>
      </c>
    </row>
    <row r="28" spans="1:17" customFormat="1">
      <c r="A28" s="50">
        <v>45640.833333333336</v>
      </c>
      <c r="B28" s="51">
        <v>7.28</v>
      </c>
      <c r="C28" s="51">
        <v>28.96</v>
      </c>
      <c r="D28" s="51">
        <v>22.23</v>
      </c>
      <c r="E28" s="51">
        <v>9.2100000000000009</v>
      </c>
      <c r="F28" s="51">
        <v>3.87</v>
      </c>
      <c r="G28" s="51">
        <v>125.97</v>
      </c>
      <c r="H28" s="51">
        <v>35.96</v>
      </c>
      <c r="I28" s="51">
        <v>11.07</v>
      </c>
      <c r="J28" s="51">
        <v>0.26</v>
      </c>
      <c r="K28" s="51">
        <v>183.59</v>
      </c>
      <c r="L28" s="51">
        <v>16.43</v>
      </c>
      <c r="M28" s="51">
        <v>76.930000000000007</v>
      </c>
      <c r="N28" s="51">
        <v>1.4</v>
      </c>
      <c r="O28" s="51">
        <v>0</v>
      </c>
      <c r="P28" s="51">
        <v>1.04</v>
      </c>
      <c r="Q28" s="51">
        <v>10.1</v>
      </c>
    </row>
    <row r="29" spans="1:17" customFormat="1">
      <c r="A29" s="50">
        <v>45640.875</v>
      </c>
      <c r="B29" s="51">
        <v>12.33</v>
      </c>
      <c r="C29" s="51">
        <v>28.4</v>
      </c>
      <c r="D29" s="51">
        <v>26.07</v>
      </c>
      <c r="E29" s="51">
        <v>8.5299999999999994</v>
      </c>
      <c r="F29" s="51">
        <v>3.55</v>
      </c>
      <c r="G29" s="51">
        <v>131.71</v>
      </c>
      <c r="H29" s="51">
        <v>42.89</v>
      </c>
      <c r="I29" s="51">
        <v>12.31</v>
      </c>
      <c r="J29" s="51">
        <v>0.18</v>
      </c>
      <c r="K29" s="51">
        <v>240.84</v>
      </c>
      <c r="L29" s="51">
        <v>15.49</v>
      </c>
      <c r="M29" s="51">
        <v>90.91</v>
      </c>
      <c r="N29" s="51">
        <v>1.4</v>
      </c>
      <c r="O29" s="51">
        <v>0</v>
      </c>
      <c r="P29" s="51">
        <v>1.17</v>
      </c>
      <c r="Q29" s="51">
        <v>10.11</v>
      </c>
    </row>
    <row r="30" spans="1:17" customFormat="1">
      <c r="A30" s="50">
        <v>45640.916666666664</v>
      </c>
      <c r="B30" s="51">
        <v>12.29</v>
      </c>
      <c r="C30" s="51">
        <v>27.83</v>
      </c>
      <c r="D30" s="51">
        <v>25.75</v>
      </c>
      <c r="E30" s="51">
        <v>8.8800000000000008</v>
      </c>
      <c r="F30" s="51">
        <v>7.92</v>
      </c>
      <c r="G30" s="51">
        <v>131.71</v>
      </c>
      <c r="H30" s="51">
        <v>42.89</v>
      </c>
      <c r="I30" s="51">
        <v>13.21</v>
      </c>
      <c r="J30" s="51">
        <v>0.2</v>
      </c>
      <c r="K30" s="51">
        <v>214.68</v>
      </c>
      <c r="L30" s="51">
        <v>14.37</v>
      </c>
      <c r="M30" s="51">
        <v>95.91</v>
      </c>
      <c r="N30" s="51">
        <v>1.3</v>
      </c>
      <c r="O30" s="51">
        <v>0</v>
      </c>
      <c r="P30" s="51">
        <v>1.25</v>
      </c>
      <c r="Q30" s="51">
        <v>10.08</v>
      </c>
    </row>
    <row r="31" spans="1:17" customFormat="1">
      <c r="A31" s="50">
        <v>45640.958333333336</v>
      </c>
      <c r="B31" s="51">
        <v>11.88</v>
      </c>
      <c r="C31" s="51">
        <v>26.16</v>
      </c>
      <c r="D31" s="51">
        <v>24.55</v>
      </c>
      <c r="E31" s="51">
        <v>8.98</v>
      </c>
      <c r="F31" s="51">
        <v>3.9</v>
      </c>
      <c r="G31" s="51">
        <v>129.69</v>
      </c>
      <c r="H31" s="51">
        <v>43.48</v>
      </c>
      <c r="I31" s="51">
        <v>14.38</v>
      </c>
      <c r="J31" s="51">
        <v>0.18</v>
      </c>
      <c r="K31" s="51">
        <v>227.16</v>
      </c>
      <c r="L31" s="51">
        <v>13.81</v>
      </c>
      <c r="M31" s="51">
        <v>88.6</v>
      </c>
      <c r="N31" s="51">
        <v>1.3</v>
      </c>
      <c r="O31" s="51">
        <v>0</v>
      </c>
      <c r="P31" s="51">
        <v>1.35</v>
      </c>
      <c r="Q31" s="51">
        <v>10.08</v>
      </c>
    </row>
    <row r="32" spans="1:17" customFormat="1">
      <c r="A32" s="50">
        <v>45641</v>
      </c>
      <c r="B32" s="51">
        <v>21.83</v>
      </c>
      <c r="C32" s="51">
        <v>26.23</v>
      </c>
      <c r="D32" s="51">
        <v>32.56</v>
      </c>
      <c r="E32" s="51">
        <v>9.1300000000000008</v>
      </c>
      <c r="F32" s="51">
        <v>2.89</v>
      </c>
      <c r="G32" s="51">
        <v>133.24</v>
      </c>
      <c r="H32" s="51">
        <v>45.47</v>
      </c>
      <c r="I32" s="51">
        <v>15.18</v>
      </c>
      <c r="J32" s="51">
        <v>0.24</v>
      </c>
      <c r="K32" s="51">
        <v>198.34</v>
      </c>
      <c r="L32" s="51">
        <v>14.03</v>
      </c>
      <c r="M32" s="51">
        <v>85.79</v>
      </c>
      <c r="N32" s="51">
        <v>1.5</v>
      </c>
      <c r="O32" s="51">
        <v>0</v>
      </c>
      <c r="P32" s="51">
        <v>1.48</v>
      </c>
      <c r="Q32" s="51">
        <v>10.1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4.1100000000000003</v>
      </c>
      <c r="C34" s="41">
        <f t="shared" si="0"/>
        <v>18.420000000000002</v>
      </c>
      <c r="D34" s="41">
        <f t="shared" si="0"/>
        <v>14.27</v>
      </c>
      <c r="E34" s="41">
        <f t="shared" si="0"/>
        <v>7.2</v>
      </c>
      <c r="F34" s="41">
        <f t="shared" si="0"/>
        <v>2.89</v>
      </c>
      <c r="G34" s="41">
        <f t="shared" si="0"/>
        <v>60.95</v>
      </c>
      <c r="H34" s="41">
        <f t="shared" si="0"/>
        <v>24.29</v>
      </c>
      <c r="I34" s="41">
        <f t="shared" si="0"/>
        <v>7.43</v>
      </c>
      <c r="J34" s="41">
        <f t="shared" si="0"/>
        <v>0.18</v>
      </c>
      <c r="K34" s="41">
        <f t="shared" si="0"/>
        <v>47.67</v>
      </c>
      <c r="L34" s="41">
        <f t="shared" si="0"/>
        <v>12.98</v>
      </c>
      <c r="M34" s="41">
        <f t="shared" si="0"/>
        <v>22.01</v>
      </c>
      <c r="N34" s="41">
        <f t="shared" si="0"/>
        <v>1.2</v>
      </c>
      <c r="O34" s="41">
        <f t="shared" si="0"/>
        <v>0</v>
      </c>
      <c r="P34" s="41">
        <f t="shared" si="0"/>
        <v>0.63</v>
      </c>
      <c r="Q34" s="41">
        <f t="shared" si="0"/>
        <v>10.02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21.83</v>
      </c>
      <c r="C35" s="33">
        <f t="shared" si="1"/>
        <v>28.96</v>
      </c>
      <c r="D35" s="33">
        <f t="shared" si="1"/>
        <v>32.56</v>
      </c>
      <c r="E35" s="33">
        <f t="shared" si="1"/>
        <v>12.46</v>
      </c>
      <c r="F35" s="33">
        <f t="shared" si="1"/>
        <v>9.09</v>
      </c>
      <c r="G35" s="33">
        <f t="shared" si="1"/>
        <v>140.38</v>
      </c>
      <c r="H35" s="33">
        <f t="shared" si="1"/>
        <v>45.91</v>
      </c>
      <c r="I35" s="33">
        <f t="shared" si="1"/>
        <v>15.18</v>
      </c>
      <c r="J35" s="33">
        <f t="shared" si="1"/>
        <v>1.23</v>
      </c>
      <c r="K35" s="33">
        <f t="shared" si="1"/>
        <v>359.43</v>
      </c>
      <c r="L35" s="33">
        <f t="shared" si="1"/>
        <v>25.8</v>
      </c>
      <c r="M35" s="33">
        <f t="shared" si="1"/>
        <v>95.91</v>
      </c>
      <c r="N35" s="33">
        <f t="shared" si="1"/>
        <v>589.5</v>
      </c>
      <c r="O35" s="33">
        <f t="shared" si="1"/>
        <v>0</v>
      </c>
      <c r="P35" s="33">
        <f t="shared" si="1"/>
        <v>1.48</v>
      </c>
      <c r="Q35" s="33">
        <f t="shared" si="1"/>
        <v>10.130000000000001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9.3941666666666688</v>
      </c>
      <c r="C36" s="41">
        <f t="shared" si="2"/>
        <v>24.618333333333336</v>
      </c>
      <c r="D36" s="41">
        <f t="shared" si="2"/>
        <v>21.71541666666667</v>
      </c>
      <c r="E36" s="41">
        <f t="shared" si="2"/>
        <v>9.0558333333333323</v>
      </c>
      <c r="F36" s="41">
        <f t="shared" si="2"/>
        <v>4.7620833333333339</v>
      </c>
      <c r="G36" s="41">
        <f t="shared" si="2"/>
        <v>95.594999999999985</v>
      </c>
      <c r="H36" s="41">
        <f t="shared" si="2"/>
        <v>32.468750000000007</v>
      </c>
      <c r="I36" s="41">
        <f t="shared" si="2"/>
        <v>10.350416666666668</v>
      </c>
      <c r="J36" s="41">
        <f t="shared" si="2"/>
        <v>0.52791666666666659</v>
      </c>
      <c r="K36" s="41">
        <f t="shared" si="2"/>
        <v>121.51249999999999</v>
      </c>
      <c r="L36" s="41">
        <f t="shared" si="2"/>
        <v>18.383333333333333</v>
      </c>
      <c r="M36" s="41">
        <f t="shared" si="2"/>
        <v>54.697916666666664</v>
      </c>
      <c r="N36" s="41">
        <f t="shared" si="2"/>
        <v>138.62916666666669</v>
      </c>
      <c r="O36" s="41">
        <f t="shared" si="2"/>
        <v>0</v>
      </c>
      <c r="P36" s="41">
        <f t="shared" si="2"/>
        <v>0.90916666666666679</v>
      </c>
      <c r="Q36" s="41">
        <f t="shared" si="2"/>
        <v>10.071250000000001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4.769198197734636</v>
      </c>
      <c r="C37" s="41">
        <f t="shared" ref="C37:Q37" si="3">STDEV(C9:C32)</f>
        <v>3.0064838146140436</v>
      </c>
      <c r="D37" s="41">
        <f t="shared" si="3"/>
        <v>4.8532400465333572</v>
      </c>
      <c r="E37" s="41">
        <f t="shared" si="3"/>
        <v>1.1911664603370531</v>
      </c>
      <c r="F37" s="41">
        <f t="shared" si="3"/>
        <v>1.701978335239078</v>
      </c>
      <c r="G37" s="41">
        <f t="shared" si="3"/>
        <v>29.533075636000763</v>
      </c>
      <c r="H37" s="41">
        <f t="shared" si="3"/>
        <v>8.017123149045176</v>
      </c>
      <c r="I37" s="41">
        <f t="shared" si="3"/>
        <v>2.3774474422328873</v>
      </c>
      <c r="J37" s="41">
        <f t="shared" si="3"/>
        <v>0.31440736752440035</v>
      </c>
      <c r="K37" s="41">
        <f t="shared" si="3"/>
        <v>84.637224632417315</v>
      </c>
      <c r="L37" s="41">
        <f t="shared" si="3"/>
        <v>4.8099115662725298</v>
      </c>
      <c r="M37" s="41">
        <f t="shared" si="3"/>
        <v>23.463893442287336</v>
      </c>
      <c r="N37" s="41">
        <f t="shared" si="3"/>
        <v>218.58414652558596</v>
      </c>
      <c r="O37" s="41">
        <f t="shared" si="3"/>
        <v>0</v>
      </c>
      <c r="P37" s="41">
        <f t="shared" si="3"/>
        <v>0.2479466398882707</v>
      </c>
      <c r="Q37" s="41">
        <f t="shared" si="3"/>
        <v>2.5420378678806345E-2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2" activePane="bottomRight" state="frozen"/>
      <selection activeCell="A9" sqref="A9"/>
      <selection pane="topRight" activeCell="A9" sqref="A9"/>
      <selection pane="bottomLeft" activeCell="A9" sqref="A9"/>
      <selection pane="bottomRight" activeCell="F41" sqref="F41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45641.041666666664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45641.041666666664</v>
      </c>
      <c r="B9" s="51">
        <v>24.6</v>
      </c>
      <c r="C9" s="51">
        <v>26.63</v>
      </c>
      <c r="D9" s="51">
        <v>34.97</v>
      </c>
      <c r="E9" s="51">
        <v>9.15</v>
      </c>
      <c r="F9" s="51">
        <v>3.29</v>
      </c>
      <c r="G9" s="51">
        <v>150.93</v>
      </c>
      <c r="H9" s="51">
        <v>50.8</v>
      </c>
      <c r="I9" s="51">
        <v>15.96</v>
      </c>
      <c r="J9" s="51">
        <v>0.19</v>
      </c>
      <c r="K9" s="51">
        <v>238.56</v>
      </c>
      <c r="L9" s="51">
        <v>13.46</v>
      </c>
      <c r="M9" s="51">
        <v>84.88</v>
      </c>
      <c r="N9" s="51">
        <v>1.4</v>
      </c>
      <c r="O9" s="51">
        <v>0</v>
      </c>
      <c r="P9" s="51">
        <v>1.51</v>
      </c>
      <c r="Q9" s="51">
        <v>10.119999999999999</v>
      </c>
    </row>
    <row r="10" spans="1:21" customFormat="1">
      <c r="A10" s="50">
        <v>45641.083333333336</v>
      </c>
      <c r="B10" s="51">
        <v>24.38</v>
      </c>
      <c r="C10" s="51">
        <v>26.62</v>
      </c>
      <c r="D10" s="51">
        <v>34.81</v>
      </c>
      <c r="E10" s="51">
        <v>8.7100000000000009</v>
      </c>
      <c r="F10" s="51">
        <v>2.66</v>
      </c>
      <c r="G10" s="51">
        <v>152.91999999999999</v>
      </c>
      <c r="H10" s="51">
        <v>54.63</v>
      </c>
      <c r="I10" s="51">
        <v>16.010000000000002</v>
      </c>
      <c r="J10" s="51">
        <v>0.14000000000000001</v>
      </c>
      <c r="K10" s="51">
        <v>233.08</v>
      </c>
      <c r="L10" s="51">
        <v>12.46</v>
      </c>
      <c r="M10" s="51">
        <v>87.21</v>
      </c>
      <c r="N10" s="51">
        <v>1.4</v>
      </c>
      <c r="O10" s="51">
        <v>0</v>
      </c>
      <c r="P10" s="51">
        <v>1.51</v>
      </c>
      <c r="Q10" s="51">
        <v>10.130000000000001</v>
      </c>
    </row>
    <row r="11" spans="1:21" customFormat="1">
      <c r="A11" s="50">
        <v>45641.125</v>
      </c>
      <c r="B11" s="51">
        <v>23.17</v>
      </c>
      <c r="C11" s="51">
        <v>26.34</v>
      </c>
      <c r="D11" s="51">
        <v>33.69</v>
      </c>
      <c r="E11" s="51">
        <v>8.25</v>
      </c>
      <c r="F11" s="51">
        <v>3.11</v>
      </c>
      <c r="G11" s="51">
        <v>152.91999999999999</v>
      </c>
      <c r="H11" s="51">
        <v>54.63</v>
      </c>
      <c r="I11" s="51">
        <v>15.87</v>
      </c>
      <c r="J11" s="51">
        <v>0.19</v>
      </c>
      <c r="K11" s="51">
        <v>162.86000000000001</v>
      </c>
      <c r="L11" s="51">
        <v>12.68</v>
      </c>
      <c r="M11" s="51">
        <v>78.23</v>
      </c>
      <c r="N11" s="51">
        <v>1.3</v>
      </c>
      <c r="O11" s="51">
        <v>0</v>
      </c>
      <c r="P11" s="51">
        <v>1.51</v>
      </c>
      <c r="Q11" s="51">
        <v>10.15</v>
      </c>
    </row>
    <row r="12" spans="1:21" customFormat="1">
      <c r="A12" s="50">
        <v>45641.166666666664</v>
      </c>
      <c r="B12" s="51">
        <v>21.29</v>
      </c>
      <c r="C12" s="51">
        <v>25.83</v>
      </c>
      <c r="D12" s="51">
        <v>31.91</v>
      </c>
      <c r="E12" s="51">
        <v>8.11</v>
      </c>
      <c r="F12" s="27" t="s">
        <v>14</v>
      </c>
      <c r="G12" s="51">
        <v>141.16999999999999</v>
      </c>
      <c r="H12" s="51">
        <v>50.34</v>
      </c>
      <c r="I12" s="51">
        <v>15.39</v>
      </c>
      <c r="J12" s="51">
        <v>0.14000000000000001</v>
      </c>
      <c r="K12" s="51">
        <v>209.12</v>
      </c>
      <c r="L12" s="51">
        <v>12.17</v>
      </c>
      <c r="M12" s="51">
        <v>77.680000000000007</v>
      </c>
      <c r="N12" s="51">
        <v>1.3</v>
      </c>
      <c r="O12" s="51">
        <v>0</v>
      </c>
      <c r="P12" s="51">
        <v>1.4</v>
      </c>
      <c r="Q12" s="51">
        <v>10.130000000000001</v>
      </c>
    </row>
    <row r="13" spans="1:21" customFormat="1">
      <c r="A13" s="50">
        <v>45641.208333333336</v>
      </c>
      <c r="B13" s="51">
        <v>19.260000000000002</v>
      </c>
      <c r="C13" s="51">
        <v>25.15</v>
      </c>
      <c r="D13" s="51">
        <v>29.94</v>
      </c>
      <c r="E13" s="51">
        <v>7.89</v>
      </c>
      <c r="F13" s="27" t="s">
        <v>14</v>
      </c>
      <c r="G13" s="51">
        <v>130.44999999999999</v>
      </c>
      <c r="H13" s="51">
        <v>49.28</v>
      </c>
      <c r="I13" s="51">
        <v>14.24</v>
      </c>
      <c r="J13" s="51">
        <v>0.28000000000000003</v>
      </c>
      <c r="K13" s="51">
        <v>231.87</v>
      </c>
      <c r="L13" s="51">
        <v>12.21</v>
      </c>
      <c r="M13" s="51">
        <v>72.680000000000007</v>
      </c>
      <c r="N13" s="51">
        <v>1.5</v>
      </c>
      <c r="O13" s="51">
        <v>0</v>
      </c>
      <c r="P13" s="51">
        <v>1.25</v>
      </c>
      <c r="Q13" s="51">
        <v>10.130000000000001</v>
      </c>
    </row>
    <row r="14" spans="1:21" customFormat="1">
      <c r="A14" s="50">
        <v>45641.25</v>
      </c>
      <c r="B14" s="51">
        <v>19.670000000000002</v>
      </c>
      <c r="C14" s="51">
        <v>24.33</v>
      </c>
      <c r="D14" s="51">
        <v>29.7</v>
      </c>
      <c r="E14" s="51">
        <v>7.67</v>
      </c>
      <c r="F14" s="27" t="s">
        <v>14</v>
      </c>
      <c r="G14" s="51">
        <v>104.1</v>
      </c>
      <c r="H14" s="51">
        <v>37.43</v>
      </c>
      <c r="I14" s="51">
        <v>13.02</v>
      </c>
      <c r="J14" s="51">
        <v>0.21</v>
      </c>
      <c r="K14" s="51">
        <v>99.26</v>
      </c>
      <c r="L14" s="51">
        <v>11.84</v>
      </c>
      <c r="M14" s="51">
        <v>71.84</v>
      </c>
      <c r="N14" s="51">
        <v>1.3</v>
      </c>
      <c r="O14" s="51">
        <v>0</v>
      </c>
      <c r="P14" s="51">
        <v>1.1299999999999999</v>
      </c>
      <c r="Q14" s="51">
        <v>10.119999999999999</v>
      </c>
    </row>
    <row r="15" spans="1:21" customFormat="1">
      <c r="A15" s="50">
        <v>45641.291666666664</v>
      </c>
      <c r="B15" s="51">
        <v>20.09</v>
      </c>
      <c r="C15" s="51">
        <v>24.06</v>
      </c>
      <c r="D15" s="51">
        <v>29.99</v>
      </c>
      <c r="E15" s="51">
        <v>7.62</v>
      </c>
      <c r="F15" s="27" t="s">
        <v>14</v>
      </c>
      <c r="G15" s="51">
        <v>87.14</v>
      </c>
      <c r="H15" s="51">
        <v>35.29</v>
      </c>
      <c r="I15" s="51">
        <v>12.44</v>
      </c>
      <c r="J15" s="51">
        <v>0.31</v>
      </c>
      <c r="K15" s="51">
        <v>162.74</v>
      </c>
      <c r="L15" s="51">
        <v>11.68</v>
      </c>
      <c r="M15" s="51">
        <v>77.319999999999993</v>
      </c>
      <c r="N15" s="51">
        <v>19.600000000000001</v>
      </c>
      <c r="O15" s="51">
        <v>0</v>
      </c>
      <c r="P15" s="51">
        <v>1.05</v>
      </c>
      <c r="Q15" s="51">
        <v>10.11</v>
      </c>
    </row>
    <row r="16" spans="1:21" customFormat="1">
      <c r="A16" s="50">
        <v>45641.333333333336</v>
      </c>
      <c r="B16" s="51">
        <v>18.48</v>
      </c>
      <c r="C16" s="51">
        <v>23.32</v>
      </c>
      <c r="D16" s="51">
        <v>28.36</v>
      </c>
      <c r="E16" s="51">
        <v>7.5</v>
      </c>
      <c r="F16" s="27" t="s">
        <v>14</v>
      </c>
      <c r="G16" s="51">
        <v>85.25</v>
      </c>
      <c r="H16" s="51">
        <v>32.450000000000003</v>
      </c>
      <c r="I16" s="51">
        <v>12.7</v>
      </c>
      <c r="J16" s="51">
        <v>0.66</v>
      </c>
      <c r="K16" s="51">
        <v>153.56</v>
      </c>
      <c r="L16" s="51">
        <v>14.29</v>
      </c>
      <c r="M16" s="51">
        <v>75.760000000000005</v>
      </c>
      <c r="N16" s="51">
        <v>149.69999999999999</v>
      </c>
      <c r="O16" s="51">
        <v>0</v>
      </c>
      <c r="P16" s="51">
        <v>1.01</v>
      </c>
      <c r="Q16" s="51">
        <v>10.1</v>
      </c>
    </row>
    <row r="17" spans="1:17" customFormat="1">
      <c r="A17" s="50">
        <v>45641.375</v>
      </c>
      <c r="B17" s="51">
        <v>16.54</v>
      </c>
      <c r="C17" s="51">
        <v>23.71</v>
      </c>
      <c r="D17" s="51">
        <v>26.59</v>
      </c>
      <c r="E17" s="51">
        <v>7.76</v>
      </c>
      <c r="F17" s="27" t="s">
        <v>14</v>
      </c>
      <c r="G17" s="51">
        <v>85.25</v>
      </c>
      <c r="H17" s="51">
        <v>33.39</v>
      </c>
      <c r="I17" s="51">
        <v>12.65</v>
      </c>
      <c r="J17" s="51">
        <v>0.64</v>
      </c>
      <c r="K17" s="51">
        <v>72.19</v>
      </c>
      <c r="L17" s="51">
        <v>18.57</v>
      </c>
      <c r="M17" s="51">
        <v>52.07</v>
      </c>
      <c r="N17" s="51">
        <v>298.60000000000002</v>
      </c>
      <c r="O17" s="51">
        <v>0</v>
      </c>
      <c r="P17" s="51">
        <v>0.97</v>
      </c>
      <c r="Q17" s="51">
        <v>10.07</v>
      </c>
    </row>
    <row r="18" spans="1:17" customFormat="1">
      <c r="A18" s="50">
        <v>45641.416666666664</v>
      </c>
      <c r="B18" s="51">
        <v>12.92</v>
      </c>
      <c r="C18" s="51">
        <v>24.19</v>
      </c>
      <c r="D18" s="51">
        <v>24.35</v>
      </c>
      <c r="E18" s="51">
        <v>8.34</v>
      </c>
      <c r="F18" s="27" t="s">
        <v>14</v>
      </c>
      <c r="G18" s="51">
        <v>83.58</v>
      </c>
      <c r="H18" s="51">
        <v>33.39</v>
      </c>
      <c r="I18" s="51">
        <v>12.45</v>
      </c>
      <c r="J18" s="51">
        <v>1.03</v>
      </c>
      <c r="K18" s="51">
        <v>70.209999999999994</v>
      </c>
      <c r="L18" s="51">
        <v>20.83</v>
      </c>
      <c r="M18" s="51">
        <v>37.71</v>
      </c>
      <c r="N18" s="51">
        <v>425.6</v>
      </c>
      <c r="O18" s="51">
        <v>0</v>
      </c>
      <c r="P18" s="51">
        <v>0.92</v>
      </c>
      <c r="Q18" s="51">
        <v>10.08</v>
      </c>
    </row>
    <row r="19" spans="1:17" customFormat="1">
      <c r="A19" s="50">
        <v>45641.458333333336</v>
      </c>
      <c r="B19" s="51">
        <v>9.36</v>
      </c>
      <c r="C19" s="51">
        <v>23.47</v>
      </c>
      <c r="D19" s="51">
        <v>21.12</v>
      </c>
      <c r="E19" s="51">
        <v>9.7899999999999991</v>
      </c>
      <c r="F19" s="27" t="s">
        <v>14</v>
      </c>
      <c r="G19" s="51">
        <v>82.67</v>
      </c>
      <c r="H19" s="51">
        <v>31.11</v>
      </c>
      <c r="I19" s="51">
        <v>11.7</v>
      </c>
      <c r="J19" s="51">
        <v>0.98</v>
      </c>
      <c r="K19" s="51">
        <v>82.58</v>
      </c>
      <c r="L19" s="51">
        <v>22.7</v>
      </c>
      <c r="M19" s="51">
        <v>32.04</v>
      </c>
      <c r="N19" s="51">
        <v>546.9</v>
      </c>
      <c r="O19" s="51">
        <v>0</v>
      </c>
      <c r="P19" s="51">
        <v>0.87</v>
      </c>
      <c r="Q19" s="51">
        <v>10.07</v>
      </c>
    </row>
    <row r="20" spans="1:17" customFormat="1">
      <c r="A20" s="50">
        <v>45641.5</v>
      </c>
      <c r="B20" s="51">
        <v>6.31</v>
      </c>
      <c r="C20" s="51">
        <v>22.42</v>
      </c>
      <c r="D20" s="51">
        <v>18.12</v>
      </c>
      <c r="E20" s="51">
        <v>10.039999999999999</v>
      </c>
      <c r="F20" s="27" t="s">
        <v>14</v>
      </c>
      <c r="G20" s="51">
        <v>77.02</v>
      </c>
      <c r="H20" s="51">
        <v>27.35</v>
      </c>
      <c r="I20" s="51">
        <v>10.98</v>
      </c>
      <c r="J20" s="51">
        <v>0.85</v>
      </c>
      <c r="K20" s="51">
        <v>53.33</v>
      </c>
      <c r="L20" s="51">
        <v>24.45</v>
      </c>
      <c r="M20" s="51">
        <v>27.47</v>
      </c>
      <c r="N20" s="51">
        <v>590.6</v>
      </c>
      <c r="O20" s="51">
        <v>0</v>
      </c>
      <c r="P20" s="51">
        <v>0.82</v>
      </c>
      <c r="Q20" s="51">
        <v>10.07</v>
      </c>
    </row>
    <row r="21" spans="1:17" customFormat="1">
      <c r="A21" s="50">
        <v>45641.541666666664</v>
      </c>
      <c r="B21" s="51">
        <v>4.1500000000000004</v>
      </c>
      <c r="C21" s="51">
        <v>22.24</v>
      </c>
      <c r="D21" s="51">
        <v>16.3</v>
      </c>
      <c r="E21" s="51">
        <v>10.53</v>
      </c>
      <c r="F21" s="27" t="s">
        <v>14</v>
      </c>
      <c r="G21" s="51">
        <v>74.84</v>
      </c>
      <c r="H21" s="51">
        <v>27.35</v>
      </c>
      <c r="I21" s="51">
        <v>10.06</v>
      </c>
      <c r="J21" s="51">
        <v>0.76</v>
      </c>
      <c r="K21" s="51">
        <v>54.6</v>
      </c>
      <c r="L21" s="51">
        <v>25.43</v>
      </c>
      <c r="M21" s="51">
        <v>21.12</v>
      </c>
      <c r="N21" s="51">
        <v>587.70000000000005</v>
      </c>
      <c r="O21" s="51">
        <v>0</v>
      </c>
      <c r="P21" s="51">
        <v>0.78</v>
      </c>
      <c r="Q21" s="51">
        <v>10.07</v>
      </c>
    </row>
    <row r="22" spans="1:17" customFormat="1">
      <c r="A22" s="50">
        <v>45641.583333333336</v>
      </c>
      <c r="B22" s="51">
        <v>3.68</v>
      </c>
      <c r="C22" s="51">
        <v>21.36</v>
      </c>
      <c r="D22" s="51">
        <v>15.46</v>
      </c>
      <c r="E22" s="51">
        <v>10.33</v>
      </c>
      <c r="F22" s="27" t="s">
        <v>14</v>
      </c>
      <c r="G22" s="51">
        <v>69.680000000000007</v>
      </c>
      <c r="H22" s="51">
        <v>28</v>
      </c>
      <c r="I22" s="51">
        <v>9.01</v>
      </c>
      <c r="J22" s="51">
        <v>0.72</v>
      </c>
      <c r="K22" s="51">
        <v>288.2</v>
      </c>
      <c r="L22" s="51">
        <v>25.48</v>
      </c>
      <c r="M22" s="51">
        <v>21.68</v>
      </c>
      <c r="N22" s="51">
        <v>525</v>
      </c>
      <c r="O22" s="51">
        <v>0</v>
      </c>
      <c r="P22" s="51">
        <v>0.73</v>
      </c>
      <c r="Q22" s="51">
        <v>10.050000000000001</v>
      </c>
    </row>
    <row r="23" spans="1:17" customFormat="1">
      <c r="A23" s="50">
        <v>45641.625</v>
      </c>
      <c r="B23" s="51">
        <v>3.64</v>
      </c>
      <c r="C23" s="51">
        <v>22.39</v>
      </c>
      <c r="D23" s="51">
        <v>15.88</v>
      </c>
      <c r="E23" s="51">
        <v>11.12</v>
      </c>
      <c r="F23" s="27" t="s">
        <v>14</v>
      </c>
      <c r="G23" s="51">
        <v>68.989999999999995</v>
      </c>
      <c r="H23" s="51">
        <v>28</v>
      </c>
      <c r="I23" s="51">
        <v>8.39</v>
      </c>
      <c r="J23" s="51">
        <v>0.66</v>
      </c>
      <c r="K23" s="51">
        <v>72.040000000000006</v>
      </c>
      <c r="L23" s="51">
        <v>25.05</v>
      </c>
      <c r="M23" s="51">
        <v>21.5</v>
      </c>
      <c r="N23" s="51">
        <v>102.2</v>
      </c>
      <c r="O23" s="51">
        <v>0</v>
      </c>
      <c r="P23" s="51">
        <v>0.69</v>
      </c>
      <c r="Q23" s="51">
        <v>10.07</v>
      </c>
    </row>
    <row r="24" spans="1:17" customFormat="1">
      <c r="A24" s="50">
        <v>45641.666666666664</v>
      </c>
      <c r="B24" s="51">
        <v>3.55</v>
      </c>
      <c r="C24" s="51">
        <v>23.73</v>
      </c>
      <c r="D24" s="51">
        <v>16.600000000000001</v>
      </c>
      <c r="E24" s="51">
        <v>11.15</v>
      </c>
      <c r="F24" s="27" t="s">
        <v>14</v>
      </c>
      <c r="G24" s="51">
        <v>67.87</v>
      </c>
      <c r="H24" s="51">
        <v>30.55</v>
      </c>
      <c r="I24" s="51">
        <v>7.89</v>
      </c>
      <c r="J24" s="51">
        <v>0.52</v>
      </c>
      <c r="K24" s="51">
        <v>65.430000000000007</v>
      </c>
      <c r="L24" s="51">
        <v>25.13</v>
      </c>
      <c r="M24" s="51">
        <v>21.99</v>
      </c>
      <c r="N24" s="51">
        <v>58.2</v>
      </c>
      <c r="O24" s="51">
        <v>0</v>
      </c>
      <c r="P24" s="51">
        <v>0.71</v>
      </c>
      <c r="Q24" s="51">
        <v>10.07</v>
      </c>
    </row>
    <row r="25" spans="1:17" customFormat="1">
      <c r="A25" s="50">
        <v>45641.708333333336</v>
      </c>
      <c r="B25" s="51">
        <v>3.85</v>
      </c>
      <c r="C25" s="51">
        <v>24.03</v>
      </c>
      <c r="D25" s="51">
        <v>16.760000000000002</v>
      </c>
      <c r="E25" s="51">
        <v>10.65</v>
      </c>
      <c r="F25" s="27" t="s">
        <v>14</v>
      </c>
      <c r="G25" s="51">
        <v>74.150000000000006</v>
      </c>
      <c r="H25" s="51">
        <v>31.88</v>
      </c>
      <c r="I25" s="51">
        <v>7.74</v>
      </c>
      <c r="J25" s="51">
        <v>0.35</v>
      </c>
      <c r="K25" s="51">
        <v>171</v>
      </c>
      <c r="L25" s="51">
        <v>24.54</v>
      </c>
      <c r="M25" s="51">
        <v>38</v>
      </c>
      <c r="N25" s="51">
        <v>29.8</v>
      </c>
      <c r="O25" s="51">
        <v>0</v>
      </c>
      <c r="P25" s="51">
        <v>0.72</v>
      </c>
      <c r="Q25" s="51">
        <v>10.050000000000001</v>
      </c>
    </row>
    <row r="26" spans="1:17" customFormat="1">
      <c r="A26" s="50">
        <v>45641.75</v>
      </c>
      <c r="B26" s="51">
        <v>5.26</v>
      </c>
      <c r="C26" s="51">
        <v>24.66</v>
      </c>
      <c r="D26" s="51">
        <v>18.46</v>
      </c>
      <c r="E26" s="51">
        <v>10.41</v>
      </c>
      <c r="F26" s="27" t="s">
        <v>14</v>
      </c>
      <c r="G26" s="51">
        <v>79.930000000000007</v>
      </c>
      <c r="H26" s="51">
        <v>31.88</v>
      </c>
      <c r="I26" s="51">
        <v>7.85</v>
      </c>
      <c r="J26" s="51">
        <v>0.33</v>
      </c>
      <c r="K26" s="51">
        <v>166.1</v>
      </c>
      <c r="L26" s="51">
        <v>21.08</v>
      </c>
      <c r="M26" s="51">
        <v>61.27</v>
      </c>
      <c r="N26" s="51">
        <v>8.3000000000000007</v>
      </c>
      <c r="O26" s="51">
        <v>0</v>
      </c>
      <c r="P26" s="51">
        <v>0.77</v>
      </c>
      <c r="Q26" s="51">
        <v>10.06</v>
      </c>
    </row>
    <row r="27" spans="1:17" customFormat="1">
      <c r="A27" s="50">
        <v>45641.791666666664</v>
      </c>
      <c r="B27" s="51">
        <v>12.19</v>
      </c>
      <c r="C27" s="51">
        <v>28</v>
      </c>
      <c r="D27" s="51">
        <v>25.76</v>
      </c>
      <c r="E27" s="51">
        <v>9.74</v>
      </c>
      <c r="F27" s="27" t="s">
        <v>14</v>
      </c>
      <c r="G27" s="51">
        <v>90.47</v>
      </c>
      <c r="H27" s="51">
        <v>32.44</v>
      </c>
      <c r="I27" s="51">
        <v>8.74</v>
      </c>
      <c r="J27" s="51">
        <v>0.2</v>
      </c>
      <c r="K27" s="51">
        <v>199.11</v>
      </c>
      <c r="L27" s="51">
        <v>17.64</v>
      </c>
      <c r="M27" s="51">
        <v>65.959999999999994</v>
      </c>
      <c r="N27" s="51">
        <v>1.6</v>
      </c>
      <c r="O27" s="51">
        <v>0</v>
      </c>
      <c r="P27" s="51">
        <v>0.92</v>
      </c>
      <c r="Q27" s="51">
        <v>10.08</v>
      </c>
    </row>
    <row r="28" spans="1:17" customFormat="1">
      <c r="A28" s="50">
        <v>45641.833333333336</v>
      </c>
      <c r="B28" s="51">
        <v>20.02</v>
      </c>
      <c r="C28" s="51">
        <v>29.49</v>
      </c>
      <c r="D28" s="51">
        <v>32.82</v>
      </c>
      <c r="E28" s="51">
        <v>9.49</v>
      </c>
      <c r="F28" s="27" t="s">
        <v>14</v>
      </c>
      <c r="G28" s="51">
        <v>115.36</v>
      </c>
      <c r="H28" s="51">
        <v>40.69</v>
      </c>
      <c r="I28" s="51">
        <v>10.07</v>
      </c>
      <c r="J28" s="51">
        <v>0.22</v>
      </c>
      <c r="K28" s="51">
        <v>183.07</v>
      </c>
      <c r="L28" s="51">
        <v>16.22</v>
      </c>
      <c r="M28" s="51">
        <v>74.94</v>
      </c>
      <c r="N28" s="51">
        <v>1.4</v>
      </c>
      <c r="O28" s="51">
        <v>0</v>
      </c>
      <c r="P28" s="51">
        <v>1.05</v>
      </c>
      <c r="Q28" s="51">
        <v>10.1</v>
      </c>
    </row>
    <row r="29" spans="1:17" customFormat="1">
      <c r="A29" s="50">
        <v>45641.875</v>
      </c>
      <c r="B29" s="51">
        <v>23.05</v>
      </c>
      <c r="C29" s="51">
        <v>29.58</v>
      </c>
      <c r="D29" s="51">
        <v>35.07</v>
      </c>
      <c r="E29" s="51">
        <v>9.33</v>
      </c>
      <c r="F29" s="51">
        <v>20.6</v>
      </c>
      <c r="G29" s="51">
        <v>121.98</v>
      </c>
      <c r="H29" s="51">
        <v>40.69</v>
      </c>
      <c r="I29" s="51">
        <v>11.56</v>
      </c>
      <c r="J29" s="51">
        <v>0.17</v>
      </c>
      <c r="K29" s="51">
        <v>214.26</v>
      </c>
      <c r="L29" s="51">
        <v>15.16</v>
      </c>
      <c r="M29" s="51">
        <v>78.47</v>
      </c>
      <c r="N29" s="51">
        <v>1.4</v>
      </c>
      <c r="O29" s="51">
        <v>0</v>
      </c>
      <c r="P29" s="51">
        <v>1.18</v>
      </c>
      <c r="Q29" s="51">
        <v>10.130000000000001</v>
      </c>
    </row>
    <row r="30" spans="1:17" customFormat="1">
      <c r="A30" s="50">
        <v>45641.916666666664</v>
      </c>
      <c r="B30" s="51">
        <v>23.39</v>
      </c>
      <c r="C30" s="51">
        <v>28.96</v>
      </c>
      <c r="D30" s="51">
        <v>35.24</v>
      </c>
      <c r="E30" s="51">
        <v>9.56</v>
      </c>
      <c r="F30" s="27" t="s">
        <v>14</v>
      </c>
      <c r="G30" s="51">
        <v>124.41</v>
      </c>
      <c r="H30" s="51">
        <v>43.74</v>
      </c>
      <c r="I30" s="51">
        <v>12.84</v>
      </c>
      <c r="J30" s="51">
        <v>0.21</v>
      </c>
      <c r="K30" s="51">
        <v>222.99</v>
      </c>
      <c r="L30" s="51">
        <v>14.43</v>
      </c>
      <c r="M30" s="51">
        <v>84.62</v>
      </c>
      <c r="N30" s="51">
        <v>1.4</v>
      </c>
      <c r="O30" s="51">
        <v>0</v>
      </c>
      <c r="P30" s="51">
        <v>1.27</v>
      </c>
      <c r="Q30" s="51">
        <v>10.16</v>
      </c>
    </row>
    <row r="31" spans="1:17" customFormat="1">
      <c r="A31" s="50">
        <v>45641.958333333336</v>
      </c>
      <c r="B31" s="51">
        <v>20.54</v>
      </c>
      <c r="C31" s="51">
        <v>27.46</v>
      </c>
      <c r="D31" s="51">
        <v>32.17</v>
      </c>
      <c r="E31" s="51">
        <v>9.42</v>
      </c>
      <c r="F31" s="27" t="s">
        <v>14</v>
      </c>
      <c r="G31" s="51">
        <v>124.41</v>
      </c>
      <c r="H31" s="51">
        <v>43.74</v>
      </c>
      <c r="I31" s="51">
        <v>13.61</v>
      </c>
      <c r="J31" s="51">
        <v>0.18</v>
      </c>
      <c r="K31" s="51">
        <v>221.83</v>
      </c>
      <c r="L31" s="51">
        <v>13.76</v>
      </c>
      <c r="M31" s="51">
        <v>85.01</v>
      </c>
      <c r="N31" s="51">
        <v>1.3</v>
      </c>
      <c r="O31" s="51">
        <v>0</v>
      </c>
      <c r="P31" s="51">
        <v>1.29</v>
      </c>
      <c r="Q31" s="51">
        <v>10.130000000000001</v>
      </c>
    </row>
    <row r="32" spans="1:17" customFormat="1">
      <c r="A32" s="50">
        <v>45642</v>
      </c>
      <c r="B32" s="51">
        <v>20.34</v>
      </c>
      <c r="C32" s="51">
        <v>26.81</v>
      </c>
      <c r="D32" s="51">
        <v>31.67</v>
      </c>
      <c r="E32" s="51">
        <v>9.14</v>
      </c>
      <c r="F32" s="27" t="s">
        <v>14</v>
      </c>
      <c r="G32" s="51">
        <v>126.96</v>
      </c>
      <c r="H32" s="51">
        <v>45.31</v>
      </c>
      <c r="I32" s="51">
        <v>14.68</v>
      </c>
      <c r="J32" s="51">
        <v>0.24</v>
      </c>
      <c r="K32" s="51">
        <v>179.82</v>
      </c>
      <c r="L32" s="51">
        <v>13.8</v>
      </c>
      <c r="M32" s="51">
        <v>87.31</v>
      </c>
      <c r="N32" s="51">
        <v>1.4</v>
      </c>
      <c r="O32" s="51">
        <v>0</v>
      </c>
      <c r="P32" s="51">
        <v>1.37</v>
      </c>
      <c r="Q32" s="51">
        <v>10.14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3.55</v>
      </c>
      <c r="C34" s="41">
        <f t="shared" si="0"/>
        <v>21.36</v>
      </c>
      <c r="D34" s="41">
        <f t="shared" si="0"/>
        <v>15.46</v>
      </c>
      <c r="E34" s="41">
        <f t="shared" si="0"/>
        <v>7.5</v>
      </c>
      <c r="F34" s="41">
        <f t="shared" si="0"/>
        <v>2.66</v>
      </c>
      <c r="G34" s="41">
        <f t="shared" si="0"/>
        <v>67.87</v>
      </c>
      <c r="H34" s="41">
        <f t="shared" si="0"/>
        <v>27.35</v>
      </c>
      <c r="I34" s="41">
        <f t="shared" si="0"/>
        <v>7.74</v>
      </c>
      <c r="J34" s="41">
        <f t="shared" si="0"/>
        <v>0.14000000000000001</v>
      </c>
      <c r="K34" s="41">
        <f t="shared" si="0"/>
        <v>53.33</v>
      </c>
      <c r="L34" s="41">
        <f t="shared" si="0"/>
        <v>11.68</v>
      </c>
      <c r="M34" s="41">
        <f t="shared" si="0"/>
        <v>21.12</v>
      </c>
      <c r="N34" s="41">
        <f t="shared" si="0"/>
        <v>1.3</v>
      </c>
      <c r="O34" s="41">
        <f t="shared" si="0"/>
        <v>0</v>
      </c>
      <c r="P34" s="41">
        <f t="shared" si="0"/>
        <v>0.69</v>
      </c>
      <c r="Q34" s="41">
        <f t="shared" si="0"/>
        <v>10.050000000000001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24.6</v>
      </c>
      <c r="C35" s="33">
        <f t="shared" si="1"/>
        <v>29.58</v>
      </c>
      <c r="D35" s="33">
        <f t="shared" si="1"/>
        <v>35.24</v>
      </c>
      <c r="E35" s="33">
        <f t="shared" si="1"/>
        <v>11.15</v>
      </c>
      <c r="F35" s="33">
        <f t="shared" si="1"/>
        <v>20.6</v>
      </c>
      <c r="G35" s="33">
        <f t="shared" si="1"/>
        <v>152.91999999999999</v>
      </c>
      <c r="H35" s="33">
        <f t="shared" si="1"/>
        <v>54.63</v>
      </c>
      <c r="I35" s="33">
        <f t="shared" si="1"/>
        <v>16.010000000000002</v>
      </c>
      <c r="J35" s="33">
        <f t="shared" si="1"/>
        <v>1.03</v>
      </c>
      <c r="K35" s="33">
        <f t="shared" si="1"/>
        <v>288.2</v>
      </c>
      <c r="L35" s="33">
        <f t="shared" si="1"/>
        <v>25.48</v>
      </c>
      <c r="M35" s="33">
        <f t="shared" si="1"/>
        <v>87.31</v>
      </c>
      <c r="N35" s="33">
        <f t="shared" si="1"/>
        <v>590.6</v>
      </c>
      <c r="O35" s="33">
        <f t="shared" si="1"/>
        <v>0</v>
      </c>
      <c r="P35" s="33">
        <f t="shared" si="1"/>
        <v>1.51</v>
      </c>
      <c r="Q35" s="33">
        <f t="shared" si="1"/>
        <v>10.16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14.988749999999998</v>
      </c>
      <c r="C36" s="41">
        <f t="shared" si="2"/>
        <v>25.19916666666667</v>
      </c>
      <c r="D36" s="41">
        <f t="shared" si="2"/>
        <v>26.489166666666662</v>
      </c>
      <c r="E36" s="41">
        <f t="shared" si="2"/>
        <v>9.2375000000000025</v>
      </c>
      <c r="F36" s="41">
        <f t="shared" si="2"/>
        <v>7.4150000000000009</v>
      </c>
      <c r="G36" s="41">
        <f t="shared" si="2"/>
        <v>103.01874999999997</v>
      </c>
      <c r="H36" s="41">
        <f t="shared" si="2"/>
        <v>38.098333333333336</v>
      </c>
      <c r="I36" s="41">
        <f t="shared" si="2"/>
        <v>11.910416666666665</v>
      </c>
      <c r="J36" s="41">
        <f t="shared" si="2"/>
        <v>0.42416666666666664</v>
      </c>
      <c r="K36" s="41">
        <f t="shared" si="2"/>
        <v>158.65875</v>
      </c>
      <c r="L36" s="41">
        <f t="shared" si="2"/>
        <v>17.710833333333333</v>
      </c>
      <c r="M36" s="41">
        <f t="shared" si="2"/>
        <v>59.865000000000002</v>
      </c>
      <c r="N36" s="41">
        <f t="shared" si="2"/>
        <v>139.95416666666668</v>
      </c>
      <c r="O36" s="41">
        <f t="shared" si="2"/>
        <v>0</v>
      </c>
      <c r="P36" s="41">
        <f t="shared" si="2"/>
        <v>1.0595833333333333</v>
      </c>
      <c r="Q36" s="41">
        <f t="shared" si="2"/>
        <v>10.099583333333333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7.8882368738686397</v>
      </c>
      <c r="C37" s="41">
        <f t="shared" ref="C37:Q37" si="3">STDEV(C9:C32)</f>
        <v>2.3572569110996673</v>
      </c>
      <c r="D37" s="41">
        <f t="shared" si="3"/>
        <v>7.2492775752014902</v>
      </c>
      <c r="E37" s="41">
        <f t="shared" si="3"/>
        <v>1.1474972766851983</v>
      </c>
      <c r="F37" s="41">
        <f t="shared" si="3"/>
        <v>8.7939922674516833</v>
      </c>
      <c r="G37" s="41">
        <f t="shared" si="3"/>
        <v>29.236250623899846</v>
      </c>
      <c r="H37" s="41">
        <f t="shared" si="3"/>
        <v>8.9604370364428991</v>
      </c>
      <c r="I37" s="41">
        <f t="shared" si="3"/>
        <v>2.7151691102215865</v>
      </c>
      <c r="J37" s="41">
        <f t="shared" si="3"/>
        <v>0.28633997225351715</v>
      </c>
      <c r="K37" s="41">
        <f t="shared" si="3"/>
        <v>70.251564383788434</v>
      </c>
      <c r="L37" s="41">
        <f t="shared" si="3"/>
        <v>5.24391566000783</v>
      </c>
      <c r="M37" s="41">
        <f t="shared" si="3"/>
        <v>24.867424474601318</v>
      </c>
      <c r="N37" s="41">
        <f t="shared" si="3"/>
        <v>219.3603467379975</v>
      </c>
      <c r="O37" s="41">
        <f t="shared" si="3"/>
        <v>0</v>
      </c>
      <c r="P37" s="41">
        <f t="shared" si="3"/>
        <v>0.27675886799611793</v>
      </c>
      <c r="Q37" s="41">
        <f t="shared" si="3"/>
        <v>3.3554519771581415E-2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>IF(F38&gt;=22,"&gt;90%",IF(F38&lt;=22,"&lt;90%"))</f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A9" sqref="A9"/>
      <selection pane="topRight" activeCell="A9" sqref="A9"/>
      <selection pane="bottomLeft" activeCell="A9" sqref="A9"/>
      <selection pane="bottomRight" activeCell="F39" sqref="F3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45642.041666666664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45642.041666666664</v>
      </c>
      <c r="B9" s="51">
        <v>26.81</v>
      </c>
      <c r="C9" s="51">
        <v>27.21</v>
      </c>
      <c r="D9" s="51">
        <v>37.07</v>
      </c>
      <c r="E9" s="51">
        <v>9.34</v>
      </c>
      <c r="F9" s="30" t="s">
        <v>8</v>
      </c>
      <c r="G9" s="51">
        <v>126.96</v>
      </c>
      <c r="H9" s="51">
        <v>45.43</v>
      </c>
      <c r="I9" s="51">
        <v>15.68</v>
      </c>
      <c r="J9" s="51">
        <v>0.18</v>
      </c>
      <c r="K9" s="51">
        <v>214.79</v>
      </c>
      <c r="L9" s="51">
        <v>12.93</v>
      </c>
      <c r="M9" s="51">
        <v>88.03</v>
      </c>
      <c r="N9" s="51">
        <v>1.3</v>
      </c>
      <c r="O9" s="51">
        <v>0</v>
      </c>
      <c r="P9" s="51">
        <v>1.44</v>
      </c>
      <c r="Q9" s="51">
        <v>10.130000000000001</v>
      </c>
    </row>
    <row r="10" spans="1:21" customFormat="1">
      <c r="A10" s="50">
        <v>45642.083333333336</v>
      </c>
      <c r="B10" s="51">
        <v>37.32</v>
      </c>
      <c r="C10" s="51">
        <v>27.49</v>
      </c>
      <c r="D10" s="51">
        <v>45.33</v>
      </c>
      <c r="E10" s="51">
        <v>9.17</v>
      </c>
      <c r="F10" s="30" t="s">
        <v>8</v>
      </c>
      <c r="G10" s="51">
        <v>133.22</v>
      </c>
      <c r="H10" s="51">
        <v>50.09</v>
      </c>
      <c r="I10" s="51">
        <v>16.510000000000002</v>
      </c>
      <c r="J10" s="51">
        <v>0.19</v>
      </c>
      <c r="K10" s="51">
        <v>221.62</v>
      </c>
      <c r="L10" s="51">
        <v>12.53</v>
      </c>
      <c r="M10" s="51">
        <v>93.14</v>
      </c>
      <c r="N10" s="51">
        <v>1.4</v>
      </c>
      <c r="O10" s="51">
        <v>0</v>
      </c>
      <c r="P10" s="51">
        <v>1.48</v>
      </c>
      <c r="Q10" s="51">
        <v>10.18</v>
      </c>
    </row>
    <row r="11" spans="1:21" customFormat="1">
      <c r="A11" s="50">
        <v>45642.125</v>
      </c>
      <c r="B11" s="51">
        <v>49.67</v>
      </c>
      <c r="C11" s="51">
        <v>27.53</v>
      </c>
      <c r="D11" s="51">
        <v>55.56</v>
      </c>
      <c r="E11" s="51">
        <v>8.6</v>
      </c>
      <c r="F11" s="30" t="s">
        <v>8</v>
      </c>
      <c r="G11" s="51">
        <v>133.22</v>
      </c>
      <c r="H11" s="51">
        <v>52.76</v>
      </c>
      <c r="I11" s="51">
        <v>16.79</v>
      </c>
      <c r="J11" s="51">
        <v>0.18</v>
      </c>
      <c r="K11" s="51">
        <v>233.37</v>
      </c>
      <c r="L11" s="51">
        <v>11.69</v>
      </c>
      <c r="M11" s="51">
        <v>89.98</v>
      </c>
      <c r="N11" s="51">
        <v>1.1000000000000001</v>
      </c>
      <c r="O11" s="51">
        <v>0</v>
      </c>
      <c r="P11" s="51">
        <v>1.51</v>
      </c>
      <c r="Q11" s="51">
        <v>10.210000000000001</v>
      </c>
    </row>
    <row r="12" spans="1:21" customFormat="1">
      <c r="A12" s="50">
        <v>45642.166666666664</v>
      </c>
      <c r="B12" s="51">
        <v>51.55</v>
      </c>
      <c r="C12" s="51">
        <v>27.32</v>
      </c>
      <c r="D12" s="51">
        <v>56.86</v>
      </c>
      <c r="E12" s="51">
        <v>8.4700000000000006</v>
      </c>
      <c r="F12" s="30" t="s">
        <v>8</v>
      </c>
      <c r="G12" s="51">
        <v>132.12</v>
      </c>
      <c r="H12" s="51">
        <v>52.82</v>
      </c>
      <c r="I12" s="51">
        <v>16.850000000000001</v>
      </c>
      <c r="J12" s="51">
        <v>0.14000000000000001</v>
      </c>
      <c r="K12" s="51">
        <v>217.31</v>
      </c>
      <c r="L12" s="51">
        <v>11.27</v>
      </c>
      <c r="M12" s="51">
        <v>96.18</v>
      </c>
      <c r="N12" s="51">
        <v>1.4</v>
      </c>
      <c r="O12" s="51">
        <v>0</v>
      </c>
      <c r="P12" s="51">
        <v>1.49</v>
      </c>
      <c r="Q12" s="51">
        <v>10.210000000000001</v>
      </c>
    </row>
    <row r="13" spans="1:21" customFormat="1">
      <c r="A13" s="50">
        <v>45642.208333333336</v>
      </c>
      <c r="B13" s="51">
        <v>47.69</v>
      </c>
      <c r="C13" s="51">
        <v>25.68</v>
      </c>
      <c r="D13" s="51">
        <v>53.01</v>
      </c>
      <c r="E13" s="51">
        <v>8.25</v>
      </c>
      <c r="F13" s="30" t="s">
        <v>8</v>
      </c>
      <c r="G13" s="51">
        <v>129.16999999999999</v>
      </c>
      <c r="H13" s="51">
        <v>52.82</v>
      </c>
      <c r="I13" s="51">
        <v>16.760000000000002</v>
      </c>
      <c r="J13" s="51">
        <v>0.15</v>
      </c>
      <c r="K13" s="51">
        <v>257.35000000000002</v>
      </c>
      <c r="L13" s="51">
        <v>10.71</v>
      </c>
      <c r="M13" s="51">
        <v>96.88</v>
      </c>
      <c r="N13" s="51">
        <v>1.3</v>
      </c>
      <c r="O13" s="51">
        <v>0</v>
      </c>
      <c r="P13" s="51">
        <v>1.47</v>
      </c>
      <c r="Q13" s="51">
        <v>10.199999999999999</v>
      </c>
    </row>
    <row r="14" spans="1:21" customFormat="1">
      <c r="A14" s="50">
        <v>45642.25</v>
      </c>
      <c r="B14" s="51">
        <v>47.2</v>
      </c>
      <c r="C14" s="51">
        <v>25.27</v>
      </c>
      <c r="D14" s="51">
        <v>52.41</v>
      </c>
      <c r="E14" s="51">
        <v>7.91</v>
      </c>
      <c r="F14" s="30" t="s">
        <v>8</v>
      </c>
      <c r="G14" s="51">
        <v>116.25</v>
      </c>
      <c r="H14" s="51">
        <v>48.23</v>
      </c>
      <c r="I14" s="51">
        <v>16.34</v>
      </c>
      <c r="J14" s="51">
        <v>0.16</v>
      </c>
      <c r="K14" s="51">
        <v>185.19</v>
      </c>
      <c r="L14" s="51">
        <v>10.7</v>
      </c>
      <c r="M14" s="51">
        <v>93.64</v>
      </c>
      <c r="N14" s="51">
        <v>1.2</v>
      </c>
      <c r="O14" s="51">
        <v>0</v>
      </c>
      <c r="P14" s="51">
        <v>1.42</v>
      </c>
      <c r="Q14" s="51">
        <v>10.18</v>
      </c>
    </row>
    <row r="15" spans="1:21" customFormat="1">
      <c r="A15" s="50">
        <v>45642.291666666664</v>
      </c>
      <c r="B15" s="51">
        <v>47.32</v>
      </c>
      <c r="C15" s="51">
        <v>25.04</v>
      </c>
      <c r="D15" s="51">
        <v>52.38</v>
      </c>
      <c r="E15" s="51">
        <v>8.19</v>
      </c>
      <c r="F15" s="30" t="s">
        <v>8</v>
      </c>
      <c r="G15" s="51">
        <v>114.81</v>
      </c>
      <c r="H15" s="51">
        <v>48.23</v>
      </c>
      <c r="I15" s="51">
        <v>16.079999999999998</v>
      </c>
      <c r="J15" s="51">
        <v>0.18</v>
      </c>
      <c r="K15" s="51">
        <v>221.6</v>
      </c>
      <c r="L15" s="51">
        <v>10.5</v>
      </c>
      <c r="M15" s="51">
        <v>95.61</v>
      </c>
      <c r="N15" s="51">
        <v>18.7</v>
      </c>
      <c r="O15" s="51">
        <v>0</v>
      </c>
      <c r="P15" s="51">
        <v>1.37</v>
      </c>
      <c r="Q15" s="51">
        <v>10.18</v>
      </c>
    </row>
    <row r="16" spans="1:21" customFormat="1">
      <c r="A16" s="50">
        <v>45642.333333333336</v>
      </c>
      <c r="B16" s="51">
        <v>44.48</v>
      </c>
      <c r="C16" s="51">
        <v>23.91</v>
      </c>
      <c r="D16" s="51">
        <v>49.4</v>
      </c>
      <c r="E16" s="51">
        <v>7.77</v>
      </c>
      <c r="F16" s="30" t="s">
        <v>8</v>
      </c>
      <c r="G16" s="51">
        <v>112.1</v>
      </c>
      <c r="H16" s="51">
        <v>47.66</v>
      </c>
      <c r="I16" s="51">
        <v>15.8</v>
      </c>
      <c r="J16" s="51">
        <v>0.71</v>
      </c>
      <c r="K16" s="51">
        <v>181.92</v>
      </c>
      <c r="L16" s="51">
        <v>14.09</v>
      </c>
      <c r="M16" s="51">
        <v>94.38</v>
      </c>
      <c r="N16" s="51">
        <v>132.80000000000001</v>
      </c>
      <c r="O16" s="51">
        <v>0</v>
      </c>
      <c r="P16" s="51">
        <v>1.35</v>
      </c>
      <c r="Q16" s="51">
        <v>10.199999999999999</v>
      </c>
    </row>
    <row r="17" spans="1:17" customFormat="1">
      <c r="A17" s="50">
        <v>45642.375</v>
      </c>
      <c r="B17" s="51">
        <v>38.49</v>
      </c>
      <c r="C17" s="51">
        <v>26.61</v>
      </c>
      <c r="D17" s="51">
        <v>44.98</v>
      </c>
      <c r="E17" s="51">
        <v>8.19</v>
      </c>
      <c r="F17" s="30" t="s">
        <v>8</v>
      </c>
      <c r="G17" s="51">
        <v>112.1</v>
      </c>
      <c r="H17" s="51">
        <v>46.7</v>
      </c>
      <c r="I17" s="51">
        <v>15.69</v>
      </c>
      <c r="J17" s="51">
        <v>0.64</v>
      </c>
      <c r="K17" s="51">
        <v>64.27</v>
      </c>
      <c r="L17" s="51">
        <v>18.3</v>
      </c>
      <c r="M17" s="51">
        <v>56.62</v>
      </c>
      <c r="N17" s="51">
        <v>263.8</v>
      </c>
      <c r="O17" s="51">
        <v>0</v>
      </c>
      <c r="P17" s="51">
        <v>1.31</v>
      </c>
      <c r="Q17" s="51">
        <v>10.199999999999999</v>
      </c>
    </row>
    <row r="18" spans="1:17" customFormat="1">
      <c r="A18" s="50">
        <v>45642.416666666664</v>
      </c>
      <c r="B18" s="51">
        <v>32.81</v>
      </c>
      <c r="C18" s="51">
        <v>28.95</v>
      </c>
      <c r="D18" s="51">
        <v>41.9</v>
      </c>
      <c r="E18" s="51">
        <v>8.8699999999999992</v>
      </c>
      <c r="F18" s="30" t="s">
        <v>8</v>
      </c>
      <c r="G18" s="51">
        <v>113.82</v>
      </c>
      <c r="H18" s="51">
        <v>44.23</v>
      </c>
      <c r="I18" s="51">
        <v>15.42</v>
      </c>
      <c r="J18" s="51">
        <v>1.01</v>
      </c>
      <c r="K18" s="51">
        <v>53.09</v>
      </c>
      <c r="L18" s="51">
        <v>20.9</v>
      </c>
      <c r="M18" s="51">
        <v>44.13</v>
      </c>
      <c r="N18" s="51">
        <v>391.5</v>
      </c>
      <c r="O18" s="51">
        <v>0</v>
      </c>
      <c r="P18" s="51">
        <v>1.24</v>
      </c>
      <c r="Q18" s="51">
        <v>10.17</v>
      </c>
    </row>
    <row r="19" spans="1:17" customFormat="1">
      <c r="A19" s="50">
        <v>45642.458333333336</v>
      </c>
      <c r="B19" s="51">
        <v>26.01</v>
      </c>
      <c r="C19" s="51">
        <v>30.51</v>
      </c>
      <c r="D19" s="51">
        <v>37.58</v>
      </c>
      <c r="E19" s="51">
        <v>8.52</v>
      </c>
      <c r="F19" s="30" t="s">
        <v>8</v>
      </c>
      <c r="G19" s="51">
        <v>113.82</v>
      </c>
      <c r="H19" s="51">
        <v>43.17</v>
      </c>
      <c r="I19" s="51">
        <v>14.53</v>
      </c>
      <c r="J19" s="51">
        <v>0.75</v>
      </c>
      <c r="K19" s="51">
        <v>50.09</v>
      </c>
      <c r="L19" s="51">
        <v>23.1</v>
      </c>
      <c r="M19" s="51">
        <v>39.25</v>
      </c>
      <c r="N19" s="51">
        <v>524.4</v>
      </c>
      <c r="O19" s="51">
        <v>0</v>
      </c>
      <c r="P19" s="51">
        <v>1.1399999999999999</v>
      </c>
      <c r="Q19" s="51">
        <v>10.17</v>
      </c>
    </row>
    <row r="20" spans="1:17" customFormat="1">
      <c r="A20" s="50">
        <v>45642.5</v>
      </c>
      <c r="B20" s="51">
        <v>18.66</v>
      </c>
      <c r="C20" s="51">
        <v>32.92</v>
      </c>
      <c r="D20" s="51">
        <v>32.54</v>
      </c>
      <c r="E20" s="51">
        <v>10.24</v>
      </c>
      <c r="F20" s="30" t="s">
        <v>8</v>
      </c>
      <c r="G20" s="51">
        <v>105.21</v>
      </c>
      <c r="H20" s="51">
        <v>39.33</v>
      </c>
      <c r="I20" s="51">
        <v>13.3</v>
      </c>
      <c r="J20" s="51">
        <v>0.65</v>
      </c>
      <c r="K20" s="51">
        <v>79.92</v>
      </c>
      <c r="L20" s="51">
        <v>25.35</v>
      </c>
      <c r="M20" s="51">
        <v>33.19</v>
      </c>
      <c r="N20" s="51">
        <v>560.79999999999995</v>
      </c>
      <c r="O20" s="51">
        <v>0</v>
      </c>
      <c r="P20" s="51">
        <v>1.05</v>
      </c>
      <c r="Q20" s="51">
        <v>10.14</v>
      </c>
    </row>
    <row r="21" spans="1:17" customFormat="1">
      <c r="A21" s="50">
        <v>45642.541666666664</v>
      </c>
      <c r="B21" s="51">
        <v>13.68</v>
      </c>
      <c r="C21" s="51">
        <v>33.4</v>
      </c>
      <c r="D21" s="51">
        <v>29.77</v>
      </c>
      <c r="E21" s="51">
        <v>14.07</v>
      </c>
      <c r="F21" s="30" t="s">
        <v>8</v>
      </c>
      <c r="G21" s="51">
        <v>101.51</v>
      </c>
      <c r="H21" s="51">
        <v>38.799999999999997</v>
      </c>
      <c r="I21" s="51">
        <v>12.16</v>
      </c>
      <c r="J21" s="51">
        <v>0.57999999999999996</v>
      </c>
      <c r="K21" s="51">
        <v>63.51</v>
      </c>
      <c r="L21" s="51">
        <v>26.13</v>
      </c>
      <c r="M21" s="51">
        <v>26.91</v>
      </c>
      <c r="N21" s="51">
        <v>475.1</v>
      </c>
      <c r="O21" s="51">
        <v>0</v>
      </c>
      <c r="P21" s="51">
        <v>0.98</v>
      </c>
      <c r="Q21" s="51">
        <v>10.11</v>
      </c>
    </row>
    <row r="22" spans="1:17" customFormat="1">
      <c r="A22" s="50">
        <v>45642.583333333336</v>
      </c>
      <c r="B22" s="51">
        <v>11.09</v>
      </c>
      <c r="C22" s="51">
        <v>30.17</v>
      </c>
      <c r="D22" s="51">
        <v>26.01</v>
      </c>
      <c r="E22" s="51">
        <v>8.9700000000000006</v>
      </c>
      <c r="F22" s="30" t="s">
        <v>8</v>
      </c>
      <c r="G22" s="51">
        <v>91.97</v>
      </c>
      <c r="H22" s="51">
        <v>35.68</v>
      </c>
      <c r="I22" s="51">
        <v>11.42</v>
      </c>
      <c r="J22" s="51">
        <v>0.61</v>
      </c>
      <c r="K22" s="51">
        <v>114.29</v>
      </c>
      <c r="L22" s="51">
        <v>26.46</v>
      </c>
      <c r="M22" s="51">
        <v>24.98</v>
      </c>
      <c r="N22" s="51">
        <v>489</v>
      </c>
      <c r="O22" s="51">
        <v>0</v>
      </c>
      <c r="P22" s="51">
        <v>0.92</v>
      </c>
      <c r="Q22" s="51">
        <v>10.1</v>
      </c>
    </row>
    <row r="23" spans="1:17" customFormat="1">
      <c r="A23" s="50">
        <v>45642.625</v>
      </c>
      <c r="B23" s="51">
        <v>7.53</v>
      </c>
      <c r="C23" s="51">
        <v>27.32</v>
      </c>
      <c r="D23" s="51">
        <v>21.67</v>
      </c>
      <c r="E23" s="51">
        <v>14.38</v>
      </c>
      <c r="F23" s="30" t="s">
        <v>8</v>
      </c>
      <c r="G23" s="51">
        <v>85.16</v>
      </c>
      <c r="H23" s="51">
        <v>35.43</v>
      </c>
      <c r="I23" s="51">
        <v>10.9</v>
      </c>
      <c r="J23" s="51">
        <v>0.41</v>
      </c>
      <c r="K23" s="51">
        <v>354.81</v>
      </c>
      <c r="L23" s="51">
        <v>25.86</v>
      </c>
      <c r="M23" s="51">
        <v>23.9</v>
      </c>
      <c r="N23" s="51">
        <v>98.3</v>
      </c>
      <c r="O23" s="51">
        <v>0</v>
      </c>
      <c r="P23" s="51">
        <v>0.74</v>
      </c>
      <c r="Q23" s="51">
        <v>10.09</v>
      </c>
    </row>
    <row r="24" spans="1:17" customFormat="1">
      <c r="A24" s="50">
        <v>45642.666666666664</v>
      </c>
      <c r="B24" s="51">
        <v>5.76</v>
      </c>
      <c r="C24" s="51">
        <v>25.42</v>
      </c>
      <c r="D24" s="51">
        <v>19.25</v>
      </c>
      <c r="E24" s="51">
        <v>14.87</v>
      </c>
      <c r="F24" s="30" t="s">
        <v>8</v>
      </c>
      <c r="G24" s="51">
        <v>79.98</v>
      </c>
      <c r="H24" s="51">
        <v>32.25</v>
      </c>
      <c r="I24" s="51">
        <v>10.33</v>
      </c>
      <c r="J24" s="51">
        <v>0.64</v>
      </c>
      <c r="K24" s="51">
        <v>57.04</v>
      </c>
      <c r="L24" s="51">
        <v>25.78</v>
      </c>
      <c r="M24" s="51">
        <v>22.17</v>
      </c>
      <c r="N24" s="51">
        <v>53.1</v>
      </c>
      <c r="O24" s="51">
        <v>0</v>
      </c>
      <c r="P24" s="51">
        <v>0.75</v>
      </c>
      <c r="Q24" s="51">
        <v>10.08</v>
      </c>
    </row>
    <row r="25" spans="1:17" customFormat="1">
      <c r="A25" s="50">
        <v>45642.708333333336</v>
      </c>
      <c r="B25" s="51">
        <v>6.5</v>
      </c>
      <c r="C25" s="51">
        <v>24.89</v>
      </c>
      <c r="D25" s="51">
        <v>19.57</v>
      </c>
      <c r="E25" s="51">
        <v>13.34</v>
      </c>
      <c r="F25" s="30" t="s">
        <v>8</v>
      </c>
      <c r="G25" s="51">
        <v>79.81</v>
      </c>
      <c r="H25" s="51">
        <v>30.04</v>
      </c>
      <c r="I25" s="51">
        <v>9.7200000000000006</v>
      </c>
      <c r="J25" s="51">
        <v>0.38</v>
      </c>
      <c r="K25" s="51">
        <v>56.26</v>
      </c>
      <c r="L25" s="51">
        <v>25.23</v>
      </c>
      <c r="M25" s="51">
        <v>28.68</v>
      </c>
      <c r="N25" s="51">
        <v>27.3</v>
      </c>
      <c r="O25" s="51">
        <v>0</v>
      </c>
      <c r="P25" s="51">
        <v>0.78</v>
      </c>
      <c r="Q25" s="51">
        <v>10.06</v>
      </c>
    </row>
    <row r="26" spans="1:17" customFormat="1">
      <c r="A26" s="50">
        <v>45642.75</v>
      </c>
      <c r="B26" s="51">
        <v>7.59</v>
      </c>
      <c r="C26" s="51">
        <v>28.89</v>
      </c>
      <c r="D26" s="51">
        <v>22.53</v>
      </c>
      <c r="E26" s="51">
        <v>8.5500000000000007</v>
      </c>
      <c r="F26" s="30" t="s">
        <v>8</v>
      </c>
      <c r="G26" s="51">
        <v>93.04</v>
      </c>
      <c r="H26" s="51">
        <v>28.38</v>
      </c>
      <c r="I26" s="51">
        <v>9.7799999999999994</v>
      </c>
      <c r="J26" s="51">
        <v>0.31</v>
      </c>
      <c r="K26" s="51">
        <v>157.54</v>
      </c>
      <c r="L26" s="51">
        <v>22.3</v>
      </c>
      <c r="M26" s="51">
        <v>47.78</v>
      </c>
      <c r="N26" s="51">
        <v>4.0999999999999996</v>
      </c>
      <c r="O26" s="51">
        <v>0</v>
      </c>
      <c r="P26" s="51">
        <v>0.85</v>
      </c>
      <c r="Q26" s="51">
        <v>10.09</v>
      </c>
    </row>
    <row r="27" spans="1:17" customFormat="1">
      <c r="A27" s="50">
        <v>45642.791666666664</v>
      </c>
      <c r="B27" s="51">
        <v>7.56</v>
      </c>
      <c r="C27" s="51">
        <v>30.4</v>
      </c>
      <c r="D27" s="51">
        <v>23.15</v>
      </c>
      <c r="E27" s="51">
        <v>10.19</v>
      </c>
      <c r="F27" s="30" t="s">
        <v>8</v>
      </c>
      <c r="G27" s="51">
        <v>121.14</v>
      </c>
      <c r="H27" s="51">
        <v>36.81</v>
      </c>
      <c r="I27" s="51">
        <v>10.83</v>
      </c>
      <c r="J27" s="51">
        <v>0.35</v>
      </c>
      <c r="K27" s="51">
        <v>203.65</v>
      </c>
      <c r="L27" s="51">
        <v>18.989999999999998</v>
      </c>
      <c r="M27" s="51">
        <v>64.19</v>
      </c>
      <c r="N27" s="51">
        <v>2.1</v>
      </c>
      <c r="O27" s="51">
        <v>0</v>
      </c>
      <c r="P27" s="51">
        <v>0.94</v>
      </c>
      <c r="Q27" s="51">
        <v>10.1</v>
      </c>
    </row>
    <row r="28" spans="1:17" customFormat="1">
      <c r="A28" s="50">
        <v>45642.833333333336</v>
      </c>
      <c r="B28" s="51">
        <v>7.67</v>
      </c>
      <c r="C28" s="51">
        <v>30.84</v>
      </c>
      <c r="D28" s="51">
        <v>23.62</v>
      </c>
      <c r="E28" s="51">
        <v>9.4</v>
      </c>
      <c r="F28" s="30" t="s">
        <v>8</v>
      </c>
      <c r="G28" s="51">
        <v>129.36000000000001</v>
      </c>
      <c r="H28" s="51">
        <v>41.67</v>
      </c>
      <c r="I28" s="51">
        <v>12.02</v>
      </c>
      <c r="J28" s="51">
        <v>0.19</v>
      </c>
      <c r="K28" s="51">
        <v>215.69</v>
      </c>
      <c r="L28" s="51">
        <v>16.72</v>
      </c>
      <c r="M28" s="51">
        <v>74.010000000000005</v>
      </c>
      <c r="N28" s="51">
        <v>1.5</v>
      </c>
      <c r="O28" s="51">
        <v>0</v>
      </c>
      <c r="P28" s="51">
        <v>1.03</v>
      </c>
      <c r="Q28" s="51">
        <v>10.11</v>
      </c>
    </row>
    <row r="29" spans="1:17" customFormat="1">
      <c r="A29" s="50">
        <v>45642.875</v>
      </c>
      <c r="B29" s="51">
        <v>7.14</v>
      </c>
      <c r="C29" s="51">
        <v>29.46</v>
      </c>
      <c r="D29" s="51">
        <v>22.46</v>
      </c>
      <c r="E29" s="51">
        <v>9.15</v>
      </c>
      <c r="F29" s="30" t="s">
        <v>8</v>
      </c>
      <c r="G29" s="51">
        <v>129.5</v>
      </c>
      <c r="H29" s="51">
        <v>42.76</v>
      </c>
      <c r="I29" s="51">
        <v>12.91</v>
      </c>
      <c r="J29" s="51">
        <v>0.21</v>
      </c>
      <c r="K29" s="51">
        <v>211.1</v>
      </c>
      <c r="L29" s="51">
        <v>15.32</v>
      </c>
      <c r="M29" s="51">
        <v>79.34</v>
      </c>
      <c r="N29" s="51">
        <v>1.4</v>
      </c>
      <c r="O29" s="51">
        <v>0</v>
      </c>
      <c r="P29" s="51">
        <v>1.1100000000000001</v>
      </c>
      <c r="Q29" s="51">
        <v>10.08</v>
      </c>
    </row>
    <row r="30" spans="1:17" customFormat="1">
      <c r="A30" s="50">
        <v>45642.916666666664</v>
      </c>
      <c r="B30" s="51">
        <v>7.29</v>
      </c>
      <c r="C30" s="51">
        <v>27.74</v>
      </c>
      <c r="D30" s="51">
        <v>21.32</v>
      </c>
      <c r="E30" s="51">
        <v>9.14</v>
      </c>
      <c r="F30" s="30" t="s">
        <v>8</v>
      </c>
      <c r="G30" s="51">
        <v>129.5</v>
      </c>
      <c r="H30" s="51">
        <v>42.76</v>
      </c>
      <c r="I30" s="51">
        <v>13.96</v>
      </c>
      <c r="J30" s="51">
        <v>0.2</v>
      </c>
      <c r="K30" s="51">
        <v>195.62</v>
      </c>
      <c r="L30" s="51">
        <v>14.64</v>
      </c>
      <c r="M30" s="51">
        <v>83.35</v>
      </c>
      <c r="N30" s="51">
        <v>1.5</v>
      </c>
      <c r="O30" s="51">
        <v>0</v>
      </c>
      <c r="P30" s="51">
        <v>1.2</v>
      </c>
      <c r="Q30" s="51">
        <v>10.08</v>
      </c>
    </row>
    <row r="31" spans="1:17" customFormat="1">
      <c r="A31" s="50">
        <v>45642.958333333336</v>
      </c>
      <c r="B31" s="51">
        <v>7.28</v>
      </c>
      <c r="C31" s="51">
        <v>26.06</v>
      </c>
      <c r="D31" s="51">
        <v>20.79</v>
      </c>
      <c r="E31" s="51">
        <v>9.23</v>
      </c>
      <c r="F31" s="30" t="s">
        <v>8</v>
      </c>
      <c r="G31" s="51">
        <v>129.88</v>
      </c>
      <c r="H31" s="51">
        <v>43.13</v>
      </c>
      <c r="I31" s="51">
        <v>14.92</v>
      </c>
      <c r="J31" s="51">
        <v>0.15</v>
      </c>
      <c r="K31" s="51">
        <v>184.16</v>
      </c>
      <c r="L31" s="51">
        <v>13.89</v>
      </c>
      <c r="M31" s="51">
        <v>85.77</v>
      </c>
      <c r="N31" s="51">
        <v>1.3</v>
      </c>
      <c r="O31" s="51">
        <v>0</v>
      </c>
      <c r="P31" s="51">
        <v>1.25</v>
      </c>
      <c r="Q31" s="51">
        <v>10.050000000000001</v>
      </c>
    </row>
    <row r="32" spans="1:17" customFormat="1">
      <c r="A32" s="50">
        <v>45643</v>
      </c>
      <c r="B32" s="51">
        <v>10.09</v>
      </c>
      <c r="C32" s="51">
        <v>25.04</v>
      </c>
      <c r="D32" s="51">
        <v>22.53</v>
      </c>
      <c r="E32" s="51">
        <v>9.41</v>
      </c>
      <c r="F32" s="30" t="s">
        <v>8</v>
      </c>
      <c r="G32" s="51">
        <v>129.88</v>
      </c>
      <c r="H32" s="51">
        <v>48.43</v>
      </c>
      <c r="I32" s="51">
        <v>15.34</v>
      </c>
      <c r="J32" s="51">
        <v>0.14000000000000001</v>
      </c>
      <c r="K32" s="51">
        <v>219.11</v>
      </c>
      <c r="L32" s="51">
        <v>13.64</v>
      </c>
      <c r="M32" s="51">
        <v>87.58</v>
      </c>
      <c r="N32" s="51">
        <v>1.3</v>
      </c>
      <c r="O32" s="51">
        <v>0</v>
      </c>
      <c r="P32" s="51">
        <v>1.28</v>
      </c>
      <c r="Q32" s="51">
        <v>10.039999999999999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5.76</v>
      </c>
      <c r="C34" s="41">
        <f t="shared" si="0"/>
        <v>23.91</v>
      </c>
      <c r="D34" s="41">
        <f t="shared" si="0"/>
        <v>19.25</v>
      </c>
      <c r="E34" s="41">
        <f t="shared" si="0"/>
        <v>7.77</v>
      </c>
      <c r="F34" s="30" t="s">
        <v>8</v>
      </c>
      <c r="G34" s="41">
        <f t="shared" si="0"/>
        <v>79.81</v>
      </c>
      <c r="H34" s="41">
        <f t="shared" si="0"/>
        <v>28.38</v>
      </c>
      <c r="I34" s="41">
        <f t="shared" si="0"/>
        <v>9.7200000000000006</v>
      </c>
      <c r="J34" s="41">
        <f t="shared" si="0"/>
        <v>0.14000000000000001</v>
      </c>
      <c r="K34" s="41">
        <f t="shared" si="0"/>
        <v>50.09</v>
      </c>
      <c r="L34" s="41">
        <f t="shared" si="0"/>
        <v>10.5</v>
      </c>
      <c r="M34" s="41">
        <f t="shared" si="0"/>
        <v>22.17</v>
      </c>
      <c r="N34" s="41">
        <f t="shared" si="0"/>
        <v>1.1000000000000001</v>
      </c>
      <c r="O34" s="41">
        <f t="shared" si="0"/>
        <v>0</v>
      </c>
      <c r="P34" s="41">
        <f t="shared" si="0"/>
        <v>0.74</v>
      </c>
      <c r="Q34" s="41">
        <f t="shared" si="0"/>
        <v>10.039999999999999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51.55</v>
      </c>
      <c r="C35" s="33">
        <f t="shared" si="1"/>
        <v>33.4</v>
      </c>
      <c r="D35" s="33">
        <f t="shared" si="1"/>
        <v>56.86</v>
      </c>
      <c r="E35" s="33">
        <f t="shared" si="1"/>
        <v>14.87</v>
      </c>
      <c r="F35" s="30" t="s">
        <v>8</v>
      </c>
      <c r="G35" s="33">
        <f t="shared" si="1"/>
        <v>133.22</v>
      </c>
      <c r="H35" s="33">
        <f t="shared" si="1"/>
        <v>52.82</v>
      </c>
      <c r="I35" s="33">
        <f t="shared" si="1"/>
        <v>16.850000000000001</v>
      </c>
      <c r="J35" s="33">
        <f t="shared" si="1"/>
        <v>1.01</v>
      </c>
      <c r="K35" s="33">
        <f t="shared" si="1"/>
        <v>354.81</v>
      </c>
      <c r="L35" s="33">
        <f t="shared" si="1"/>
        <v>26.46</v>
      </c>
      <c r="M35" s="33">
        <f t="shared" si="1"/>
        <v>96.88</v>
      </c>
      <c r="N35" s="33">
        <f t="shared" si="1"/>
        <v>560.79999999999995</v>
      </c>
      <c r="O35" s="33">
        <f t="shared" si="1"/>
        <v>0</v>
      </c>
      <c r="P35" s="33">
        <f t="shared" si="1"/>
        <v>1.51</v>
      </c>
      <c r="Q35" s="33">
        <f t="shared" si="1"/>
        <v>10.210000000000001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23.632916666666659</v>
      </c>
      <c r="C36" s="41">
        <f t="shared" si="2"/>
        <v>27.836249999999996</v>
      </c>
      <c r="D36" s="41">
        <f t="shared" si="2"/>
        <v>34.653749999999995</v>
      </c>
      <c r="E36" s="41">
        <f t="shared" si="2"/>
        <v>9.7591666666666654</v>
      </c>
      <c r="F36" s="30" t="s">
        <v>8</v>
      </c>
      <c r="G36" s="41">
        <f t="shared" si="2"/>
        <v>114.31375000000001</v>
      </c>
      <c r="H36" s="41">
        <f t="shared" si="2"/>
        <v>42.817083333333329</v>
      </c>
      <c r="I36" s="41">
        <f t="shared" si="2"/>
        <v>13.918333333333331</v>
      </c>
      <c r="J36" s="41">
        <f t="shared" si="2"/>
        <v>0.37958333333333338</v>
      </c>
      <c r="K36" s="41">
        <f t="shared" si="2"/>
        <v>167.22083333333333</v>
      </c>
      <c r="L36" s="41">
        <f t="shared" si="2"/>
        <v>17.792916666666663</v>
      </c>
      <c r="M36" s="41">
        <f t="shared" si="2"/>
        <v>65.403749999999988</v>
      </c>
      <c r="N36" s="41">
        <f t="shared" si="2"/>
        <v>127.32083333333337</v>
      </c>
      <c r="O36" s="41">
        <f t="shared" si="2"/>
        <v>0</v>
      </c>
      <c r="P36" s="41">
        <f t="shared" si="2"/>
        <v>1.1708333333333336</v>
      </c>
      <c r="Q36" s="41">
        <f t="shared" si="2"/>
        <v>10.131666666666669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17.456799467397452</v>
      </c>
      <c r="C37" s="41">
        <f t="shared" ref="C37:Q37" si="3">STDEV(C9:C32)</f>
        <v>2.5757393408833464</v>
      </c>
      <c r="D37" s="41">
        <f t="shared" si="3"/>
        <v>13.520928644625105</v>
      </c>
      <c r="E37" s="41">
        <f t="shared" si="3"/>
        <v>2.1172006059410444</v>
      </c>
      <c r="F37" s="30" t="s">
        <v>8</v>
      </c>
      <c r="G37" s="41">
        <f t="shared" si="3"/>
        <v>17.52465265115044</v>
      </c>
      <c r="H37" s="41">
        <f t="shared" si="3"/>
        <v>7.0529435601257493</v>
      </c>
      <c r="I37" s="41">
        <f t="shared" si="3"/>
        <v>2.4514479601756438</v>
      </c>
      <c r="J37" s="41">
        <f t="shared" si="3"/>
        <v>0.25309354116553445</v>
      </c>
      <c r="K37" s="41">
        <f t="shared" si="3"/>
        <v>81.125947005481777</v>
      </c>
      <c r="L37" s="41">
        <f t="shared" si="3"/>
        <v>5.875305342049808</v>
      </c>
      <c r="M37" s="41">
        <f t="shared" si="3"/>
        <v>28.352718727471874</v>
      </c>
      <c r="N37" s="41">
        <f t="shared" si="3"/>
        <v>199.93431090619794</v>
      </c>
      <c r="O37" s="41">
        <f t="shared" si="3"/>
        <v>0</v>
      </c>
      <c r="P37" s="41">
        <f t="shared" si="3"/>
        <v>0.25208550424265752</v>
      </c>
      <c r="Q37" s="41">
        <f t="shared" si="3"/>
        <v>5.5534295448979011E-2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30" activePane="bottomRight" state="frozen"/>
      <selection activeCell="A9" sqref="A9"/>
      <selection pane="topRight" activeCell="A9" sqref="A9"/>
      <selection pane="bottomLeft" activeCell="A9" sqref="A9"/>
      <selection pane="bottomRight" activeCell="F39" sqref="F3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45643.041666666664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45643.041666666664</v>
      </c>
      <c r="B9" s="51">
        <v>13.88</v>
      </c>
      <c r="C9" s="51">
        <v>25.57</v>
      </c>
      <c r="D9" s="51">
        <v>25.72</v>
      </c>
      <c r="E9" s="51">
        <v>9.2899999999999991</v>
      </c>
      <c r="F9" s="30" t="s">
        <v>8</v>
      </c>
      <c r="G9" s="51">
        <v>126.69</v>
      </c>
      <c r="H9" s="51">
        <v>48.43</v>
      </c>
      <c r="I9" s="51">
        <v>15.52</v>
      </c>
      <c r="J9" s="51">
        <v>0.16</v>
      </c>
      <c r="K9" s="51">
        <v>222.96</v>
      </c>
      <c r="L9" s="51">
        <v>13.11</v>
      </c>
      <c r="M9" s="51">
        <v>95.85</v>
      </c>
      <c r="N9" s="51">
        <v>1.4</v>
      </c>
      <c r="O9" s="51">
        <v>0</v>
      </c>
      <c r="P9" s="51">
        <v>1.31</v>
      </c>
      <c r="Q9" s="51">
        <v>10.07</v>
      </c>
    </row>
    <row r="10" spans="1:21" customFormat="1">
      <c r="A10" s="50">
        <v>45643.083333333336</v>
      </c>
      <c r="B10" s="51">
        <v>15.53</v>
      </c>
      <c r="C10" s="51">
        <v>24.98</v>
      </c>
      <c r="D10" s="51">
        <v>26.84</v>
      </c>
      <c r="E10" s="51">
        <v>9.26</v>
      </c>
      <c r="F10" s="30" t="s">
        <v>8</v>
      </c>
      <c r="G10" s="51">
        <v>126.69</v>
      </c>
      <c r="H10" s="51">
        <v>49.68</v>
      </c>
      <c r="I10" s="51">
        <v>15.62</v>
      </c>
      <c r="J10" s="51">
        <v>0.15</v>
      </c>
      <c r="K10" s="51">
        <v>181.08</v>
      </c>
      <c r="L10" s="51">
        <v>12.42</v>
      </c>
      <c r="M10" s="51">
        <v>90.06</v>
      </c>
      <c r="N10" s="51">
        <v>1.3</v>
      </c>
      <c r="O10" s="51">
        <v>0</v>
      </c>
      <c r="P10" s="51">
        <v>1.32</v>
      </c>
      <c r="Q10" s="51">
        <v>10.1</v>
      </c>
    </row>
    <row r="11" spans="1:21" customFormat="1">
      <c r="A11" s="50">
        <v>45643.125</v>
      </c>
      <c r="B11" s="51">
        <v>27.39</v>
      </c>
      <c r="C11" s="51">
        <v>26.42</v>
      </c>
      <c r="D11" s="51">
        <v>37.119999999999997</v>
      </c>
      <c r="E11" s="51">
        <v>8.19</v>
      </c>
      <c r="F11" s="30" t="s">
        <v>8</v>
      </c>
      <c r="G11" s="51">
        <v>126.53</v>
      </c>
      <c r="H11" s="51">
        <v>50.6</v>
      </c>
      <c r="I11" s="51">
        <v>15.96</v>
      </c>
      <c r="J11" s="51">
        <v>0.36</v>
      </c>
      <c r="K11" s="51">
        <v>168.34</v>
      </c>
      <c r="L11" s="51">
        <v>13.09</v>
      </c>
      <c r="M11" s="51">
        <v>86.83</v>
      </c>
      <c r="N11" s="51">
        <v>1.2</v>
      </c>
      <c r="O11" s="51">
        <v>0</v>
      </c>
      <c r="P11" s="51">
        <v>1.42</v>
      </c>
      <c r="Q11" s="51">
        <v>10.14</v>
      </c>
    </row>
    <row r="12" spans="1:21" customFormat="1">
      <c r="A12" s="50">
        <v>45643.166666666664</v>
      </c>
      <c r="B12" s="51">
        <v>27.58</v>
      </c>
      <c r="C12" s="51">
        <v>27.08</v>
      </c>
      <c r="D12" s="51">
        <v>37.46</v>
      </c>
      <c r="E12" s="51">
        <v>7.92</v>
      </c>
      <c r="F12" s="30" t="s">
        <v>8</v>
      </c>
      <c r="G12" s="51">
        <v>141.38999999999999</v>
      </c>
      <c r="H12" s="51">
        <v>54.85</v>
      </c>
      <c r="I12" s="51">
        <v>17.010000000000002</v>
      </c>
      <c r="J12" s="51">
        <v>0.24</v>
      </c>
      <c r="K12" s="51">
        <v>215.98</v>
      </c>
      <c r="L12" s="51">
        <v>13.13</v>
      </c>
      <c r="M12" s="51">
        <v>86.46</v>
      </c>
      <c r="N12" s="51">
        <v>1.8</v>
      </c>
      <c r="O12" s="51">
        <v>0</v>
      </c>
      <c r="P12" s="51">
        <v>1.46</v>
      </c>
      <c r="Q12" s="51">
        <v>10.16</v>
      </c>
    </row>
    <row r="13" spans="1:21" customFormat="1">
      <c r="A13" s="50">
        <v>45643.208333333336</v>
      </c>
      <c r="B13" s="51">
        <v>25.72</v>
      </c>
      <c r="C13" s="51">
        <v>27.01</v>
      </c>
      <c r="D13" s="51">
        <v>36.090000000000003</v>
      </c>
      <c r="E13" s="51">
        <v>8.0299999999999994</v>
      </c>
      <c r="F13" s="30" t="s">
        <v>8</v>
      </c>
      <c r="G13" s="51">
        <v>141.38999999999999</v>
      </c>
      <c r="H13" s="51">
        <v>54.85</v>
      </c>
      <c r="I13" s="51">
        <v>17.34</v>
      </c>
      <c r="J13" s="51">
        <v>0.21</v>
      </c>
      <c r="K13" s="51">
        <v>226.33</v>
      </c>
      <c r="L13" s="51">
        <v>11.62</v>
      </c>
      <c r="M13" s="51">
        <v>95.31</v>
      </c>
      <c r="N13" s="51">
        <v>1.3</v>
      </c>
      <c r="O13" s="51">
        <v>0</v>
      </c>
      <c r="P13" s="51">
        <v>1.48</v>
      </c>
      <c r="Q13" s="51">
        <v>10.14</v>
      </c>
    </row>
    <row r="14" spans="1:21" customFormat="1">
      <c r="A14" s="50">
        <v>45643.25</v>
      </c>
      <c r="B14" s="51">
        <v>23.09</v>
      </c>
      <c r="C14" s="51">
        <v>25.84</v>
      </c>
      <c r="D14" s="51">
        <v>33.369999999999997</v>
      </c>
      <c r="E14" s="51">
        <v>7.61</v>
      </c>
      <c r="F14" s="30" t="s">
        <v>8</v>
      </c>
      <c r="G14" s="51">
        <v>135.41</v>
      </c>
      <c r="H14" s="51">
        <v>51.78</v>
      </c>
      <c r="I14" s="51">
        <v>17.59</v>
      </c>
      <c r="J14" s="51">
        <v>0.22</v>
      </c>
      <c r="K14" s="51">
        <v>185.93</v>
      </c>
      <c r="L14" s="51">
        <v>10.91</v>
      </c>
      <c r="M14" s="51">
        <v>99.09</v>
      </c>
      <c r="N14" s="51">
        <v>1.5</v>
      </c>
      <c r="O14" s="51">
        <v>0</v>
      </c>
      <c r="P14" s="51">
        <v>1.47</v>
      </c>
      <c r="Q14" s="51">
        <v>10.130000000000001</v>
      </c>
    </row>
    <row r="15" spans="1:21" customFormat="1">
      <c r="A15" s="50">
        <v>45643.291666666664</v>
      </c>
      <c r="B15" s="51">
        <v>36.58</v>
      </c>
      <c r="C15" s="51">
        <v>25.85</v>
      </c>
      <c r="D15" s="51">
        <v>44.19</v>
      </c>
      <c r="E15" s="51">
        <v>7.94</v>
      </c>
      <c r="F15" s="30" t="s">
        <v>8</v>
      </c>
      <c r="G15" s="51">
        <v>134.38999999999999</v>
      </c>
      <c r="H15" s="51">
        <v>52.9</v>
      </c>
      <c r="I15" s="51">
        <v>18.14</v>
      </c>
      <c r="J15" s="51">
        <v>0.15</v>
      </c>
      <c r="K15" s="51">
        <v>191.02</v>
      </c>
      <c r="L15" s="51">
        <v>11.43</v>
      </c>
      <c r="M15" s="51">
        <v>103.31</v>
      </c>
      <c r="N15" s="51">
        <v>16.899999999999999</v>
      </c>
      <c r="O15" s="51">
        <v>0</v>
      </c>
      <c r="P15" s="51">
        <v>1.5</v>
      </c>
      <c r="Q15" s="51">
        <v>10.15</v>
      </c>
    </row>
    <row r="16" spans="1:21" customFormat="1">
      <c r="A16" s="50">
        <v>45643.333333333336</v>
      </c>
      <c r="B16" s="51">
        <v>38.21</v>
      </c>
      <c r="C16" s="51">
        <v>26.52</v>
      </c>
      <c r="D16" s="51">
        <v>45.64</v>
      </c>
      <c r="E16" s="51">
        <v>8.0500000000000007</v>
      </c>
      <c r="F16" s="30" t="s">
        <v>8</v>
      </c>
      <c r="G16" s="51">
        <v>146.43</v>
      </c>
      <c r="H16" s="51">
        <v>59.59</v>
      </c>
      <c r="I16" s="51">
        <v>19.079999999999998</v>
      </c>
      <c r="J16" s="51">
        <v>0.59</v>
      </c>
      <c r="K16" s="51">
        <v>173.96</v>
      </c>
      <c r="L16" s="51">
        <v>14.45</v>
      </c>
      <c r="M16" s="51">
        <v>87.57</v>
      </c>
      <c r="N16" s="51">
        <v>118.4</v>
      </c>
      <c r="O16" s="51">
        <v>0</v>
      </c>
      <c r="P16" s="51">
        <v>1.5</v>
      </c>
      <c r="Q16" s="51">
        <v>10.199999999999999</v>
      </c>
    </row>
    <row r="17" spans="1:17" customFormat="1">
      <c r="A17" s="50">
        <v>45643.375</v>
      </c>
      <c r="B17" s="51">
        <v>36.6</v>
      </c>
      <c r="C17" s="51">
        <v>27.97</v>
      </c>
      <c r="D17" s="51">
        <v>44.81</v>
      </c>
      <c r="E17" s="51">
        <v>8.43</v>
      </c>
      <c r="F17" s="30" t="s">
        <v>8</v>
      </c>
      <c r="G17" s="51">
        <v>150.86000000000001</v>
      </c>
      <c r="H17" s="51">
        <v>62.86</v>
      </c>
      <c r="I17" s="51">
        <v>19.04</v>
      </c>
      <c r="J17" s="51">
        <v>0.76</v>
      </c>
      <c r="K17" s="51">
        <v>61.95</v>
      </c>
      <c r="L17" s="51">
        <v>18.22</v>
      </c>
      <c r="M17" s="51">
        <v>63.15</v>
      </c>
      <c r="N17" s="51">
        <v>254.8</v>
      </c>
      <c r="O17" s="51">
        <v>0</v>
      </c>
      <c r="P17" s="51">
        <v>1.46</v>
      </c>
      <c r="Q17" s="51">
        <v>10.16</v>
      </c>
    </row>
    <row r="18" spans="1:17" customFormat="1">
      <c r="A18" s="50">
        <v>45643.416666666664</v>
      </c>
      <c r="B18" s="51">
        <v>29.65</v>
      </c>
      <c r="C18" s="51">
        <v>28.16</v>
      </c>
      <c r="D18" s="51">
        <v>39.75</v>
      </c>
      <c r="E18" s="51">
        <v>8.9600000000000009</v>
      </c>
      <c r="F18" s="30" t="s">
        <v>8</v>
      </c>
      <c r="G18" s="51">
        <v>150.86000000000001</v>
      </c>
      <c r="H18" s="51">
        <v>62.86</v>
      </c>
      <c r="I18" s="51">
        <v>18.53</v>
      </c>
      <c r="J18" s="51">
        <v>0.64</v>
      </c>
      <c r="K18" s="51">
        <v>59.12</v>
      </c>
      <c r="L18" s="51">
        <v>21.48</v>
      </c>
      <c r="M18" s="51">
        <v>52.04</v>
      </c>
      <c r="N18" s="51">
        <v>377.3</v>
      </c>
      <c r="O18" s="51">
        <v>0</v>
      </c>
      <c r="P18" s="51">
        <v>1.36</v>
      </c>
      <c r="Q18" s="51">
        <v>10.14</v>
      </c>
    </row>
    <row r="19" spans="1:17" customFormat="1">
      <c r="A19" s="50">
        <v>45643.458333333336</v>
      </c>
      <c r="B19" s="51">
        <v>23.14</v>
      </c>
      <c r="C19" s="51">
        <v>28.16</v>
      </c>
      <c r="D19" s="51">
        <v>34.619999999999997</v>
      </c>
      <c r="E19" s="51">
        <v>10.93</v>
      </c>
      <c r="F19" s="30" t="s">
        <v>8</v>
      </c>
      <c r="G19" s="51">
        <v>145.27000000000001</v>
      </c>
      <c r="H19" s="51">
        <v>59.48</v>
      </c>
      <c r="I19" s="51">
        <v>17.350000000000001</v>
      </c>
      <c r="J19" s="51">
        <v>0.48</v>
      </c>
      <c r="K19" s="51">
        <v>177.06</v>
      </c>
      <c r="L19" s="51">
        <v>24.57</v>
      </c>
      <c r="M19" s="51">
        <v>43.47</v>
      </c>
      <c r="N19" s="51">
        <v>498</v>
      </c>
      <c r="O19" s="51">
        <v>0</v>
      </c>
      <c r="P19" s="51">
        <v>1.29</v>
      </c>
      <c r="Q19" s="51">
        <v>10.119999999999999</v>
      </c>
    </row>
    <row r="20" spans="1:17" customFormat="1">
      <c r="A20" s="50">
        <v>45643.5</v>
      </c>
      <c r="B20" s="51">
        <v>17.73</v>
      </c>
      <c r="C20" s="51">
        <v>27.75</v>
      </c>
      <c r="D20" s="51">
        <v>30.07</v>
      </c>
      <c r="E20" s="51">
        <v>11.43</v>
      </c>
      <c r="F20" s="30" t="s">
        <v>8</v>
      </c>
      <c r="G20" s="51">
        <v>131.91</v>
      </c>
      <c r="H20" s="51">
        <v>55.55</v>
      </c>
      <c r="I20" s="51">
        <v>16.61</v>
      </c>
      <c r="J20" s="51">
        <v>0.33</v>
      </c>
      <c r="K20" s="51">
        <v>227.84</v>
      </c>
      <c r="L20" s="51">
        <v>26.02</v>
      </c>
      <c r="M20" s="51">
        <v>37.89</v>
      </c>
      <c r="N20" s="51">
        <v>556.20000000000005</v>
      </c>
      <c r="O20" s="51">
        <v>0</v>
      </c>
      <c r="P20" s="51">
        <v>1.23</v>
      </c>
      <c r="Q20" s="51">
        <v>10.1</v>
      </c>
    </row>
    <row r="21" spans="1:17" customFormat="1">
      <c r="A21" s="50">
        <v>45643.541666666664</v>
      </c>
      <c r="B21" s="51">
        <v>8.66</v>
      </c>
      <c r="C21" s="51">
        <v>28.42</v>
      </c>
      <c r="D21" s="51">
        <v>22.55</v>
      </c>
      <c r="E21" s="51">
        <v>12.9</v>
      </c>
      <c r="F21" s="30" t="s">
        <v>8</v>
      </c>
      <c r="G21" s="51">
        <v>109.75</v>
      </c>
      <c r="H21" s="51">
        <v>50.97</v>
      </c>
      <c r="I21" s="51">
        <v>15.17</v>
      </c>
      <c r="J21" s="51">
        <v>0.87</v>
      </c>
      <c r="K21" s="51">
        <v>126.68</v>
      </c>
      <c r="L21" s="51">
        <v>27</v>
      </c>
      <c r="M21" s="51">
        <v>29.8</v>
      </c>
      <c r="N21" s="51">
        <v>492.2</v>
      </c>
      <c r="O21" s="51">
        <v>0</v>
      </c>
      <c r="P21" s="51">
        <v>1.1100000000000001</v>
      </c>
      <c r="Q21" s="51">
        <v>10.08</v>
      </c>
    </row>
    <row r="22" spans="1:17" customFormat="1">
      <c r="A22" s="50">
        <v>45643.583333333336</v>
      </c>
      <c r="B22" s="51">
        <v>4.26</v>
      </c>
      <c r="C22" s="51">
        <v>29.25</v>
      </c>
      <c r="D22" s="51">
        <v>19.91</v>
      </c>
      <c r="E22" s="51">
        <v>18.82</v>
      </c>
      <c r="F22" s="30" t="s">
        <v>8</v>
      </c>
      <c r="G22" s="51">
        <v>93.31</v>
      </c>
      <c r="H22" s="51">
        <v>42.16</v>
      </c>
      <c r="I22" s="51">
        <v>13.87</v>
      </c>
      <c r="J22" s="51">
        <v>0.61</v>
      </c>
      <c r="K22" s="51">
        <v>64.680000000000007</v>
      </c>
      <c r="L22" s="51">
        <v>26.88</v>
      </c>
      <c r="M22" s="51">
        <v>27.84</v>
      </c>
      <c r="N22" s="51">
        <v>481.9</v>
      </c>
      <c r="O22" s="51">
        <v>0</v>
      </c>
      <c r="P22" s="51">
        <v>0.98</v>
      </c>
      <c r="Q22" s="51">
        <v>10.119999999999999</v>
      </c>
    </row>
    <row r="23" spans="1:17" customFormat="1">
      <c r="A23" s="50">
        <v>45643.625</v>
      </c>
      <c r="B23" s="51">
        <v>3.9</v>
      </c>
      <c r="C23" s="51">
        <v>28.75</v>
      </c>
      <c r="D23" s="51">
        <v>19.5</v>
      </c>
      <c r="E23" s="51">
        <v>17.75</v>
      </c>
      <c r="F23" s="30" t="s">
        <v>8</v>
      </c>
      <c r="G23" s="51">
        <v>85.13</v>
      </c>
      <c r="H23" s="51">
        <v>37.01</v>
      </c>
      <c r="I23" s="51">
        <v>11.3</v>
      </c>
      <c r="J23" s="51">
        <v>0.42</v>
      </c>
      <c r="K23" s="51">
        <v>358.28</v>
      </c>
      <c r="L23" s="51">
        <v>26.42</v>
      </c>
      <c r="M23" s="51">
        <v>27.55</v>
      </c>
      <c r="N23" s="51">
        <v>99.8</v>
      </c>
      <c r="O23" s="51">
        <v>0</v>
      </c>
      <c r="P23" s="51">
        <v>0.77</v>
      </c>
      <c r="Q23" s="51">
        <v>10.11</v>
      </c>
    </row>
    <row r="24" spans="1:17" customFormat="1">
      <c r="A24" s="50">
        <v>45643.666666666664</v>
      </c>
      <c r="B24" s="51">
        <v>3.71</v>
      </c>
      <c r="C24" s="51">
        <v>26.17</v>
      </c>
      <c r="D24" s="51">
        <v>18</v>
      </c>
      <c r="E24" s="51">
        <v>12.94</v>
      </c>
      <c r="F24" s="30" t="s">
        <v>8</v>
      </c>
      <c r="G24" s="51">
        <v>35.31</v>
      </c>
      <c r="H24" s="51">
        <v>20.6</v>
      </c>
      <c r="I24" s="51">
        <v>9.33</v>
      </c>
      <c r="J24" s="51">
        <v>0.37</v>
      </c>
      <c r="K24" s="51">
        <v>197.37</v>
      </c>
      <c r="L24" s="51">
        <v>26.19</v>
      </c>
      <c r="M24" s="51">
        <v>32.630000000000003</v>
      </c>
      <c r="N24" s="51">
        <v>60.6</v>
      </c>
      <c r="O24" s="51">
        <v>0</v>
      </c>
      <c r="P24" s="51">
        <v>0.73</v>
      </c>
      <c r="Q24" s="51">
        <v>10.11</v>
      </c>
    </row>
    <row r="25" spans="1:17" customFormat="1">
      <c r="A25" s="50">
        <v>45643.708333333336</v>
      </c>
      <c r="B25" s="51">
        <v>3.71</v>
      </c>
      <c r="C25" s="51">
        <v>23.43</v>
      </c>
      <c r="D25" s="51">
        <v>16.54</v>
      </c>
      <c r="E25" s="51">
        <v>11.68</v>
      </c>
      <c r="F25" s="30" t="s">
        <v>8</v>
      </c>
      <c r="G25" s="51">
        <v>88.53</v>
      </c>
      <c r="H25" s="51">
        <v>48.06</v>
      </c>
      <c r="I25" s="51">
        <v>8.58</v>
      </c>
      <c r="J25" s="51">
        <v>0.31</v>
      </c>
      <c r="K25" s="51">
        <v>175.07</v>
      </c>
      <c r="L25" s="51">
        <v>24.7</v>
      </c>
      <c r="M25" s="51">
        <v>45.17</v>
      </c>
      <c r="N25" s="51">
        <v>30.8</v>
      </c>
      <c r="O25" s="51">
        <v>0</v>
      </c>
      <c r="P25" s="51">
        <v>0.71</v>
      </c>
      <c r="Q25" s="51">
        <v>10.1</v>
      </c>
    </row>
    <row r="26" spans="1:17" customFormat="1">
      <c r="A26" s="50">
        <v>45643.75</v>
      </c>
      <c r="B26" s="51">
        <v>7.39</v>
      </c>
      <c r="C26" s="51">
        <v>29.92</v>
      </c>
      <c r="D26" s="51">
        <v>22.91</v>
      </c>
      <c r="E26" s="51">
        <v>10.95</v>
      </c>
      <c r="F26" s="30" t="s">
        <v>8</v>
      </c>
      <c r="G26" s="51">
        <v>138.04</v>
      </c>
      <c r="H26" s="51">
        <v>45.34</v>
      </c>
      <c r="I26" s="51">
        <v>8.61</v>
      </c>
      <c r="J26" s="51">
        <v>0.26</v>
      </c>
      <c r="K26" s="51">
        <v>162.16999999999999</v>
      </c>
      <c r="L26" s="51">
        <v>21.54</v>
      </c>
      <c r="M26" s="51">
        <v>52.66</v>
      </c>
      <c r="N26" s="51">
        <v>3.9</v>
      </c>
      <c r="O26" s="51">
        <v>0</v>
      </c>
      <c r="P26" s="51">
        <v>0.92</v>
      </c>
      <c r="Q26" s="51">
        <v>10.1</v>
      </c>
    </row>
    <row r="27" spans="1:17" customFormat="1">
      <c r="A27" s="50">
        <v>45643.791666666664</v>
      </c>
      <c r="B27" s="51">
        <v>10.67</v>
      </c>
      <c r="C27" s="51">
        <v>33.35</v>
      </c>
      <c r="D27" s="51">
        <v>27.33</v>
      </c>
      <c r="E27" s="51">
        <v>9.0399999999999991</v>
      </c>
      <c r="F27" s="30" t="s">
        <v>8</v>
      </c>
      <c r="G27" s="51">
        <v>203.55</v>
      </c>
      <c r="H27" s="51">
        <v>50.01</v>
      </c>
      <c r="I27" s="51">
        <v>11.09</v>
      </c>
      <c r="J27" s="51">
        <v>0.46</v>
      </c>
      <c r="K27" s="51">
        <v>130.52000000000001</v>
      </c>
      <c r="L27" s="51">
        <v>20.92</v>
      </c>
      <c r="M27" s="51">
        <v>55.8</v>
      </c>
      <c r="N27" s="51">
        <v>2</v>
      </c>
      <c r="O27" s="51">
        <v>0</v>
      </c>
      <c r="P27" s="51">
        <v>1.1100000000000001</v>
      </c>
      <c r="Q27" s="51">
        <v>10.09</v>
      </c>
    </row>
    <row r="28" spans="1:17" customFormat="1">
      <c r="A28" s="50">
        <v>45643.833333333336</v>
      </c>
      <c r="B28" s="51">
        <v>10.34</v>
      </c>
      <c r="C28" s="51">
        <v>33.44</v>
      </c>
      <c r="D28" s="51">
        <v>27.12</v>
      </c>
      <c r="E28" s="51">
        <v>8.57</v>
      </c>
      <c r="F28" s="30" t="s">
        <v>8</v>
      </c>
      <c r="G28" s="51">
        <v>199.22</v>
      </c>
      <c r="H28" s="51">
        <v>54.45</v>
      </c>
      <c r="I28" s="51">
        <v>12.68</v>
      </c>
      <c r="J28" s="51">
        <v>0.28999999999999998</v>
      </c>
      <c r="K28" s="51">
        <v>198.07</v>
      </c>
      <c r="L28" s="51">
        <v>18.329999999999998</v>
      </c>
      <c r="M28" s="51">
        <v>77.33</v>
      </c>
      <c r="N28" s="51">
        <v>2.1</v>
      </c>
      <c r="O28" s="51">
        <v>0</v>
      </c>
      <c r="P28" s="51">
        <v>1.26</v>
      </c>
      <c r="Q28" s="51">
        <v>10.1</v>
      </c>
    </row>
    <row r="29" spans="1:17" customFormat="1">
      <c r="A29" s="50">
        <v>45643.875</v>
      </c>
      <c r="B29" s="51">
        <v>8.64</v>
      </c>
      <c r="C29" s="51">
        <v>32.01</v>
      </c>
      <c r="D29" s="51">
        <v>25.01</v>
      </c>
      <c r="E29" s="51">
        <v>8.44</v>
      </c>
      <c r="F29" s="30" t="s">
        <v>8</v>
      </c>
      <c r="G29" s="51">
        <v>159.75</v>
      </c>
      <c r="H29" s="51">
        <v>56.34</v>
      </c>
      <c r="I29" s="51">
        <v>13.94</v>
      </c>
      <c r="J29" s="51">
        <v>0.16</v>
      </c>
      <c r="K29" s="51">
        <v>199.55</v>
      </c>
      <c r="L29" s="51">
        <v>16.12</v>
      </c>
      <c r="M29" s="51">
        <v>80.97</v>
      </c>
      <c r="N29" s="51">
        <v>1.4</v>
      </c>
      <c r="O29" s="51">
        <v>0</v>
      </c>
      <c r="P29" s="51">
        <v>1.34</v>
      </c>
      <c r="Q29" s="51">
        <v>10.08</v>
      </c>
    </row>
    <row r="30" spans="1:17" customFormat="1">
      <c r="A30" s="50">
        <v>45643.916666666664</v>
      </c>
      <c r="B30" s="51">
        <v>9.18</v>
      </c>
      <c r="C30" s="51">
        <v>30.43</v>
      </c>
      <c r="D30" s="51">
        <v>24.22</v>
      </c>
      <c r="E30" s="51">
        <v>8.15</v>
      </c>
      <c r="F30" s="30" t="s">
        <v>8</v>
      </c>
      <c r="G30" s="51">
        <v>152.72</v>
      </c>
      <c r="H30" s="51">
        <v>56.35</v>
      </c>
      <c r="I30" s="51">
        <v>14.98</v>
      </c>
      <c r="J30" s="51">
        <v>0.18</v>
      </c>
      <c r="K30" s="51">
        <v>217.84</v>
      </c>
      <c r="L30" s="51">
        <v>15.21</v>
      </c>
      <c r="M30" s="51">
        <v>86.4</v>
      </c>
      <c r="N30" s="51">
        <v>1.4</v>
      </c>
      <c r="O30" s="51">
        <v>0</v>
      </c>
      <c r="P30" s="51">
        <v>1.42</v>
      </c>
      <c r="Q30" s="51">
        <v>10.08</v>
      </c>
    </row>
    <row r="31" spans="1:17" customFormat="1">
      <c r="A31" s="50">
        <v>45643.958333333336</v>
      </c>
      <c r="B31" s="51">
        <v>16.739999999999998</v>
      </c>
      <c r="C31" s="51">
        <v>29.73</v>
      </c>
      <c r="D31" s="51">
        <v>30.31</v>
      </c>
      <c r="E31" s="51">
        <v>8.52</v>
      </c>
      <c r="F31" s="30" t="s">
        <v>8</v>
      </c>
      <c r="G31" s="51">
        <v>161.55000000000001</v>
      </c>
      <c r="H31" s="51">
        <v>57.44</v>
      </c>
      <c r="I31" s="51">
        <v>15.83</v>
      </c>
      <c r="J31" s="51">
        <v>0.22</v>
      </c>
      <c r="K31" s="51">
        <v>216.03</v>
      </c>
      <c r="L31" s="51">
        <v>14.72</v>
      </c>
      <c r="M31" s="51">
        <v>89.73</v>
      </c>
      <c r="N31" s="51">
        <v>1.3</v>
      </c>
      <c r="O31" s="51">
        <v>0</v>
      </c>
      <c r="P31" s="51">
        <v>1.44</v>
      </c>
      <c r="Q31" s="51">
        <v>10.130000000000001</v>
      </c>
    </row>
    <row r="32" spans="1:17" customFormat="1">
      <c r="A32" s="50">
        <v>45644</v>
      </c>
      <c r="B32" s="51">
        <v>17.41</v>
      </c>
      <c r="C32" s="51">
        <v>29.72</v>
      </c>
      <c r="D32" s="51">
        <v>30.84</v>
      </c>
      <c r="E32" s="51">
        <v>8.6</v>
      </c>
      <c r="F32" s="30" t="s">
        <v>8</v>
      </c>
      <c r="G32" s="51">
        <v>154.82</v>
      </c>
      <c r="H32" s="51">
        <v>58.41</v>
      </c>
      <c r="I32" s="51">
        <v>16.68</v>
      </c>
      <c r="J32" s="51">
        <v>0.23</v>
      </c>
      <c r="K32" s="51">
        <v>207.33</v>
      </c>
      <c r="L32" s="51">
        <v>14.17</v>
      </c>
      <c r="M32" s="51">
        <v>90.09</v>
      </c>
      <c r="N32" s="51">
        <v>1.5</v>
      </c>
      <c r="O32" s="51">
        <v>0</v>
      </c>
      <c r="P32" s="51">
        <v>1.47</v>
      </c>
      <c r="Q32" s="51">
        <v>10.130000000000001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3.71</v>
      </c>
      <c r="C34" s="41">
        <f t="shared" si="0"/>
        <v>23.43</v>
      </c>
      <c r="D34" s="41">
        <f t="shared" si="0"/>
        <v>16.54</v>
      </c>
      <c r="E34" s="41">
        <f t="shared" si="0"/>
        <v>7.61</v>
      </c>
      <c r="F34" s="30" t="s">
        <v>8</v>
      </c>
      <c r="G34" s="41">
        <f t="shared" si="0"/>
        <v>35.31</v>
      </c>
      <c r="H34" s="41">
        <f t="shared" si="0"/>
        <v>20.6</v>
      </c>
      <c r="I34" s="41">
        <f t="shared" si="0"/>
        <v>8.58</v>
      </c>
      <c r="J34" s="41">
        <f t="shared" si="0"/>
        <v>0.15</v>
      </c>
      <c r="K34" s="41">
        <f t="shared" si="0"/>
        <v>59.12</v>
      </c>
      <c r="L34" s="41">
        <f t="shared" si="0"/>
        <v>10.91</v>
      </c>
      <c r="M34" s="41">
        <f t="shared" si="0"/>
        <v>27.55</v>
      </c>
      <c r="N34" s="41">
        <f t="shared" si="0"/>
        <v>1.2</v>
      </c>
      <c r="O34" s="41">
        <f t="shared" si="0"/>
        <v>0</v>
      </c>
      <c r="P34" s="41">
        <f t="shared" si="0"/>
        <v>0.71</v>
      </c>
      <c r="Q34" s="41">
        <f t="shared" si="0"/>
        <v>10.07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38.21</v>
      </c>
      <c r="C35" s="33">
        <f t="shared" si="1"/>
        <v>33.44</v>
      </c>
      <c r="D35" s="33">
        <f t="shared" si="1"/>
        <v>45.64</v>
      </c>
      <c r="E35" s="33">
        <f t="shared" si="1"/>
        <v>18.82</v>
      </c>
      <c r="F35" s="30" t="s">
        <v>8</v>
      </c>
      <c r="G35" s="33">
        <f t="shared" si="1"/>
        <v>203.55</v>
      </c>
      <c r="H35" s="33">
        <f t="shared" si="1"/>
        <v>62.86</v>
      </c>
      <c r="I35" s="33">
        <f t="shared" si="1"/>
        <v>19.079999999999998</v>
      </c>
      <c r="J35" s="33">
        <f t="shared" si="1"/>
        <v>0.87</v>
      </c>
      <c r="K35" s="33">
        <f t="shared" si="1"/>
        <v>358.28</v>
      </c>
      <c r="L35" s="33">
        <f t="shared" si="1"/>
        <v>27</v>
      </c>
      <c r="M35" s="33">
        <f t="shared" si="1"/>
        <v>103.31</v>
      </c>
      <c r="N35" s="33">
        <f t="shared" si="1"/>
        <v>556.20000000000005</v>
      </c>
      <c r="O35" s="33">
        <f t="shared" si="1"/>
        <v>0</v>
      </c>
      <c r="P35" s="33">
        <f t="shared" si="1"/>
        <v>1.5</v>
      </c>
      <c r="Q35" s="33">
        <f t="shared" si="1"/>
        <v>10.199999999999999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17.487916666666663</v>
      </c>
      <c r="C36" s="41">
        <f t="shared" si="2"/>
        <v>28.163750000000007</v>
      </c>
      <c r="D36" s="41">
        <f t="shared" si="2"/>
        <v>29.99666666666667</v>
      </c>
      <c r="E36" s="41">
        <f t="shared" si="2"/>
        <v>10.1</v>
      </c>
      <c r="F36" s="30" t="s">
        <v>8</v>
      </c>
      <c r="G36" s="41">
        <f t="shared" si="2"/>
        <v>134.97916666666666</v>
      </c>
      <c r="H36" s="41">
        <f t="shared" si="2"/>
        <v>51.690416666666671</v>
      </c>
      <c r="I36" s="41">
        <f t="shared" si="2"/>
        <v>14.993749999999999</v>
      </c>
      <c r="J36" s="41">
        <f t="shared" si="2"/>
        <v>0.36125000000000002</v>
      </c>
      <c r="K36" s="41">
        <f t="shared" si="2"/>
        <v>181.04833333333337</v>
      </c>
      <c r="L36" s="41">
        <f t="shared" si="2"/>
        <v>18.443750000000001</v>
      </c>
      <c r="M36" s="41">
        <f t="shared" si="2"/>
        <v>68.208333333333343</v>
      </c>
      <c r="N36" s="41">
        <f t="shared" si="2"/>
        <v>125.37500000000004</v>
      </c>
      <c r="O36" s="41">
        <f t="shared" si="2"/>
        <v>0</v>
      </c>
      <c r="P36" s="41">
        <f t="shared" si="2"/>
        <v>1.2525000000000002</v>
      </c>
      <c r="Q36" s="41">
        <f t="shared" si="2"/>
        <v>10.118333333333334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11.072150719619525</v>
      </c>
      <c r="C37" s="41">
        <f t="shared" ref="C37:Q37" si="3">STDEV(C9:C32)</f>
        <v>2.52527882661962</v>
      </c>
      <c r="D37" s="41">
        <f t="shared" si="3"/>
        <v>8.5525031508282598</v>
      </c>
      <c r="E37" s="41">
        <f t="shared" si="3"/>
        <v>2.9790281461664931</v>
      </c>
      <c r="F37" s="30" t="s">
        <v>8</v>
      </c>
      <c r="G37" s="41">
        <f t="shared" si="3"/>
        <v>35.421580859409843</v>
      </c>
      <c r="H37" s="41">
        <f t="shared" si="3"/>
        <v>9.0500033529499646</v>
      </c>
      <c r="I37" s="41">
        <f t="shared" si="3"/>
        <v>3.2012318451007191</v>
      </c>
      <c r="J37" s="41">
        <f t="shared" si="3"/>
        <v>0.20364744685042249</v>
      </c>
      <c r="K37" s="41">
        <f t="shared" si="3"/>
        <v>63.12130382922571</v>
      </c>
      <c r="L37" s="41">
        <f t="shared" si="3"/>
        <v>5.7678311894883683</v>
      </c>
      <c r="M37" s="41">
        <f t="shared" si="3"/>
        <v>25.963190945220298</v>
      </c>
      <c r="N37" s="41">
        <f t="shared" si="3"/>
        <v>196.80102564685012</v>
      </c>
      <c r="O37" s="41">
        <f t="shared" si="3"/>
        <v>0</v>
      </c>
      <c r="P37" s="41">
        <f t="shared" si="3"/>
        <v>0.25544930578509256</v>
      </c>
      <c r="Q37" s="41">
        <f t="shared" si="3"/>
        <v>3.1161105448196592E-2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1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5" activePane="bottomRight" state="frozen"/>
      <selection activeCell="A9" sqref="A9"/>
      <selection pane="topRight" activeCell="A9" sqref="A9"/>
      <selection pane="bottomLeft" activeCell="A9" sqref="A9"/>
      <selection pane="bottomRight" activeCell="F39" sqref="F3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45644.041666666664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45644.041666666664</v>
      </c>
      <c r="B9" s="51">
        <v>22.32</v>
      </c>
      <c r="C9" s="51">
        <v>29.19</v>
      </c>
      <c r="D9" s="51">
        <v>34.5</v>
      </c>
      <c r="E9" s="51">
        <v>8.84</v>
      </c>
      <c r="F9" s="30" t="s">
        <v>8</v>
      </c>
      <c r="G9" s="51">
        <v>138.75</v>
      </c>
      <c r="H9" s="51">
        <v>57.45</v>
      </c>
      <c r="I9" s="51">
        <v>17.100000000000001</v>
      </c>
      <c r="J9" s="51">
        <v>0.12</v>
      </c>
      <c r="K9" s="51">
        <v>237.23</v>
      </c>
      <c r="L9" s="51">
        <v>13.64</v>
      </c>
      <c r="M9" s="51">
        <v>87.82</v>
      </c>
      <c r="N9" s="51">
        <v>1.5</v>
      </c>
      <c r="O9" s="51">
        <v>0</v>
      </c>
      <c r="P9" s="51">
        <v>1.48</v>
      </c>
      <c r="Q9" s="51">
        <v>10.15</v>
      </c>
    </row>
    <row r="10" spans="1:21" customFormat="1">
      <c r="A10" s="50">
        <v>45644.083333333336</v>
      </c>
      <c r="B10" s="51">
        <v>30.18</v>
      </c>
      <c r="C10" s="51">
        <v>30.39</v>
      </c>
      <c r="D10" s="51">
        <v>41.37</v>
      </c>
      <c r="E10" s="51">
        <v>8.69</v>
      </c>
      <c r="F10" s="30" t="s">
        <v>8</v>
      </c>
      <c r="G10" s="51">
        <v>153.5</v>
      </c>
      <c r="H10" s="51">
        <v>57.3</v>
      </c>
      <c r="I10" s="51">
        <v>17.39</v>
      </c>
      <c r="J10" s="51">
        <v>0.2</v>
      </c>
      <c r="K10" s="51">
        <v>193.94</v>
      </c>
      <c r="L10" s="51">
        <v>13.79</v>
      </c>
      <c r="M10" s="51">
        <v>84.09</v>
      </c>
      <c r="N10" s="51">
        <v>1.4</v>
      </c>
      <c r="O10" s="51">
        <v>0</v>
      </c>
      <c r="P10" s="51">
        <v>1.49</v>
      </c>
      <c r="Q10" s="51">
        <v>10.18</v>
      </c>
    </row>
    <row r="11" spans="1:21" customFormat="1">
      <c r="A11" s="50">
        <v>45644.125</v>
      </c>
      <c r="B11" s="51">
        <v>31.28</v>
      </c>
      <c r="C11" s="51">
        <v>31.27</v>
      </c>
      <c r="D11" s="51">
        <v>42.77</v>
      </c>
      <c r="E11" s="51">
        <v>9.11</v>
      </c>
      <c r="F11" s="30" t="s">
        <v>8</v>
      </c>
      <c r="G11" s="51">
        <v>157.41</v>
      </c>
      <c r="H11" s="51">
        <v>58.4</v>
      </c>
      <c r="I11" s="51">
        <v>17.27</v>
      </c>
      <c r="J11" s="51">
        <v>0.12</v>
      </c>
      <c r="K11" s="51">
        <v>232.08</v>
      </c>
      <c r="L11" s="51">
        <v>13.15</v>
      </c>
      <c r="M11" s="51">
        <v>85.89</v>
      </c>
      <c r="N11" s="51">
        <v>1.4</v>
      </c>
      <c r="O11" s="51">
        <v>0</v>
      </c>
      <c r="P11" s="51">
        <v>1.44</v>
      </c>
      <c r="Q11" s="51">
        <v>10.17</v>
      </c>
    </row>
    <row r="12" spans="1:21" customFormat="1">
      <c r="A12" s="50">
        <v>45644.166666666664</v>
      </c>
      <c r="B12" s="51">
        <v>30.79</v>
      </c>
      <c r="C12" s="51">
        <v>31.17</v>
      </c>
      <c r="D12" s="51">
        <v>42.32</v>
      </c>
      <c r="E12" s="51">
        <v>8.99</v>
      </c>
      <c r="F12" s="30" t="s">
        <v>8</v>
      </c>
      <c r="G12" s="51">
        <v>140.6</v>
      </c>
      <c r="H12" s="51">
        <v>57.24</v>
      </c>
      <c r="I12" s="51">
        <v>16.760000000000002</v>
      </c>
      <c r="J12" s="51">
        <v>0.16</v>
      </c>
      <c r="K12" s="51">
        <v>163.80000000000001</v>
      </c>
      <c r="L12" s="51">
        <v>12.86</v>
      </c>
      <c r="M12" s="51">
        <v>92.9</v>
      </c>
      <c r="N12" s="51">
        <v>1.4</v>
      </c>
      <c r="O12" s="51">
        <v>0</v>
      </c>
      <c r="P12" s="51">
        <v>1.41</v>
      </c>
      <c r="Q12" s="51">
        <v>10.18</v>
      </c>
    </row>
    <row r="13" spans="1:21" customFormat="1">
      <c r="A13" s="50">
        <v>45644.208333333336</v>
      </c>
      <c r="B13" s="51">
        <v>27.53</v>
      </c>
      <c r="C13" s="51">
        <v>30.22</v>
      </c>
      <c r="D13" s="51">
        <v>39.22</v>
      </c>
      <c r="E13" s="51">
        <v>9.01</v>
      </c>
      <c r="F13" s="30" t="s">
        <v>8</v>
      </c>
      <c r="G13" s="51">
        <v>133.80000000000001</v>
      </c>
      <c r="H13" s="51">
        <v>55.6</v>
      </c>
      <c r="I13" s="51">
        <v>16.21</v>
      </c>
      <c r="J13" s="51">
        <v>0.37</v>
      </c>
      <c r="K13" s="51">
        <v>46.24</v>
      </c>
      <c r="L13" s="51">
        <v>13.09</v>
      </c>
      <c r="M13" s="51">
        <v>92.72</v>
      </c>
      <c r="N13" s="51">
        <v>1.3</v>
      </c>
      <c r="O13" s="51">
        <v>0</v>
      </c>
      <c r="P13" s="51">
        <v>1.4</v>
      </c>
      <c r="Q13" s="51">
        <v>10.130000000000001</v>
      </c>
    </row>
    <row r="14" spans="1:21" customFormat="1">
      <c r="A14" s="50">
        <v>45644.25</v>
      </c>
      <c r="B14" s="51">
        <v>23.74</v>
      </c>
      <c r="C14" s="51">
        <v>29.79</v>
      </c>
      <c r="D14" s="51">
        <v>35.840000000000003</v>
      </c>
      <c r="E14" s="51">
        <v>8.3000000000000007</v>
      </c>
      <c r="F14" s="30" t="s">
        <v>8</v>
      </c>
      <c r="G14" s="51">
        <v>136.51</v>
      </c>
      <c r="H14" s="51">
        <v>56.72</v>
      </c>
      <c r="I14" s="51">
        <v>16.09</v>
      </c>
      <c r="J14" s="51">
        <v>0.13</v>
      </c>
      <c r="K14" s="51">
        <v>191.39</v>
      </c>
      <c r="L14" s="51">
        <v>12.87</v>
      </c>
      <c r="M14" s="51">
        <v>91.41</v>
      </c>
      <c r="N14" s="51">
        <v>1.6</v>
      </c>
      <c r="O14" s="51">
        <v>0</v>
      </c>
      <c r="P14" s="51">
        <v>1.42</v>
      </c>
      <c r="Q14" s="51">
        <v>10.130000000000001</v>
      </c>
    </row>
    <row r="15" spans="1:21" customFormat="1">
      <c r="A15" s="50">
        <v>45644.291666666664</v>
      </c>
      <c r="B15" s="51">
        <v>23.62</v>
      </c>
      <c r="C15" s="51">
        <v>29.22</v>
      </c>
      <c r="D15" s="51">
        <v>35.33</v>
      </c>
      <c r="E15" s="51">
        <v>8.0399999999999991</v>
      </c>
      <c r="F15" s="30" t="s">
        <v>8</v>
      </c>
      <c r="G15" s="51">
        <v>141.06</v>
      </c>
      <c r="H15" s="51">
        <v>57.1</v>
      </c>
      <c r="I15" s="51">
        <v>15.83</v>
      </c>
      <c r="J15" s="51">
        <v>0.18</v>
      </c>
      <c r="K15" s="51">
        <v>232.66</v>
      </c>
      <c r="L15" s="51">
        <v>11.68</v>
      </c>
      <c r="M15" s="51">
        <v>93.78</v>
      </c>
      <c r="N15" s="51">
        <v>8.6999999999999993</v>
      </c>
      <c r="O15" s="51">
        <v>0</v>
      </c>
      <c r="P15" s="51">
        <v>1.44</v>
      </c>
      <c r="Q15" s="51">
        <v>10.11</v>
      </c>
    </row>
    <row r="16" spans="1:21" customFormat="1">
      <c r="A16" s="50">
        <v>45644.333333333336</v>
      </c>
      <c r="B16" s="51">
        <v>28.66</v>
      </c>
      <c r="C16" s="51">
        <v>29.29</v>
      </c>
      <c r="D16" s="51">
        <v>39.619999999999997</v>
      </c>
      <c r="E16" s="51">
        <v>8.31</v>
      </c>
      <c r="F16" s="30" t="s">
        <v>8</v>
      </c>
      <c r="G16" s="51">
        <v>147.12</v>
      </c>
      <c r="H16" s="51">
        <v>61.76</v>
      </c>
      <c r="I16" s="51">
        <v>16.25</v>
      </c>
      <c r="J16" s="51">
        <v>0.4</v>
      </c>
      <c r="K16" s="51">
        <v>137.19999999999999</v>
      </c>
      <c r="L16" s="51">
        <v>14.55</v>
      </c>
      <c r="M16" s="51">
        <v>92.08</v>
      </c>
      <c r="N16" s="51">
        <v>113.7</v>
      </c>
      <c r="O16" s="51">
        <v>0</v>
      </c>
      <c r="P16" s="51">
        <v>1.52</v>
      </c>
      <c r="Q16" s="51">
        <v>10.14</v>
      </c>
    </row>
    <row r="17" spans="1:17" customFormat="1">
      <c r="A17" s="50">
        <v>45644.375</v>
      </c>
      <c r="B17" s="51">
        <v>26.26</v>
      </c>
      <c r="C17" s="51">
        <v>30.95</v>
      </c>
      <c r="D17" s="51">
        <v>37.840000000000003</v>
      </c>
      <c r="E17" s="51">
        <v>8.64</v>
      </c>
      <c r="F17" s="30" t="s">
        <v>8</v>
      </c>
      <c r="G17" s="51">
        <v>163.01</v>
      </c>
      <c r="H17" s="51">
        <v>66.95</v>
      </c>
      <c r="I17" s="51">
        <v>16.98</v>
      </c>
      <c r="J17" s="51">
        <v>0.5</v>
      </c>
      <c r="K17" s="51">
        <v>78.78</v>
      </c>
      <c r="L17" s="51">
        <v>18.78</v>
      </c>
      <c r="M17" s="51">
        <v>70.69</v>
      </c>
      <c r="N17" s="51">
        <v>235.7</v>
      </c>
      <c r="O17" s="51">
        <v>0</v>
      </c>
      <c r="P17" s="51">
        <v>1.49</v>
      </c>
      <c r="Q17" s="51">
        <v>10.14</v>
      </c>
    </row>
    <row r="18" spans="1:17" customFormat="1">
      <c r="A18" s="50">
        <v>45644.416666666664</v>
      </c>
      <c r="B18" s="51">
        <v>18.75</v>
      </c>
      <c r="C18" s="51">
        <v>32.78</v>
      </c>
      <c r="D18" s="51">
        <v>32.69</v>
      </c>
      <c r="E18" s="51">
        <v>9.6</v>
      </c>
      <c r="F18" s="30" t="s">
        <v>8</v>
      </c>
      <c r="G18" s="51">
        <v>164.74</v>
      </c>
      <c r="H18" s="51">
        <v>69.39</v>
      </c>
      <c r="I18" s="51">
        <v>17.11</v>
      </c>
      <c r="J18" s="51">
        <v>0.61</v>
      </c>
      <c r="K18" s="51">
        <v>78</v>
      </c>
      <c r="L18" s="51">
        <v>22.33</v>
      </c>
      <c r="M18" s="51">
        <v>56.21</v>
      </c>
      <c r="N18" s="51">
        <v>341.3</v>
      </c>
      <c r="O18" s="51">
        <v>0</v>
      </c>
      <c r="P18" s="51">
        <v>1.43</v>
      </c>
      <c r="Q18" s="51">
        <v>10.130000000000001</v>
      </c>
    </row>
    <row r="19" spans="1:17" customFormat="1">
      <c r="A19" s="50">
        <v>45644.458333333336</v>
      </c>
      <c r="B19" s="51">
        <v>10.17</v>
      </c>
      <c r="C19" s="51">
        <v>33.409999999999997</v>
      </c>
      <c r="D19" s="51">
        <v>26.83</v>
      </c>
      <c r="E19" s="51">
        <v>11.53</v>
      </c>
      <c r="F19" s="30" t="s">
        <v>8</v>
      </c>
      <c r="G19" s="51">
        <v>135.06</v>
      </c>
      <c r="H19" s="51">
        <v>62.05</v>
      </c>
      <c r="I19" s="51">
        <v>16.66</v>
      </c>
      <c r="J19" s="51">
        <v>0.57999999999999996</v>
      </c>
      <c r="K19" s="51">
        <v>91.28</v>
      </c>
      <c r="L19" s="51">
        <v>24.71</v>
      </c>
      <c r="M19" s="51">
        <v>44.82</v>
      </c>
      <c r="N19" s="51">
        <v>475.8</v>
      </c>
      <c r="O19" s="51">
        <v>0</v>
      </c>
      <c r="P19" s="51">
        <v>1.35</v>
      </c>
      <c r="Q19" s="51">
        <v>10.119999999999999</v>
      </c>
    </row>
    <row r="20" spans="1:17" customFormat="1">
      <c r="A20" s="50">
        <v>45644.5</v>
      </c>
      <c r="B20" s="51">
        <v>4.83</v>
      </c>
      <c r="C20" s="51">
        <v>32.61</v>
      </c>
      <c r="D20" s="51">
        <v>22.27</v>
      </c>
      <c r="E20" s="51">
        <v>12.56</v>
      </c>
      <c r="F20" s="30" t="s">
        <v>8</v>
      </c>
      <c r="G20" s="51">
        <v>130.69</v>
      </c>
      <c r="H20" s="51">
        <v>60.41</v>
      </c>
      <c r="I20" s="51">
        <v>15.41</v>
      </c>
      <c r="J20" s="51">
        <v>0.96</v>
      </c>
      <c r="K20" s="51">
        <v>116.06</v>
      </c>
      <c r="L20" s="51">
        <v>25.89</v>
      </c>
      <c r="M20" s="51">
        <v>34.01</v>
      </c>
      <c r="N20" s="51">
        <v>516</v>
      </c>
      <c r="O20" s="51">
        <v>0</v>
      </c>
      <c r="P20" s="51">
        <v>1.24</v>
      </c>
      <c r="Q20" s="51">
        <v>10.11</v>
      </c>
    </row>
    <row r="21" spans="1:17" customFormat="1">
      <c r="A21" s="50">
        <v>45644.541666666664</v>
      </c>
      <c r="B21" s="51">
        <v>3.96</v>
      </c>
      <c r="C21" s="51">
        <v>30.05</v>
      </c>
      <c r="D21" s="51">
        <v>20.23</v>
      </c>
      <c r="E21" s="51">
        <v>12.4</v>
      </c>
      <c r="F21" s="30" t="s">
        <v>8</v>
      </c>
      <c r="G21" s="51">
        <v>95.91</v>
      </c>
      <c r="H21" s="51">
        <v>52.18</v>
      </c>
      <c r="I21" s="51">
        <v>13.87</v>
      </c>
      <c r="J21" s="51">
        <v>0.84</v>
      </c>
      <c r="K21" s="51">
        <v>82.51</v>
      </c>
      <c r="L21" s="51">
        <v>27.1</v>
      </c>
      <c r="M21" s="51">
        <v>31.46</v>
      </c>
      <c r="N21" s="51">
        <v>458.1</v>
      </c>
      <c r="O21" s="51">
        <v>0</v>
      </c>
      <c r="P21" s="51">
        <v>1.1299999999999999</v>
      </c>
      <c r="Q21" s="51">
        <v>10.09</v>
      </c>
    </row>
    <row r="22" spans="1:17" customFormat="1">
      <c r="A22" s="50">
        <v>45644.583333333336</v>
      </c>
      <c r="B22" s="51">
        <v>4.04</v>
      </c>
      <c r="C22" s="51">
        <v>27.53</v>
      </c>
      <c r="D22" s="51">
        <v>18.82</v>
      </c>
      <c r="E22" s="51">
        <v>12.69</v>
      </c>
      <c r="F22" s="30" t="s">
        <v>8</v>
      </c>
      <c r="G22" s="51">
        <v>88.83</v>
      </c>
      <c r="H22" s="51">
        <v>48.06</v>
      </c>
      <c r="I22" s="51">
        <v>12.61</v>
      </c>
      <c r="J22" s="51">
        <v>0.49</v>
      </c>
      <c r="K22" s="51">
        <v>151.43</v>
      </c>
      <c r="L22" s="51">
        <v>27.13</v>
      </c>
      <c r="M22" s="51">
        <v>27.89</v>
      </c>
      <c r="N22" s="51">
        <v>479.3</v>
      </c>
      <c r="O22" s="51">
        <v>0</v>
      </c>
      <c r="P22" s="51">
        <v>1.07</v>
      </c>
      <c r="Q22" s="51">
        <v>10.07</v>
      </c>
    </row>
    <row r="23" spans="1:17" customFormat="1">
      <c r="A23" s="50">
        <v>45644.625</v>
      </c>
      <c r="B23" s="51">
        <v>4.1900000000000004</v>
      </c>
      <c r="C23" s="51">
        <v>23.99</v>
      </c>
      <c r="D23" s="51">
        <v>17.13</v>
      </c>
      <c r="E23" s="51">
        <v>18.850000000000001</v>
      </c>
      <c r="F23" s="30" t="s">
        <v>8</v>
      </c>
      <c r="G23" s="51">
        <v>85.33</v>
      </c>
      <c r="H23" s="51">
        <v>41.06</v>
      </c>
      <c r="I23" s="51">
        <v>11.75</v>
      </c>
      <c r="J23" s="51">
        <v>0.83</v>
      </c>
      <c r="K23" s="51">
        <v>92.03</v>
      </c>
      <c r="L23" s="51">
        <v>26.62</v>
      </c>
      <c r="M23" s="51">
        <v>28.17</v>
      </c>
      <c r="N23" s="51">
        <v>104.2</v>
      </c>
      <c r="O23" s="51">
        <v>0</v>
      </c>
      <c r="P23" s="51">
        <v>0.92</v>
      </c>
      <c r="Q23" s="51">
        <v>10.06</v>
      </c>
    </row>
    <row r="24" spans="1:17" customFormat="1">
      <c r="A24" s="50">
        <v>45644.666666666664</v>
      </c>
      <c r="B24" s="51">
        <v>4.4000000000000004</v>
      </c>
      <c r="C24" s="51">
        <v>22.46</v>
      </c>
      <c r="D24" s="51">
        <v>16.559999999999999</v>
      </c>
      <c r="E24" s="51">
        <v>24.63</v>
      </c>
      <c r="F24" s="30" t="s">
        <v>8</v>
      </c>
      <c r="G24" s="51">
        <v>78.290000000000006</v>
      </c>
      <c r="H24" s="51">
        <v>43.16</v>
      </c>
      <c r="I24" s="51">
        <v>11.08</v>
      </c>
      <c r="J24" s="51">
        <v>0.68</v>
      </c>
      <c r="K24" s="51">
        <v>51.22</v>
      </c>
      <c r="L24" s="51">
        <v>26.47</v>
      </c>
      <c r="M24" s="51">
        <v>29.39</v>
      </c>
      <c r="N24" s="51">
        <v>60.5</v>
      </c>
      <c r="O24" s="51">
        <v>0</v>
      </c>
      <c r="P24" s="51">
        <v>0.91</v>
      </c>
      <c r="Q24" s="51">
        <v>10.029999999999999</v>
      </c>
    </row>
    <row r="25" spans="1:17" customFormat="1">
      <c r="A25" s="50">
        <v>45644.708333333336</v>
      </c>
      <c r="B25" s="51">
        <v>4.6900000000000004</v>
      </c>
      <c r="C25" s="51">
        <v>22.94</v>
      </c>
      <c r="D25" s="51">
        <v>17.07</v>
      </c>
      <c r="E25" s="51">
        <v>18.510000000000002</v>
      </c>
      <c r="F25" s="30" t="s">
        <v>8</v>
      </c>
      <c r="G25" s="51">
        <v>87.15</v>
      </c>
      <c r="H25" s="51">
        <v>42.09</v>
      </c>
      <c r="I25" s="51">
        <v>10.83</v>
      </c>
      <c r="J25" s="51">
        <v>0.52</v>
      </c>
      <c r="K25" s="51">
        <v>163.13999999999999</v>
      </c>
      <c r="L25" s="51">
        <v>25.76</v>
      </c>
      <c r="M25" s="51">
        <v>43.28</v>
      </c>
      <c r="N25" s="51">
        <v>31.7</v>
      </c>
      <c r="O25" s="51">
        <v>0</v>
      </c>
      <c r="P25" s="51">
        <v>0.92</v>
      </c>
      <c r="Q25" s="51">
        <v>10.029999999999999</v>
      </c>
    </row>
    <row r="26" spans="1:17" customFormat="1">
      <c r="A26" s="50">
        <v>45644.75</v>
      </c>
      <c r="B26" s="51">
        <v>5.31</v>
      </c>
      <c r="C26" s="51">
        <v>25.54</v>
      </c>
      <c r="D26" s="51">
        <v>18.96</v>
      </c>
      <c r="E26" s="51">
        <v>12.14</v>
      </c>
      <c r="F26" s="30" t="s">
        <v>8</v>
      </c>
      <c r="G26" s="51">
        <v>112.25</v>
      </c>
      <c r="H26" s="51">
        <v>43.62</v>
      </c>
      <c r="I26" s="51">
        <v>11</v>
      </c>
      <c r="J26" s="51">
        <v>0.28999999999999998</v>
      </c>
      <c r="K26" s="51">
        <v>158.62</v>
      </c>
      <c r="L26" s="51">
        <v>21.81</v>
      </c>
      <c r="M26" s="51">
        <v>53.92</v>
      </c>
      <c r="N26" s="51">
        <v>3.8</v>
      </c>
      <c r="O26" s="51">
        <v>0</v>
      </c>
      <c r="P26" s="51">
        <v>0.95</v>
      </c>
      <c r="Q26" s="51">
        <v>10.039999999999999</v>
      </c>
    </row>
    <row r="27" spans="1:17" customFormat="1">
      <c r="A27" s="50">
        <v>45644.791666666664</v>
      </c>
      <c r="B27" s="51">
        <v>6.32</v>
      </c>
      <c r="C27" s="51">
        <v>29.79</v>
      </c>
      <c r="D27" s="51">
        <v>21.98</v>
      </c>
      <c r="E27" s="51">
        <v>11.76</v>
      </c>
      <c r="F27" s="30" t="s">
        <v>8</v>
      </c>
      <c r="G27" s="51">
        <v>139.6</v>
      </c>
      <c r="H27" s="51">
        <v>47.3</v>
      </c>
      <c r="I27" s="51">
        <v>13.71</v>
      </c>
      <c r="J27" s="51">
        <v>0.31</v>
      </c>
      <c r="K27" s="51">
        <v>161.83000000000001</v>
      </c>
      <c r="L27" s="51">
        <v>19.75</v>
      </c>
      <c r="M27" s="51">
        <v>58.74</v>
      </c>
      <c r="N27" s="51">
        <v>1.7</v>
      </c>
      <c r="O27" s="51">
        <v>0</v>
      </c>
      <c r="P27" s="51">
        <v>1.03</v>
      </c>
      <c r="Q27" s="51">
        <v>10.08</v>
      </c>
    </row>
    <row r="28" spans="1:17" customFormat="1">
      <c r="A28" s="50">
        <v>45644.833333333336</v>
      </c>
      <c r="B28" s="51">
        <v>8.69</v>
      </c>
      <c r="C28" s="51">
        <v>32.21</v>
      </c>
      <c r="D28" s="51">
        <v>25.15</v>
      </c>
      <c r="E28" s="51">
        <v>11.34</v>
      </c>
      <c r="F28" s="30" t="s">
        <v>8</v>
      </c>
      <c r="G28" s="51">
        <v>159.49</v>
      </c>
      <c r="H28" s="51">
        <v>54.79</v>
      </c>
      <c r="I28" s="51">
        <v>15.42</v>
      </c>
      <c r="J28" s="51">
        <v>0.25</v>
      </c>
      <c r="K28" s="51">
        <v>159.34</v>
      </c>
      <c r="L28" s="51">
        <v>19.28</v>
      </c>
      <c r="M28" s="51">
        <v>62.59</v>
      </c>
      <c r="N28" s="51">
        <v>1.9</v>
      </c>
      <c r="O28" s="51">
        <v>0</v>
      </c>
      <c r="P28" s="51">
        <v>1.1399999999999999</v>
      </c>
      <c r="Q28" s="51">
        <v>10.1</v>
      </c>
    </row>
    <row r="29" spans="1:17" customFormat="1">
      <c r="A29" s="50">
        <v>45644.875</v>
      </c>
      <c r="B29" s="51">
        <v>9.41</v>
      </c>
      <c r="C29" s="51">
        <v>32.94</v>
      </c>
      <c r="D29" s="51">
        <v>26.11</v>
      </c>
      <c r="E29" s="51">
        <v>11.45</v>
      </c>
      <c r="F29" s="30" t="s">
        <v>8</v>
      </c>
      <c r="G29" s="51">
        <v>178.69</v>
      </c>
      <c r="H29" s="51">
        <v>59.77</v>
      </c>
      <c r="I29" s="51">
        <v>15.7</v>
      </c>
      <c r="J29" s="51">
        <v>0.18</v>
      </c>
      <c r="K29" s="51">
        <v>190.33</v>
      </c>
      <c r="L29" s="51">
        <v>17.809999999999999</v>
      </c>
      <c r="M29" s="51">
        <v>74.55</v>
      </c>
      <c r="N29" s="51">
        <v>1.7</v>
      </c>
      <c r="O29" s="51">
        <v>0</v>
      </c>
      <c r="P29" s="51">
        <v>1.2</v>
      </c>
      <c r="Q29" s="51">
        <v>10.130000000000001</v>
      </c>
    </row>
    <row r="30" spans="1:17" customFormat="1">
      <c r="A30" s="50">
        <v>45644.916666666664</v>
      </c>
      <c r="B30" s="51">
        <v>12.99</v>
      </c>
      <c r="C30" s="51">
        <v>33.619999999999997</v>
      </c>
      <c r="D30" s="51">
        <v>29.33</v>
      </c>
      <c r="E30" s="51">
        <v>11.23</v>
      </c>
      <c r="F30" s="30" t="s">
        <v>8</v>
      </c>
      <c r="G30" s="51">
        <v>196.36</v>
      </c>
      <c r="H30" s="51">
        <v>61.61</v>
      </c>
      <c r="I30" s="51">
        <v>15.78</v>
      </c>
      <c r="J30" s="51">
        <v>0.18</v>
      </c>
      <c r="K30" s="51">
        <v>174.75</v>
      </c>
      <c r="L30" s="51">
        <v>17.260000000000002</v>
      </c>
      <c r="M30" s="51">
        <v>78.28</v>
      </c>
      <c r="N30" s="51">
        <v>1.7</v>
      </c>
      <c r="O30" s="51">
        <v>0</v>
      </c>
      <c r="P30" s="51">
        <v>1.26</v>
      </c>
      <c r="Q30" s="51">
        <v>10.119999999999999</v>
      </c>
    </row>
    <row r="31" spans="1:17" customFormat="1">
      <c r="A31" s="50">
        <v>45644.958333333336</v>
      </c>
      <c r="B31" s="51">
        <v>13.83</v>
      </c>
      <c r="C31" s="51">
        <v>33.630000000000003</v>
      </c>
      <c r="D31" s="51">
        <v>29.96</v>
      </c>
      <c r="E31" s="51">
        <v>10.56</v>
      </c>
      <c r="F31" s="30" t="s">
        <v>8</v>
      </c>
      <c r="G31" s="51">
        <v>203.99</v>
      </c>
      <c r="H31" s="51">
        <v>63.07</v>
      </c>
      <c r="I31" s="51">
        <v>15.82</v>
      </c>
      <c r="J31" s="51">
        <v>0.2</v>
      </c>
      <c r="K31" s="51">
        <v>227.52</v>
      </c>
      <c r="L31" s="51">
        <v>15.78</v>
      </c>
      <c r="M31" s="51">
        <v>82.53</v>
      </c>
      <c r="N31" s="51">
        <v>1.7</v>
      </c>
      <c r="O31" s="51">
        <v>0</v>
      </c>
      <c r="P31" s="51">
        <v>1.3</v>
      </c>
      <c r="Q31" s="51">
        <v>10.130000000000001</v>
      </c>
    </row>
    <row r="32" spans="1:17" customFormat="1">
      <c r="A32" s="50">
        <v>45645</v>
      </c>
      <c r="B32" s="51">
        <v>12.36</v>
      </c>
      <c r="C32" s="51">
        <v>32.31</v>
      </c>
      <c r="D32" s="51">
        <v>28.14</v>
      </c>
      <c r="E32" s="51">
        <v>10.199999999999999</v>
      </c>
      <c r="F32" s="30" t="s">
        <v>8</v>
      </c>
      <c r="G32" s="51">
        <v>174.98</v>
      </c>
      <c r="H32" s="51">
        <v>63.58</v>
      </c>
      <c r="I32" s="51">
        <v>15.82</v>
      </c>
      <c r="J32" s="51">
        <v>0.14000000000000001</v>
      </c>
      <c r="K32" s="51">
        <v>217.23</v>
      </c>
      <c r="L32" s="51">
        <v>14.5</v>
      </c>
      <c r="M32" s="51">
        <v>84.84</v>
      </c>
      <c r="N32" s="51">
        <v>1.4</v>
      </c>
      <c r="O32" s="51">
        <v>0</v>
      </c>
      <c r="P32" s="51">
        <v>1.34</v>
      </c>
      <c r="Q32" s="51">
        <v>10.1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3.96</v>
      </c>
      <c r="C34" s="41">
        <f t="shared" si="0"/>
        <v>22.46</v>
      </c>
      <c r="D34" s="41">
        <f t="shared" si="0"/>
        <v>16.559999999999999</v>
      </c>
      <c r="E34" s="41">
        <f t="shared" si="0"/>
        <v>8.0399999999999991</v>
      </c>
      <c r="F34" s="30" t="s">
        <v>8</v>
      </c>
      <c r="G34" s="41">
        <f t="shared" si="0"/>
        <v>78.290000000000006</v>
      </c>
      <c r="H34" s="41">
        <f t="shared" si="0"/>
        <v>41.06</v>
      </c>
      <c r="I34" s="41">
        <f t="shared" si="0"/>
        <v>10.83</v>
      </c>
      <c r="J34" s="41">
        <f t="shared" si="0"/>
        <v>0.12</v>
      </c>
      <c r="K34" s="41">
        <f t="shared" si="0"/>
        <v>46.24</v>
      </c>
      <c r="L34" s="41">
        <f t="shared" si="0"/>
        <v>11.68</v>
      </c>
      <c r="M34" s="41">
        <f t="shared" si="0"/>
        <v>27.89</v>
      </c>
      <c r="N34" s="41">
        <f t="shared" si="0"/>
        <v>1.3</v>
      </c>
      <c r="O34" s="41">
        <f t="shared" si="0"/>
        <v>0</v>
      </c>
      <c r="P34" s="41">
        <f t="shared" si="0"/>
        <v>0.91</v>
      </c>
      <c r="Q34" s="41">
        <f t="shared" si="0"/>
        <v>10.029999999999999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31.28</v>
      </c>
      <c r="C35" s="33">
        <f t="shared" si="1"/>
        <v>33.630000000000003</v>
      </c>
      <c r="D35" s="33">
        <f t="shared" si="1"/>
        <v>42.77</v>
      </c>
      <c r="E35" s="33">
        <f t="shared" si="1"/>
        <v>24.63</v>
      </c>
      <c r="F35" s="30" t="s">
        <v>8</v>
      </c>
      <c r="G35" s="33">
        <f t="shared" si="1"/>
        <v>203.99</v>
      </c>
      <c r="H35" s="33">
        <f t="shared" si="1"/>
        <v>69.39</v>
      </c>
      <c r="I35" s="33">
        <f t="shared" si="1"/>
        <v>17.39</v>
      </c>
      <c r="J35" s="33">
        <f t="shared" si="1"/>
        <v>0.96</v>
      </c>
      <c r="K35" s="33">
        <f t="shared" si="1"/>
        <v>237.23</v>
      </c>
      <c r="L35" s="33">
        <f t="shared" si="1"/>
        <v>27.13</v>
      </c>
      <c r="M35" s="33">
        <f t="shared" si="1"/>
        <v>93.78</v>
      </c>
      <c r="N35" s="33">
        <f t="shared" si="1"/>
        <v>516</v>
      </c>
      <c r="O35" s="33">
        <f t="shared" si="1"/>
        <v>0</v>
      </c>
      <c r="P35" s="33">
        <f t="shared" si="1"/>
        <v>1.52</v>
      </c>
      <c r="Q35" s="33">
        <f t="shared" si="1"/>
        <v>10.18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15.346666666666666</v>
      </c>
      <c r="C36" s="41">
        <f t="shared" si="2"/>
        <v>29.887499999999999</v>
      </c>
      <c r="D36" s="41">
        <f t="shared" si="2"/>
        <v>29.16833333333334</v>
      </c>
      <c r="E36" s="41">
        <f t="shared" si="2"/>
        <v>11.557499999999997</v>
      </c>
      <c r="F36" s="30" t="s">
        <v>8</v>
      </c>
      <c r="G36" s="41">
        <f t="shared" si="2"/>
        <v>139.29666666666668</v>
      </c>
      <c r="H36" s="41">
        <f t="shared" si="2"/>
        <v>55.860833333333318</v>
      </c>
      <c r="I36" s="41">
        <f t="shared" si="2"/>
        <v>15.102083333333333</v>
      </c>
      <c r="J36" s="41">
        <f t="shared" si="2"/>
        <v>0.38499999999999995</v>
      </c>
      <c r="K36" s="41">
        <f t="shared" si="2"/>
        <v>151.19208333333333</v>
      </c>
      <c r="L36" s="41">
        <f t="shared" si="2"/>
        <v>19.025416666666665</v>
      </c>
      <c r="M36" s="41">
        <f t="shared" si="2"/>
        <v>65.919166666666669</v>
      </c>
      <c r="N36" s="41">
        <f t="shared" si="2"/>
        <v>118.64583333333331</v>
      </c>
      <c r="O36" s="41">
        <f t="shared" si="2"/>
        <v>0</v>
      </c>
      <c r="P36" s="41">
        <f t="shared" si="2"/>
        <v>1.2616666666666669</v>
      </c>
      <c r="Q36" s="41">
        <f t="shared" si="2"/>
        <v>10.11125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10.188625655780234</v>
      </c>
      <c r="C37" s="41">
        <f t="shared" ref="C37:Q37" si="3">STDEV(C9:C32)</f>
        <v>3.2688373814075526</v>
      </c>
      <c r="D37" s="41">
        <f t="shared" si="3"/>
        <v>8.8194950396053144</v>
      </c>
      <c r="E37" s="41">
        <f t="shared" si="3"/>
        <v>3.9526757585430659</v>
      </c>
      <c r="F37" s="30" t="s">
        <v>8</v>
      </c>
      <c r="G37" s="41">
        <f t="shared" si="3"/>
        <v>34.341365051831964</v>
      </c>
      <c r="H37" s="41">
        <f t="shared" si="3"/>
        <v>7.9226548672102179</v>
      </c>
      <c r="I37" s="41">
        <f t="shared" si="3"/>
        <v>2.1357494950946569</v>
      </c>
      <c r="J37" s="41">
        <f t="shared" si="3"/>
        <v>0.25518961407242818</v>
      </c>
      <c r="K37" s="41">
        <f t="shared" si="3"/>
        <v>59.593802783960882</v>
      </c>
      <c r="L37" s="41">
        <f t="shared" si="3"/>
        <v>5.5157978485253851</v>
      </c>
      <c r="M37" s="41">
        <f t="shared" si="3"/>
        <v>24.064291047591428</v>
      </c>
      <c r="N37" s="41">
        <f t="shared" si="3"/>
        <v>185.91629949164397</v>
      </c>
      <c r="O37" s="41">
        <f t="shared" si="3"/>
        <v>0</v>
      </c>
      <c r="P37" s="41">
        <f t="shared" si="3"/>
        <v>0.20571543592960967</v>
      </c>
      <c r="Q37" s="41">
        <f t="shared" si="3"/>
        <v>4.2866070498705826E-2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v>24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&gt;90%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OK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4" activePane="bottomRight" state="frozen"/>
      <selection activeCell="A9" sqref="A9"/>
      <selection pane="topRight" activeCell="A9" sqref="A9"/>
      <selection pane="bottomLeft" activeCell="A9" sqref="A9"/>
      <selection pane="bottomRight" activeCell="E39" sqref="E3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45645.041666666664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45645.041666666664</v>
      </c>
      <c r="B9" s="51">
        <v>11.12</v>
      </c>
      <c r="C9" s="51">
        <v>30.38</v>
      </c>
      <c r="D9" s="51">
        <v>26.14</v>
      </c>
      <c r="E9" s="51">
        <v>9.98</v>
      </c>
      <c r="F9" s="53" t="s">
        <v>8</v>
      </c>
      <c r="G9" s="51">
        <v>139.05000000000001</v>
      </c>
      <c r="H9" s="51">
        <v>60.68</v>
      </c>
      <c r="I9" s="51">
        <v>15.4</v>
      </c>
      <c r="J9" s="51">
        <v>0.18</v>
      </c>
      <c r="K9" s="51">
        <v>223.08</v>
      </c>
      <c r="L9" s="51">
        <v>14.09</v>
      </c>
      <c r="M9" s="51">
        <v>87.41</v>
      </c>
      <c r="N9" s="51">
        <v>1.4</v>
      </c>
      <c r="O9" s="51">
        <v>0</v>
      </c>
      <c r="P9" s="51">
        <v>1.33</v>
      </c>
      <c r="Q9" s="51">
        <v>10.07</v>
      </c>
    </row>
    <row r="10" spans="1:21" customFormat="1">
      <c r="A10" s="50">
        <v>45645.083333333336</v>
      </c>
      <c r="B10" s="51">
        <v>15.56</v>
      </c>
      <c r="C10" s="51">
        <v>30.88</v>
      </c>
      <c r="D10" s="51">
        <v>29.96</v>
      </c>
      <c r="E10" s="51">
        <v>9.7799999999999994</v>
      </c>
      <c r="F10" s="53" t="s">
        <v>8</v>
      </c>
      <c r="G10" s="51">
        <v>125.46</v>
      </c>
      <c r="H10" s="51">
        <v>59.69</v>
      </c>
      <c r="I10" s="51">
        <v>14.92</v>
      </c>
      <c r="J10" s="51">
        <v>0.12</v>
      </c>
      <c r="K10" s="51">
        <v>222.63</v>
      </c>
      <c r="L10" s="51">
        <v>13.55</v>
      </c>
      <c r="M10" s="51">
        <v>85.47</v>
      </c>
      <c r="N10" s="51">
        <v>1.3</v>
      </c>
      <c r="O10" s="51">
        <v>0</v>
      </c>
      <c r="P10" s="51">
        <v>1.32</v>
      </c>
      <c r="Q10" s="51">
        <v>10.09</v>
      </c>
    </row>
    <row r="11" spans="1:21" customFormat="1">
      <c r="A11" s="50">
        <v>45645.125</v>
      </c>
      <c r="B11" s="51">
        <v>19.86</v>
      </c>
      <c r="C11" s="51">
        <v>31.66</v>
      </c>
      <c r="D11" s="51">
        <v>33.82</v>
      </c>
      <c r="E11" s="51">
        <v>8.27</v>
      </c>
      <c r="F11" s="53" t="s">
        <v>8</v>
      </c>
      <c r="G11" s="51">
        <v>123.52</v>
      </c>
      <c r="H11" s="51">
        <v>60.49</v>
      </c>
      <c r="I11" s="51">
        <v>14.52</v>
      </c>
      <c r="J11" s="51">
        <v>0.09</v>
      </c>
      <c r="K11" s="51">
        <v>216.49</v>
      </c>
      <c r="L11" s="51">
        <v>13.11</v>
      </c>
      <c r="M11" s="51">
        <v>87.8</v>
      </c>
      <c r="N11" s="51">
        <v>1.3</v>
      </c>
      <c r="O11" s="51">
        <v>0</v>
      </c>
      <c r="P11" s="51">
        <v>1.31</v>
      </c>
      <c r="Q11" s="51">
        <v>10.119999999999999</v>
      </c>
    </row>
    <row r="12" spans="1:21" customFormat="1">
      <c r="A12" s="50">
        <v>45645.166666666664</v>
      </c>
      <c r="B12" s="51">
        <v>19.98</v>
      </c>
      <c r="C12" s="51">
        <v>31.92</v>
      </c>
      <c r="D12" s="51">
        <v>33.950000000000003</v>
      </c>
      <c r="E12" s="51">
        <v>8.42</v>
      </c>
      <c r="F12" s="53" t="s">
        <v>8</v>
      </c>
      <c r="G12" s="51">
        <v>122.75</v>
      </c>
      <c r="H12" s="51">
        <v>56.64</v>
      </c>
      <c r="I12" s="51">
        <v>14.06</v>
      </c>
      <c r="J12" s="51">
        <v>0.16</v>
      </c>
      <c r="K12" s="51">
        <v>127.1</v>
      </c>
      <c r="L12" s="51">
        <v>13.36</v>
      </c>
      <c r="M12" s="51">
        <v>82.69</v>
      </c>
      <c r="N12" s="51">
        <v>1.3</v>
      </c>
      <c r="O12" s="51">
        <v>0</v>
      </c>
      <c r="P12" s="51">
        <v>1.27</v>
      </c>
      <c r="Q12" s="51">
        <v>10.11</v>
      </c>
    </row>
    <row r="13" spans="1:21" customFormat="1">
      <c r="A13" s="50">
        <v>45645.208333333336</v>
      </c>
      <c r="B13" s="51">
        <v>15.13</v>
      </c>
      <c r="C13" s="51">
        <v>31.39</v>
      </c>
      <c r="D13" s="51">
        <v>29.88</v>
      </c>
      <c r="E13" s="51">
        <v>7.92</v>
      </c>
      <c r="F13" s="53" t="s">
        <v>8</v>
      </c>
      <c r="G13" s="51">
        <v>107.41</v>
      </c>
      <c r="H13" s="51">
        <v>54.98</v>
      </c>
      <c r="I13" s="51">
        <v>13.32</v>
      </c>
      <c r="J13" s="51">
        <v>0.17</v>
      </c>
      <c r="K13" s="51">
        <v>152.19</v>
      </c>
      <c r="L13" s="51">
        <v>13.11</v>
      </c>
      <c r="M13" s="51">
        <v>83.6</v>
      </c>
      <c r="N13" s="51">
        <v>1.4</v>
      </c>
      <c r="O13" s="51">
        <v>0</v>
      </c>
      <c r="P13" s="51">
        <v>1.1299999999999999</v>
      </c>
      <c r="Q13" s="51">
        <v>10.130000000000001</v>
      </c>
    </row>
    <row r="14" spans="1:21" customFormat="1">
      <c r="A14" s="50">
        <v>45645.25</v>
      </c>
      <c r="B14" s="51">
        <v>12.93</v>
      </c>
      <c r="C14" s="51">
        <v>31.25</v>
      </c>
      <c r="D14" s="51">
        <v>28.05</v>
      </c>
      <c r="E14" s="51">
        <v>7.75</v>
      </c>
      <c r="F14" s="53" t="s">
        <v>8</v>
      </c>
      <c r="G14" s="51">
        <v>117.83</v>
      </c>
      <c r="H14" s="51">
        <v>55.15</v>
      </c>
      <c r="I14" s="51">
        <v>12.93</v>
      </c>
      <c r="J14" s="51">
        <v>0.28000000000000003</v>
      </c>
      <c r="K14" s="51">
        <v>188.43</v>
      </c>
      <c r="L14" s="51">
        <v>12.9</v>
      </c>
      <c r="M14" s="51">
        <v>88.65</v>
      </c>
      <c r="N14" s="51">
        <v>1.6</v>
      </c>
      <c r="O14" s="51">
        <v>0</v>
      </c>
      <c r="P14" s="51">
        <v>1.1100000000000001</v>
      </c>
      <c r="Q14" s="51">
        <v>10.11</v>
      </c>
    </row>
    <row r="15" spans="1:21" customFormat="1">
      <c r="A15" s="50">
        <v>45645.291666666664</v>
      </c>
      <c r="B15" s="51">
        <v>14.77</v>
      </c>
      <c r="C15" s="51">
        <v>30.95</v>
      </c>
      <c r="D15" s="51">
        <v>29.37</v>
      </c>
      <c r="E15" s="51">
        <v>8.14</v>
      </c>
      <c r="F15" s="53" t="s">
        <v>8</v>
      </c>
      <c r="G15" s="51">
        <v>134.15</v>
      </c>
      <c r="H15" s="51">
        <v>58.31</v>
      </c>
      <c r="I15" s="51">
        <v>13.48</v>
      </c>
      <c r="J15" s="51">
        <v>0.4</v>
      </c>
      <c r="K15" s="51">
        <v>44.75</v>
      </c>
      <c r="L15" s="51">
        <v>13.25</v>
      </c>
      <c r="M15" s="51">
        <v>82.42</v>
      </c>
      <c r="N15" s="51">
        <v>13.2</v>
      </c>
      <c r="O15" s="51">
        <v>0</v>
      </c>
      <c r="P15" s="51">
        <v>1.2</v>
      </c>
      <c r="Q15" s="51">
        <v>10.11</v>
      </c>
    </row>
    <row r="16" spans="1:21" customFormat="1">
      <c r="A16" s="50">
        <v>45645.333333333336</v>
      </c>
      <c r="B16" s="51">
        <v>14.78</v>
      </c>
      <c r="C16" s="51">
        <v>31.18</v>
      </c>
      <c r="D16" s="51">
        <v>29.49</v>
      </c>
      <c r="E16" s="51">
        <v>7.85</v>
      </c>
      <c r="F16" s="53" t="s">
        <v>8</v>
      </c>
      <c r="G16" s="51">
        <v>154.58000000000001</v>
      </c>
      <c r="H16" s="51">
        <v>62.27</v>
      </c>
      <c r="I16" s="51">
        <v>14.73</v>
      </c>
      <c r="J16" s="51">
        <v>0.56000000000000005</v>
      </c>
      <c r="K16" s="51">
        <v>42.55</v>
      </c>
      <c r="L16" s="51">
        <v>14.96</v>
      </c>
      <c r="M16" s="51">
        <v>81.25</v>
      </c>
      <c r="N16" s="51">
        <v>105.6</v>
      </c>
      <c r="O16" s="51">
        <v>0</v>
      </c>
      <c r="P16" s="51">
        <v>1.29</v>
      </c>
      <c r="Q16" s="51">
        <v>10.11</v>
      </c>
    </row>
    <row r="17" spans="1:17" customFormat="1">
      <c r="A17" s="50">
        <v>45645.375</v>
      </c>
      <c r="B17" s="51">
        <v>13.63</v>
      </c>
      <c r="C17" s="51">
        <v>30.94</v>
      </c>
      <c r="D17" s="51">
        <v>28.38</v>
      </c>
      <c r="E17" s="51">
        <v>8.39</v>
      </c>
      <c r="F17" s="53" t="s">
        <v>8</v>
      </c>
      <c r="G17" s="51">
        <v>164.77</v>
      </c>
      <c r="H17" s="51">
        <v>63.88</v>
      </c>
      <c r="I17" s="51">
        <v>15.11</v>
      </c>
      <c r="J17" s="51">
        <v>1.25</v>
      </c>
      <c r="K17" s="51">
        <v>53.06</v>
      </c>
      <c r="L17" s="51">
        <v>18.97</v>
      </c>
      <c r="M17" s="51">
        <v>70.989999999999995</v>
      </c>
      <c r="N17" s="51">
        <v>217.8</v>
      </c>
      <c r="O17" s="51">
        <v>0</v>
      </c>
      <c r="P17" s="51">
        <v>1.31</v>
      </c>
      <c r="Q17" s="51">
        <v>10.11</v>
      </c>
    </row>
    <row r="18" spans="1:17" customFormat="1">
      <c r="A18" s="50">
        <v>45645.416666666664</v>
      </c>
      <c r="B18" s="51">
        <v>10.23</v>
      </c>
      <c r="C18" s="51">
        <v>30.75</v>
      </c>
      <c r="D18" s="51">
        <v>25.62</v>
      </c>
      <c r="E18" s="51">
        <v>9.1199999999999992</v>
      </c>
      <c r="F18" s="53" t="s">
        <v>8</v>
      </c>
      <c r="G18" s="51">
        <v>154.36000000000001</v>
      </c>
      <c r="H18" s="51">
        <v>61.52</v>
      </c>
      <c r="I18" s="51">
        <v>15.21</v>
      </c>
      <c r="J18" s="51">
        <v>1</v>
      </c>
      <c r="K18" s="51">
        <v>63.7</v>
      </c>
      <c r="L18" s="51">
        <v>22.88</v>
      </c>
      <c r="M18" s="51">
        <v>59.67</v>
      </c>
      <c r="N18" s="51">
        <v>304.2</v>
      </c>
      <c r="O18" s="51">
        <v>0</v>
      </c>
      <c r="P18" s="51">
        <v>1.33</v>
      </c>
      <c r="Q18" s="51">
        <v>10.08</v>
      </c>
    </row>
    <row r="19" spans="1:17" customFormat="1">
      <c r="A19" s="50">
        <v>45645.458333333336</v>
      </c>
      <c r="B19" s="51">
        <v>8.02</v>
      </c>
      <c r="C19" s="51">
        <v>28.89</v>
      </c>
      <c r="D19" s="51">
        <v>22.88</v>
      </c>
      <c r="E19" s="51">
        <v>9.76</v>
      </c>
      <c r="F19" s="53" t="s">
        <v>8</v>
      </c>
      <c r="G19" s="51">
        <v>137.85</v>
      </c>
      <c r="H19" s="51">
        <v>54.43</v>
      </c>
      <c r="I19" s="51">
        <v>14.99</v>
      </c>
      <c r="J19" s="51">
        <v>0.9</v>
      </c>
      <c r="K19" s="51">
        <v>71.48</v>
      </c>
      <c r="L19" s="51">
        <v>25.08</v>
      </c>
      <c r="M19" s="51">
        <v>52.39</v>
      </c>
      <c r="N19" s="51">
        <v>439.4</v>
      </c>
      <c r="O19" s="51">
        <v>0</v>
      </c>
      <c r="P19" s="51">
        <v>1.29</v>
      </c>
      <c r="Q19" s="51">
        <v>10.06</v>
      </c>
    </row>
    <row r="20" spans="1:17" customFormat="1">
      <c r="A20" s="50">
        <v>45645.5</v>
      </c>
      <c r="B20" s="51">
        <v>5.64</v>
      </c>
      <c r="C20" s="51">
        <v>26.56</v>
      </c>
      <c r="D20" s="51">
        <v>19.75</v>
      </c>
      <c r="E20" s="51">
        <v>10.16</v>
      </c>
      <c r="F20" s="53" t="s">
        <v>8</v>
      </c>
      <c r="G20" s="51">
        <v>112.68</v>
      </c>
      <c r="H20" s="51">
        <v>46.38</v>
      </c>
      <c r="I20" s="51">
        <v>14.22</v>
      </c>
      <c r="J20" s="51">
        <v>0.96</v>
      </c>
      <c r="K20" s="51">
        <v>104.38</v>
      </c>
      <c r="L20" s="51">
        <v>26.33</v>
      </c>
      <c r="M20" s="51">
        <v>53.69</v>
      </c>
      <c r="N20" s="51">
        <v>443</v>
      </c>
      <c r="O20" s="51">
        <v>0</v>
      </c>
      <c r="P20" s="51">
        <v>1.2</v>
      </c>
      <c r="Q20" s="51">
        <v>10.050000000000001</v>
      </c>
    </row>
    <row r="21" spans="1:17" customFormat="1">
      <c r="A21" s="50">
        <v>45645.541666666664</v>
      </c>
      <c r="B21" s="51">
        <v>3.88</v>
      </c>
      <c r="C21" s="51">
        <v>24.15</v>
      </c>
      <c r="D21" s="51">
        <v>17.079999999999998</v>
      </c>
      <c r="E21" s="27" t="s">
        <v>14</v>
      </c>
      <c r="F21" s="53" t="s">
        <v>8</v>
      </c>
      <c r="G21" s="51">
        <v>98.03</v>
      </c>
      <c r="H21" s="51">
        <v>37.31</v>
      </c>
      <c r="I21" s="51">
        <v>13.13</v>
      </c>
      <c r="J21" s="51">
        <v>0.67</v>
      </c>
      <c r="K21" s="51">
        <v>86.31</v>
      </c>
      <c r="L21" s="51">
        <v>27.26</v>
      </c>
      <c r="M21" s="51">
        <v>53.72</v>
      </c>
      <c r="N21" s="51">
        <v>279.89999999999998</v>
      </c>
      <c r="O21" s="51">
        <v>0</v>
      </c>
      <c r="P21" s="51">
        <v>1.01</v>
      </c>
      <c r="Q21" s="51">
        <v>10.050000000000001</v>
      </c>
    </row>
    <row r="22" spans="1:17" customFormat="1">
      <c r="A22" s="50">
        <v>45645.583333333336</v>
      </c>
      <c r="B22" s="51">
        <v>3.52</v>
      </c>
      <c r="C22" s="51">
        <v>22.72</v>
      </c>
      <c r="D22" s="51">
        <v>15.98</v>
      </c>
      <c r="E22" s="51">
        <v>8.61</v>
      </c>
      <c r="F22" s="53" t="s">
        <v>8</v>
      </c>
      <c r="G22" s="51">
        <v>79.209999999999994</v>
      </c>
      <c r="H22" s="51">
        <v>35.520000000000003</v>
      </c>
      <c r="I22" s="51">
        <v>10.3</v>
      </c>
      <c r="J22" s="51">
        <v>0.62</v>
      </c>
      <c r="K22" s="51">
        <v>82.1</v>
      </c>
      <c r="L22" s="51">
        <v>27.76</v>
      </c>
      <c r="M22" s="51">
        <v>53.68</v>
      </c>
      <c r="N22" s="51">
        <v>232.3</v>
      </c>
      <c r="O22" s="51">
        <v>0</v>
      </c>
      <c r="P22" s="51">
        <v>0.79</v>
      </c>
      <c r="Q22" s="51">
        <v>10.06</v>
      </c>
    </row>
    <row r="23" spans="1:17" customFormat="1">
      <c r="A23" s="50">
        <v>45645.625</v>
      </c>
      <c r="B23" s="51">
        <v>3.71</v>
      </c>
      <c r="C23" s="51">
        <v>23.35</v>
      </c>
      <c r="D23" s="51">
        <v>16.53</v>
      </c>
      <c r="E23" s="27" t="s">
        <v>14</v>
      </c>
      <c r="F23" s="53" t="s">
        <v>8</v>
      </c>
      <c r="G23" s="51">
        <v>64.209999999999994</v>
      </c>
      <c r="H23" s="51">
        <v>27.4</v>
      </c>
      <c r="I23" s="51">
        <v>8.6199999999999992</v>
      </c>
      <c r="J23" s="51">
        <v>0.68</v>
      </c>
      <c r="K23" s="51">
        <v>142.77000000000001</v>
      </c>
      <c r="L23" s="51">
        <v>27.75</v>
      </c>
      <c r="M23" s="51">
        <v>54.15</v>
      </c>
      <c r="N23" s="51">
        <v>125.4</v>
      </c>
      <c r="O23" s="51">
        <v>0</v>
      </c>
      <c r="P23" s="51">
        <v>0.7</v>
      </c>
      <c r="Q23" s="51">
        <v>10.06</v>
      </c>
    </row>
    <row r="24" spans="1:17" customFormat="1">
      <c r="A24" s="50">
        <v>45645.666666666664</v>
      </c>
      <c r="B24" s="51">
        <v>3.77</v>
      </c>
      <c r="C24" s="51">
        <v>23.14</v>
      </c>
      <c r="D24" s="51">
        <v>16.399999999999999</v>
      </c>
      <c r="E24" s="27" t="s">
        <v>14</v>
      </c>
      <c r="F24" s="53" t="s">
        <v>8</v>
      </c>
      <c r="G24" s="51">
        <v>63.88</v>
      </c>
      <c r="H24" s="51">
        <v>30.1</v>
      </c>
      <c r="I24" s="51">
        <v>8.4</v>
      </c>
      <c r="J24" s="51">
        <v>0.38</v>
      </c>
      <c r="K24" s="51">
        <v>149.26</v>
      </c>
      <c r="L24" s="51">
        <v>27.73</v>
      </c>
      <c r="M24" s="51">
        <v>56.09</v>
      </c>
      <c r="N24" s="51">
        <v>86.9</v>
      </c>
      <c r="O24" s="51">
        <v>0</v>
      </c>
      <c r="P24" s="51">
        <v>0.69</v>
      </c>
      <c r="Q24" s="51">
        <v>10.06</v>
      </c>
    </row>
    <row r="25" spans="1:17" customFormat="1">
      <c r="A25" s="50">
        <v>45645.708333333336</v>
      </c>
      <c r="B25" s="51">
        <v>3.9</v>
      </c>
      <c r="C25" s="51">
        <v>22.99</v>
      </c>
      <c r="D25" s="51">
        <v>16.489999999999998</v>
      </c>
      <c r="E25" s="27" t="s">
        <v>14</v>
      </c>
      <c r="F25" s="53" t="s">
        <v>8</v>
      </c>
      <c r="G25" s="51">
        <v>52.75</v>
      </c>
      <c r="H25" s="51">
        <v>26.23</v>
      </c>
      <c r="I25" s="51">
        <v>8.26</v>
      </c>
      <c r="J25" s="51">
        <v>0.3</v>
      </c>
      <c r="K25" s="51">
        <v>115.59</v>
      </c>
      <c r="L25" s="51">
        <v>27.28</v>
      </c>
      <c r="M25" s="51">
        <v>60.29</v>
      </c>
      <c r="N25" s="51">
        <v>32.5</v>
      </c>
      <c r="O25" s="51">
        <v>0</v>
      </c>
      <c r="P25" s="51">
        <v>0.67</v>
      </c>
      <c r="Q25" s="51">
        <v>10.06</v>
      </c>
    </row>
    <row r="26" spans="1:17" customFormat="1">
      <c r="A26" s="50">
        <v>45645.75</v>
      </c>
      <c r="B26" s="51">
        <v>4.84</v>
      </c>
      <c r="C26" s="51">
        <v>24.65</v>
      </c>
      <c r="D26" s="51">
        <v>18.11</v>
      </c>
      <c r="E26" s="27" t="s">
        <v>14</v>
      </c>
      <c r="F26" s="53" t="s">
        <v>8</v>
      </c>
      <c r="G26" s="51">
        <v>62.77</v>
      </c>
      <c r="H26" s="51">
        <v>25.76</v>
      </c>
      <c r="I26" s="51">
        <v>8.42</v>
      </c>
      <c r="J26" s="51">
        <v>0.31</v>
      </c>
      <c r="K26" s="51">
        <v>114.92</v>
      </c>
      <c r="L26" s="51">
        <v>25.96</v>
      </c>
      <c r="M26" s="51">
        <v>64.77</v>
      </c>
      <c r="N26" s="51">
        <v>4.4000000000000004</v>
      </c>
      <c r="O26" s="51">
        <v>0</v>
      </c>
      <c r="P26" s="51">
        <v>0.74</v>
      </c>
      <c r="Q26" s="51">
        <v>10.06</v>
      </c>
    </row>
    <row r="27" spans="1:17" customFormat="1">
      <c r="A27" s="50">
        <v>45645.791666666664</v>
      </c>
      <c r="B27" s="51">
        <v>6.73</v>
      </c>
      <c r="C27" s="51">
        <v>26.73</v>
      </c>
      <c r="D27" s="51">
        <v>20.71</v>
      </c>
      <c r="E27" s="51">
        <v>9.4</v>
      </c>
      <c r="F27" s="53" t="s">
        <v>8</v>
      </c>
      <c r="G27" s="51">
        <v>116.55</v>
      </c>
      <c r="H27" s="51">
        <v>29.93</v>
      </c>
      <c r="I27" s="51">
        <v>9.48</v>
      </c>
      <c r="J27" s="51">
        <v>0.18</v>
      </c>
      <c r="K27" s="51">
        <v>148.86000000000001</v>
      </c>
      <c r="L27" s="51">
        <v>24.89</v>
      </c>
      <c r="M27" s="51">
        <v>72.19</v>
      </c>
      <c r="N27" s="51">
        <v>2.7</v>
      </c>
      <c r="O27" s="51">
        <v>0</v>
      </c>
      <c r="P27" s="51">
        <v>0.91</v>
      </c>
      <c r="Q27" s="51">
        <v>10.050000000000001</v>
      </c>
    </row>
    <row r="28" spans="1:17" customFormat="1">
      <c r="A28" s="50">
        <v>45645.833333333336</v>
      </c>
      <c r="B28" s="51">
        <v>7.93</v>
      </c>
      <c r="C28" s="51">
        <v>26.61</v>
      </c>
      <c r="D28" s="51">
        <v>21.12</v>
      </c>
      <c r="E28" s="51">
        <v>9.41</v>
      </c>
      <c r="F28" s="53" t="s">
        <v>8</v>
      </c>
      <c r="G28" s="51">
        <v>173.96</v>
      </c>
      <c r="H28" s="51">
        <v>32.35</v>
      </c>
      <c r="I28" s="51">
        <v>10.54</v>
      </c>
      <c r="J28" s="51">
        <v>0.26</v>
      </c>
      <c r="K28" s="51">
        <v>163.16</v>
      </c>
      <c r="L28" s="51">
        <v>23.39</v>
      </c>
      <c r="M28" s="51">
        <v>76.83</v>
      </c>
      <c r="N28" s="51">
        <v>2.4</v>
      </c>
      <c r="O28" s="51">
        <v>0</v>
      </c>
      <c r="P28" s="51">
        <v>0.97</v>
      </c>
      <c r="Q28" s="51">
        <v>10.050000000000001</v>
      </c>
    </row>
    <row r="29" spans="1:17" customFormat="1">
      <c r="A29" s="50">
        <v>45645.875</v>
      </c>
      <c r="B29" s="51">
        <v>7.91</v>
      </c>
      <c r="C29" s="51">
        <v>25.26</v>
      </c>
      <c r="D29" s="51">
        <v>20.89</v>
      </c>
      <c r="E29" s="51">
        <v>9.56</v>
      </c>
      <c r="F29" s="53" t="s">
        <v>8</v>
      </c>
      <c r="G29" s="51">
        <v>92.14</v>
      </c>
      <c r="H29" s="51">
        <v>31.75</v>
      </c>
      <c r="I29" s="51">
        <v>10.88</v>
      </c>
      <c r="J29" s="51">
        <v>0.26</v>
      </c>
      <c r="K29" s="51">
        <v>155.52000000000001</v>
      </c>
      <c r="L29" s="51">
        <v>22.8</v>
      </c>
      <c r="M29" s="51">
        <v>77.52</v>
      </c>
      <c r="N29" s="51">
        <v>2</v>
      </c>
      <c r="O29" s="51">
        <v>0</v>
      </c>
      <c r="P29" s="51">
        <v>0.98</v>
      </c>
      <c r="Q29" s="51">
        <v>10.050000000000001</v>
      </c>
    </row>
    <row r="30" spans="1:17" customFormat="1">
      <c r="A30" s="50">
        <v>45645.916666666664</v>
      </c>
      <c r="B30" s="51">
        <v>8.61</v>
      </c>
      <c r="C30" s="51">
        <v>24.34</v>
      </c>
      <c r="D30" s="51">
        <v>20.92</v>
      </c>
      <c r="E30" s="51">
        <v>9.8699999999999992</v>
      </c>
      <c r="F30" s="53" t="s">
        <v>8</v>
      </c>
      <c r="G30" s="51">
        <v>88.83</v>
      </c>
      <c r="H30" s="51">
        <v>33.21</v>
      </c>
      <c r="I30" s="51">
        <v>11.08</v>
      </c>
      <c r="J30" s="51">
        <v>0.33</v>
      </c>
      <c r="K30" s="51">
        <v>112.42</v>
      </c>
      <c r="L30" s="51">
        <v>22.22</v>
      </c>
      <c r="M30" s="51">
        <v>78.540000000000006</v>
      </c>
      <c r="N30" s="51">
        <v>1.9</v>
      </c>
      <c r="O30" s="51">
        <v>0</v>
      </c>
      <c r="P30" s="51">
        <v>1.01</v>
      </c>
      <c r="Q30" s="51">
        <v>10.039999999999999</v>
      </c>
    </row>
    <row r="31" spans="1:17" customFormat="1">
      <c r="A31" s="50">
        <v>45645.958333333336</v>
      </c>
      <c r="B31" s="51">
        <v>8.83</v>
      </c>
      <c r="C31" s="51">
        <v>24.26</v>
      </c>
      <c r="D31" s="51">
        <v>21.11</v>
      </c>
      <c r="E31" s="51">
        <v>9.57</v>
      </c>
      <c r="F31" s="53" t="s">
        <v>8</v>
      </c>
      <c r="G31" s="51">
        <v>86.89</v>
      </c>
      <c r="H31" s="51">
        <v>33.69</v>
      </c>
      <c r="I31" s="51">
        <v>11.23</v>
      </c>
      <c r="J31" s="51">
        <v>0.28999999999999998</v>
      </c>
      <c r="K31" s="51">
        <v>152.43</v>
      </c>
      <c r="L31" s="51">
        <v>21.55</v>
      </c>
      <c r="M31" s="51">
        <v>80.41</v>
      </c>
      <c r="N31" s="51">
        <v>1.9</v>
      </c>
      <c r="O31" s="51">
        <v>0</v>
      </c>
      <c r="P31" s="51">
        <v>1.03</v>
      </c>
      <c r="Q31" s="51">
        <v>10.050000000000001</v>
      </c>
    </row>
    <row r="32" spans="1:17" customFormat="1">
      <c r="A32" s="50">
        <v>45646</v>
      </c>
      <c r="B32" s="51">
        <v>9.1300000000000008</v>
      </c>
      <c r="C32" s="51">
        <v>23.94</v>
      </c>
      <c r="D32" s="51">
        <v>21.12</v>
      </c>
      <c r="E32" s="51">
        <v>9.9600000000000009</v>
      </c>
      <c r="F32" s="53" t="s">
        <v>8</v>
      </c>
      <c r="G32" s="51">
        <v>88.35</v>
      </c>
      <c r="H32" s="51">
        <v>35.24</v>
      </c>
      <c r="I32" s="51">
        <v>11.43</v>
      </c>
      <c r="J32" s="51">
        <v>0.45</v>
      </c>
      <c r="K32" s="51">
        <v>64.59</v>
      </c>
      <c r="L32" s="51">
        <v>21.21</v>
      </c>
      <c r="M32" s="51">
        <v>80.040000000000006</v>
      </c>
      <c r="N32" s="51">
        <v>2.1</v>
      </c>
      <c r="O32" s="51">
        <v>0</v>
      </c>
      <c r="P32" s="51">
        <v>1.03</v>
      </c>
      <c r="Q32" s="51">
        <v>10.06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3.52</v>
      </c>
      <c r="C34" s="41">
        <f t="shared" si="0"/>
        <v>22.72</v>
      </c>
      <c r="D34" s="41">
        <f t="shared" si="0"/>
        <v>15.98</v>
      </c>
      <c r="E34" s="41">
        <f t="shared" si="0"/>
        <v>7.75</v>
      </c>
      <c r="F34" s="41">
        <f t="shared" si="0"/>
        <v>0</v>
      </c>
      <c r="G34" s="41">
        <f t="shared" si="0"/>
        <v>52.75</v>
      </c>
      <c r="H34" s="41">
        <f t="shared" si="0"/>
        <v>25.76</v>
      </c>
      <c r="I34" s="41">
        <f t="shared" si="0"/>
        <v>8.26</v>
      </c>
      <c r="J34" s="41">
        <f t="shared" si="0"/>
        <v>0.09</v>
      </c>
      <c r="K34" s="41">
        <f t="shared" si="0"/>
        <v>42.55</v>
      </c>
      <c r="L34" s="41">
        <f t="shared" si="0"/>
        <v>12.9</v>
      </c>
      <c r="M34" s="41">
        <f t="shared" si="0"/>
        <v>52.39</v>
      </c>
      <c r="N34" s="41">
        <f t="shared" si="0"/>
        <v>1.3</v>
      </c>
      <c r="O34" s="41">
        <f t="shared" si="0"/>
        <v>0</v>
      </c>
      <c r="P34" s="41">
        <f t="shared" si="0"/>
        <v>0.67</v>
      </c>
      <c r="Q34" s="41">
        <f t="shared" si="0"/>
        <v>10.039999999999999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19.98</v>
      </c>
      <c r="C35" s="33">
        <f t="shared" si="1"/>
        <v>31.92</v>
      </c>
      <c r="D35" s="33">
        <f t="shared" si="1"/>
        <v>33.950000000000003</v>
      </c>
      <c r="E35" s="33">
        <f t="shared" si="1"/>
        <v>10.16</v>
      </c>
      <c r="F35" s="33">
        <f t="shared" si="1"/>
        <v>0</v>
      </c>
      <c r="G35" s="33">
        <f t="shared" si="1"/>
        <v>173.96</v>
      </c>
      <c r="H35" s="33">
        <f t="shared" si="1"/>
        <v>63.88</v>
      </c>
      <c r="I35" s="33">
        <f t="shared" si="1"/>
        <v>15.4</v>
      </c>
      <c r="J35" s="33">
        <f t="shared" si="1"/>
        <v>1.25</v>
      </c>
      <c r="K35" s="33">
        <f t="shared" si="1"/>
        <v>223.08</v>
      </c>
      <c r="L35" s="33">
        <f t="shared" si="1"/>
        <v>27.76</v>
      </c>
      <c r="M35" s="33">
        <f t="shared" si="1"/>
        <v>88.65</v>
      </c>
      <c r="N35" s="33">
        <f t="shared" si="1"/>
        <v>443</v>
      </c>
      <c r="O35" s="33">
        <f t="shared" si="1"/>
        <v>0</v>
      </c>
      <c r="P35" s="33">
        <f t="shared" si="1"/>
        <v>1.33</v>
      </c>
      <c r="Q35" s="33">
        <f t="shared" si="1"/>
        <v>10.130000000000001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9.7670833333333338</v>
      </c>
      <c r="C36" s="41">
        <f t="shared" si="2"/>
        <v>27.453750000000003</v>
      </c>
      <c r="D36" s="41">
        <f t="shared" si="2"/>
        <v>23.489583333333332</v>
      </c>
      <c r="E36" s="41">
        <f t="shared" si="2"/>
        <v>9.0484210526315803</v>
      </c>
      <c r="F36" s="41" t="e">
        <f t="shared" si="2"/>
        <v>#DIV/0!</v>
      </c>
      <c r="G36" s="41">
        <f t="shared" si="2"/>
        <v>110.91583333333334</v>
      </c>
      <c r="H36" s="41">
        <f t="shared" si="2"/>
        <v>44.704583333333339</v>
      </c>
      <c r="I36" s="41">
        <f t="shared" si="2"/>
        <v>12.277500000000002</v>
      </c>
      <c r="J36" s="41">
        <f t="shared" si="2"/>
        <v>0.45</v>
      </c>
      <c r="K36" s="41">
        <f t="shared" si="2"/>
        <v>124.90708333333333</v>
      </c>
      <c r="L36" s="41">
        <f t="shared" si="2"/>
        <v>20.891249999999999</v>
      </c>
      <c r="M36" s="41">
        <f t="shared" si="2"/>
        <v>71.844166666666652</v>
      </c>
      <c r="N36" s="41">
        <f t="shared" si="2"/>
        <v>96.079166666666666</v>
      </c>
      <c r="O36" s="41">
        <f t="shared" si="2"/>
        <v>0</v>
      </c>
      <c r="P36" s="41">
        <f t="shared" si="2"/>
        <v>1.0675000000000001</v>
      </c>
      <c r="Q36" s="41">
        <f t="shared" si="2"/>
        <v>10.075000000000003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5.0622648988172356</v>
      </c>
      <c r="C37" s="41">
        <f t="shared" ref="C37:Q37" si="3">STDEV(C9:C32)</f>
        <v>3.4558442151130264</v>
      </c>
      <c r="D37" s="41">
        <f t="shared" si="3"/>
        <v>5.7185681387888652</v>
      </c>
      <c r="E37" s="41">
        <f t="shared" si="3"/>
        <v>0.8263525152936565</v>
      </c>
      <c r="F37" s="41" t="e">
        <f t="shared" si="3"/>
        <v>#DIV/0!</v>
      </c>
      <c r="G37" s="41">
        <f t="shared" si="3"/>
        <v>33.959161140439242</v>
      </c>
      <c r="H37" s="41">
        <f t="shared" si="3"/>
        <v>14.08260474275197</v>
      </c>
      <c r="I37" s="41">
        <f t="shared" si="3"/>
        <v>2.4828406767424629</v>
      </c>
      <c r="J37" s="41">
        <f t="shared" si="3"/>
        <v>0.3151811073569965</v>
      </c>
      <c r="K37" s="41">
        <f t="shared" si="3"/>
        <v>55.048621471439276</v>
      </c>
      <c r="L37" s="41">
        <f t="shared" si="3"/>
        <v>5.7725175824011652</v>
      </c>
      <c r="M37" s="41">
        <f t="shared" si="3"/>
        <v>13.061603176342198</v>
      </c>
      <c r="N37" s="41">
        <f t="shared" si="3"/>
        <v>143.82543760970515</v>
      </c>
      <c r="O37" s="41">
        <f t="shared" si="3"/>
        <v>0</v>
      </c>
      <c r="P37" s="41">
        <f t="shared" si="3"/>
        <v>0.22566327358140861</v>
      </c>
      <c r="Q37" s="41">
        <f t="shared" si="3"/>
        <v>2.7975144247209066E-2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v>24</v>
      </c>
      <c r="F38" s="46">
        <f t="shared" si="4"/>
        <v>0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&lt;90%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LESS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0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4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45646.041666666664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45646.041666666664</v>
      </c>
      <c r="B9" s="51">
        <v>8.4499999999999993</v>
      </c>
      <c r="C9" s="51">
        <v>24.66</v>
      </c>
      <c r="D9" s="51">
        <v>21.01</v>
      </c>
      <c r="E9" s="51">
        <v>9.36</v>
      </c>
      <c r="F9" s="53" t="s">
        <v>8</v>
      </c>
      <c r="G9" s="51">
        <v>81.86</v>
      </c>
      <c r="H9" s="51">
        <v>35.56</v>
      </c>
      <c r="I9" s="51">
        <v>11.51</v>
      </c>
      <c r="J9" s="51">
        <v>0.54</v>
      </c>
      <c r="K9" s="51">
        <v>189.57</v>
      </c>
      <c r="L9" s="51">
        <v>21.03</v>
      </c>
      <c r="M9" s="51">
        <v>86.4</v>
      </c>
      <c r="N9" s="51">
        <v>2.1</v>
      </c>
      <c r="O9" s="51">
        <v>0</v>
      </c>
      <c r="P9" s="51">
        <v>0.98</v>
      </c>
      <c r="Q9" s="51">
        <v>10.07</v>
      </c>
    </row>
    <row r="10" spans="1:21" customFormat="1">
      <c r="A10" s="50">
        <v>45646.083333333336</v>
      </c>
      <c r="B10" s="51">
        <v>7.81</v>
      </c>
      <c r="C10" s="51">
        <v>24.28</v>
      </c>
      <c r="D10" s="51">
        <v>20.3</v>
      </c>
      <c r="E10" s="51">
        <v>9.56</v>
      </c>
      <c r="F10" s="53" t="s">
        <v>8</v>
      </c>
      <c r="G10" s="51">
        <v>77.900000000000006</v>
      </c>
      <c r="H10" s="51">
        <v>36.090000000000003</v>
      </c>
      <c r="I10" s="51">
        <v>11.47</v>
      </c>
      <c r="J10" s="51">
        <v>0.46</v>
      </c>
      <c r="K10" s="51">
        <v>151.47</v>
      </c>
      <c r="L10" s="51">
        <v>20.309999999999999</v>
      </c>
      <c r="M10" s="51">
        <v>84.62</v>
      </c>
      <c r="N10" s="51">
        <v>1.9</v>
      </c>
      <c r="O10" s="51">
        <v>0</v>
      </c>
      <c r="P10" s="51">
        <v>0.97</v>
      </c>
      <c r="Q10" s="51">
        <v>10.06</v>
      </c>
    </row>
    <row r="11" spans="1:21" customFormat="1">
      <c r="A11" s="50">
        <v>45646.125</v>
      </c>
      <c r="B11" s="51">
        <v>6.86</v>
      </c>
      <c r="C11" s="51">
        <v>24.1</v>
      </c>
      <c r="D11" s="51">
        <v>19.45</v>
      </c>
      <c r="E11" s="51">
        <v>11.24</v>
      </c>
      <c r="F11" s="53" t="s">
        <v>8</v>
      </c>
      <c r="G11" s="51">
        <v>81.459999999999994</v>
      </c>
      <c r="H11" s="51">
        <v>36.299999999999997</v>
      </c>
      <c r="I11" s="51">
        <v>11.3</v>
      </c>
      <c r="J11" s="51">
        <v>0.41</v>
      </c>
      <c r="K11" s="51">
        <v>72.7</v>
      </c>
      <c r="L11" s="51">
        <v>20.03</v>
      </c>
      <c r="M11" s="51">
        <v>85.25</v>
      </c>
      <c r="N11" s="51">
        <v>2.1</v>
      </c>
      <c r="O11" s="51">
        <v>0</v>
      </c>
      <c r="P11" s="51">
        <v>0.94</v>
      </c>
      <c r="Q11" s="51">
        <v>10.050000000000001</v>
      </c>
    </row>
    <row r="12" spans="1:21" customFormat="1">
      <c r="A12" s="50">
        <v>45646.166666666664</v>
      </c>
      <c r="B12" s="51">
        <v>6.91</v>
      </c>
      <c r="C12" s="51">
        <v>24.29</v>
      </c>
      <c r="D12" s="51">
        <v>19.579999999999998</v>
      </c>
      <c r="E12" s="51">
        <v>11.44</v>
      </c>
      <c r="F12" s="53" t="s">
        <v>8</v>
      </c>
      <c r="G12" s="51">
        <v>65.09</v>
      </c>
      <c r="H12" s="51">
        <v>34.950000000000003</v>
      </c>
      <c r="I12" s="51">
        <v>11</v>
      </c>
      <c r="J12" s="51">
        <v>0.45</v>
      </c>
      <c r="K12" s="51">
        <v>60.71</v>
      </c>
      <c r="L12" s="51">
        <v>19.32</v>
      </c>
      <c r="M12" s="51">
        <v>88.18</v>
      </c>
      <c r="N12" s="51">
        <v>1.9</v>
      </c>
      <c r="O12" s="51">
        <v>0</v>
      </c>
      <c r="P12" s="51">
        <v>0.91</v>
      </c>
      <c r="Q12" s="51">
        <v>10.050000000000001</v>
      </c>
    </row>
    <row r="13" spans="1:21" customFormat="1">
      <c r="A13" s="50">
        <v>45646.208333333336</v>
      </c>
      <c r="B13" s="51">
        <v>7.89</v>
      </c>
      <c r="C13" s="51">
        <v>24.49</v>
      </c>
      <c r="D13" s="51">
        <v>20.43</v>
      </c>
      <c r="E13" s="51">
        <v>11.2</v>
      </c>
      <c r="F13" s="53" t="s">
        <v>8</v>
      </c>
      <c r="G13" s="51">
        <v>79.989999999999995</v>
      </c>
      <c r="H13" s="51">
        <v>33.270000000000003</v>
      </c>
      <c r="I13" s="51">
        <v>10.74</v>
      </c>
      <c r="J13" s="51">
        <v>0.48</v>
      </c>
      <c r="K13" s="51">
        <v>55.82</v>
      </c>
      <c r="L13" s="51">
        <v>18.95</v>
      </c>
      <c r="M13" s="51">
        <v>90.19</v>
      </c>
      <c r="N13" s="51">
        <v>1.8</v>
      </c>
      <c r="O13" s="51">
        <v>0</v>
      </c>
      <c r="P13" s="51">
        <v>0.95</v>
      </c>
      <c r="Q13" s="51">
        <v>10.06</v>
      </c>
    </row>
    <row r="14" spans="1:21" customFormat="1">
      <c r="A14" s="50">
        <v>45646.25</v>
      </c>
      <c r="B14" s="51">
        <v>10.26</v>
      </c>
      <c r="C14" s="51">
        <v>24.51</v>
      </c>
      <c r="D14" s="51">
        <v>22.2</v>
      </c>
      <c r="E14" s="51">
        <v>11.39</v>
      </c>
      <c r="F14" s="53" t="s">
        <v>8</v>
      </c>
      <c r="G14" s="51">
        <v>93.8</v>
      </c>
      <c r="H14" s="51">
        <v>35.75</v>
      </c>
      <c r="I14" s="51">
        <v>10.93</v>
      </c>
      <c r="J14" s="51">
        <v>0.24</v>
      </c>
      <c r="K14" s="51">
        <v>70.69</v>
      </c>
      <c r="L14" s="51">
        <v>18.64</v>
      </c>
      <c r="M14" s="51">
        <v>91.59</v>
      </c>
      <c r="N14" s="51">
        <v>1.7</v>
      </c>
      <c r="O14" s="51">
        <v>0</v>
      </c>
      <c r="P14" s="51">
        <v>0.97</v>
      </c>
      <c r="Q14" s="51">
        <v>10.02</v>
      </c>
    </row>
    <row r="15" spans="1:21" customFormat="1">
      <c r="A15" s="50">
        <v>45646.291666666664</v>
      </c>
      <c r="B15" s="51">
        <v>12.97</v>
      </c>
      <c r="C15" s="51">
        <v>24.1</v>
      </c>
      <c r="D15" s="51">
        <v>24.3</v>
      </c>
      <c r="E15" s="51">
        <v>11.43</v>
      </c>
      <c r="F15" s="53" t="s">
        <v>8</v>
      </c>
      <c r="G15" s="51">
        <v>101.82</v>
      </c>
      <c r="H15" s="51">
        <v>38.67</v>
      </c>
      <c r="I15" s="51">
        <v>11.3</v>
      </c>
      <c r="J15" s="51">
        <v>0.47</v>
      </c>
      <c r="K15" s="51">
        <v>55.75</v>
      </c>
      <c r="L15" s="51">
        <v>18.54</v>
      </c>
      <c r="M15" s="51">
        <v>95.58</v>
      </c>
      <c r="N15" s="51">
        <v>24.3</v>
      </c>
      <c r="O15" s="51">
        <v>0</v>
      </c>
      <c r="P15" s="51">
        <v>1.02</v>
      </c>
      <c r="Q15" s="51">
        <v>10.050000000000001</v>
      </c>
    </row>
    <row r="16" spans="1:21" customFormat="1">
      <c r="A16" s="50">
        <v>45646.333333333336</v>
      </c>
      <c r="B16" s="51">
        <v>14.26</v>
      </c>
      <c r="C16" s="51">
        <v>24.08</v>
      </c>
      <c r="D16" s="51">
        <v>25.28</v>
      </c>
      <c r="E16" s="51">
        <v>11.01</v>
      </c>
      <c r="F16" s="53" t="s">
        <v>8</v>
      </c>
      <c r="G16" s="51">
        <v>104.08</v>
      </c>
      <c r="H16" s="51">
        <v>40.46</v>
      </c>
      <c r="I16" s="51">
        <v>12.45</v>
      </c>
      <c r="J16" s="51">
        <v>0.94</v>
      </c>
      <c r="K16" s="51">
        <v>55.06</v>
      </c>
      <c r="L16" s="51">
        <v>19.73</v>
      </c>
      <c r="M16" s="51">
        <v>100.31</v>
      </c>
      <c r="N16" s="51">
        <v>99.9</v>
      </c>
      <c r="O16" s="51">
        <v>0</v>
      </c>
      <c r="P16" s="51">
        <v>1.07</v>
      </c>
      <c r="Q16" s="51">
        <v>10.050000000000001</v>
      </c>
    </row>
    <row r="17" spans="1:17" customFormat="1">
      <c r="A17" s="50">
        <v>45646.375</v>
      </c>
      <c r="B17" s="51">
        <v>14.09</v>
      </c>
      <c r="C17" s="51">
        <v>23.93</v>
      </c>
      <c r="D17" s="51">
        <v>25.16</v>
      </c>
      <c r="E17" s="51">
        <v>11.62</v>
      </c>
      <c r="F17" s="53" t="s">
        <v>8</v>
      </c>
      <c r="G17" s="51">
        <v>100.79</v>
      </c>
      <c r="H17" s="51">
        <v>41.19</v>
      </c>
      <c r="I17" s="51">
        <v>12.74</v>
      </c>
      <c r="J17" s="51">
        <v>0.91</v>
      </c>
      <c r="K17" s="51">
        <v>68.91</v>
      </c>
      <c r="L17" s="51">
        <v>23.04</v>
      </c>
      <c r="M17" s="51">
        <v>89.56</v>
      </c>
      <c r="N17" s="51">
        <v>189.1</v>
      </c>
      <c r="O17" s="51">
        <v>0</v>
      </c>
      <c r="P17" s="51">
        <v>1.08</v>
      </c>
      <c r="Q17" s="51">
        <v>10.06</v>
      </c>
    </row>
    <row r="18" spans="1:17" customFormat="1">
      <c r="A18" s="50">
        <v>45646.416666666664</v>
      </c>
      <c r="B18" s="51">
        <v>12.73</v>
      </c>
      <c r="C18" s="51">
        <v>25.25</v>
      </c>
      <c r="D18" s="51">
        <v>24.06</v>
      </c>
      <c r="E18" s="51">
        <v>11.31</v>
      </c>
      <c r="F18" s="53" t="s">
        <v>8</v>
      </c>
      <c r="G18" s="51">
        <v>90.49</v>
      </c>
      <c r="H18" s="51">
        <v>40.78</v>
      </c>
      <c r="I18" s="51">
        <v>12.68</v>
      </c>
      <c r="J18" s="51">
        <v>0.97</v>
      </c>
      <c r="K18" s="51">
        <v>55.01</v>
      </c>
      <c r="L18" s="51">
        <v>25.33</v>
      </c>
      <c r="M18" s="51">
        <v>70.64</v>
      </c>
      <c r="N18" s="51">
        <v>282.2</v>
      </c>
      <c r="O18" s="51">
        <v>0</v>
      </c>
      <c r="P18" s="51">
        <v>1.05</v>
      </c>
      <c r="Q18" s="51">
        <v>10.07</v>
      </c>
    </row>
    <row r="19" spans="1:17" customFormat="1">
      <c r="A19" s="50">
        <v>45646.458333333336</v>
      </c>
      <c r="B19" s="51">
        <v>9.26</v>
      </c>
      <c r="C19" s="51">
        <v>25.72</v>
      </c>
      <c r="D19" s="51">
        <v>22.12</v>
      </c>
      <c r="E19" s="51">
        <v>8.02</v>
      </c>
      <c r="F19" s="53" t="s">
        <v>8</v>
      </c>
      <c r="G19" s="51">
        <v>76.97</v>
      </c>
      <c r="H19" s="51">
        <v>36.71</v>
      </c>
      <c r="I19" s="51">
        <v>12.14</v>
      </c>
      <c r="J19" s="51">
        <v>0.85</v>
      </c>
      <c r="K19" s="51">
        <v>82.5</v>
      </c>
      <c r="L19" s="51">
        <v>27.46</v>
      </c>
      <c r="M19" s="51">
        <v>61.65</v>
      </c>
      <c r="N19" s="51">
        <v>443.2</v>
      </c>
      <c r="O19" s="51">
        <v>0</v>
      </c>
      <c r="P19" s="51">
        <v>0.98</v>
      </c>
      <c r="Q19" s="51">
        <v>10.09</v>
      </c>
    </row>
    <row r="20" spans="1:17" customFormat="1">
      <c r="A20" s="50">
        <v>45646.5</v>
      </c>
      <c r="B20" s="51">
        <v>5.88</v>
      </c>
      <c r="C20" s="51">
        <v>25.33</v>
      </c>
      <c r="D20" s="51">
        <v>19.3</v>
      </c>
      <c r="E20" s="51">
        <v>8.5399999999999991</v>
      </c>
      <c r="F20" s="53" t="s">
        <v>8</v>
      </c>
      <c r="G20" s="51">
        <v>71.92</v>
      </c>
      <c r="H20" s="51">
        <v>34.619999999999997</v>
      </c>
      <c r="I20" s="51">
        <v>11.27</v>
      </c>
      <c r="J20" s="51">
        <v>0.46</v>
      </c>
      <c r="K20" s="51">
        <v>107</v>
      </c>
      <c r="L20" s="51">
        <v>29.23</v>
      </c>
      <c r="M20" s="51">
        <v>55.56</v>
      </c>
      <c r="N20" s="51">
        <v>478.4</v>
      </c>
      <c r="O20" s="51">
        <v>0</v>
      </c>
      <c r="P20" s="51">
        <v>0.89</v>
      </c>
      <c r="Q20" s="51">
        <v>10.08</v>
      </c>
    </row>
    <row r="21" spans="1:17" customFormat="1">
      <c r="A21" s="50">
        <v>45646.541666666664</v>
      </c>
      <c r="B21" s="51">
        <v>4.67</v>
      </c>
      <c r="C21" s="51">
        <v>23.78</v>
      </c>
      <c r="D21" s="51">
        <v>17.52</v>
      </c>
      <c r="E21" s="51">
        <v>8.44</v>
      </c>
      <c r="F21" s="53" t="s">
        <v>8</v>
      </c>
      <c r="G21" s="51">
        <v>50.31</v>
      </c>
      <c r="H21" s="51">
        <v>30.57</v>
      </c>
      <c r="I21" s="51">
        <v>10.29</v>
      </c>
      <c r="J21" s="51">
        <v>0.61</v>
      </c>
      <c r="K21" s="51">
        <v>114.07</v>
      </c>
      <c r="L21" s="51">
        <v>30.3</v>
      </c>
      <c r="M21" s="51">
        <v>52.66</v>
      </c>
      <c r="N21" s="51">
        <v>477.6</v>
      </c>
      <c r="O21" s="51">
        <v>0</v>
      </c>
      <c r="P21" s="51">
        <v>0.8</v>
      </c>
      <c r="Q21" s="51">
        <v>10.06</v>
      </c>
    </row>
    <row r="22" spans="1:17" customFormat="1">
      <c r="A22" s="50">
        <v>45646.583333333336</v>
      </c>
      <c r="B22" s="51">
        <v>4.46</v>
      </c>
      <c r="C22" s="51">
        <v>22.41</v>
      </c>
      <c r="D22" s="51">
        <v>16.62</v>
      </c>
      <c r="E22" s="51">
        <v>8.86</v>
      </c>
      <c r="F22" s="53" t="s">
        <v>8</v>
      </c>
      <c r="G22" s="51">
        <v>52.52</v>
      </c>
      <c r="H22" s="51">
        <v>27.32</v>
      </c>
      <c r="I22" s="51">
        <v>9.39</v>
      </c>
      <c r="J22" s="51">
        <v>0.79</v>
      </c>
      <c r="K22" s="51">
        <v>102.82</v>
      </c>
      <c r="L22" s="51">
        <v>29.35</v>
      </c>
      <c r="M22" s="51">
        <v>52.15</v>
      </c>
      <c r="N22" s="51">
        <v>299.2</v>
      </c>
      <c r="O22" s="51">
        <v>0</v>
      </c>
      <c r="P22" s="51">
        <v>0.73</v>
      </c>
      <c r="Q22" s="51">
        <v>10.06</v>
      </c>
    </row>
    <row r="23" spans="1:17" customFormat="1">
      <c r="A23" s="50">
        <v>45646.625</v>
      </c>
      <c r="B23" s="51">
        <v>4.74</v>
      </c>
      <c r="C23" s="51">
        <v>22.25</v>
      </c>
      <c r="D23" s="51">
        <v>16.45</v>
      </c>
      <c r="E23" s="51">
        <v>9.2899999999999991</v>
      </c>
      <c r="F23" s="53" t="s">
        <v>8</v>
      </c>
      <c r="G23" s="51">
        <v>42.34</v>
      </c>
      <c r="H23" s="51">
        <v>24.05</v>
      </c>
      <c r="I23" s="51">
        <v>8.81</v>
      </c>
      <c r="J23" s="51">
        <v>0.66</v>
      </c>
      <c r="K23" s="51">
        <v>69.41</v>
      </c>
      <c r="L23" s="51">
        <v>29.16</v>
      </c>
      <c r="M23" s="51">
        <v>52.6</v>
      </c>
      <c r="N23" s="51">
        <v>96</v>
      </c>
      <c r="O23" s="51">
        <v>0</v>
      </c>
      <c r="P23" s="51">
        <v>0.72</v>
      </c>
      <c r="Q23" s="51">
        <v>10.050000000000001</v>
      </c>
    </row>
    <row r="24" spans="1:17" customFormat="1">
      <c r="A24" s="50">
        <v>45646.666666666664</v>
      </c>
      <c r="B24" s="51">
        <v>5.04</v>
      </c>
      <c r="C24" s="51">
        <v>21.59</v>
      </c>
      <c r="D24" s="51">
        <v>16.62</v>
      </c>
      <c r="E24" s="51">
        <v>10.210000000000001</v>
      </c>
      <c r="F24" s="53" t="s">
        <v>8</v>
      </c>
      <c r="G24" s="51">
        <v>45.74</v>
      </c>
      <c r="H24" s="51">
        <v>20.95</v>
      </c>
      <c r="I24" s="51">
        <v>8.3800000000000008</v>
      </c>
      <c r="J24" s="51">
        <v>0.47</v>
      </c>
      <c r="K24" s="51">
        <v>77.78</v>
      </c>
      <c r="L24" s="51">
        <v>28.88</v>
      </c>
      <c r="M24" s="51">
        <v>52.99</v>
      </c>
      <c r="N24" s="51">
        <v>76.7</v>
      </c>
      <c r="O24" s="51">
        <v>0</v>
      </c>
      <c r="P24" s="51">
        <v>0.73</v>
      </c>
      <c r="Q24" s="51">
        <v>10.01</v>
      </c>
    </row>
    <row r="25" spans="1:17" customFormat="1">
      <c r="A25" s="50">
        <v>45646.708333333336</v>
      </c>
      <c r="B25" s="51">
        <v>5.33</v>
      </c>
      <c r="C25" s="51">
        <v>21.67</v>
      </c>
      <c r="D25" s="51">
        <v>16.84</v>
      </c>
      <c r="E25" s="51">
        <v>9.5399999999999991</v>
      </c>
      <c r="F25" s="53" t="s">
        <v>8</v>
      </c>
      <c r="G25" s="51">
        <v>48.91</v>
      </c>
      <c r="H25" s="51">
        <v>19.32</v>
      </c>
      <c r="I25" s="51">
        <v>8.31</v>
      </c>
      <c r="J25" s="51">
        <v>0.47</v>
      </c>
      <c r="K25" s="51">
        <v>139.05000000000001</v>
      </c>
      <c r="L25" s="51">
        <v>28.41</v>
      </c>
      <c r="M25" s="51">
        <v>59.12</v>
      </c>
      <c r="N25" s="51">
        <v>34.700000000000003</v>
      </c>
      <c r="O25" s="51">
        <v>0</v>
      </c>
      <c r="P25" s="51">
        <v>0.73</v>
      </c>
      <c r="Q25" s="51">
        <v>10.02</v>
      </c>
    </row>
    <row r="26" spans="1:17" customFormat="1">
      <c r="A26" s="50">
        <v>45646.75</v>
      </c>
      <c r="B26" s="51">
        <v>5.97</v>
      </c>
      <c r="C26" s="51">
        <v>21.4</v>
      </c>
      <c r="D26" s="51">
        <v>17.25</v>
      </c>
      <c r="E26" s="51">
        <v>9.92</v>
      </c>
      <c r="F26" s="53" t="s">
        <v>8</v>
      </c>
      <c r="G26" s="51">
        <v>60.2</v>
      </c>
      <c r="H26" s="51">
        <v>20.2</v>
      </c>
      <c r="I26" s="51">
        <v>8.42</v>
      </c>
      <c r="J26" s="51">
        <v>0.22</v>
      </c>
      <c r="K26" s="51">
        <v>154.72999999999999</v>
      </c>
      <c r="L26" s="51">
        <v>26.49</v>
      </c>
      <c r="M26" s="51">
        <v>66.400000000000006</v>
      </c>
      <c r="N26" s="51">
        <v>4.2</v>
      </c>
      <c r="O26" s="51">
        <v>0</v>
      </c>
      <c r="P26" s="51">
        <v>0.76</v>
      </c>
      <c r="Q26" s="51">
        <v>10.02</v>
      </c>
    </row>
    <row r="27" spans="1:17" customFormat="1">
      <c r="A27" s="50">
        <v>45646.791666666664</v>
      </c>
      <c r="B27" s="51">
        <v>6.37</v>
      </c>
      <c r="C27" s="51">
        <v>21.48</v>
      </c>
      <c r="D27" s="51">
        <v>17.53</v>
      </c>
      <c r="E27" s="51">
        <v>10.78</v>
      </c>
      <c r="F27" s="53" t="s">
        <v>8</v>
      </c>
      <c r="G27" s="51">
        <v>70.19</v>
      </c>
      <c r="H27" s="51">
        <v>22.43</v>
      </c>
      <c r="I27" s="51">
        <v>8.69</v>
      </c>
      <c r="J27" s="51">
        <v>0.33</v>
      </c>
      <c r="K27" s="51">
        <v>152.38</v>
      </c>
      <c r="L27" s="51">
        <v>25.64</v>
      </c>
      <c r="M27" s="51">
        <v>69.540000000000006</v>
      </c>
      <c r="N27" s="51">
        <v>2.1</v>
      </c>
      <c r="O27" s="51">
        <v>0</v>
      </c>
      <c r="P27" s="51">
        <v>0.78</v>
      </c>
      <c r="Q27" s="51">
        <v>10.02</v>
      </c>
    </row>
    <row r="28" spans="1:17" customFormat="1">
      <c r="A28" s="50">
        <v>45646.833333333336</v>
      </c>
      <c r="B28" s="51">
        <v>6.26</v>
      </c>
      <c r="C28" s="51">
        <v>20.28</v>
      </c>
      <c r="D28" s="51">
        <v>16.86</v>
      </c>
      <c r="E28" s="51">
        <v>10.5</v>
      </c>
      <c r="F28" s="53" t="s">
        <v>8</v>
      </c>
      <c r="G28" s="51">
        <v>74.59</v>
      </c>
      <c r="H28" s="51">
        <v>24.16</v>
      </c>
      <c r="I28" s="51">
        <v>8.73</v>
      </c>
      <c r="J28" s="51">
        <v>0.25</v>
      </c>
      <c r="K28" s="51">
        <v>176.68</v>
      </c>
      <c r="L28" s="51">
        <v>24.92</v>
      </c>
      <c r="M28" s="51">
        <v>79.290000000000006</v>
      </c>
      <c r="N28" s="51">
        <v>2.1</v>
      </c>
      <c r="O28" s="51">
        <v>0</v>
      </c>
      <c r="P28" s="51">
        <v>0.73</v>
      </c>
      <c r="Q28" s="51">
        <v>10.029999999999999</v>
      </c>
    </row>
    <row r="29" spans="1:17" customFormat="1">
      <c r="A29" s="50">
        <v>45646.875</v>
      </c>
      <c r="B29" s="51">
        <v>5.6</v>
      </c>
      <c r="C29" s="51">
        <v>19.690000000000001</v>
      </c>
      <c r="D29" s="51">
        <v>16.12</v>
      </c>
      <c r="E29" s="51">
        <v>10.39</v>
      </c>
      <c r="F29" s="53" t="s">
        <v>8</v>
      </c>
      <c r="G29" s="51">
        <v>51.97</v>
      </c>
      <c r="H29" s="51">
        <v>19.79</v>
      </c>
      <c r="I29" s="51">
        <v>8.14</v>
      </c>
      <c r="J29" s="51">
        <v>0.21</v>
      </c>
      <c r="K29" s="51">
        <v>154.19</v>
      </c>
      <c r="L29" s="51">
        <v>23.31</v>
      </c>
      <c r="M29" s="51">
        <v>82.86</v>
      </c>
      <c r="N29" s="51">
        <v>1.8</v>
      </c>
      <c r="O29" s="51">
        <v>0</v>
      </c>
      <c r="P29" s="51">
        <v>0.66</v>
      </c>
      <c r="Q29" s="51">
        <v>10.029999999999999</v>
      </c>
    </row>
    <row r="30" spans="1:17" customFormat="1">
      <c r="A30" s="50">
        <v>45646.916666666664</v>
      </c>
      <c r="B30" s="51">
        <v>5.98</v>
      </c>
      <c r="C30" s="51">
        <v>18.97</v>
      </c>
      <c r="D30" s="51">
        <v>15.85</v>
      </c>
      <c r="E30" s="51">
        <v>10.68</v>
      </c>
      <c r="F30" s="53" t="s">
        <v>8</v>
      </c>
      <c r="G30" s="51">
        <v>36.97</v>
      </c>
      <c r="H30" s="51">
        <v>17.420000000000002</v>
      </c>
      <c r="I30" s="51">
        <v>7.47</v>
      </c>
      <c r="J30" s="51">
        <v>0.17</v>
      </c>
      <c r="K30" s="51">
        <v>153.08000000000001</v>
      </c>
      <c r="L30" s="51">
        <v>22.48</v>
      </c>
      <c r="M30" s="51">
        <v>87.12</v>
      </c>
      <c r="N30" s="51">
        <v>1.7</v>
      </c>
      <c r="O30" s="51">
        <v>0</v>
      </c>
      <c r="P30" s="51">
        <v>0.62</v>
      </c>
      <c r="Q30" s="51">
        <v>10.039999999999999</v>
      </c>
    </row>
    <row r="31" spans="1:17" customFormat="1">
      <c r="A31" s="50">
        <v>45646.958333333336</v>
      </c>
      <c r="B31" s="51">
        <v>6.26</v>
      </c>
      <c r="C31" s="51">
        <v>18.28</v>
      </c>
      <c r="D31" s="51">
        <v>15.84</v>
      </c>
      <c r="E31" s="51">
        <v>10.08</v>
      </c>
      <c r="F31" s="53" t="s">
        <v>8</v>
      </c>
      <c r="G31" s="51">
        <v>34.18</v>
      </c>
      <c r="H31" s="51">
        <v>12.37</v>
      </c>
      <c r="I31" s="51">
        <v>7.09</v>
      </c>
      <c r="J31" s="51">
        <v>0.18</v>
      </c>
      <c r="K31" s="51">
        <v>175.98</v>
      </c>
      <c r="L31" s="51">
        <v>21.72</v>
      </c>
      <c r="M31" s="51">
        <v>89.14</v>
      </c>
      <c r="N31" s="51">
        <v>1.7</v>
      </c>
      <c r="O31" s="51">
        <v>0</v>
      </c>
      <c r="P31" s="51">
        <v>0.59</v>
      </c>
      <c r="Q31" s="51">
        <v>10.02</v>
      </c>
    </row>
    <row r="32" spans="1:17" customFormat="1">
      <c r="A32" s="50">
        <v>45647</v>
      </c>
      <c r="B32" s="51">
        <v>6.58</v>
      </c>
      <c r="C32" s="51">
        <v>17.78</v>
      </c>
      <c r="D32" s="51">
        <v>15.87</v>
      </c>
      <c r="E32" s="51">
        <v>10.71</v>
      </c>
      <c r="F32" s="53" t="s">
        <v>8</v>
      </c>
      <c r="G32" s="51">
        <v>25.9</v>
      </c>
      <c r="H32" s="51">
        <v>11.85</v>
      </c>
      <c r="I32" s="51">
        <v>6.76</v>
      </c>
      <c r="J32" s="51">
        <v>0.28999999999999998</v>
      </c>
      <c r="K32" s="51">
        <v>168.67</v>
      </c>
      <c r="L32" s="51">
        <v>21.54</v>
      </c>
      <c r="M32" s="51">
        <v>91.02</v>
      </c>
      <c r="N32" s="51">
        <v>1.7</v>
      </c>
      <c r="O32" s="51">
        <v>0</v>
      </c>
      <c r="P32" s="51">
        <v>0.55000000000000004</v>
      </c>
      <c r="Q32" s="51">
        <v>10.02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4.46</v>
      </c>
      <c r="C34" s="41">
        <f t="shared" si="0"/>
        <v>17.78</v>
      </c>
      <c r="D34" s="41">
        <f t="shared" si="0"/>
        <v>15.84</v>
      </c>
      <c r="E34" s="41">
        <f t="shared" si="0"/>
        <v>8.02</v>
      </c>
      <c r="F34" s="41">
        <f t="shared" si="0"/>
        <v>0</v>
      </c>
      <c r="G34" s="41">
        <f t="shared" si="0"/>
        <v>25.9</v>
      </c>
      <c r="H34" s="41">
        <f t="shared" si="0"/>
        <v>11.85</v>
      </c>
      <c r="I34" s="41">
        <f t="shared" si="0"/>
        <v>6.76</v>
      </c>
      <c r="J34" s="41">
        <f t="shared" si="0"/>
        <v>0.17</v>
      </c>
      <c r="K34" s="41">
        <f t="shared" si="0"/>
        <v>55.01</v>
      </c>
      <c r="L34" s="41">
        <f t="shared" si="0"/>
        <v>18.54</v>
      </c>
      <c r="M34" s="41">
        <f t="shared" si="0"/>
        <v>52.15</v>
      </c>
      <c r="N34" s="41">
        <f t="shared" si="0"/>
        <v>1.7</v>
      </c>
      <c r="O34" s="41">
        <f t="shared" si="0"/>
        <v>0</v>
      </c>
      <c r="P34" s="41">
        <f t="shared" si="0"/>
        <v>0.55000000000000004</v>
      </c>
      <c r="Q34" s="41">
        <f t="shared" si="0"/>
        <v>10.01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14.26</v>
      </c>
      <c r="C35" s="33">
        <f t="shared" si="1"/>
        <v>25.72</v>
      </c>
      <c r="D35" s="33">
        <f t="shared" si="1"/>
        <v>25.28</v>
      </c>
      <c r="E35" s="33">
        <f t="shared" si="1"/>
        <v>11.62</v>
      </c>
      <c r="F35" s="33">
        <f t="shared" si="1"/>
        <v>0</v>
      </c>
      <c r="G35" s="33">
        <f t="shared" si="1"/>
        <v>104.08</v>
      </c>
      <c r="H35" s="33">
        <f t="shared" si="1"/>
        <v>41.19</v>
      </c>
      <c r="I35" s="33">
        <f t="shared" si="1"/>
        <v>12.74</v>
      </c>
      <c r="J35" s="33">
        <f t="shared" si="1"/>
        <v>0.97</v>
      </c>
      <c r="K35" s="33">
        <f t="shared" si="1"/>
        <v>189.57</v>
      </c>
      <c r="L35" s="33">
        <f t="shared" si="1"/>
        <v>30.3</v>
      </c>
      <c r="M35" s="33">
        <f t="shared" si="1"/>
        <v>100.31</v>
      </c>
      <c r="N35" s="33">
        <f t="shared" si="1"/>
        <v>478.4</v>
      </c>
      <c r="O35" s="33">
        <f t="shared" si="1"/>
        <v>0</v>
      </c>
      <c r="P35" s="33">
        <f t="shared" si="1"/>
        <v>1.08</v>
      </c>
      <c r="Q35" s="33">
        <f t="shared" si="1"/>
        <v>10.09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7.6929166666666662</v>
      </c>
      <c r="C36" s="41">
        <f t="shared" si="2"/>
        <v>22.679999999999996</v>
      </c>
      <c r="D36" s="41">
        <f t="shared" si="2"/>
        <v>19.273333333333333</v>
      </c>
      <c r="E36" s="41">
        <f t="shared" si="2"/>
        <v>10.230000000000002</v>
      </c>
      <c r="F36" s="41" t="e">
        <f t="shared" si="2"/>
        <v>#DIV/0!</v>
      </c>
      <c r="G36" s="41">
        <f t="shared" si="2"/>
        <v>67.499583333333348</v>
      </c>
      <c r="H36" s="41">
        <f t="shared" si="2"/>
        <v>28.949166666666667</v>
      </c>
      <c r="I36" s="41">
        <f t="shared" si="2"/>
        <v>10.000416666666665</v>
      </c>
      <c r="J36" s="41">
        <f t="shared" si="2"/>
        <v>0.49291666666666667</v>
      </c>
      <c r="K36" s="41">
        <f t="shared" si="2"/>
        <v>111.00124999999998</v>
      </c>
      <c r="L36" s="41">
        <f t="shared" si="2"/>
        <v>23.908750000000001</v>
      </c>
      <c r="M36" s="41">
        <f t="shared" si="2"/>
        <v>76.434166666666655</v>
      </c>
      <c r="N36" s="41">
        <f t="shared" si="2"/>
        <v>105.33749999999993</v>
      </c>
      <c r="O36" s="41">
        <f t="shared" si="2"/>
        <v>0</v>
      </c>
      <c r="P36" s="41">
        <f t="shared" si="2"/>
        <v>0.84208333333333363</v>
      </c>
      <c r="Q36" s="41">
        <f t="shared" si="2"/>
        <v>10.045416666666668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3.020529005160268</v>
      </c>
      <c r="C37" s="41">
        <f t="shared" ref="C37:Q37" si="3">STDEV(C9:C32)</f>
        <v>2.3285599207123493</v>
      </c>
      <c r="D37" s="41">
        <f t="shared" si="3"/>
        <v>3.1633260793124176</v>
      </c>
      <c r="E37" s="41">
        <f t="shared" si="3"/>
        <v>1.0684649696196449</v>
      </c>
      <c r="F37" s="41" t="e">
        <f t="shared" si="3"/>
        <v>#DIV/0!</v>
      </c>
      <c r="G37" s="41">
        <f t="shared" si="3"/>
        <v>22.575030353711853</v>
      </c>
      <c r="H37" s="41">
        <f t="shared" si="3"/>
        <v>9.2569273316359322</v>
      </c>
      <c r="I37" s="41">
        <f t="shared" si="3"/>
        <v>1.8547576407167412</v>
      </c>
      <c r="J37" s="41">
        <f t="shared" si="3"/>
        <v>0.2485694578227963</v>
      </c>
      <c r="K37" s="41">
        <f t="shared" si="3"/>
        <v>47.187212924551503</v>
      </c>
      <c r="L37" s="41">
        <f t="shared" si="3"/>
        <v>3.9900161408630637</v>
      </c>
      <c r="M37" s="41">
        <f t="shared" si="3"/>
        <v>15.956671745336129</v>
      </c>
      <c r="N37" s="41">
        <f t="shared" si="3"/>
        <v>164.04415315634577</v>
      </c>
      <c r="O37" s="41">
        <f t="shared" si="3"/>
        <v>0</v>
      </c>
      <c r="P37" s="41">
        <f t="shared" si="3"/>
        <v>0.16032519036840689</v>
      </c>
      <c r="Q37" s="41">
        <f t="shared" si="3"/>
        <v>2.2062986251159534E-2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0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&lt;90%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LESS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1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45647.041666666664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45647.041666666664</v>
      </c>
      <c r="B9" s="51">
        <v>8.48</v>
      </c>
      <c r="C9" s="51">
        <v>18.36</v>
      </c>
      <c r="D9" s="51">
        <v>17.739999999999998</v>
      </c>
      <c r="E9" s="51">
        <v>11.15</v>
      </c>
      <c r="F9" s="53" t="s">
        <v>8</v>
      </c>
      <c r="G9" s="51">
        <v>23.78</v>
      </c>
      <c r="H9" s="51">
        <v>10.17</v>
      </c>
      <c r="I9" s="51">
        <v>6.43</v>
      </c>
      <c r="J9" s="51">
        <v>0.61</v>
      </c>
      <c r="K9" s="51">
        <v>165.92</v>
      </c>
      <c r="L9" s="51">
        <v>20.75</v>
      </c>
      <c r="M9" s="51">
        <v>94.01</v>
      </c>
      <c r="N9" s="51">
        <v>1.9</v>
      </c>
      <c r="O9" s="51">
        <v>0</v>
      </c>
      <c r="P9" s="51">
        <v>0.59</v>
      </c>
      <c r="Q9" s="51">
        <v>10.01</v>
      </c>
    </row>
    <row r="10" spans="1:21" customFormat="1">
      <c r="A10" s="50">
        <v>45647.083333333336</v>
      </c>
      <c r="B10" s="51">
        <v>10.45</v>
      </c>
      <c r="C10" s="51">
        <v>18.86</v>
      </c>
      <c r="D10" s="51">
        <v>19.55</v>
      </c>
      <c r="E10" s="51">
        <v>11.13</v>
      </c>
      <c r="F10" s="53" t="s">
        <v>8</v>
      </c>
      <c r="G10" s="51">
        <v>28.23</v>
      </c>
      <c r="H10" s="51">
        <v>11.37</v>
      </c>
      <c r="I10" s="51">
        <v>6.5</v>
      </c>
      <c r="J10" s="51">
        <v>0.41</v>
      </c>
      <c r="K10" s="51">
        <v>132.11000000000001</v>
      </c>
      <c r="L10" s="51">
        <v>20.309999999999999</v>
      </c>
      <c r="M10" s="51">
        <v>95.91</v>
      </c>
      <c r="N10" s="51">
        <v>1.9</v>
      </c>
      <c r="O10" s="51">
        <v>0</v>
      </c>
      <c r="P10" s="51">
        <v>0.6</v>
      </c>
      <c r="Q10" s="51">
        <v>10.01</v>
      </c>
    </row>
    <row r="11" spans="1:21" customFormat="1">
      <c r="A11" s="50">
        <v>45647.125</v>
      </c>
      <c r="B11" s="51">
        <v>10.76</v>
      </c>
      <c r="C11" s="51">
        <v>18.95</v>
      </c>
      <c r="D11" s="51">
        <v>19.72</v>
      </c>
      <c r="E11" s="51">
        <v>10.199999999999999</v>
      </c>
      <c r="F11" s="53" t="s">
        <v>8</v>
      </c>
      <c r="G11" s="51">
        <v>35.06</v>
      </c>
      <c r="H11" s="51">
        <v>12.34</v>
      </c>
      <c r="I11" s="51">
        <v>6.58</v>
      </c>
      <c r="J11" s="51">
        <v>0.22</v>
      </c>
      <c r="K11" s="51">
        <v>242.5</v>
      </c>
      <c r="L11" s="51">
        <v>20.03</v>
      </c>
      <c r="M11" s="51">
        <v>100.68</v>
      </c>
      <c r="N11" s="51">
        <v>1.7</v>
      </c>
      <c r="O11" s="51">
        <v>0</v>
      </c>
      <c r="P11" s="51">
        <v>0.6</v>
      </c>
      <c r="Q11" s="51">
        <v>10.01</v>
      </c>
    </row>
    <row r="12" spans="1:21" customFormat="1">
      <c r="A12" s="50">
        <v>45647.166666666664</v>
      </c>
      <c r="B12" s="51">
        <v>11.75</v>
      </c>
      <c r="C12" s="51">
        <v>18.95</v>
      </c>
      <c r="D12" s="51">
        <v>20.56</v>
      </c>
      <c r="E12" s="51">
        <v>10.3</v>
      </c>
      <c r="F12" s="53" t="s">
        <v>8</v>
      </c>
      <c r="G12" s="51">
        <v>27.73</v>
      </c>
      <c r="H12" s="51">
        <v>13.6</v>
      </c>
      <c r="I12" s="51">
        <v>6.55</v>
      </c>
      <c r="J12" s="51">
        <v>0.36</v>
      </c>
      <c r="K12" s="51">
        <v>103.6</v>
      </c>
      <c r="L12" s="51">
        <v>19.510000000000002</v>
      </c>
      <c r="M12" s="51">
        <v>101.71</v>
      </c>
      <c r="N12" s="51">
        <v>1.7</v>
      </c>
      <c r="O12" s="51">
        <v>0</v>
      </c>
      <c r="P12" s="51">
        <v>0.6</v>
      </c>
      <c r="Q12" s="51">
        <v>10.02</v>
      </c>
    </row>
    <row r="13" spans="1:21" customFormat="1">
      <c r="A13" s="50">
        <v>45647.208333333336</v>
      </c>
      <c r="B13" s="51">
        <v>13.3</v>
      </c>
      <c r="C13" s="51">
        <v>19.09</v>
      </c>
      <c r="D13" s="51">
        <v>21.85</v>
      </c>
      <c r="E13" s="51">
        <v>9.99</v>
      </c>
      <c r="F13" s="53" t="s">
        <v>8</v>
      </c>
      <c r="G13" s="51">
        <v>26.55</v>
      </c>
      <c r="H13" s="51">
        <v>12.01</v>
      </c>
      <c r="I13" s="51">
        <v>6.54</v>
      </c>
      <c r="J13" s="51">
        <v>0.96</v>
      </c>
      <c r="K13" s="51">
        <v>59.73</v>
      </c>
      <c r="L13" s="51">
        <v>19.2</v>
      </c>
      <c r="M13" s="51">
        <v>103.65</v>
      </c>
      <c r="N13" s="51">
        <v>2.1</v>
      </c>
      <c r="O13" s="51">
        <v>0</v>
      </c>
      <c r="P13" s="51">
        <v>0.61</v>
      </c>
      <c r="Q13" s="51">
        <v>10.02</v>
      </c>
    </row>
    <row r="14" spans="1:21" customFormat="1">
      <c r="A14" s="50">
        <v>45647.25</v>
      </c>
      <c r="B14" s="51">
        <v>13.33</v>
      </c>
      <c r="C14" s="51">
        <v>18.32</v>
      </c>
      <c r="D14" s="51">
        <v>21.6</v>
      </c>
      <c r="E14" s="51">
        <v>9.83</v>
      </c>
      <c r="F14" s="53" t="s">
        <v>8</v>
      </c>
      <c r="G14" s="51">
        <v>28.42</v>
      </c>
      <c r="H14" s="51">
        <v>10.57</v>
      </c>
      <c r="I14" s="51">
        <v>6.53</v>
      </c>
      <c r="J14" s="51">
        <v>0.7</v>
      </c>
      <c r="K14" s="51">
        <v>99.42</v>
      </c>
      <c r="L14" s="51">
        <v>19.489999999999998</v>
      </c>
      <c r="M14" s="51">
        <v>103.41</v>
      </c>
      <c r="N14" s="51">
        <v>2.4</v>
      </c>
      <c r="O14" s="51">
        <v>0</v>
      </c>
      <c r="P14" s="51">
        <v>0.54</v>
      </c>
      <c r="Q14" s="51">
        <v>10.06</v>
      </c>
    </row>
    <row r="15" spans="1:21" customFormat="1">
      <c r="A15" s="50">
        <v>45647.291666666664</v>
      </c>
      <c r="B15" s="51">
        <v>12.66</v>
      </c>
      <c r="C15" s="51">
        <v>18.16</v>
      </c>
      <c r="D15" s="51">
        <v>20.99</v>
      </c>
      <c r="E15" s="51">
        <v>9.86</v>
      </c>
      <c r="F15" s="53" t="s">
        <v>8</v>
      </c>
      <c r="G15" s="51">
        <v>29.68</v>
      </c>
      <c r="H15" s="51">
        <v>11.25</v>
      </c>
      <c r="I15" s="51">
        <v>6.3</v>
      </c>
      <c r="J15" s="51">
        <v>0.72</v>
      </c>
      <c r="K15" s="51">
        <v>144.30000000000001</v>
      </c>
      <c r="L15" s="51">
        <v>19.78</v>
      </c>
      <c r="M15" s="51">
        <v>103.06</v>
      </c>
      <c r="N15" s="51">
        <v>11.5</v>
      </c>
      <c r="O15" s="51">
        <v>0</v>
      </c>
      <c r="P15" s="51">
        <v>0.53</v>
      </c>
      <c r="Q15" s="51">
        <v>10.06</v>
      </c>
    </row>
    <row r="16" spans="1:21" customFormat="1">
      <c r="A16" s="50">
        <v>45647.333333333336</v>
      </c>
      <c r="B16" s="51">
        <v>14.39</v>
      </c>
      <c r="C16" s="51">
        <v>18.28</v>
      </c>
      <c r="D16" s="51">
        <v>22.4</v>
      </c>
      <c r="E16" s="51">
        <v>9.77</v>
      </c>
      <c r="F16" s="53" t="s">
        <v>8</v>
      </c>
      <c r="G16" s="51">
        <v>30.83</v>
      </c>
      <c r="H16" s="51">
        <v>10.98</v>
      </c>
      <c r="I16" s="51">
        <v>6.28</v>
      </c>
      <c r="J16" s="51">
        <v>0.85</v>
      </c>
      <c r="K16" s="51">
        <v>54.47</v>
      </c>
      <c r="L16" s="51">
        <v>19.510000000000002</v>
      </c>
      <c r="M16" s="51">
        <v>104.74</v>
      </c>
      <c r="N16" s="51">
        <v>30</v>
      </c>
      <c r="O16" s="51">
        <v>0</v>
      </c>
      <c r="P16" s="51">
        <v>0.55000000000000004</v>
      </c>
      <c r="Q16" s="51">
        <v>10.050000000000001</v>
      </c>
    </row>
    <row r="17" spans="1:17" customFormat="1">
      <c r="A17" s="50">
        <v>45647.375</v>
      </c>
      <c r="B17" s="51">
        <v>15.09</v>
      </c>
      <c r="C17" s="51">
        <v>18.54</v>
      </c>
      <c r="D17" s="51">
        <v>23.14</v>
      </c>
      <c r="E17" s="51">
        <v>10.1</v>
      </c>
      <c r="F17" s="53" t="s">
        <v>8</v>
      </c>
      <c r="G17" s="51">
        <v>32.46</v>
      </c>
      <c r="H17" s="51">
        <v>11.62</v>
      </c>
      <c r="I17" s="51">
        <v>6.43</v>
      </c>
      <c r="J17" s="51">
        <v>0.66</v>
      </c>
      <c r="K17" s="51">
        <v>60.5</v>
      </c>
      <c r="L17" s="51">
        <v>20.48</v>
      </c>
      <c r="M17" s="51">
        <v>102.37</v>
      </c>
      <c r="N17" s="51">
        <v>78</v>
      </c>
      <c r="O17" s="51">
        <v>0</v>
      </c>
      <c r="P17" s="51">
        <v>0.56999999999999995</v>
      </c>
      <c r="Q17" s="51">
        <v>10.050000000000001</v>
      </c>
    </row>
    <row r="18" spans="1:17" customFormat="1">
      <c r="A18" s="50">
        <v>45647.416666666664</v>
      </c>
      <c r="B18" s="51">
        <v>15.56</v>
      </c>
      <c r="C18" s="51">
        <v>18.649999999999999</v>
      </c>
      <c r="D18" s="51">
        <v>23.57</v>
      </c>
      <c r="E18" s="51">
        <v>9.93</v>
      </c>
      <c r="F18" s="53" t="s">
        <v>8</v>
      </c>
      <c r="G18" s="51">
        <v>34.04</v>
      </c>
      <c r="H18" s="51">
        <v>12.21</v>
      </c>
      <c r="I18" s="51">
        <v>6.5</v>
      </c>
      <c r="J18" s="51">
        <v>0.71</v>
      </c>
      <c r="K18" s="51">
        <v>111.99</v>
      </c>
      <c r="L18" s="51">
        <v>21.26</v>
      </c>
      <c r="M18" s="51">
        <v>93.98</v>
      </c>
      <c r="N18" s="51">
        <v>91.6</v>
      </c>
      <c r="O18" s="51">
        <v>0</v>
      </c>
      <c r="P18" s="51">
        <v>0.61</v>
      </c>
      <c r="Q18" s="51">
        <v>10.050000000000001</v>
      </c>
    </row>
    <row r="19" spans="1:17" customFormat="1">
      <c r="A19" s="50">
        <v>45647.458333333336</v>
      </c>
      <c r="B19" s="51">
        <v>15.86</v>
      </c>
      <c r="C19" s="51">
        <v>18.559999999999999</v>
      </c>
      <c r="D19" s="51">
        <v>23.71</v>
      </c>
      <c r="E19" s="51">
        <v>8.9700000000000006</v>
      </c>
      <c r="F19" s="53" t="s">
        <v>8</v>
      </c>
      <c r="G19" s="51">
        <v>38.08</v>
      </c>
      <c r="H19" s="51">
        <v>12.77</v>
      </c>
      <c r="I19" s="51">
        <v>6.67</v>
      </c>
      <c r="J19" s="51">
        <v>0.52</v>
      </c>
      <c r="K19" s="51">
        <v>101.5</v>
      </c>
      <c r="L19" s="51">
        <v>22.71</v>
      </c>
      <c r="M19" s="51">
        <v>89</v>
      </c>
      <c r="N19" s="51">
        <v>196.1</v>
      </c>
      <c r="O19" s="51">
        <v>0</v>
      </c>
      <c r="P19" s="51">
        <v>0.64</v>
      </c>
      <c r="Q19" s="51">
        <v>10.050000000000001</v>
      </c>
    </row>
    <row r="20" spans="1:17" customFormat="1">
      <c r="A20" s="50">
        <v>45647.5</v>
      </c>
      <c r="B20" s="51">
        <v>15.69</v>
      </c>
      <c r="C20" s="51">
        <v>18.12</v>
      </c>
      <c r="D20" s="51">
        <v>23.38</v>
      </c>
      <c r="E20" s="51">
        <v>9.4499999999999993</v>
      </c>
      <c r="F20" s="53" t="s">
        <v>8</v>
      </c>
      <c r="G20" s="51">
        <v>40.4</v>
      </c>
      <c r="H20" s="51">
        <v>15.14</v>
      </c>
      <c r="I20" s="51">
        <v>6.85</v>
      </c>
      <c r="J20" s="51">
        <v>0.56000000000000005</v>
      </c>
      <c r="K20" s="51">
        <v>108.67</v>
      </c>
      <c r="L20" s="51">
        <v>24.94</v>
      </c>
      <c r="M20" s="51">
        <v>78.7</v>
      </c>
      <c r="N20" s="51">
        <v>444.2</v>
      </c>
      <c r="O20" s="51">
        <v>0</v>
      </c>
      <c r="P20" s="51">
        <v>0.64</v>
      </c>
      <c r="Q20" s="51">
        <v>10.029999999999999</v>
      </c>
    </row>
    <row r="21" spans="1:17" customFormat="1">
      <c r="A21" s="50">
        <v>45647.541666666664</v>
      </c>
      <c r="B21" s="51">
        <v>14.98</v>
      </c>
      <c r="C21" s="51">
        <v>18.2</v>
      </c>
      <c r="D21" s="51">
        <v>22.87</v>
      </c>
      <c r="E21" s="51">
        <v>8.93</v>
      </c>
      <c r="F21" s="53" t="s">
        <v>8</v>
      </c>
      <c r="G21" s="51">
        <v>41.79</v>
      </c>
      <c r="H21" s="51">
        <v>13.33</v>
      </c>
      <c r="I21" s="51">
        <v>6.95</v>
      </c>
      <c r="J21" s="51">
        <v>0.82</v>
      </c>
      <c r="K21" s="51">
        <v>59.63</v>
      </c>
      <c r="L21" s="51">
        <v>26.47</v>
      </c>
      <c r="M21" s="51">
        <v>69.41</v>
      </c>
      <c r="N21" s="51">
        <v>443.3</v>
      </c>
      <c r="O21" s="51">
        <v>0</v>
      </c>
      <c r="P21" s="51">
        <v>0.63</v>
      </c>
      <c r="Q21" s="51">
        <v>10.02</v>
      </c>
    </row>
    <row r="22" spans="1:17" customFormat="1">
      <c r="A22" s="50">
        <v>45647.583333333336</v>
      </c>
      <c r="B22" s="51">
        <v>13.25</v>
      </c>
      <c r="C22" s="51">
        <v>18.39</v>
      </c>
      <c r="D22" s="51">
        <v>21.58</v>
      </c>
      <c r="E22" s="51">
        <v>9.39</v>
      </c>
      <c r="F22" s="53" t="s">
        <v>8</v>
      </c>
      <c r="G22" s="51">
        <v>40.04</v>
      </c>
      <c r="H22" s="51">
        <v>11.62</v>
      </c>
      <c r="I22" s="51">
        <v>6.81</v>
      </c>
      <c r="J22" s="51">
        <v>0.87</v>
      </c>
      <c r="K22" s="51">
        <v>43.46</v>
      </c>
      <c r="L22" s="51">
        <v>27.04</v>
      </c>
      <c r="M22" s="51">
        <v>66.2</v>
      </c>
      <c r="N22" s="51">
        <v>323.89999999999998</v>
      </c>
      <c r="O22" s="51">
        <v>0</v>
      </c>
      <c r="P22" s="51">
        <v>0.63</v>
      </c>
      <c r="Q22" s="51">
        <v>10.029999999999999</v>
      </c>
    </row>
    <row r="23" spans="1:17" customFormat="1">
      <c r="A23" s="50">
        <v>45647.625</v>
      </c>
      <c r="B23" s="51">
        <v>12.03</v>
      </c>
      <c r="C23" s="51">
        <v>20.2</v>
      </c>
      <c r="D23" s="51">
        <v>21.1</v>
      </c>
      <c r="E23" s="51">
        <v>9.58</v>
      </c>
      <c r="F23" s="53" t="s">
        <v>8</v>
      </c>
      <c r="G23" s="51">
        <v>42.14</v>
      </c>
      <c r="H23" s="51">
        <v>12.54</v>
      </c>
      <c r="I23" s="51">
        <v>6.95</v>
      </c>
      <c r="J23" s="51">
        <v>0.89</v>
      </c>
      <c r="K23" s="51">
        <v>54.72</v>
      </c>
      <c r="L23" s="51">
        <v>26.38</v>
      </c>
      <c r="M23" s="51">
        <v>63.86</v>
      </c>
      <c r="N23" s="51">
        <v>131.5</v>
      </c>
      <c r="O23" s="51">
        <v>0</v>
      </c>
      <c r="P23" s="51">
        <v>0.64</v>
      </c>
      <c r="Q23" s="51">
        <v>10.039999999999999</v>
      </c>
    </row>
    <row r="24" spans="1:17" customFormat="1">
      <c r="A24" s="50">
        <v>45647.666666666664</v>
      </c>
      <c r="B24" s="51">
        <v>10.73</v>
      </c>
      <c r="C24" s="51">
        <v>22.46</v>
      </c>
      <c r="D24" s="51">
        <v>21.02</v>
      </c>
      <c r="E24" s="51">
        <v>9.1199999999999992</v>
      </c>
      <c r="F24" s="53" t="s">
        <v>8</v>
      </c>
      <c r="G24" s="51">
        <v>44.47</v>
      </c>
      <c r="H24" s="51">
        <v>14.13</v>
      </c>
      <c r="I24" s="51">
        <v>7.04</v>
      </c>
      <c r="J24" s="51">
        <v>0.84</v>
      </c>
      <c r="K24" s="51">
        <v>110.9</v>
      </c>
      <c r="L24" s="51">
        <v>26.28</v>
      </c>
      <c r="M24" s="51">
        <v>64.03</v>
      </c>
      <c r="N24" s="51">
        <v>71.5</v>
      </c>
      <c r="O24" s="51">
        <v>0</v>
      </c>
      <c r="P24" s="51">
        <v>0.6</v>
      </c>
      <c r="Q24" s="51">
        <v>10.07</v>
      </c>
    </row>
    <row r="25" spans="1:17" customFormat="1">
      <c r="A25" s="50">
        <v>45647.708333333336</v>
      </c>
      <c r="B25" s="51">
        <v>8.9700000000000006</v>
      </c>
      <c r="C25" s="51">
        <v>22.79</v>
      </c>
      <c r="D25" s="51">
        <v>20.13</v>
      </c>
      <c r="E25" s="51">
        <v>8.7799999999999994</v>
      </c>
      <c r="F25" s="53" t="s">
        <v>8</v>
      </c>
      <c r="G25" s="51">
        <v>45.21</v>
      </c>
      <c r="H25" s="51">
        <v>13.64</v>
      </c>
      <c r="I25" s="51">
        <v>7.05</v>
      </c>
      <c r="J25" s="51">
        <v>0.46</v>
      </c>
      <c r="K25" s="51">
        <v>107.19</v>
      </c>
      <c r="L25" s="51">
        <v>25.9</v>
      </c>
      <c r="M25" s="51">
        <v>66.75</v>
      </c>
      <c r="N25" s="51">
        <v>33.4</v>
      </c>
      <c r="O25" s="51">
        <v>0</v>
      </c>
      <c r="P25" s="51">
        <v>0.6</v>
      </c>
      <c r="Q25" s="51">
        <v>10.06</v>
      </c>
    </row>
    <row r="26" spans="1:17" customFormat="1">
      <c r="A26" s="50">
        <v>45647.75</v>
      </c>
      <c r="B26" s="51">
        <v>9.56</v>
      </c>
      <c r="C26" s="51">
        <v>22.89</v>
      </c>
      <c r="D26" s="51">
        <v>20.96</v>
      </c>
      <c r="E26" s="51">
        <v>8.8800000000000008</v>
      </c>
      <c r="F26" s="53" t="s">
        <v>8</v>
      </c>
      <c r="G26" s="51">
        <v>51.91</v>
      </c>
      <c r="H26" s="51">
        <v>14.84</v>
      </c>
      <c r="I26" s="51">
        <v>6.87</v>
      </c>
      <c r="J26" s="51">
        <v>0.23</v>
      </c>
      <c r="K26" s="51">
        <v>154.6</v>
      </c>
      <c r="L26" s="51">
        <v>24.83</v>
      </c>
      <c r="M26" s="51">
        <v>74</v>
      </c>
      <c r="N26" s="51">
        <v>4.3</v>
      </c>
      <c r="O26" s="51">
        <v>0</v>
      </c>
      <c r="P26" s="51">
        <v>0.65</v>
      </c>
      <c r="Q26" s="51">
        <v>10.06</v>
      </c>
    </row>
    <row r="27" spans="1:17" customFormat="1">
      <c r="A27" s="50">
        <v>45647.791666666664</v>
      </c>
      <c r="B27" s="51">
        <v>16.57</v>
      </c>
      <c r="C27" s="51">
        <v>23.01</v>
      </c>
      <c r="D27" s="51">
        <v>26.65</v>
      </c>
      <c r="E27" s="51">
        <v>10.84</v>
      </c>
      <c r="F27" s="53" t="s">
        <v>8</v>
      </c>
      <c r="G27" s="51">
        <v>73.400000000000006</v>
      </c>
      <c r="H27" s="51">
        <v>14.9</v>
      </c>
      <c r="I27" s="51">
        <v>8.36</v>
      </c>
      <c r="J27" s="51">
        <v>0.25</v>
      </c>
      <c r="K27" s="51">
        <v>147.46</v>
      </c>
      <c r="L27" s="51">
        <v>23.24</v>
      </c>
      <c r="M27" s="51">
        <v>78.75</v>
      </c>
      <c r="N27" s="51">
        <v>1.9</v>
      </c>
      <c r="O27" s="51">
        <v>0</v>
      </c>
      <c r="P27" s="51">
        <v>0.83</v>
      </c>
      <c r="Q27" s="51">
        <v>10.08</v>
      </c>
    </row>
    <row r="28" spans="1:17" customFormat="1">
      <c r="A28" s="50">
        <v>45647.833333333336</v>
      </c>
      <c r="B28" s="51">
        <v>21.01</v>
      </c>
      <c r="C28" s="51">
        <v>22.9</v>
      </c>
      <c r="D28" s="51">
        <v>29.67</v>
      </c>
      <c r="E28" s="51">
        <v>11.46</v>
      </c>
      <c r="F28" s="53" t="s">
        <v>8</v>
      </c>
      <c r="G28" s="51">
        <v>101.8</v>
      </c>
      <c r="H28" s="51">
        <v>18.72</v>
      </c>
      <c r="I28" s="51">
        <v>10.07</v>
      </c>
      <c r="J28" s="51">
        <v>0.18</v>
      </c>
      <c r="K28" s="51">
        <v>169.07</v>
      </c>
      <c r="L28" s="51">
        <v>22.69</v>
      </c>
      <c r="M28" s="51">
        <v>86.94</v>
      </c>
      <c r="N28" s="51">
        <v>2</v>
      </c>
      <c r="O28" s="51">
        <v>0</v>
      </c>
      <c r="P28" s="51">
        <v>0.95</v>
      </c>
      <c r="Q28" s="51">
        <v>10.09</v>
      </c>
    </row>
    <row r="29" spans="1:17" customFormat="1">
      <c r="A29" s="50">
        <v>45647.875</v>
      </c>
      <c r="B29" s="51">
        <v>22.41</v>
      </c>
      <c r="C29" s="51">
        <v>22.23</v>
      </c>
      <c r="D29" s="51">
        <v>30.8</v>
      </c>
      <c r="E29" s="51">
        <v>11.35</v>
      </c>
      <c r="F29" s="53" t="s">
        <v>8</v>
      </c>
      <c r="G29" s="51">
        <v>112.62</v>
      </c>
      <c r="H29" s="51">
        <v>20.27</v>
      </c>
      <c r="I29" s="51">
        <v>10.62</v>
      </c>
      <c r="J29" s="51">
        <v>0.21</v>
      </c>
      <c r="K29" s="51">
        <v>190.76</v>
      </c>
      <c r="L29" s="51">
        <v>22.02</v>
      </c>
      <c r="M29" s="51">
        <v>89.19</v>
      </c>
      <c r="N29" s="51">
        <v>2.1</v>
      </c>
      <c r="O29" s="51">
        <v>0</v>
      </c>
      <c r="P29" s="51">
        <v>0.98</v>
      </c>
      <c r="Q29" s="51">
        <v>10.08</v>
      </c>
    </row>
    <row r="30" spans="1:17" customFormat="1">
      <c r="A30" s="50">
        <v>45647.916666666664</v>
      </c>
      <c r="B30" s="51">
        <v>22.05</v>
      </c>
      <c r="C30" s="51">
        <v>22.25</v>
      </c>
      <c r="D30" s="51">
        <v>30.66</v>
      </c>
      <c r="E30" s="51">
        <v>11.46</v>
      </c>
      <c r="F30" s="53" t="s">
        <v>8</v>
      </c>
      <c r="G30" s="51">
        <v>103.55</v>
      </c>
      <c r="H30" s="51">
        <v>16.39</v>
      </c>
      <c r="I30" s="51">
        <v>10.61</v>
      </c>
      <c r="J30" s="51">
        <v>0.19</v>
      </c>
      <c r="K30" s="51">
        <v>198.66</v>
      </c>
      <c r="L30" s="51">
        <v>20.55</v>
      </c>
      <c r="M30" s="51">
        <v>92.67</v>
      </c>
      <c r="N30" s="51">
        <v>1.7</v>
      </c>
      <c r="O30" s="51">
        <v>0</v>
      </c>
      <c r="P30" s="51">
        <v>0.97</v>
      </c>
      <c r="Q30" s="51">
        <v>10.08</v>
      </c>
    </row>
    <row r="31" spans="1:17" customFormat="1">
      <c r="A31" s="50">
        <v>45647.958333333336</v>
      </c>
      <c r="B31" s="51">
        <v>21.87</v>
      </c>
      <c r="C31" s="51">
        <v>21.49</v>
      </c>
      <c r="D31" s="51">
        <v>29.93</v>
      </c>
      <c r="E31" s="51">
        <v>11.17</v>
      </c>
      <c r="F31" s="53" t="s">
        <v>8</v>
      </c>
      <c r="G31" s="51">
        <v>86.56</v>
      </c>
      <c r="H31" s="51">
        <v>17.29</v>
      </c>
      <c r="I31" s="51">
        <v>10.65</v>
      </c>
      <c r="J31" s="51">
        <v>0.25</v>
      </c>
      <c r="K31" s="51">
        <v>156.22999999999999</v>
      </c>
      <c r="L31" s="51">
        <v>20.59</v>
      </c>
      <c r="M31" s="51">
        <v>94.23</v>
      </c>
      <c r="N31" s="51">
        <v>1.7</v>
      </c>
      <c r="O31" s="51">
        <v>0</v>
      </c>
      <c r="P31" s="51">
        <v>0.99</v>
      </c>
      <c r="Q31" s="51">
        <v>10.07</v>
      </c>
    </row>
    <row r="32" spans="1:17" customFormat="1">
      <c r="A32" s="50">
        <v>45648</v>
      </c>
      <c r="B32" s="51">
        <v>21.02</v>
      </c>
      <c r="C32" s="51">
        <v>21.36</v>
      </c>
      <c r="D32" s="51">
        <v>29.37</v>
      </c>
      <c r="E32" s="51">
        <v>11.05</v>
      </c>
      <c r="F32" s="53" t="s">
        <v>8</v>
      </c>
      <c r="G32" s="51">
        <v>79.38</v>
      </c>
      <c r="H32" s="51">
        <v>18.66</v>
      </c>
      <c r="I32" s="51">
        <v>10.61</v>
      </c>
      <c r="J32" s="51">
        <v>0.22</v>
      </c>
      <c r="K32" s="51">
        <v>168.97</v>
      </c>
      <c r="L32" s="51">
        <v>20.48</v>
      </c>
      <c r="M32" s="51">
        <v>88.94</v>
      </c>
      <c r="N32" s="51">
        <v>1.7</v>
      </c>
      <c r="O32" s="51">
        <v>0</v>
      </c>
      <c r="P32" s="51">
        <v>0.97</v>
      </c>
      <c r="Q32" s="51">
        <v>10.06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8.48</v>
      </c>
      <c r="C34" s="41">
        <f t="shared" si="0"/>
        <v>18.12</v>
      </c>
      <c r="D34" s="41">
        <f t="shared" si="0"/>
        <v>17.739999999999998</v>
      </c>
      <c r="E34" s="41">
        <f t="shared" si="0"/>
        <v>8.7799999999999994</v>
      </c>
      <c r="F34" s="41">
        <f t="shared" si="0"/>
        <v>0</v>
      </c>
      <c r="G34" s="41">
        <f t="shared" si="0"/>
        <v>23.78</v>
      </c>
      <c r="H34" s="41">
        <f t="shared" si="0"/>
        <v>10.17</v>
      </c>
      <c r="I34" s="41">
        <f t="shared" si="0"/>
        <v>6.28</v>
      </c>
      <c r="J34" s="41">
        <f t="shared" si="0"/>
        <v>0.18</v>
      </c>
      <c r="K34" s="41">
        <f t="shared" si="0"/>
        <v>43.46</v>
      </c>
      <c r="L34" s="41">
        <f t="shared" si="0"/>
        <v>19.2</v>
      </c>
      <c r="M34" s="41">
        <f t="shared" si="0"/>
        <v>63.86</v>
      </c>
      <c r="N34" s="41">
        <f t="shared" si="0"/>
        <v>1.7</v>
      </c>
      <c r="O34" s="41">
        <f t="shared" si="0"/>
        <v>0</v>
      </c>
      <c r="P34" s="41">
        <f t="shared" si="0"/>
        <v>0.53</v>
      </c>
      <c r="Q34" s="41">
        <f t="shared" si="0"/>
        <v>10.01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22.41</v>
      </c>
      <c r="C35" s="33">
        <f t="shared" si="1"/>
        <v>23.01</v>
      </c>
      <c r="D35" s="33">
        <f t="shared" si="1"/>
        <v>30.8</v>
      </c>
      <c r="E35" s="33">
        <f t="shared" si="1"/>
        <v>11.46</v>
      </c>
      <c r="F35" s="33">
        <f t="shared" si="1"/>
        <v>0</v>
      </c>
      <c r="G35" s="33">
        <f t="shared" si="1"/>
        <v>112.62</v>
      </c>
      <c r="H35" s="33">
        <f t="shared" si="1"/>
        <v>20.27</v>
      </c>
      <c r="I35" s="33">
        <f t="shared" si="1"/>
        <v>10.65</v>
      </c>
      <c r="J35" s="33">
        <f t="shared" si="1"/>
        <v>0.96</v>
      </c>
      <c r="K35" s="33">
        <f t="shared" si="1"/>
        <v>242.5</v>
      </c>
      <c r="L35" s="33">
        <f t="shared" si="1"/>
        <v>27.04</v>
      </c>
      <c r="M35" s="33">
        <f t="shared" si="1"/>
        <v>104.74</v>
      </c>
      <c r="N35" s="33">
        <f t="shared" si="1"/>
        <v>444.2</v>
      </c>
      <c r="O35" s="33">
        <f t="shared" si="1"/>
        <v>0</v>
      </c>
      <c r="P35" s="33">
        <f t="shared" si="1"/>
        <v>0.99</v>
      </c>
      <c r="Q35" s="33">
        <f t="shared" si="1"/>
        <v>10.09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14.657083333333333</v>
      </c>
      <c r="C36" s="41">
        <f t="shared" si="2"/>
        <v>20.042083333333334</v>
      </c>
      <c r="D36" s="41">
        <f t="shared" si="2"/>
        <v>23.456250000000001</v>
      </c>
      <c r="E36" s="41">
        <f t="shared" si="2"/>
        <v>10.112083333333334</v>
      </c>
      <c r="F36" s="41" t="e">
        <f t="shared" si="2"/>
        <v>#DIV/0!</v>
      </c>
      <c r="G36" s="41">
        <f t="shared" si="2"/>
        <v>49.92208333333334</v>
      </c>
      <c r="H36" s="41">
        <f t="shared" si="2"/>
        <v>13.765000000000001</v>
      </c>
      <c r="I36" s="41">
        <f t="shared" si="2"/>
        <v>7.53125</v>
      </c>
      <c r="J36" s="41">
        <f t="shared" si="2"/>
        <v>0.52875000000000005</v>
      </c>
      <c r="K36" s="41">
        <f t="shared" si="2"/>
        <v>122.76499999999999</v>
      </c>
      <c r="L36" s="41">
        <f t="shared" si="2"/>
        <v>22.268333333333331</v>
      </c>
      <c r="M36" s="41">
        <f t="shared" si="2"/>
        <v>87.757916666666674</v>
      </c>
      <c r="N36" s="41">
        <f t="shared" si="2"/>
        <v>78.420833333333334</v>
      </c>
      <c r="O36" s="41">
        <f t="shared" si="2"/>
        <v>0</v>
      </c>
      <c r="P36" s="41">
        <f t="shared" si="2"/>
        <v>0.68833333333333335</v>
      </c>
      <c r="Q36" s="41">
        <f t="shared" si="2"/>
        <v>10.048333333333334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4.2971117490772803</v>
      </c>
      <c r="C37" s="41">
        <f t="shared" ref="C37:Q37" si="3">STDEV(C9:C32)</f>
        <v>1.9262872131476549</v>
      </c>
      <c r="D37" s="41">
        <f t="shared" si="3"/>
        <v>3.888962991875045</v>
      </c>
      <c r="E37" s="41">
        <f t="shared" si="3"/>
        <v>0.89396517375344664</v>
      </c>
      <c r="F37" s="41" t="e">
        <f t="shared" si="3"/>
        <v>#DIV/0!</v>
      </c>
      <c r="G37" s="41">
        <f t="shared" si="3"/>
        <v>27.169424307668798</v>
      </c>
      <c r="H37" s="41">
        <f t="shared" si="3"/>
        <v>2.7742213948829071</v>
      </c>
      <c r="I37" s="41">
        <f t="shared" si="3"/>
        <v>1.6172341189982917</v>
      </c>
      <c r="J37" s="41">
        <f t="shared" si="3"/>
        <v>0.26881887388448317</v>
      </c>
      <c r="K37" s="41">
        <f t="shared" si="3"/>
        <v>52.601102980665807</v>
      </c>
      <c r="L37" s="41">
        <f t="shared" si="3"/>
        <v>2.674884258636522</v>
      </c>
      <c r="M37" s="41">
        <f t="shared" si="3"/>
        <v>14.050369012380306</v>
      </c>
      <c r="N37" s="41">
        <f t="shared" si="3"/>
        <v>136.52334082705312</v>
      </c>
      <c r="O37" s="41">
        <f t="shared" si="3"/>
        <v>0</v>
      </c>
      <c r="P37" s="41">
        <f t="shared" si="3"/>
        <v>0.1587633367671811</v>
      </c>
      <c r="Q37" s="41">
        <f t="shared" si="3"/>
        <v>2.4612945810066851E-2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0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&lt;90%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LESS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45648.041666666664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45648.041666666664</v>
      </c>
      <c r="B9" s="51">
        <v>18.43</v>
      </c>
      <c r="C9" s="51">
        <v>21.65</v>
      </c>
      <c r="D9" s="51">
        <v>27.44</v>
      </c>
      <c r="E9" s="51">
        <v>10.75</v>
      </c>
      <c r="F9" s="53" t="s">
        <v>8</v>
      </c>
      <c r="G9" s="51">
        <v>66.48</v>
      </c>
      <c r="H9" s="51">
        <v>20.75</v>
      </c>
      <c r="I9" s="51">
        <v>10.210000000000001</v>
      </c>
      <c r="J9" s="51">
        <v>0.13</v>
      </c>
      <c r="K9" s="51">
        <v>221.17</v>
      </c>
      <c r="L9" s="51">
        <v>19.64</v>
      </c>
      <c r="M9" s="51">
        <v>92.21</v>
      </c>
      <c r="N9" s="51">
        <v>1.7</v>
      </c>
      <c r="O9" s="51">
        <v>0</v>
      </c>
      <c r="P9" s="51">
        <v>0.92</v>
      </c>
      <c r="Q9" s="51">
        <v>10.06</v>
      </c>
    </row>
    <row r="10" spans="1:21" customFormat="1">
      <c r="A10" s="50">
        <v>45648.083333333336</v>
      </c>
      <c r="B10" s="51">
        <v>15.56</v>
      </c>
      <c r="C10" s="51">
        <v>20.010000000000002</v>
      </c>
      <c r="D10" s="51">
        <v>24.29</v>
      </c>
      <c r="E10" s="51">
        <v>9.86</v>
      </c>
      <c r="F10" s="53" t="s">
        <v>8</v>
      </c>
      <c r="G10" s="51">
        <v>57.19</v>
      </c>
      <c r="H10" s="51">
        <v>21.71</v>
      </c>
      <c r="I10" s="51">
        <v>9.77</v>
      </c>
      <c r="J10" s="51">
        <v>0.21</v>
      </c>
      <c r="K10" s="51">
        <v>252.15</v>
      </c>
      <c r="L10" s="51">
        <v>18.77</v>
      </c>
      <c r="M10" s="51">
        <v>96.63</v>
      </c>
      <c r="N10" s="51">
        <v>1.7</v>
      </c>
      <c r="O10" s="51">
        <v>0</v>
      </c>
      <c r="P10" s="51">
        <v>0.82</v>
      </c>
      <c r="Q10" s="51">
        <v>10.07</v>
      </c>
    </row>
    <row r="11" spans="1:21" customFormat="1">
      <c r="A11" s="50">
        <v>45648.125</v>
      </c>
      <c r="B11" s="51">
        <v>14.51</v>
      </c>
      <c r="C11" s="51">
        <v>19.309999999999999</v>
      </c>
      <c r="D11" s="51">
        <v>23.04</v>
      </c>
      <c r="E11" s="51">
        <v>10.47</v>
      </c>
      <c r="F11" s="53" t="s">
        <v>8</v>
      </c>
      <c r="G11" s="51">
        <v>46.43</v>
      </c>
      <c r="H11" s="51">
        <v>17.21</v>
      </c>
      <c r="I11" s="51">
        <v>9.2100000000000009</v>
      </c>
      <c r="J11" s="51">
        <v>0.69</v>
      </c>
      <c r="K11" s="51">
        <v>44.88</v>
      </c>
      <c r="L11" s="51">
        <v>18.8</v>
      </c>
      <c r="M11" s="51">
        <v>95.94</v>
      </c>
      <c r="N11" s="51">
        <v>1.9</v>
      </c>
      <c r="O11" s="51">
        <v>0</v>
      </c>
      <c r="P11" s="51">
        <v>0.78</v>
      </c>
      <c r="Q11" s="51">
        <v>10.07</v>
      </c>
    </row>
    <row r="12" spans="1:21" customFormat="1">
      <c r="A12" s="50">
        <v>45648.166666666664</v>
      </c>
      <c r="B12" s="51">
        <v>14.96</v>
      </c>
      <c r="C12" s="51">
        <v>19.329999999999998</v>
      </c>
      <c r="D12" s="51">
        <v>23.41</v>
      </c>
      <c r="E12" s="51">
        <v>10.44</v>
      </c>
      <c r="F12" s="53" t="s">
        <v>8</v>
      </c>
      <c r="G12" s="51">
        <v>55.65</v>
      </c>
      <c r="H12" s="51">
        <v>17.71</v>
      </c>
      <c r="I12" s="51">
        <v>9.11</v>
      </c>
      <c r="J12" s="51">
        <v>0.79</v>
      </c>
      <c r="K12" s="51">
        <v>52.08</v>
      </c>
      <c r="L12" s="51">
        <v>18.760000000000002</v>
      </c>
      <c r="M12" s="51">
        <v>96.01</v>
      </c>
      <c r="N12" s="51">
        <v>2.1</v>
      </c>
      <c r="O12" s="51">
        <v>0</v>
      </c>
      <c r="P12" s="51">
        <v>0.83</v>
      </c>
      <c r="Q12" s="51">
        <v>10.07</v>
      </c>
    </row>
    <row r="13" spans="1:21" customFormat="1">
      <c r="A13" s="50">
        <v>45648.208333333336</v>
      </c>
      <c r="B13" s="51">
        <v>16.350000000000001</v>
      </c>
      <c r="C13" s="51">
        <v>19.29</v>
      </c>
      <c r="D13" s="51">
        <v>24.48</v>
      </c>
      <c r="E13" s="51">
        <v>10.4</v>
      </c>
      <c r="F13" s="53" t="s">
        <v>8</v>
      </c>
      <c r="G13" s="51">
        <v>56.07</v>
      </c>
      <c r="H13" s="51">
        <v>20.079999999999998</v>
      </c>
      <c r="I13" s="51">
        <v>9.3000000000000007</v>
      </c>
      <c r="J13" s="51">
        <v>0.55000000000000004</v>
      </c>
      <c r="K13" s="51">
        <v>52.71</v>
      </c>
      <c r="L13" s="51">
        <v>18.649999999999999</v>
      </c>
      <c r="M13" s="51">
        <v>96.17</v>
      </c>
      <c r="N13" s="51">
        <v>2.1</v>
      </c>
      <c r="O13" s="51">
        <v>0</v>
      </c>
      <c r="P13" s="51">
        <v>0.84</v>
      </c>
      <c r="Q13" s="51">
        <v>10.07</v>
      </c>
    </row>
    <row r="14" spans="1:21" customFormat="1">
      <c r="A14" s="50">
        <v>45648.25</v>
      </c>
      <c r="B14" s="51">
        <v>18.559999999999999</v>
      </c>
      <c r="C14" s="51">
        <v>19.309999999999999</v>
      </c>
      <c r="D14" s="51">
        <v>25.72</v>
      </c>
      <c r="E14" s="51">
        <v>10.5</v>
      </c>
      <c r="F14" s="53" t="s">
        <v>8</v>
      </c>
      <c r="G14" s="51">
        <v>62.27</v>
      </c>
      <c r="H14" s="51">
        <v>22.15</v>
      </c>
      <c r="I14" s="51">
        <v>9.52</v>
      </c>
      <c r="J14" s="51">
        <v>0.52</v>
      </c>
      <c r="K14" s="51">
        <v>57.3</v>
      </c>
      <c r="L14" s="51">
        <v>18.7</v>
      </c>
      <c r="M14" s="51">
        <v>96.98</v>
      </c>
      <c r="N14" s="51">
        <v>2.1</v>
      </c>
      <c r="O14" s="51">
        <v>0</v>
      </c>
      <c r="P14" s="51">
        <v>0.93</v>
      </c>
      <c r="Q14" s="51">
        <v>10.07</v>
      </c>
    </row>
    <row r="15" spans="1:21" customFormat="1">
      <c r="A15" s="50">
        <v>45648.291666666664</v>
      </c>
      <c r="B15" s="51">
        <v>20.83</v>
      </c>
      <c r="C15" s="51">
        <v>19.420000000000002</v>
      </c>
      <c r="D15" s="51">
        <v>28.12</v>
      </c>
      <c r="E15" s="51">
        <v>10.7</v>
      </c>
      <c r="F15" s="53" t="s">
        <v>8</v>
      </c>
      <c r="G15" s="51">
        <v>65.2</v>
      </c>
      <c r="H15" s="51">
        <v>24.15</v>
      </c>
      <c r="I15" s="51">
        <v>9.9700000000000006</v>
      </c>
      <c r="J15" s="51">
        <v>0.64</v>
      </c>
      <c r="K15" s="51">
        <v>75.83</v>
      </c>
      <c r="L15" s="51">
        <v>18.55</v>
      </c>
      <c r="M15" s="51">
        <v>97.25</v>
      </c>
      <c r="N15" s="51">
        <v>19.3</v>
      </c>
      <c r="O15" s="51">
        <v>0</v>
      </c>
      <c r="P15" s="51">
        <v>0.95</v>
      </c>
      <c r="Q15" s="51">
        <v>10.06</v>
      </c>
    </row>
    <row r="16" spans="1:21" customFormat="1">
      <c r="A16" s="50">
        <v>45648.333333333336</v>
      </c>
      <c r="B16" s="51">
        <v>21.43</v>
      </c>
      <c r="C16" s="51">
        <v>19.77</v>
      </c>
      <c r="D16" s="51">
        <v>28.77</v>
      </c>
      <c r="E16" s="51">
        <v>10.28</v>
      </c>
      <c r="F16" s="53" t="s">
        <v>8</v>
      </c>
      <c r="G16" s="51">
        <v>67.55</v>
      </c>
      <c r="H16" s="51">
        <v>24.65</v>
      </c>
      <c r="I16" s="51">
        <v>10.050000000000001</v>
      </c>
      <c r="J16" s="51">
        <v>0.56000000000000005</v>
      </c>
      <c r="K16" s="51">
        <v>73.98</v>
      </c>
      <c r="L16" s="51">
        <v>19.48</v>
      </c>
      <c r="M16" s="51">
        <v>97.22</v>
      </c>
      <c r="N16" s="51">
        <v>88.7</v>
      </c>
      <c r="O16" s="51">
        <v>0</v>
      </c>
      <c r="P16" s="51">
        <v>0.95</v>
      </c>
      <c r="Q16" s="51">
        <v>10.050000000000001</v>
      </c>
    </row>
    <row r="17" spans="1:17" customFormat="1">
      <c r="A17" s="50">
        <v>45648.375</v>
      </c>
      <c r="B17" s="51">
        <v>21.16</v>
      </c>
      <c r="C17" s="51">
        <v>19.75</v>
      </c>
      <c r="D17" s="51">
        <v>28.59</v>
      </c>
      <c r="E17" s="51">
        <v>10.53</v>
      </c>
      <c r="F17" s="53" t="s">
        <v>8</v>
      </c>
      <c r="G17" s="51">
        <v>61.39</v>
      </c>
      <c r="H17" s="51">
        <v>22.89</v>
      </c>
      <c r="I17" s="51">
        <v>10.039999999999999</v>
      </c>
      <c r="J17" s="51">
        <v>0.77</v>
      </c>
      <c r="K17" s="51">
        <v>67.58</v>
      </c>
      <c r="L17" s="51">
        <v>21.36</v>
      </c>
      <c r="M17" s="51">
        <v>90.92</v>
      </c>
      <c r="N17" s="51">
        <v>175.6</v>
      </c>
      <c r="O17" s="51">
        <v>0</v>
      </c>
      <c r="P17" s="51">
        <v>0.94</v>
      </c>
      <c r="Q17" s="51">
        <v>10.050000000000001</v>
      </c>
    </row>
    <row r="18" spans="1:17" customFormat="1">
      <c r="A18" s="50">
        <v>45648.416666666664</v>
      </c>
      <c r="B18" s="51">
        <v>20.64</v>
      </c>
      <c r="C18" s="51">
        <v>19.309999999999999</v>
      </c>
      <c r="D18" s="51">
        <v>28</v>
      </c>
      <c r="E18" s="51">
        <v>11.08</v>
      </c>
      <c r="F18" s="53" t="s">
        <v>8</v>
      </c>
      <c r="G18" s="51">
        <v>51.47</v>
      </c>
      <c r="H18" s="51">
        <v>19.059999999999999</v>
      </c>
      <c r="I18" s="51">
        <v>9.82</v>
      </c>
      <c r="J18" s="51">
        <v>0.56999999999999995</v>
      </c>
      <c r="K18" s="51">
        <v>86.72</v>
      </c>
      <c r="L18" s="51">
        <v>23.88</v>
      </c>
      <c r="M18" s="51">
        <v>78.739999999999995</v>
      </c>
      <c r="N18" s="51">
        <v>279.3</v>
      </c>
      <c r="O18" s="51">
        <v>0</v>
      </c>
      <c r="P18" s="51">
        <v>0.89</v>
      </c>
      <c r="Q18" s="51">
        <v>10.050000000000001</v>
      </c>
    </row>
    <row r="19" spans="1:17" customFormat="1">
      <c r="A19" s="50">
        <v>45648.458333333336</v>
      </c>
      <c r="B19" s="51">
        <v>19.53</v>
      </c>
      <c r="C19" s="51">
        <v>19.05</v>
      </c>
      <c r="D19" s="51">
        <v>26.97</v>
      </c>
      <c r="E19" s="51">
        <v>9.5500000000000007</v>
      </c>
      <c r="F19" s="53" t="s">
        <v>8</v>
      </c>
      <c r="G19" s="51">
        <v>42.22</v>
      </c>
      <c r="H19" s="51">
        <v>17.84</v>
      </c>
      <c r="I19" s="51">
        <v>9.2100000000000009</v>
      </c>
      <c r="J19" s="51">
        <v>0.78</v>
      </c>
      <c r="K19" s="51">
        <v>66.78</v>
      </c>
      <c r="L19" s="51">
        <v>25.29</v>
      </c>
      <c r="M19" s="51">
        <v>66.91</v>
      </c>
      <c r="N19" s="51">
        <v>429.6</v>
      </c>
      <c r="O19" s="51">
        <v>0</v>
      </c>
      <c r="P19" s="51">
        <v>0.85</v>
      </c>
      <c r="Q19" s="51">
        <v>10.06</v>
      </c>
    </row>
    <row r="20" spans="1:17" customFormat="1">
      <c r="A20" s="50">
        <v>45648.5</v>
      </c>
      <c r="B20" s="51">
        <v>14.72</v>
      </c>
      <c r="C20" s="51">
        <v>19.57</v>
      </c>
      <c r="D20" s="51">
        <v>23.06</v>
      </c>
      <c r="E20" s="51">
        <v>9.49</v>
      </c>
      <c r="F20" s="53" t="s">
        <v>8</v>
      </c>
      <c r="G20" s="51">
        <v>40.380000000000003</v>
      </c>
      <c r="H20" s="51">
        <v>15.74</v>
      </c>
      <c r="I20" s="51">
        <v>8.4600000000000009</v>
      </c>
      <c r="J20" s="51">
        <v>0.49</v>
      </c>
      <c r="K20" s="51">
        <v>95.39</v>
      </c>
      <c r="L20" s="51">
        <v>26.73</v>
      </c>
      <c r="M20" s="51">
        <v>57.96</v>
      </c>
      <c r="N20" s="51">
        <v>462.8</v>
      </c>
      <c r="O20" s="51">
        <v>0</v>
      </c>
      <c r="P20" s="51">
        <v>0.71</v>
      </c>
      <c r="Q20" s="51">
        <v>10.09</v>
      </c>
    </row>
    <row r="21" spans="1:17" customFormat="1">
      <c r="A21" s="50">
        <v>45648.541666666664</v>
      </c>
      <c r="B21" s="51">
        <v>9.61</v>
      </c>
      <c r="C21" s="51">
        <v>19.75</v>
      </c>
      <c r="D21" s="51">
        <v>19.37</v>
      </c>
      <c r="E21" s="51">
        <v>8.9</v>
      </c>
      <c r="F21" s="53" t="s">
        <v>8</v>
      </c>
      <c r="G21" s="51">
        <v>37.32</v>
      </c>
      <c r="H21" s="51">
        <v>16.73</v>
      </c>
      <c r="I21" s="51">
        <v>7.43</v>
      </c>
      <c r="J21" s="51">
        <v>0.4</v>
      </c>
      <c r="K21" s="51">
        <v>158.01</v>
      </c>
      <c r="L21" s="51">
        <v>27.9</v>
      </c>
      <c r="M21" s="51">
        <v>54.86</v>
      </c>
      <c r="N21" s="51">
        <v>429.4</v>
      </c>
      <c r="O21" s="51">
        <v>0</v>
      </c>
      <c r="P21" s="51">
        <v>0.62</v>
      </c>
      <c r="Q21" s="51">
        <v>10.06</v>
      </c>
    </row>
    <row r="22" spans="1:17" customFormat="1">
      <c r="A22" s="50">
        <v>45648.583333333336</v>
      </c>
      <c r="B22" s="51">
        <v>6.31</v>
      </c>
      <c r="C22" s="51">
        <v>19.72</v>
      </c>
      <c r="D22" s="51">
        <v>16.670000000000002</v>
      </c>
      <c r="E22" s="51">
        <v>9.2200000000000006</v>
      </c>
      <c r="F22" s="53" t="s">
        <v>8</v>
      </c>
      <c r="G22" s="51">
        <v>33.85</v>
      </c>
      <c r="H22" s="51">
        <v>12.08</v>
      </c>
      <c r="I22" s="51">
        <v>6.77</v>
      </c>
      <c r="J22" s="51">
        <v>0.82</v>
      </c>
      <c r="K22" s="51">
        <v>84.14</v>
      </c>
      <c r="L22" s="51">
        <v>27.1</v>
      </c>
      <c r="M22" s="51">
        <v>54.63</v>
      </c>
      <c r="N22" s="51">
        <v>247.3</v>
      </c>
      <c r="O22" s="51">
        <v>0</v>
      </c>
      <c r="P22" s="51">
        <v>0.56999999999999995</v>
      </c>
      <c r="Q22" s="51">
        <v>10.039999999999999</v>
      </c>
    </row>
    <row r="23" spans="1:17" customFormat="1">
      <c r="A23" s="50">
        <v>45648.625</v>
      </c>
      <c r="B23" s="51">
        <v>5.18</v>
      </c>
      <c r="C23" s="51">
        <v>19.809999999999999</v>
      </c>
      <c r="D23" s="51">
        <v>15.86</v>
      </c>
      <c r="E23" s="51">
        <v>9.0299999999999994</v>
      </c>
      <c r="F23" s="53" t="s">
        <v>8</v>
      </c>
      <c r="G23" s="51">
        <v>41.73</v>
      </c>
      <c r="H23" s="51">
        <v>12.02</v>
      </c>
      <c r="I23" s="51">
        <v>6.35</v>
      </c>
      <c r="J23" s="51">
        <v>0.47</v>
      </c>
      <c r="K23" s="51">
        <v>120.19</v>
      </c>
      <c r="L23" s="51">
        <v>26.58</v>
      </c>
      <c r="M23" s="51">
        <v>55.04</v>
      </c>
      <c r="N23" s="51">
        <v>117.6</v>
      </c>
      <c r="O23" s="51">
        <v>0</v>
      </c>
      <c r="P23" s="51">
        <v>0.57999999999999996</v>
      </c>
      <c r="Q23" s="51">
        <v>10.039999999999999</v>
      </c>
    </row>
    <row r="24" spans="1:17" customFormat="1">
      <c r="A24" s="50">
        <v>45648.666666666664</v>
      </c>
      <c r="B24" s="51">
        <v>4.9800000000000004</v>
      </c>
      <c r="C24" s="51">
        <v>19.579999999999998</v>
      </c>
      <c r="D24" s="51">
        <v>15.16</v>
      </c>
      <c r="E24" s="51">
        <v>9.3000000000000007</v>
      </c>
      <c r="F24" s="53" t="s">
        <v>8</v>
      </c>
      <c r="G24" s="51">
        <v>64.31</v>
      </c>
      <c r="H24" s="51">
        <v>15.3</v>
      </c>
      <c r="I24" s="51">
        <v>6.18</v>
      </c>
      <c r="J24" s="51">
        <v>0.86</v>
      </c>
      <c r="K24" s="51">
        <v>67.03</v>
      </c>
      <c r="L24" s="51">
        <v>25.87</v>
      </c>
      <c r="M24" s="51">
        <v>58.2</v>
      </c>
      <c r="N24" s="51">
        <v>66.8</v>
      </c>
      <c r="O24" s="51">
        <v>0</v>
      </c>
      <c r="P24" s="51">
        <v>0.65</v>
      </c>
      <c r="Q24" s="51">
        <v>10.029999999999999</v>
      </c>
    </row>
    <row r="25" spans="1:17" customFormat="1">
      <c r="A25" s="50">
        <v>45648.708333333336</v>
      </c>
      <c r="B25" s="51">
        <v>5.08</v>
      </c>
      <c r="C25" s="51">
        <v>18.940000000000001</v>
      </c>
      <c r="D25" s="51">
        <v>15.32</v>
      </c>
      <c r="E25" s="51">
        <v>9.65</v>
      </c>
      <c r="F25" s="53" t="s">
        <v>8</v>
      </c>
      <c r="G25" s="51">
        <v>85.54</v>
      </c>
      <c r="H25" s="51">
        <v>16.66</v>
      </c>
      <c r="I25" s="51">
        <v>6.31</v>
      </c>
      <c r="J25" s="51">
        <v>0.56000000000000005</v>
      </c>
      <c r="K25" s="51">
        <v>86.9</v>
      </c>
      <c r="L25" s="51">
        <v>25.2</v>
      </c>
      <c r="M25" s="51">
        <v>63.04</v>
      </c>
      <c r="N25" s="51">
        <v>35.5</v>
      </c>
      <c r="O25" s="51">
        <v>0</v>
      </c>
      <c r="P25" s="51">
        <v>0.65</v>
      </c>
      <c r="Q25" s="51">
        <v>10.02</v>
      </c>
    </row>
    <row r="26" spans="1:17" customFormat="1">
      <c r="A26" s="50">
        <v>45648.75</v>
      </c>
      <c r="B26" s="51">
        <v>5.5</v>
      </c>
      <c r="C26" s="51">
        <v>19.260000000000002</v>
      </c>
      <c r="D26" s="51">
        <v>15.54</v>
      </c>
      <c r="E26" s="51">
        <v>9.27</v>
      </c>
      <c r="F26" s="53" t="s">
        <v>8</v>
      </c>
      <c r="G26" s="51">
        <v>72.489999999999995</v>
      </c>
      <c r="H26" s="51">
        <v>19.39</v>
      </c>
      <c r="I26" s="51">
        <v>6.39</v>
      </c>
      <c r="J26" s="51">
        <v>0.49</v>
      </c>
      <c r="K26" s="51">
        <v>76.650000000000006</v>
      </c>
      <c r="L26" s="51">
        <v>23.86</v>
      </c>
      <c r="M26" s="51">
        <v>69.7</v>
      </c>
      <c r="N26" s="51">
        <v>4.5999999999999996</v>
      </c>
      <c r="O26" s="51">
        <v>0</v>
      </c>
      <c r="P26" s="51">
        <v>0.68</v>
      </c>
      <c r="Q26" s="51">
        <v>10.01</v>
      </c>
    </row>
    <row r="27" spans="1:17" customFormat="1">
      <c r="A27" s="50">
        <v>45648.791666666664</v>
      </c>
      <c r="B27" s="51">
        <v>6.42</v>
      </c>
      <c r="C27" s="51">
        <v>19.38</v>
      </c>
      <c r="D27" s="51">
        <v>16.47</v>
      </c>
      <c r="E27" s="51">
        <v>9.86</v>
      </c>
      <c r="F27" s="53" t="s">
        <v>8</v>
      </c>
      <c r="G27" s="51">
        <v>69.22</v>
      </c>
      <c r="H27" s="51">
        <v>22.45</v>
      </c>
      <c r="I27" s="51">
        <v>6.68</v>
      </c>
      <c r="J27" s="51">
        <v>0.46</v>
      </c>
      <c r="K27" s="51">
        <v>115.13</v>
      </c>
      <c r="L27" s="51">
        <v>22.55</v>
      </c>
      <c r="M27" s="51">
        <v>72.5</v>
      </c>
      <c r="N27" s="51">
        <v>1.7</v>
      </c>
      <c r="O27" s="51">
        <v>0</v>
      </c>
      <c r="P27" s="51">
        <v>0.71</v>
      </c>
      <c r="Q27" s="51">
        <v>10.01</v>
      </c>
    </row>
    <row r="28" spans="1:17" customFormat="1">
      <c r="A28" s="50">
        <v>45648.833333333336</v>
      </c>
      <c r="B28" s="51">
        <v>6.92</v>
      </c>
      <c r="C28" s="51">
        <v>19.72</v>
      </c>
      <c r="D28" s="51">
        <v>17.2</v>
      </c>
      <c r="E28" s="51">
        <v>9.84</v>
      </c>
      <c r="F28" s="53" t="s">
        <v>8</v>
      </c>
      <c r="G28" s="51">
        <v>71.7</v>
      </c>
      <c r="H28" s="51">
        <v>20.75</v>
      </c>
      <c r="I28" s="51">
        <v>6.97</v>
      </c>
      <c r="J28" s="51">
        <v>0.59</v>
      </c>
      <c r="K28" s="51">
        <v>112.28</v>
      </c>
      <c r="L28" s="51">
        <v>21.52</v>
      </c>
      <c r="M28" s="51">
        <v>76.33</v>
      </c>
      <c r="N28" s="51">
        <v>1.7</v>
      </c>
      <c r="O28" s="51">
        <v>0</v>
      </c>
      <c r="P28" s="51">
        <v>0.75</v>
      </c>
      <c r="Q28" s="51">
        <v>10.01</v>
      </c>
    </row>
    <row r="29" spans="1:17" customFormat="1">
      <c r="A29" s="50">
        <v>45648.875</v>
      </c>
      <c r="B29" s="51">
        <v>6.82</v>
      </c>
      <c r="C29" s="51">
        <v>21.21</v>
      </c>
      <c r="D29" s="51">
        <v>17.62</v>
      </c>
      <c r="E29" s="51">
        <v>9.59</v>
      </c>
      <c r="F29" s="53" t="s">
        <v>8</v>
      </c>
      <c r="G29" s="51">
        <v>75.89</v>
      </c>
      <c r="H29" s="51">
        <v>23.75</v>
      </c>
      <c r="I29" s="51">
        <v>7.24</v>
      </c>
      <c r="J29" s="51">
        <v>0.69</v>
      </c>
      <c r="K29" s="51">
        <v>83.06</v>
      </c>
      <c r="L29" s="51">
        <v>20.9</v>
      </c>
      <c r="M29" s="51">
        <v>80.709999999999994</v>
      </c>
      <c r="N29" s="51">
        <v>1.7</v>
      </c>
      <c r="O29" s="51">
        <v>0</v>
      </c>
      <c r="P29" s="51">
        <v>0.73</v>
      </c>
      <c r="Q29" s="51">
        <v>10.029999999999999</v>
      </c>
    </row>
    <row r="30" spans="1:17" customFormat="1">
      <c r="A30" s="50">
        <v>45648.916666666664</v>
      </c>
      <c r="B30" s="51">
        <v>6.48</v>
      </c>
      <c r="C30" s="51">
        <v>21.55</v>
      </c>
      <c r="D30" s="51">
        <v>17.809999999999999</v>
      </c>
      <c r="E30" s="51">
        <v>9.4600000000000009</v>
      </c>
      <c r="F30" s="53" t="s">
        <v>8</v>
      </c>
      <c r="G30" s="51">
        <v>82.95</v>
      </c>
      <c r="H30" s="51">
        <v>29.14</v>
      </c>
      <c r="I30" s="51">
        <v>7.67</v>
      </c>
      <c r="J30" s="51">
        <v>0.22</v>
      </c>
      <c r="K30" s="51">
        <v>215.13</v>
      </c>
      <c r="L30" s="51">
        <v>20.190000000000001</v>
      </c>
      <c r="M30" s="51">
        <v>88.4</v>
      </c>
      <c r="N30" s="51">
        <v>1.7</v>
      </c>
      <c r="O30" s="51">
        <v>0</v>
      </c>
      <c r="P30" s="51">
        <v>0.75</v>
      </c>
      <c r="Q30" s="51">
        <v>10.029999999999999</v>
      </c>
    </row>
    <row r="31" spans="1:17" customFormat="1">
      <c r="A31" s="50">
        <v>45648.958333333336</v>
      </c>
      <c r="B31" s="51">
        <v>5.89</v>
      </c>
      <c r="C31" s="51">
        <v>21</v>
      </c>
      <c r="D31" s="51">
        <v>17.04</v>
      </c>
      <c r="E31" s="51">
        <v>9.49</v>
      </c>
      <c r="F31" s="53" t="s">
        <v>8</v>
      </c>
      <c r="G31" s="51">
        <v>80.48</v>
      </c>
      <c r="H31" s="51">
        <v>30.61</v>
      </c>
      <c r="I31" s="51">
        <v>7.7</v>
      </c>
      <c r="J31" s="51">
        <v>0.21</v>
      </c>
      <c r="K31" s="51">
        <v>192.21</v>
      </c>
      <c r="L31" s="51">
        <v>18.89</v>
      </c>
      <c r="M31" s="51">
        <v>91.21</v>
      </c>
      <c r="N31" s="51">
        <v>1.5</v>
      </c>
      <c r="O31" s="51">
        <v>0</v>
      </c>
      <c r="P31" s="51">
        <v>0.77</v>
      </c>
      <c r="Q31" s="51">
        <v>10.050000000000001</v>
      </c>
    </row>
    <row r="32" spans="1:17" customFormat="1">
      <c r="A32" s="50">
        <v>45649</v>
      </c>
      <c r="B32" s="51">
        <v>5.9</v>
      </c>
      <c r="C32" s="51">
        <v>20.52</v>
      </c>
      <c r="D32" s="51">
        <v>16.8</v>
      </c>
      <c r="E32" s="51">
        <v>9.27</v>
      </c>
      <c r="F32" s="53" t="s">
        <v>8</v>
      </c>
      <c r="G32" s="51">
        <v>77.849999999999994</v>
      </c>
      <c r="H32" s="51">
        <v>29.31</v>
      </c>
      <c r="I32" s="51">
        <v>8.02</v>
      </c>
      <c r="J32" s="51">
        <v>0.22</v>
      </c>
      <c r="K32" s="51">
        <v>183.56</v>
      </c>
      <c r="L32" s="51">
        <v>18.739999999999998</v>
      </c>
      <c r="M32" s="51">
        <v>92.07</v>
      </c>
      <c r="N32" s="51">
        <v>1.5</v>
      </c>
      <c r="O32" s="51">
        <v>0</v>
      </c>
      <c r="P32" s="51">
        <v>0.78</v>
      </c>
      <c r="Q32" s="51">
        <v>10.039999999999999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4.9800000000000004</v>
      </c>
      <c r="C34" s="41">
        <f t="shared" si="0"/>
        <v>18.940000000000001</v>
      </c>
      <c r="D34" s="41">
        <f t="shared" si="0"/>
        <v>15.16</v>
      </c>
      <c r="E34" s="41">
        <f t="shared" si="0"/>
        <v>8.9</v>
      </c>
      <c r="F34" s="41">
        <f t="shared" si="0"/>
        <v>0</v>
      </c>
      <c r="G34" s="41">
        <f t="shared" si="0"/>
        <v>33.85</v>
      </c>
      <c r="H34" s="41">
        <f t="shared" si="0"/>
        <v>12.02</v>
      </c>
      <c r="I34" s="41">
        <f t="shared" si="0"/>
        <v>6.18</v>
      </c>
      <c r="J34" s="41">
        <f t="shared" si="0"/>
        <v>0.13</v>
      </c>
      <c r="K34" s="41">
        <f t="shared" si="0"/>
        <v>44.88</v>
      </c>
      <c r="L34" s="41">
        <f t="shared" si="0"/>
        <v>18.55</v>
      </c>
      <c r="M34" s="41">
        <f t="shared" si="0"/>
        <v>54.63</v>
      </c>
      <c r="N34" s="41">
        <f t="shared" si="0"/>
        <v>1.5</v>
      </c>
      <c r="O34" s="41">
        <f t="shared" si="0"/>
        <v>0</v>
      </c>
      <c r="P34" s="41">
        <f t="shared" si="0"/>
        <v>0.56999999999999995</v>
      </c>
      <c r="Q34" s="41">
        <f t="shared" si="0"/>
        <v>10.01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21.43</v>
      </c>
      <c r="C35" s="33">
        <f t="shared" si="1"/>
        <v>21.65</v>
      </c>
      <c r="D35" s="33">
        <f t="shared" si="1"/>
        <v>28.77</v>
      </c>
      <c r="E35" s="33">
        <f t="shared" si="1"/>
        <v>11.08</v>
      </c>
      <c r="F35" s="33">
        <f t="shared" si="1"/>
        <v>0</v>
      </c>
      <c r="G35" s="33">
        <f t="shared" si="1"/>
        <v>85.54</v>
      </c>
      <c r="H35" s="33">
        <f t="shared" si="1"/>
        <v>30.61</v>
      </c>
      <c r="I35" s="33">
        <f t="shared" si="1"/>
        <v>10.210000000000001</v>
      </c>
      <c r="J35" s="33">
        <f t="shared" si="1"/>
        <v>0.86</v>
      </c>
      <c r="K35" s="33">
        <f t="shared" si="1"/>
        <v>252.15</v>
      </c>
      <c r="L35" s="33">
        <f t="shared" si="1"/>
        <v>27.9</v>
      </c>
      <c r="M35" s="33">
        <f t="shared" si="1"/>
        <v>97.25</v>
      </c>
      <c r="N35" s="33">
        <f t="shared" si="1"/>
        <v>462.8</v>
      </c>
      <c r="O35" s="33">
        <f t="shared" si="1"/>
        <v>0</v>
      </c>
      <c r="P35" s="33">
        <f t="shared" si="1"/>
        <v>0.95</v>
      </c>
      <c r="Q35" s="33">
        <f t="shared" si="1"/>
        <v>10.09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12.157083333333334</v>
      </c>
      <c r="C36" s="41">
        <f t="shared" si="2"/>
        <v>19.842083333333331</v>
      </c>
      <c r="D36" s="41">
        <f t="shared" si="2"/>
        <v>21.364583333333339</v>
      </c>
      <c r="E36" s="41">
        <f t="shared" si="2"/>
        <v>9.872083333333336</v>
      </c>
      <c r="F36" s="41" t="e">
        <f t="shared" si="2"/>
        <v>#DIV/0!</v>
      </c>
      <c r="G36" s="41">
        <f t="shared" si="2"/>
        <v>61.067916666666683</v>
      </c>
      <c r="H36" s="41">
        <f t="shared" si="2"/>
        <v>20.505416666666665</v>
      </c>
      <c r="I36" s="41">
        <f t="shared" si="2"/>
        <v>8.2658333333333331</v>
      </c>
      <c r="J36" s="41">
        <f t="shared" si="2"/>
        <v>0.52875000000000016</v>
      </c>
      <c r="K36" s="41">
        <f t="shared" si="2"/>
        <v>110.03583333333337</v>
      </c>
      <c r="L36" s="41">
        <f t="shared" si="2"/>
        <v>21.996249999999993</v>
      </c>
      <c r="M36" s="41">
        <f t="shared" si="2"/>
        <v>79.984583333333333</v>
      </c>
      <c r="N36" s="41">
        <f t="shared" si="2"/>
        <v>99.079166666666652</v>
      </c>
      <c r="O36" s="41">
        <f t="shared" si="2"/>
        <v>0</v>
      </c>
      <c r="P36" s="41">
        <f t="shared" si="2"/>
        <v>0.77708333333333346</v>
      </c>
      <c r="Q36" s="41">
        <f t="shared" si="2"/>
        <v>10.047499999999998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6.3683917013888891</v>
      </c>
      <c r="C37" s="41">
        <f t="shared" ref="C37:Q37" si="3">STDEV(C9:C32)</f>
        <v>0.77091125732262966</v>
      </c>
      <c r="D37" s="41">
        <f t="shared" si="3"/>
        <v>5.0429201160737476</v>
      </c>
      <c r="E37" s="41">
        <f t="shared" si="3"/>
        <v>0.61484518494431062</v>
      </c>
      <c r="F37" s="41" t="e">
        <f t="shared" si="3"/>
        <v>#DIV/0!</v>
      </c>
      <c r="G37" s="41">
        <f t="shared" si="3"/>
        <v>15.041971418888744</v>
      </c>
      <c r="H37" s="41">
        <f t="shared" si="3"/>
        <v>4.9345260810869727</v>
      </c>
      <c r="I37" s="41">
        <f t="shared" si="3"/>
        <v>1.4318091828982906</v>
      </c>
      <c r="J37" s="41">
        <f t="shared" si="3"/>
        <v>0.21234329260196408</v>
      </c>
      <c r="K37" s="41">
        <f t="shared" si="3"/>
        <v>60.309687297183437</v>
      </c>
      <c r="L37" s="41">
        <f t="shared" si="3"/>
        <v>3.2971513561281398</v>
      </c>
      <c r="M37" s="41">
        <f t="shared" si="3"/>
        <v>16.202018923891703</v>
      </c>
      <c r="N37" s="41">
        <f t="shared" si="3"/>
        <v>153.98721284903661</v>
      </c>
      <c r="O37" s="41">
        <f t="shared" si="3"/>
        <v>0</v>
      </c>
      <c r="P37" s="41">
        <f t="shared" si="3"/>
        <v>0.11752813415876302</v>
      </c>
      <c r="Q37" s="41">
        <f t="shared" si="3"/>
        <v>2.1918822564378503E-2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0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&lt;90%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LESS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18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45649.041666666664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45649.041666666664</v>
      </c>
      <c r="B9" s="51">
        <v>5.92</v>
      </c>
      <c r="C9" s="51">
        <v>20.49</v>
      </c>
      <c r="D9" s="51">
        <v>16.78</v>
      </c>
      <c r="E9" s="51">
        <v>9.15</v>
      </c>
      <c r="F9" s="53" t="s">
        <v>8</v>
      </c>
      <c r="G9" s="51">
        <v>68.48</v>
      </c>
      <c r="H9" s="51">
        <v>28.12</v>
      </c>
      <c r="I9" s="51">
        <v>8.06</v>
      </c>
      <c r="J9" s="51">
        <v>0.2</v>
      </c>
      <c r="K9" s="51">
        <v>168.63</v>
      </c>
      <c r="L9" s="51">
        <v>18.510000000000002</v>
      </c>
      <c r="M9" s="51">
        <v>92.16</v>
      </c>
      <c r="N9" s="51">
        <v>1.4</v>
      </c>
      <c r="O9" s="51">
        <v>0</v>
      </c>
      <c r="P9" s="51">
        <v>0.75</v>
      </c>
      <c r="Q9" s="51">
        <v>10.029999999999999</v>
      </c>
    </row>
    <row r="10" spans="1:21" customFormat="1">
      <c r="A10" s="50">
        <v>45649.083333333336</v>
      </c>
      <c r="B10" s="51">
        <v>6.81</v>
      </c>
      <c r="C10" s="51">
        <v>19.95</v>
      </c>
      <c r="D10" s="51">
        <v>17.059999999999999</v>
      </c>
      <c r="E10" s="51">
        <v>9.24</v>
      </c>
      <c r="F10" s="53" t="s">
        <v>8</v>
      </c>
      <c r="G10" s="51">
        <v>68.260000000000005</v>
      </c>
      <c r="H10" s="51">
        <v>28.75</v>
      </c>
      <c r="I10" s="51">
        <v>7.76</v>
      </c>
      <c r="J10" s="51">
        <v>0.17</v>
      </c>
      <c r="K10" s="51">
        <v>225.42</v>
      </c>
      <c r="L10" s="51">
        <v>17.850000000000001</v>
      </c>
      <c r="M10" s="51">
        <v>97.05</v>
      </c>
      <c r="N10" s="51">
        <v>1.5</v>
      </c>
      <c r="O10" s="51">
        <v>0</v>
      </c>
      <c r="P10" s="51">
        <v>0.79</v>
      </c>
      <c r="Q10" s="51">
        <v>10</v>
      </c>
    </row>
    <row r="11" spans="1:21" customFormat="1">
      <c r="A11" s="50">
        <v>45649.125</v>
      </c>
      <c r="B11" s="51">
        <v>10.1</v>
      </c>
      <c r="C11" s="51">
        <v>20.09</v>
      </c>
      <c r="D11" s="51">
        <v>19.95</v>
      </c>
      <c r="E11" s="51">
        <v>9.39</v>
      </c>
      <c r="F11" s="53" t="s">
        <v>8</v>
      </c>
      <c r="G11" s="51">
        <v>64.78</v>
      </c>
      <c r="H11" s="51">
        <v>26.54</v>
      </c>
      <c r="I11" s="51">
        <v>7.82</v>
      </c>
      <c r="J11" s="51">
        <v>0.41</v>
      </c>
      <c r="K11" s="51">
        <v>167.76</v>
      </c>
      <c r="L11" s="51">
        <v>17.25</v>
      </c>
      <c r="M11" s="51">
        <v>97.71</v>
      </c>
      <c r="N11" s="51">
        <v>1.4</v>
      </c>
      <c r="O11" s="51">
        <v>0</v>
      </c>
      <c r="P11" s="51">
        <v>0.82</v>
      </c>
      <c r="Q11" s="51">
        <v>10.01</v>
      </c>
    </row>
    <row r="12" spans="1:21" customFormat="1">
      <c r="A12" s="50">
        <v>45649.166666666664</v>
      </c>
      <c r="B12" s="51">
        <v>11.66</v>
      </c>
      <c r="C12" s="51">
        <v>20.43</v>
      </c>
      <c r="D12" s="51">
        <v>21.38</v>
      </c>
      <c r="E12" s="51">
        <v>9.3699999999999992</v>
      </c>
      <c r="F12" s="53" t="s">
        <v>8</v>
      </c>
      <c r="G12" s="51">
        <v>66.34</v>
      </c>
      <c r="H12" s="51">
        <v>26.68</v>
      </c>
      <c r="I12" s="51">
        <v>7.92</v>
      </c>
      <c r="J12" s="51">
        <v>0.48</v>
      </c>
      <c r="K12" s="51">
        <v>58.3</v>
      </c>
      <c r="L12" s="51">
        <v>17.07</v>
      </c>
      <c r="M12" s="51">
        <v>97.61</v>
      </c>
      <c r="N12" s="51">
        <v>1.4</v>
      </c>
      <c r="O12" s="51">
        <v>0</v>
      </c>
      <c r="P12" s="51">
        <v>0.85</v>
      </c>
      <c r="Q12" s="51">
        <v>10.02</v>
      </c>
    </row>
    <row r="13" spans="1:21" customFormat="1">
      <c r="A13" s="50">
        <v>45649.208333333336</v>
      </c>
      <c r="B13" s="51">
        <v>12.82</v>
      </c>
      <c r="C13" s="51">
        <v>21.04</v>
      </c>
      <c r="D13" s="51">
        <v>22.63</v>
      </c>
      <c r="E13" s="51">
        <v>9.5299999999999994</v>
      </c>
      <c r="F13" s="53" t="s">
        <v>8</v>
      </c>
      <c r="G13" s="51">
        <v>68.459999999999994</v>
      </c>
      <c r="H13" s="51">
        <v>27.45</v>
      </c>
      <c r="I13" s="51">
        <v>8.57</v>
      </c>
      <c r="J13" s="51">
        <v>0.48</v>
      </c>
      <c r="K13" s="51">
        <v>53.31</v>
      </c>
      <c r="L13" s="51">
        <v>16.87</v>
      </c>
      <c r="M13" s="51">
        <v>99.81</v>
      </c>
      <c r="N13" s="51">
        <v>1.5</v>
      </c>
      <c r="O13" s="51">
        <v>0</v>
      </c>
      <c r="P13" s="51">
        <v>0.91</v>
      </c>
      <c r="Q13" s="51">
        <v>10.02</v>
      </c>
    </row>
    <row r="14" spans="1:21" customFormat="1">
      <c r="A14" s="50">
        <v>45649.25</v>
      </c>
      <c r="B14" s="51">
        <v>13.69</v>
      </c>
      <c r="C14" s="51">
        <v>21.86</v>
      </c>
      <c r="D14" s="51">
        <v>23.75</v>
      </c>
      <c r="E14" s="51">
        <v>8.93</v>
      </c>
      <c r="F14" s="53" t="s">
        <v>8</v>
      </c>
      <c r="G14" s="51">
        <v>77.91</v>
      </c>
      <c r="H14" s="51">
        <v>34.299999999999997</v>
      </c>
      <c r="I14" s="51">
        <v>9.2200000000000006</v>
      </c>
      <c r="J14" s="51">
        <v>0.36</v>
      </c>
      <c r="K14" s="51">
        <v>56.48</v>
      </c>
      <c r="L14" s="51">
        <v>16.59</v>
      </c>
      <c r="M14" s="51">
        <v>101.28</v>
      </c>
      <c r="N14" s="51">
        <v>1.5</v>
      </c>
      <c r="O14" s="51">
        <v>0</v>
      </c>
      <c r="P14" s="51">
        <v>0.98</v>
      </c>
      <c r="Q14" s="51">
        <v>10.029999999999999</v>
      </c>
    </row>
    <row r="15" spans="1:21" customFormat="1">
      <c r="A15" s="50">
        <v>45649.291666666664</v>
      </c>
      <c r="B15" s="51">
        <v>14.04</v>
      </c>
      <c r="C15" s="51">
        <v>21.99</v>
      </c>
      <c r="D15" s="51">
        <v>24.1</v>
      </c>
      <c r="E15" s="51">
        <v>8.64</v>
      </c>
      <c r="F15" s="53" t="s">
        <v>8</v>
      </c>
      <c r="G15" s="51">
        <v>93.13</v>
      </c>
      <c r="H15" s="51">
        <v>43.18</v>
      </c>
      <c r="I15" s="51">
        <v>10.16</v>
      </c>
      <c r="J15" s="51">
        <v>0.76</v>
      </c>
      <c r="K15" s="51">
        <v>45.06</v>
      </c>
      <c r="L15" s="51">
        <v>16.420000000000002</v>
      </c>
      <c r="M15" s="51">
        <v>102.6</v>
      </c>
      <c r="N15" s="51">
        <v>18</v>
      </c>
      <c r="O15" s="51">
        <v>0</v>
      </c>
      <c r="P15" s="51">
        <v>1.04</v>
      </c>
      <c r="Q15" s="51">
        <v>10.06</v>
      </c>
    </row>
    <row r="16" spans="1:21" customFormat="1">
      <c r="A16" s="50">
        <v>45649.333333333336</v>
      </c>
      <c r="B16" s="51">
        <v>14.1</v>
      </c>
      <c r="C16" s="51">
        <v>22.3</v>
      </c>
      <c r="D16" s="51">
        <v>24.2</v>
      </c>
      <c r="E16" s="51">
        <v>8.6300000000000008</v>
      </c>
      <c r="F16" s="53" t="s">
        <v>8</v>
      </c>
      <c r="G16" s="51">
        <v>98.17</v>
      </c>
      <c r="H16" s="51">
        <v>46.83</v>
      </c>
      <c r="I16" s="51">
        <v>11.16</v>
      </c>
      <c r="J16" s="51">
        <v>0.85</v>
      </c>
      <c r="K16" s="51">
        <v>56.11</v>
      </c>
      <c r="L16" s="51">
        <v>17.27</v>
      </c>
      <c r="M16" s="51">
        <v>102.93</v>
      </c>
      <c r="N16" s="51">
        <v>90.2</v>
      </c>
      <c r="O16" s="51">
        <v>0</v>
      </c>
      <c r="P16" s="51">
        <v>1.1100000000000001</v>
      </c>
      <c r="Q16" s="51">
        <v>10.08</v>
      </c>
    </row>
    <row r="17" spans="1:17" customFormat="1">
      <c r="A17" s="50">
        <v>45649.375</v>
      </c>
      <c r="B17" s="51">
        <v>13.5</v>
      </c>
      <c r="C17" s="51">
        <v>23.2</v>
      </c>
      <c r="D17" s="51">
        <v>23.96</v>
      </c>
      <c r="E17" s="51">
        <v>8.67</v>
      </c>
      <c r="F17" s="53" t="s">
        <v>8</v>
      </c>
      <c r="G17" s="51">
        <v>99.75</v>
      </c>
      <c r="H17" s="51">
        <v>44.96</v>
      </c>
      <c r="I17" s="51">
        <v>11.8</v>
      </c>
      <c r="J17" s="51">
        <v>0.95</v>
      </c>
      <c r="K17" s="51">
        <v>67.25</v>
      </c>
      <c r="L17" s="51">
        <v>20.83</v>
      </c>
      <c r="M17" s="51">
        <v>96.43</v>
      </c>
      <c r="N17" s="51">
        <v>201.4</v>
      </c>
      <c r="O17" s="51">
        <v>0</v>
      </c>
      <c r="P17" s="51">
        <v>1.1200000000000001</v>
      </c>
      <c r="Q17" s="51">
        <v>10.07</v>
      </c>
    </row>
    <row r="18" spans="1:17" customFormat="1">
      <c r="A18" s="50">
        <v>45649.416666666664</v>
      </c>
      <c r="B18" s="51">
        <v>10.33</v>
      </c>
      <c r="C18" s="51">
        <v>23.13</v>
      </c>
      <c r="D18" s="51">
        <v>21.72</v>
      </c>
      <c r="E18" s="51">
        <v>8.66</v>
      </c>
      <c r="F18" s="53" t="s">
        <v>8</v>
      </c>
      <c r="G18" s="51">
        <v>97.06</v>
      </c>
      <c r="H18" s="51">
        <v>44.7</v>
      </c>
      <c r="I18" s="51">
        <v>12.28</v>
      </c>
      <c r="J18" s="51">
        <v>0.92</v>
      </c>
      <c r="K18" s="51">
        <v>76.33</v>
      </c>
      <c r="L18" s="51">
        <v>22.97</v>
      </c>
      <c r="M18" s="51">
        <v>77.52</v>
      </c>
      <c r="N18" s="51">
        <v>285.39999999999998</v>
      </c>
      <c r="O18" s="51">
        <v>0</v>
      </c>
      <c r="P18" s="51">
        <v>1.0900000000000001</v>
      </c>
      <c r="Q18" s="51">
        <v>10.06</v>
      </c>
    </row>
    <row r="19" spans="1:17" customFormat="1">
      <c r="A19" s="50">
        <v>45649.458333333336</v>
      </c>
      <c r="B19" s="51">
        <v>6.74</v>
      </c>
      <c r="C19" s="51">
        <v>22.46</v>
      </c>
      <c r="D19" s="51">
        <v>18.489999999999998</v>
      </c>
      <c r="E19" s="51">
        <v>8.58</v>
      </c>
      <c r="F19" s="53" t="s">
        <v>8</v>
      </c>
      <c r="G19" s="51">
        <v>82.13</v>
      </c>
      <c r="H19" s="51">
        <v>37.15</v>
      </c>
      <c r="I19" s="51">
        <v>11.5</v>
      </c>
      <c r="J19" s="51">
        <v>0.77</v>
      </c>
      <c r="K19" s="51">
        <v>108.02</v>
      </c>
      <c r="L19" s="51">
        <v>25.23</v>
      </c>
      <c r="M19" s="51">
        <v>66.319999999999993</v>
      </c>
      <c r="N19" s="51">
        <v>451.5</v>
      </c>
      <c r="O19" s="51">
        <v>0</v>
      </c>
      <c r="P19" s="51">
        <v>0.98</v>
      </c>
      <c r="Q19" s="51">
        <v>10.06</v>
      </c>
    </row>
    <row r="20" spans="1:17" customFormat="1">
      <c r="A20" s="50">
        <v>45649.5</v>
      </c>
      <c r="B20" s="51">
        <v>5.45</v>
      </c>
      <c r="C20" s="51">
        <v>20.95</v>
      </c>
      <c r="D20" s="51">
        <v>16.59</v>
      </c>
      <c r="E20" s="51">
        <v>8.8800000000000008</v>
      </c>
      <c r="F20" s="53" t="s">
        <v>8</v>
      </c>
      <c r="G20" s="51">
        <v>76.14</v>
      </c>
      <c r="H20" s="51">
        <v>26.91</v>
      </c>
      <c r="I20" s="51">
        <v>10.3</v>
      </c>
      <c r="J20" s="51">
        <v>0.91</v>
      </c>
      <c r="K20" s="51">
        <v>144.44999999999999</v>
      </c>
      <c r="L20" s="51">
        <v>27.42</v>
      </c>
      <c r="M20" s="51">
        <v>55.81</v>
      </c>
      <c r="N20" s="51">
        <v>517.29999999999995</v>
      </c>
      <c r="O20" s="51">
        <v>0</v>
      </c>
      <c r="P20" s="51">
        <v>0.92</v>
      </c>
      <c r="Q20" s="51">
        <v>10.029999999999999</v>
      </c>
    </row>
    <row r="21" spans="1:17" customFormat="1">
      <c r="A21" s="50">
        <v>45649.541666666664</v>
      </c>
      <c r="B21" s="51">
        <v>5.42</v>
      </c>
      <c r="C21" s="51">
        <v>19.350000000000001</v>
      </c>
      <c r="D21" s="51">
        <v>15.81</v>
      </c>
      <c r="E21" s="51">
        <v>9.11</v>
      </c>
      <c r="F21" s="53" t="s">
        <v>8</v>
      </c>
      <c r="G21" s="51">
        <v>64.66</v>
      </c>
      <c r="H21" s="51">
        <v>23.89</v>
      </c>
      <c r="I21" s="51">
        <v>9.3800000000000008</v>
      </c>
      <c r="J21" s="51">
        <v>0.36</v>
      </c>
      <c r="K21" s="51">
        <v>164.85</v>
      </c>
      <c r="L21" s="51">
        <v>28.24</v>
      </c>
      <c r="M21" s="51">
        <v>46.55</v>
      </c>
      <c r="N21" s="51">
        <v>487</v>
      </c>
      <c r="O21" s="51">
        <v>0</v>
      </c>
      <c r="P21" s="51">
        <v>0.87</v>
      </c>
      <c r="Q21" s="51">
        <v>10.02</v>
      </c>
    </row>
    <row r="22" spans="1:17" customFormat="1">
      <c r="A22" s="50">
        <v>45649.583333333336</v>
      </c>
      <c r="B22" s="51">
        <v>5.24</v>
      </c>
      <c r="C22" s="51">
        <v>18.309999999999999</v>
      </c>
      <c r="D22" s="51">
        <v>15.09</v>
      </c>
      <c r="E22" s="51">
        <v>9.3699999999999992</v>
      </c>
      <c r="F22" s="53" t="s">
        <v>8</v>
      </c>
      <c r="G22" s="51">
        <v>61.35</v>
      </c>
      <c r="H22" s="51">
        <v>16.86</v>
      </c>
      <c r="I22" s="51">
        <v>8.6999999999999993</v>
      </c>
      <c r="J22" s="51">
        <v>0.56000000000000005</v>
      </c>
      <c r="K22" s="51">
        <v>166.71</v>
      </c>
      <c r="L22" s="51">
        <v>28.26</v>
      </c>
      <c r="M22" s="51">
        <v>36.03</v>
      </c>
      <c r="N22" s="51">
        <v>468.9</v>
      </c>
      <c r="O22" s="51">
        <v>0</v>
      </c>
      <c r="P22" s="51">
        <v>0.8</v>
      </c>
      <c r="Q22" s="51">
        <v>10.02</v>
      </c>
    </row>
    <row r="23" spans="1:17" customFormat="1">
      <c r="A23" s="50">
        <v>45649.625</v>
      </c>
      <c r="B23" s="51">
        <v>5.53</v>
      </c>
      <c r="C23" s="51">
        <v>17.73</v>
      </c>
      <c r="D23" s="51">
        <v>15.04</v>
      </c>
      <c r="E23" s="51">
        <v>9.6300000000000008</v>
      </c>
      <c r="F23" s="53" t="s">
        <v>8</v>
      </c>
      <c r="G23" s="51">
        <v>62.51</v>
      </c>
      <c r="H23" s="51">
        <v>15.97</v>
      </c>
      <c r="I23" s="51">
        <v>8.14</v>
      </c>
      <c r="J23" s="51">
        <v>0.72</v>
      </c>
      <c r="K23" s="51">
        <v>85.82</v>
      </c>
      <c r="L23" s="51">
        <v>27.12</v>
      </c>
      <c r="M23" s="51">
        <v>35.869999999999997</v>
      </c>
      <c r="N23" s="51">
        <v>104.4</v>
      </c>
      <c r="O23" s="51">
        <v>0</v>
      </c>
      <c r="P23" s="51">
        <v>0.66</v>
      </c>
      <c r="Q23" s="51">
        <v>10</v>
      </c>
    </row>
    <row r="24" spans="1:17" customFormat="1">
      <c r="A24" s="50">
        <v>45649.666666666664</v>
      </c>
      <c r="B24" s="51">
        <v>5.59</v>
      </c>
      <c r="C24" s="51">
        <v>17.989999999999998</v>
      </c>
      <c r="D24" s="51">
        <v>15.23</v>
      </c>
      <c r="E24" s="51">
        <v>9.74</v>
      </c>
      <c r="F24" s="53" t="s">
        <v>8</v>
      </c>
      <c r="G24" s="51">
        <v>73.45</v>
      </c>
      <c r="H24" s="51">
        <v>16.8</v>
      </c>
      <c r="I24" s="51">
        <v>7.6</v>
      </c>
      <c r="J24" s="51">
        <v>0.66</v>
      </c>
      <c r="K24" s="51">
        <v>134.6</v>
      </c>
      <c r="L24" s="51">
        <v>26.75</v>
      </c>
      <c r="M24" s="51">
        <v>36.270000000000003</v>
      </c>
      <c r="N24" s="51">
        <v>53.3</v>
      </c>
      <c r="O24" s="51">
        <v>0</v>
      </c>
      <c r="P24" s="51">
        <v>0.64</v>
      </c>
      <c r="Q24" s="51">
        <v>10</v>
      </c>
    </row>
    <row r="25" spans="1:17" customFormat="1">
      <c r="A25" s="50">
        <v>45649.708333333336</v>
      </c>
      <c r="B25" s="51">
        <v>5.03</v>
      </c>
      <c r="C25" s="51">
        <v>18.38</v>
      </c>
      <c r="D25" s="51">
        <v>14.78</v>
      </c>
      <c r="E25" s="51">
        <v>8.84</v>
      </c>
      <c r="F25" s="53" t="s">
        <v>8</v>
      </c>
      <c r="G25" s="51">
        <v>60.4</v>
      </c>
      <c r="H25" s="51">
        <v>14.34</v>
      </c>
      <c r="I25" s="51">
        <v>7.33</v>
      </c>
      <c r="J25" s="51">
        <v>0.32</v>
      </c>
      <c r="K25" s="51">
        <v>159.69</v>
      </c>
      <c r="L25" s="51">
        <v>26.07</v>
      </c>
      <c r="M25" s="51">
        <v>41.79</v>
      </c>
      <c r="N25" s="51">
        <v>29.3</v>
      </c>
      <c r="O25" s="51">
        <v>0</v>
      </c>
      <c r="P25" s="51">
        <v>0.56000000000000005</v>
      </c>
      <c r="Q25" s="51">
        <v>10.029999999999999</v>
      </c>
    </row>
    <row r="26" spans="1:17" customFormat="1">
      <c r="A26" s="50">
        <v>45649.75</v>
      </c>
      <c r="B26" s="51">
        <v>4.71</v>
      </c>
      <c r="C26" s="51">
        <v>18.670000000000002</v>
      </c>
      <c r="D26" s="51">
        <v>14.88</v>
      </c>
      <c r="E26" s="51">
        <v>8.94</v>
      </c>
      <c r="F26" s="53" t="s">
        <v>8</v>
      </c>
      <c r="G26" s="51">
        <v>62.65</v>
      </c>
      <c r="H26" s="51">
        <v>15.34</v>
      </c>
      <c r="I26" s="51">
        <v>6.84</v>
      </c>
      <c r="J26" s="51">
        <v>0.31</v>
      </c>
      <c r="K26" s="51">
        <v>165.44</v>
      </c>
      <c r="L26" s="51">
        <v>24.09</v>
      </c>
      <c r="M26" s="51">
        <v>62.67</v>
      </c>
      <c r="N26" s="51">
        <v>4.5</v>
      </c>
      <c r="O26" s="51">
        <v>0</v>
      </c>
      <c r="P26" s="51">
        <v>0.52</v>
      </c>
      <c r="Q26" s="51">
        <v>10.029999999999999</v>
      </c>
    </row>
    <row r="27" spans="1:17" customFormat="1">
      <c r="A27" s="50">
        <v>45649.791666666664</v>
      </c>
      <c r="B27" s="51">
        <v>7.56</v>
      </c>
      <c r="C27" s="51">
        <v>21.09</v>
      </c>
      <c r="D27" s="51">
        <v>18.43</v>
      </c>
      <c r="E27" s="51">
        <v>10.98</v>
      </c>
      <c r="F27" s="53" t="s">
        <v>8</v>
      </c>
      <c r="G27" s="51">
        <v>77.53</v>
      </c>
      <c r="H27" s="51">
        <v>18.11</v>
      </c>
      <c r="I27" s="51">
        <v>6.8</v>
      </c>
      <c r="J27" s="51">
        <v>0.24</v>
      </c>
      <c r="K27" s="51">
        <v>152.77000000000001</v>
      </c>
      <c r="L27" s="51">
        <v>22</v>
      </c>
      <c r="M27" s="51">
        <v>61.07</v>
      </c>
      <c r="N27" s="51">
        <v>1.7</v>
      </c>
      <c r="O27" s="51">
        <v>0</v>
      </c>
      <c r="P27" s="51">
        <v>0.61</v>
      </c>
      <c r="Q27" s="51">
        <v>10.039999999999999</v>
      </c>
    </row>
    <row r="28" spans="1:17" customFormat="1">
      <c r="A28" s="50">
        <v>45649.833333333336</v>
      </c>
      <c r="B28" s="51">
        <v>7.82</v>
      </c>
      <c r="C28" s="51">
        <v>21.26</v>
      </c>
      <c r="D28" s="51">
        <v>18.72</v>
      </c>
      <c r="E28" s="51">
        <v>11.09</v>
      </c>
      <c r="F28" s="53" t="s">
        <v>8</v>
      </c>
      <c r="G28" s="51">
        <v>91.43</v>
      </c>
      <c r="H28" s="51">
        <v>20.56</v>
      </c>
      <c r="I28" s="51">
        <v>7.54</v>
      </c>
      <c r="J28" s="51">
        <v>0.28000000000000003</v>
      </c>
      <c r="K28" s="51">
        <v>190.29</v>
      </c>
      <c r="L28" s="51">
        <v>21.32</v>
      </c>
      <c r="M28" s="51">
        <v>71.84</v>
      </c>
      <c r="N28" s="51">
        <v>2.1</v>
      </c>
      <c r="O28" s="51">
        <v>0</v>
      </c>
      <c r="P28" s="51">
        <v>0.65</v>
      </c>
      <c r="Q28" s="51">
        <v>10.039999999999999</v>
      </c>
    </row>
    <row r="29" spans="1:17" customFormat="1">
      <c r="A29" s="50">
        <v>45649.875</v>
      </c>
      <c r="B29" s="51">
        <v>7.65</v>
      </c>
      <c r="C29" s="51">
        <v>20.63</v>
      </c>
      <c r="D29" s="51">
        <v>18.27</v>
      </c>
      <c r="E29" s="51">
        <v>11.11</v>
      </c>
      <c r="F29" s="53" t="s">
        <v>8</v>
      </c>
      <c r="G29" s="51">
        <v>88.14</v>
      </c>
      <c r="H29" s="51">
        <v>21.55</v>
      </c>
      <c r="I29" s="51">
        <v>8.19</v>
      </c>
      <c r="J29" s="51">
        <v>0.23</v>
      </c>
      <c r="K29" s="51">
        <v>218.88</v>
      </c>
      <c r="L29" s="51">
        <v>19.27</v>
      </c>
      <c r="M29" s="51">
        <v>76.73</v>
      </c>
      <c r="N29" s="51">
        <v>1.7</v>
      </c>
      <c r="O29" s="51">
        <v>0</v>
      </c>
      <c r="P29" s="51">
        <v>0.7</v>
      </c>
      <c r="Q29" s="51">
        <v>10.039999999999999</v>
      </c>
    </row>
    <row r="30" spans="1:17" customFormat="1">
      <c r="A30" s="50">
        <v>45649.916666666664</v>
      </c>
      <c r="B30" s="51">
        <v>7.75</v>
      </c>
      <c r="C30" s="51">
        <v>20.22</v>
      </c>
      <c r="D30" s="51">
        <v>18.059999999999999</v>
      </c>
      <c r="E30" s="51">
        <v>11.29</v>
      </c>
      <c r="F30" s="53" t="s">
        <v>8</v>
      </c>
      <c r="G30" s="51">
        <v>79.319999999999993</v>
      </c>
      <c r="H30" s="51">
        <v>20.7</v>
      </c>
      <c r="I30" s="51">
        <v>8.3800000000000008</v>
      </c>
      <c r="J30" s="51">
        <v>0.19</v>
      </c>
      <c r="K30" s="51">
        <v>190.44</v>
      </c>
      <c r="L30" s="51">
        <v>18.79</v>
      </c>
      <c r="M30" s="51">
        <v>77.97</v>
      </c>
      <c r="N30" s="51">
        <v>1.3</v>
      </c>
      <c r="O30" s="51">
        <v>0</v>
      </c>
      <c r="P30" s="51">
        <v>0.72</v>
      </c>
      <c r="Q30" s="51">
        <v>10.029999999999999</v>
      </c>
    </row>
    <row r="31" spans="1:17" customFormat="1">
      <c r="A31" s="50">
        <v>45649.958333333336</v>
      </c>
      <c r="B31" s="51">
        <v>7.42</v>
      </c>
      <c r="C31" s="51">
        <v>19.510000000000002</v>
      </c>
      <c r="D31" s="51">
        <v>17.489999999999998</v>
      </c>
      <c r="E31" s="51">
        <v>11.18</v>
      </c>
      <c r="F31" s="53" t="s">
        <v>8</v>
      </c>
      <c r="G31" s="51">
        <v>81.42</v>
      </c>
      <c r="H31" s="51">
        <v>21.5</v>
      </c>
      <c r="I31" s="51">
        <v>8.39</v>
      </c>
      <c r="J31" s="51">
        <v>0.27</v>
      </c>
      <c r="K31" s="51">
        <v>165.87</v>
      </c>
      <c r="L31" s="51">
        <v>18.940000000000001</v>
      </c>
      <c r="M31" s="51">
        <v>76.319999999999993</v>
      </c>
      <c r="N31" s="51">
        <v>1.4</v>
      </c>
      <c r="O31" s="51">
        <v>0</v>
      </c>
      <c r="P31" s="51">
        <v>0.72</v>
      </c>
      <c r="Q31" s="51">
        <v>10.01</v>
      </c>
    </row>
    <row r="32" spans="1:17" customFormat="1">
      <c r="A32" s="50">
        <v>45650</v>
      </c>
      <c r="B32" s="51">
        <v>6.76</v>
      </c>
      <c r="C32" s="51">
        <v>19.3</v>
      </c>
      <c r="D32" s="51">
        <v>16.850000000000001</v>
      </c>
      <c r="E32" s="51">
        <v>10.91</v>
      </c>
      <c r="F32" s="53" t="s">
        <v>8</v>
      </c>
      <c r="G32" s="51">
        <v>75.930000000000007</v>
      </c>
      <c r="H32" s="51">
        <v>22.45</v>
      </c>
      <c r="I32" s="51">
        <v>8.3800000000000008</v>
      </c>
      <c r="J32" s="51">
        <v>0.13</v>
      </c>
      <c r="K32" s="51">
        <v>191.35</v>
      </c>
      <c r="L32" s="51">
        <v>18.420000000000002</v>
      </c>
      <c r="M32" s="51">
        <v>83.48</v>
      </c>
      <c r="N32" s="51">
        <v>1.5</v>
      </c>
      <c r="O32" s="51">
        <v>0</v>
      </c>
      <c r="P32" s="51">
        <v>0.7</v>
      </c>
      <c r="Q32" s="51">
        <v>10.01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4.71</v>
      </c>
      <c r="C34" s="41">
        <f t="shared" si="0"/>
        <v>17.73</v>
      </c>
      <c r="D34" s="41">
        <f t="shared" si="0"/>
        <v>14.78</v>
      </c>
      <c r="E34" s="41">
        <f t="shared" si="0"/>
        <v>8.58</v>
      </c>
      <c r="F34" s="41">
        <f t="shared" si="0"/>
        <v>0</v>
      </c>
      <c r="G34" s="41">
        <f t="shared" si="0"/>
        <v>60.4</v>
      </c>
      <c r="H34" s="41">
        <f t="shared" si="0"/>
        <v>14.34</v>
      </c>
      <c r="I34" s="41">
        <f t="shared" si="0"/>
        <v>6.8</v>
      </c>
      <c r="J34" s="41">
        <f t="shared" si="0"/>
        <v>0.13</v>
      </c>
      <c r="K34" s="41">
        <f t="shared" si="0"/>
        <v>45.06</v>
      </c>
      <c r="L34" s="41">
        <f t="shared" si="0"/>
        <v>16.420000000000002</v>
      </c>
      <c r="M34" s="41">
        <f t="shared" si="0"/>
        <v>35.869999999999997</v>
      </c>
      <c r="N34" s="41">
        <f t="shared" si="0"/>
        <v>1.3</v>
      </c>
      <c r="O34" s="41">
        <f t="shared" si="0"/>
        <v>0</v>
      </c>
      <c r="P34" s="41">
        <f t="shared" si="0"/>
        <v>0.52</v>
      </c>
      <c r="Q34" s="41">
        <f t="shared" si="0"/>
        <v>10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14.1</v>
      </c>
      <c r="C35" s="33">
        <f t="shared" si="1"/>
        <v>23.2</v>
      </c>
      <c r="D35" s="33">
        <f t="shared" si="1"/>
        <v>24.2</v>
      </c>
      <c r="E35" s="33">
        <f t="shared" si="1"/>
        <v>11.29</v>
      </c>
      <c r="F35" s="33">
        <f t="shared" si="1"/>
        <v>0</v>
      </c>
      <c r="G35" s="33">
        <f t="shared" si="1"/>
        <v>99.75</v>
      </c>
      <c r="H35" s="33">
        <f t="shared" si="1"/>
        <v>46.83</v>
      </c>
      <c r="I35" s="33">
        <f t="shared" si="1"/>
        <v>12.28</v>
      </c>
      <c r="J35" s="33">
        <f t="shared" si="1"/>
        <v>0.95</v>
      </c>
      <c r="K35" s="33">
        <f t="shared" si="1"/>
        <v>225.42</v>
      </c>
      <c r="L35" s="33">
        <f t="shared" si="1"/>
        <v>28.26</v>
      </c>
      <c r="M35" s="33">
        <f t="shared" si="1"/>
        <v>102.93</v>
      </c>
      <c r="N35" s="33">
        <f t="shared" si="1"/>
        <v>517.29999999999995</v>
      </c>
      <c r="O35" s="33">
        <f t="shared" si="1"/>
        <v>0</v>
      </c>
      <c r="P35" s="33">
        <f t="shared" si="1"/>
        <v>1.1200000000000001</v>
      </c>
      <c r="Q35" s="33">
        <f t="shared" si="1"/>
        <v>10.08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8.4016666666666655</v>
      </c>
      <c r="C36" s="41">
        <f t="shared" si="2"/>
        <v>20.430416666666666</v>
      </c>
      <c r="D36" s="41">
        <f t="shared" si="2"/>
        <v>18.71916666666667</v>
      </c>
      <c r="E36" s="41">
        <f t="shared" si="2"/>
        <v>9.5775000000000006</v>
      </c>
      <c r="F36" s="41" t="e">
        <f t="shared" si="2"/>
        <v>#DIV/0!</v>
      </c>
      <c r="G36" s="41">
        <f t="shared" si="2"/>
        <v>76.64166666666668</v>
      </c>
      <c r="H36" s="41">
        <f t="shared" si="2"/>
        <v>26.818333333333332</v>
      </c>
      <c r="I36" s="41">
        <f t="shared" si="2"/>
        <v>8.8424999999999994</v>
      </c>
      <c r="J36" s="41">
        <f t="shared" si="2"/>
        <v>0.48041666666666671</v>
      </c>
      <c r="K36" s="41">
        <f t="shared" si="2"/>
        <v>133.9095833333333</v>
      </c>
      <c r="L36" s="41">
        <f t="shared" si="2"/>
        <v>21.397916666666664</v>
      </c>
      <c r="M36" s="41">
        <f t="shared" si="2"/>
        <v>74.742499999999993</v>
      </c>
      <c r="N36" s="41">
        <f t="shared" si="2"/>
        <v>113.73333333333335</v>
      </c>
      <c r="O36" s="41">
        <f t="shared" si="2"/>
        <v>0</v>
      </c>
      <c r="P36" s="41">
        <f t="shared" si="2"/>
        <v>0.81291666666666662</v>
      </c>
      <c r="Q36" s="41">
        <f t="shared" si="2"/>
        <v>10.030833333333332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3.2360613025131633</v>
      </c>
      <c r="C37" s="41">
        <f t="shared" ref="C37:Q37" si="3">STDEV(C9:C32)</f>
        <v>1.5823441036383139</v>
      </c>
      <c r="D37" s="41">
        <f t="shared" si="3"/>
        <v>3.2241452074682564</v>
      </c>
      <c r="E37" s="41">
        <f t="shared" si="3"/>
        <v>0.95189627677554067</v>
      </c>
      <c r="F37" s="41" t="e">
        <f t="shared" si="3"/>
        <v>#DIV/0!</v>
      </c>
      <c r="G37" s="41">
        <f t="shared" si="3"/>
        <v>12.507216583503432</v>
      </c>
      <c r="H37" s="41">
        <f t="shared" si="3"/>
        <v>10.057463880628406</v>
      </c>
      <c r="I37" s="41">
        <f t="shared" si="3"/>
        <v>1.5648954681022618</v>
      </c>
      <c r="J37" s="41">
        <f t="shared" si="3"/>
        <v>0.26935477117293305</v>
      </c>
      <c r="K37" s="41">
        <f t="shared" si="3"/>
        <v>57.368872902295337</v>
      </c>
      <c r="L37" s="41">
        <f t="shared" si="3"/>
        <v>4.2067120065197123</v>
      </c>
      <c r="M37" s="41">
        <f t="shared" si="3"/>
        <v>23.281742660384054</v>
      </c>
      <c r="N37" s="41">
        <f t="shared" si="3"/>
        <v>182.15665896638828</v>
      </c>
      <c r="O37" s="41">
        <f t="shared" si="3"/>
        <v>0</v>
      </c>
      <c r="P37" s="41">
        <f t="shared" si="3"/>
        <v>0.17575870729043819</v>
      </c>
      <c r="Q37" s="41">
        <f t="shared" si="3"/>
        <v>2.2246966899599822E-2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0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&lt;90%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LESS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G38" sqref="G38:H38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45650.041666666664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45650.041666666664</v>
      </c>
      <c r="B9" s="51">
        <v>9.76</v>
      </c>
      <c r="C9" s="51">
        <v>20.3</v>
      </c>
      <c r="D9" s="51">
        <v>19.75</v>
      </c>
      <c r="E9" s="51">
        <v>10.86</v>
      </c>
      <c r="F9" s="53" t="s">
        <v>8</v>
      </c>
      <c r="G9" s="51">
        <v>68.010000000000005</v>
      </c>
      <c r="H9" s="51">
        <v>23.07</v>
      </c>
      <c r="I9" s="51">
        <v>8.2100000000000009</v>
      </c>
      <c r="J9" s="51">
        <v>0.18</v>
      </c>
      <c r="K9" s="51">
        <v>170.45</v>
      </c>
      <c r="L9" s="51">
        <v>17.89</v>
      </c>
      <c r="M9" s="51">
        <v>88.08</v>
      </c>
      <c r="N9" s="51">
        <v>1.6</v>
      </c>
      <c r="O9" s="51">
        <v>0</v>
      </c>
      <c r="P9" s="51">
        <v>0.71</v>
      </c>
      <c r="Q9" s="51">
        <v>10.02</v>
      </c>
    </row>
    <row r="10" spans="1:21" customFormat="1">
      <c r="A10" s="50">
        <v>45650.083333333336</v>
      </c>
      <c r="B10" s="51">
        <v>9.68</v>
      </c>
      <c r="C10" s="51">
        <v>20.100000000000001</v>
      </c>
      <c r="D10" s="51">
        <v>19.61</v>
      </c>
      <c r="E10" s="51">
        <v>10.88</v>
      </c>
      <c r="F10" s="53" t="s">
        <v>8</v>
      </c>
      <c r="G10" s="51">
        <v>69.25</v>
      </c>
      <c r="H10" s="51">
        <v>23.51</v>
      </c>
      <c r="I10" s="51">
        <v>8.16</v>
      </c>
      <c r="J10" s="51">
        <v>0.28999999999999998</v>
      </c>
      <c r="K10" s="51">
        <v>188.33</v>
      </c>
      <c r="L10" s="51">
        <v>17.78</v>
      </c>
      <c r="M10" s="51">
        <v>85.22</v>
      </c>
      <c r="N10" s="51">
        <v>1.4</v>
      </c>
      <c r="O10" s="51">
        <v>0</v>
      </c>
      <c r="P10" s="51">
        <v>0.7</v>
      </c>
      <c r="Q10" s="51">
        <v>10.039999999999999</v>
      </c>
    </row>
    <row r="11" spans="1:21" customFormat="1">
      <c r="A11" s="50">
        <v>45650.125</v>
      </c>
      <c r="B11" s="51">
        <v>8.39</v>
      </c>
      <c r="C11" s="51">
        <v>19.52</v>
      </c>
      <c r="D11" s="51">
        <v>18.190000000000001</v>
      </c>
      <c r="E11" s="51">
        <v>10.54</v>
      </c>
      <c r="F11" s="53" t="s">
        <v>8</v>
      </c>
      <c r="G11" s="51">
        <v>57.2</v>
      </c>
      <c r="H11" s="51">
        <v>24.15</v>
      </c>
      <c r="I11" s="51">
        <v>7.94</v>
      </c>
      <c r="J11" s="51">
        <v>0.26</v>
      </c>
      <c r="K11" s="51">
        <v>165.81</v>
      </c>
      <c r="L11" s="51">
        <v>17.88</v>
      </c>
      <c r="M11" s="51">
        <v>83.14</v>
      </c>
      <c r="N11" s="51">
        <v>1.4</v>
      </c>
      <c r="O11" s="51">
        <v>0</v>
      </c>
      <c r="P11" s="51">
        <v>0.62</v>
      </c>
      <c r="Q11" s="51">
        <v>10.039999999999999</v>
      </c>
    </row>
    <row r="12" spans="1:21" customFormat="1">
      <c r="A12" s="50">
        <v>45650.166666666664</v>
      </c>
      <c r="B12" s="51">
        <v>7.95</v>
      </c>
      <c r="C12" s="51">
        <v>19.670000000000002</v>
      </c>
      <c r="D12" s="51">
        <v>18</v>
      </c>
      <c r="E12" s="51">
        <v>10.83</v>
      </c>
      <c r="F12" s="53" t="s">
        <v>8</v>
      </c>
      <c r="G12" s="51">
        <v>55.17</v>
      </c>
      <c r="H12" s="51">
        <v>24.4</v>
      </c>
      <c r="I12" s="51">
        <v>7.67</v>
      </c>
      <c r="J12" s="51">
        <v>0.41</v>
      </c>
      <c r="K12" s="51">
        <v>149.34</v>
      </c>
      <c r="L12" s="51">
        <v>17.88</v>
      </c>
      <c r="M12" s="51">
        <v>83.1</v>
      </c>
      <c r="N12" s="51">
        <v>1.7</v>
      </c>
      <c r="O12" s="51">
        <v>0</v>
      </c>
      <c r="P12" s="51">
        <v>0.61</v>
      </c>
      <c r="Q12" s="51">
        <v>10.029999999999999</v>
      </c>
    </row>
    <row r="13" spans="1:21" customFormat="1">
      <c r="A13" s="50">
        <v>45650.208333333336</v>
      </c>
      <c r="B13" s="51">
        <v>8.7799999999999994</v>
      </c>
      <c r="C13" s="51">
        <v>19.79</v>
      </c>
      <c r="D13" s="51">
        <v>18.73</v>
      </c>
      <c r="E13" s="51">
        <v>10.56</v>
      </c>
      <c r="F13" s="53" t="s">
        <v>8</v>
      </c>
      <c r="G13" s="51">
        <v>52.4</v>
      </c>
      <c r="H13" s="51">
        <v>21.98</v>
      </c>
      <c r="I13" s="51">
        <v>7.37</v>
      </c>
      <c r="J13" s="51">
        <v>0.51</v>
      </c>
      <c r="K13" s="51">
        <v>61.81</v>
      </c>
      <c r="L13" s="51">
        <v>17.559999999999999</v>
      </c>
      <c r="M13" s="51">
        <v>84.04</v>
      </c>
      <c r="N13" s="51">
        <v>2</v>
      </c>
      <c r="O13" s="51">
        <v>0</v>
      </c>
      <c r="P13" s="51">
        <v>0.61</v>
      </c>
      <c r="Q13" s="51">
        <v>10.050000000000001</v>
      </c>
    </row>
    <row r="14" spans="1:21" customFormat="1">
      <c r="A14" s="50">
        <v>45650.25</v>
      </c>
      <c r="B14" s="51">
        <v>10.11</v>
      </c>
      <c r="C14" s="51">
        <v>20.18</v>
      </c>
      <c r="D14" s="51">
        <v>20</v>
      </c>
      <c r="E14" s="51">
        <v>10.58</v>
      </c>
      <c r="F14" s="53" t="s">
        <v>8</v>
      </c>
      <c r="G14" s="51">
        <v>54.72</v>
      </c>
      <c r="H14" s="51">
        <v>23.17</v>
      </c>
      <c r="I14" s="51">
        <v>7.34</v>
      </c>
      <c r="J14" s="51">
        <v>0.56000000000000005</v>
      </c>
      <c r="K14" s="51">
        <v>53.86</v>
      </c>
      <c r="L14" s="51">
        <v>17.46</v>
      </c>
      <c r="M14" s="51">
        <v>84.35</v>
      </c>
      <c r="N14" s="51">
        <v>2.1</v>
      </c>
      <c r="O14" s="51">
        <v>0</v>
      </c>
      <c r="P14" s="51">
        <v>0.6</v>
      </c>
      <c r="Q14" s="51">
        <v>10.039999999999999</v>
      </c>
    </row>
    <row r="15" spans="1:21" customFormat="1">
      <c r="A15" s="50">
        <v>45650.291666666664</v>
      </c>
      <c r="B15" s="51">
        <v>12.94</v>
      </c>
      <c r="C15" s="51">
        <v>21.25</v>
      </c>
      <c r="D15" s="51">
        <v>22.83</v>
      </c>
      <c r="E15" s="51">
        <v>10.35</v>
      </c>
      <c r="F15" s="53" t="s">
        <v>8</v>
      </c>
      <c r="G15" s="51">
        <v>53.52</v>
      </c>
      <c r="H15" s="51">
        <v>23.28</v>
      </c>
      <c r="I15" s="51">
        <v>7.94</v>
      </c>
      <c r="J15" s="51">
        <v>0.52</v>
      </c>
      <c r="K15" s="51">
        <v>58.08</v>
      </c>
      <c r="L15" s="51">
        <v>17.16</v>
      </c>
      <c r="M15" s="51">
        <v>85.31</v>
      </c>
      <c r="N15" s="51">
        <v>14.2</v>
      </c>
      <c r="O15" s="51">
        <v>0</v>
      </c>
      <c r="P15" s="51">
        <v>0.68</v>
      </c>
      <c r="Q15" s="51">
        <v>10.06</v>
      </c>
    </row>
    <row r="16" spans="1:21" customFormat="1">
      <c r="A16" s="50">
        <v>45650.333333333336</v>
      </c>
      <c r="B16" s="51">
        <v>14.6</v>
      </c>
      <c r="C16" s="51">
        <v>21.25</v>
      </c>
      <c r="D16" s="51">
        <v>24.04</v>
      </c>
      <c r="E16" s="51">
        <v>10.66</v>
      </c>
      <c r="F16" s="53" t="s">
        <v>8</v>
      </c>
      <c r="G16" s="51">
        <v>56.99</v>
      </c>
      <c r="H16" s="51">
        <v>23.22</v>
      </c>
      <c r="I16" s="51">
        <v>8.59</v>
      </c>
      <c r="J16" s="51">
        <v>0.79</v>
      </c>
      <c r="K16" s="51">
        <v>60.23</v>
      </c>
      <c r="L16" s="51">
        <v>18.309999999999999</v>
      </c>
      <c r="M16" s="51">
        <v>83.98</v>
      </c>
      <c r="N16" s="51">
        <v>76.900000000000006</v>
      </c>
      <c r="O16" s="51">
        <v>0</v>
      </c>
      <c r="P16" s="51">
        <v>0.73</v>
      </c>
      <c r="Q16" s="51">
        <v>10.050000000000001</v>
      </c>
    </row>
    <row r="17" spans="1:17" customFormat="1">
      <c r="A17" s="50">
        <v>45650.375</v>
      </c>
      <c r="B17" s="51">
        <v>14.64</v>
      </c>
      <c r="C17" s="51">
        <v>20.86</v>
      </c>
      <c r="D17" s="51">
        <v>23.99</v>
      </c>
      <c r="E17" s="51">
        <v>10.51</v>
      </c>
      <c r="F17" s="53" t="s">
        <v>8</v>
      </c>
      <c r="G17" s="51">
        <v>59.76</v>
      </c>
      <c r="H17" s="51">
        <v>24.11</v>
      </c>
      <c r="I17" s="51">
        <v>9.17</v>
      </c>
      <c r="J17" s="51">
        <v>0.61</v>
      </c>
      <c r="K17" s="51">
        <v>90.87</v>
      </c>
      <c r="L17" s="51">
        <v>22.2</v>
      </c>
      <c r="M17" s="51">
        <v>79.38</v>
      </c>
      <c r="N17" s="51">
        <v>209.5</v>
      </c>
      <c r="O17" s="51">
        <v>0</v>
      </c>
      <c r="P17" s="51">
        <v>0.74</v>
      </c>
      <c r="Q17" s="51">
        <v>10.039999999999999</v>
      </c>
    </row>
    <row r="18" spans="1:17" customFormat="1">
      <c r="A18" s="50">
        <v>45650.416666666664</v>
      </c>
      <c r="B18" s="51">
        <v>13.34</v>
      </c>
      <c r="C18" s="51">
        <v>20.11</v>
      </c>
      <c r="D18" s="51">
        <v>22.55</v>
      </c>
      <c r="E18" s="51">
        <v>10.44</v>
      </c>
      <c r="F18" s="53" t="s">
        <v>8</v>
      </c>
      <c r="G18" s="51">
        <v>58.94</v>
      </c>
      <c r="H18" s="51">
        <v>24.66</v>
      </c>
      <c r="I18" s="51">
        <v>9.2100000000000009</v>
      </c>
      <c r="J18" s="51">
        <v>0.67</v>
      </c>
      <c r="K18" s="51">
        <v>94.91</v>
      </c>
      <c r="L18" s="51">
        <v>23.94</v>
      </c>
      <c r="M18" s="51">
        <v>69.63</v>
      </c>
      <c r="N18" s="51">
        <v>182.9</v>
      </c>
      <c r="O18" s="51">
        <v>0</v>
      </c>
      <c r="P18" s="51">
        <v>0.72</v>
      </c>
      <c r="Q18" s="51">
        <v>10.039999999999999</v>
      </c>
    </row>
    <row r="19" spans="1:17" customFormat="1">
      <c r="A19" s="50">
        <v>45650.458333333336</v>
      </c>
      <c r="B19" s="51">
        <v>12.07</v>
      </c>
      <c r="C19" s="51">
        <v>19.54</v>
      </c>
      <c r="D19" s="51">
        <v>21.24</v>
      </c>
      <c r="E19" s="51">
        <v>10.75</v>
      </c>
      <c r="F19" s="53" t="s">
        <v>8</v>
      </c>
      <c r="G19" s="51">
        <v>49.77</v>
      </c>
      <c r="H19" s="51">
        <v>19.399999999999999</v>
      </c>
      <c r="I19" s="51">
        <v>8.77</v>
      </c>
      <c r="J19" s="51">
        <v>0.36</v>
      </c>
      <c r="K19" s="51">
        <v>136.46</v>
      </c>
      <c r="L19" s="51">
        <v>26.81</v>
      </c>
      <c r="M19" s="51">
        <v>57.32</v>
      </c>
      <c r="N19" s="51">
        <v>283.39999999999998</v>
      </c>
      <c r="O19" s="51">
        <v>0</v>
      </c>
      <c r="P19" s="51">
        <v>0.69</v>
      </c>
      <c r="Q19" s="51">
        <v>10.029999999999999</v>
      </c>
    </row>
    <row r="20" spans="1:17" customFormat="1">
      <c r="A20" s="50">
        <v>45650.5</v>
      </c>
      <c r="B20" s="51">
        <v>7.39</v>
      </c>
      <c r="C20" s="51">
        <v>20.21</v>
      </c>
      <c r="D20" s="51">
        <v>17.38</v>
      </c>
      <c r="E20" s="51">
        <v>11.13</v>
      </c>
      <c r="F20" s="53" t="s">
        <v>8</v>
      </c>
      <c r="G20" s="11" t="s">
        <v>12</v>
      </c>
      <c r="H20" s="11" t="s">
        <v>12</v>
      </c>
      <c r="I20" s="51">
        <v>8.2899999999999991</v>
      </c>
      <c r="J20" s="51">
        <v>0.51</v>
      </c>
      <c r="K20" s="51">
        <v>103.64</v>
      </c>
      <c r="L20" s="51">
        <v>27.13</v>
      </c>
      <c r="M20" s="51">
        <v>47.9</v>
      </c>
      <c r="N20" s="51">
        <v>272.89999999999998</v>
      </c>
      <c r="O20" s="51">
        <v>0</v>
      </c>
      <c r="P20" s="51">
        <v>0.62</v>
      </c>
      <c r="Q20" s="51">
        <v>10.029999999999999</v>
      </c>
    </row>
    <row r="21" spans="1:17" customFormat="1">
      <c r="A21" s="50">
        <v>45650.541666666664</v>
      </c>
      <c r="B21" s="51">
        <v>4.22</v>
      </c>
      <c r="C21" s="51">
        <v>19.71</v>
      </c>
      <c r="D21" s="51">
        <v>15</v>
      </c>
      <c r="E21" s="51">
        <v>10.42</v>
      </c>
      <c r="F21" s="53" t="s">
        <v>8</v>
      </c>
      <c r="G21" s="11" t="s">
        <v>12</v>
      </c>
      <c r="H21" s="11" t="s">
        <v>12</v>
      </c>
      <c r="I21" s="51">
        <v>6.92</v>
      </c>
      <c r="J21" s="51">
        <v>0.68</v>
      </c>
      <c r="K21" s="51">
        <v>158.80000000000001</v>
      </c>
      <c r="L21" s="51">
        <v>27.51</v>
      </c>
      <c r="M21" s="51">
        <v>46.84</v>
      </c>
      <c r="N21" s="51">
        <v>194.9</v>
      </c>
      <c r="O21" s="51">
        <v>0</v>
      </c>
      <c r="P21" s="51">
        <v>0.49</v>
      </c>
      <c r="Q21" s="51">
        <v>10.06</v>
      </c>
    </row>
    <row r="22" spans="1:17" customFormat="1">
      <c r="A22" s="50">
        <v>45650.583333333336</v>
      </c>
      <c r="B22" s="51">
        <v>4.2300000000000004</v>
      </c>
      <c r="C22" s="51">
        <v>19.52</v>
      </c>
      <c r="D22" s="51">
        <v>14.94</v>
      </c>
      <c r="E22" s="51">
        <v>9.9700000000000006</v>
      </c>
      <c r="F22" s="53" t="s">
        <v>8</v>
      </c>
      <c r="G22" s="11" t="s">
        <v>12</v>
      </c>
      <c r="H22" s="11" t="s">
        <v>12</v>
      </c>
      <c r="I22" s="51">
        <v>6.3</v>
      </c>
      <c r="J22" s="51">
        <v>0.69</v>
      </c>
      <c r="K22" s="51">
        <v>90.04</v>
      </c>
      <c r="L22" s="51">
        <v>27.77</v>
      </c>
      <c r="M22" s="51">
        <v>42.38</v>
      </c>
      <c r="N22" s="51">
        <v>159.4</v>
      </c>
      <c r="O22" s="51">
        <v>0</v>
      </c>
      <c r="P22" s="51">
        <v>0.46</v>
      </c>
      <c r="Q22" s="51">
        <v>10.08</v>
      </c>
    </row>
    <row r="23" spans="1:17" customFormat="1">
      <c r="A23" s="50">
        <v>45650.625</v>
      </c>
      <c r="B23" s="51">
        <v>4.34</v>
      </c>
      <c r="C23" s="51">
        <v>21.58</v>
      </c>
      <c r="D23" s="51">
        <v>15.99</v>
      </c>
      <c r="E23" s="51">
        <v>9.91</v>
      </c>
      <c r="F23" s="53" t="s">
        <v>8</v>
      </c>
      <c r="G23" s="51">
        <v>33.9</v>
      </c>
      <c r="H23" s="51">
        <v>4.7699999999999996</v>
      </c>
      <c r="I23" s="51">
        <v>5.87</v>
      </c>
      <c r="J23" s="51">
        <v>0.83</v>
      </c>
      <c r="K23" s="51">
        <v>81.260000000000005</v>
      </c>
      <c r="L23" s="51">
        <v>27.82</v>
      </c>
      <c r="M23" s="51">
        <v>40.409999999999997</v>
      </c>
      <c r="N23" s="51">
        <v>131.6</v>
      </c>
      <c r="O23" s="51">
        <v>0</v>
      </c>
      <c r="P23" s="51">
        <v>0.56999999999999995</v>
      </c>
      <c r="Q23" s="51">
        <v>10.08</v>
      </c>
    </row>
    <row r="24" spans="1:17" customFormat="1">
      <c r="A24" s="50">
        <v>45650.666666666664</v>
      </c>
      <c r="B24" s="51">
        <v>4.03</v>
      </c>
      <c r="C24" s="51">
        <v>21.58</v>
      </c>
      <c r="D24" s="51">
        <v>15.79</v>
      </c>
      <c r="E24" s="51">
        <v>9.4600000000000009</v>
      </c>
      <c r="F24" s="53" t="s">
        <v>8</v>
      </c>
      <c r="G24" s="51">
        <v>39.64</v>
      </c>
      <c r="H24" s="51">
        <v>6.02</v>
      </c>
      <c r="I24" s="51">
        <v>5.7</v>
      </c>
      <c r="J24" s="51">
        <v>0.74</v>
      </c>
      <c r="K24" s="51">
        <v>100.09</v>
      </c>
      <c r="L24" s="51">
        <v>27.59</v>
      </c>
      <c r="M24" s="51">
        <v>42</v>
      </c>
      <c r="N24" s="51">
        <v>80</v>
      </c>
      <c r="O24" s="51">
        <v>0</v>
      </c>
      <c r="P24" s="51">
        <v>0.55000000000000004</v>
      </c>
      <c r="Q24" s="51">
        <v>10.07</v>
      </c>
    </row>
    <row r="25" spans="1:17" customFormat="1">
      <c r="A25" s="50">
        <v>45650.708333333336</v>
      </c>
      <c r="B25" s="51">
        <v>4.63</v>
      </c>
      <c r="C25" s="51">
        <v>20.73</v>
      </c>
      <c r="D25" s="51">
        <v>15.43</v>
      </c>
      <c r="E25" s="51">
        <v>9.8000000000000007</v>
      </c>
      <c r="F25" s="53" t="s">
        <v>8</v>
      </c>
      <c r="G25" s="51">
        <v>50.27</v>
      </c>
      <c r="H25" s="51">
        <v>13.71</v>
      </c>
      <c r="I25" s="51">
        <v>5.65</v>
      </c>
      <c r="J25" s="51">
        <v>0.45</v>
      </c>
      <c r="K25" s="51">
        <v>151.87</v>
      </c>
      <c r="L25" s="51">
        <v>26.86</v>
      </c>
      <c r="M25" s="51">
        <v>49.03</v>
      </c>
      <c r="N25" s="51">
        <v>40.1</v>
      </c>
      <c r="O25" s="51">
        <v>0</v>
      </c>
      <c r="P25" s="51">
        <v>0.61</v>
      </c>
      <c r="Q25" s="51">
        <v>10.050000000000001</v>
      </c>
    </row>
    <row r="26" spans="1:17" customFormat="1">
      <c r="A26" s="50">
        <v>45650.75</v>
      </c>
      <c r="B26" s="51">
        <v>5.44</v>
      </c>
      <c r="C26" s="51">
        <v>20.07</v>
      </c>
      <c r="D26" s="51">
        <v>16.190000000000001</v>
      </c>
      <c r="E26" s="51">
        <v>10.4</v>
      </c>
      <c r="F26" s="53" t="s">
        <v>8</v>
      </c>
      <c r="G26" s="51">
        <v>50.17</v>
      </c>
      <c r="H26" s="51">
        <v>16.18</v>
      </c>
      <c r="I26" s="51">
        <v>5.85</v>
      </c>
      <c r="J26" s="51">
        <v>0.52</v>
      </c>
      <c r="K26" s="51">
        <v>118.97</v>
      </c>
      <c r="L26" s="51">
        <v>25.3</v>
      </c>
      <c r="M26" s="51">
        <v>53.43</v>
      </c>
      <c r="N26" s="51">
        <v>4.2</v>
      </c>
      <c r="O26" s="51">
        <v>0</v>
      </c>
      <c r="P26" s="51">
        <v>0.66</v>
      </c>
      <c r="Q26" s="51">
        <v>10.01</v>
      </c>
    </row>
    <row r="27" spans="1:17" customFormat="1">
      <c r="A27" s="50">
        <v>45650.791666666664</v>
      </c>
      <c r="B27" s="51">
        <v>6.4</v>
      </c>
      <c r="C27" s="51">
        <v>20.53</v>
      </c>
      <c r="D27" s="51">
        <v>17.07</v>
      </c>
      <c r="E27" s="51">
        <v>10.029999999999999</v>
      </c>
      <c r="F27" s="53" t="s">
        <v>8</v>
      </c>
      <c r="G27" s="51">
        <v>64.36</v>
      </c>
      <c r="H27" s="51">
        <v>19.97</v>
      </c>
      <c r="I27" s="51">
        <v>6.35</v>
      </c>
      <c r="J27" s="51">
        <v>0.56999999999999995</v>
      </c>
      <c r="K27" s="51">
        <v>69.709999999999994</v>
      </c>
      <c r="L27" s="51">
        <v>24.48</v>
      </c>
      <c r="M27" s="51">
        <v>57.18</v>
      </c>
      <c r="N27" s="51">
        <v>2.1</v>
      </c>
      <c r="O27" s="51">
        <v>0</v>
      </c>
      <c r="P27" s="51">
        <v>0.72</v>
      </c>
      <c r="Q27" s="51">
        <v>10.01</v>
      </c>
    </row>
    <row r="28" spans="1:17" customFormat="1">
      <c r="A28" s="50">
        <v>45650.833333333336</v>
      </c>
      <c r="B28" s="51">
        <v>6.62</v>
      </c>
      <c r="C28" s="51">
        <v>20.440000000000001</v>
      </c>
      <c r="D28" s="51">
        <v>17.309999999999999</v>
      </c>
      <c r="E28" s="51">
        <v>10.34</v>
      </c>
      <c r="F28" s="53" t="s">
        <v>8</v>
      </c>
      <c r="G28" s="51">
        <v>71.42</v>
      </c>
      <c r="H28" s="51">
        <v>24.57</v>
      </c>
      <c r="I28" s="51">
        <v>6.82</v>
      </c>
      <c r="J28" s="51">
        <v>0.63</v>
      </c>
      <c r="K28" s="51">
        <v>91.92</v>
      </c>
      <c r="L28" s="51">
        <v>23.8</v>
      </c>
      <c r="M28" s="51">
        <v>61.51</v>
      </c>
      <c r="N28" s="51">
        <v>2.1</v>
      </c>
      <c r="O28" s="51">
        <v>0</v>
      </c>
      <c r="P28" s="51">
        <v>0.77</v>
      </c>
      <c r="Q28" s="51">
        <v>10.029999999999999</v>
      </c>
    </row>
    <row r="29" spans="1:17" customFormat="1">
      <c r="A29" s="50">
        <v>45650.875</v>
      </c>
      <c r="B29" s="51">
        <v>6.85</v>
      </c>
      <c r="C29" s="51">
        <v>20.59</v>
      </c>
      <c r="D29" s="51">
        <v>17.61</v>
      </c>
      <c r="E29" s="51">
        <v>10.65</v>
      </c>
      <c r="F29" s="53" t="s">
        <v>8</v>
      </c>
      <c r="G29" s="51">
        <v>71.209999999999994</v>
      </c>
      <c r="H29" s="51">
        <v>25.83</v>
      </c>
      <c r="I29" s="51">
        <v>7.09</v>
      </c>
      <c r="J29" s="51">
        <v>0.56999999999999995</v>
      </c>
      <c r="K29" s="51">
        <v>108.02</v>
      </c>
      <c r="L29" s="51">
        <v>22.73</v>
      </c>
      <c r="M29" s="51">
        <v>66.349999999999994</v>
      </c>
      <c r="N29" s="51">
        <v>2</v>
      </c>
      <c r="O29" s="51">
        <v>0</v>
      </c>
      <c r="P29" s="51">
        <v>0.8</v>
      </c>
      <c r="Q29" s="51">
        <v>10.02</v>
      </c>
    </row>
    <row r="30" spans="1:17" customFormat="1">
      <c r="A30" s="50">
        <v>45650.916666666664</v>
      </c>
      <c r="B30" s="51">
        <v>6.99</v>
      </c>
      <c r="C30" s="51">
        <v>20.55</v>
      </c>
      <c r="D30" s="51">
        <v>17.63</v>
      </c>
      <c r="E30" s="51">
        <v>10.56</v>
      </c>
      <c r="F30" s="53" t="s">
        <v>8</v>
      </c>
      <c r="G30" s="51">
        <v>71.28</v>
      </c>
      <c r="H30" s="51">
        <v>27.25</v>
      </c>
      <c r="I30" s="51">
        <v>7.36</v>
      </c>
      <c r="J30" s="51">
        <v>0.67</v>
      </c>
      <c r="K30" s="51">
        <v>151.1</v>
      </c>
      <c r="L30" s="51">
        <v>22.36</v>
      </c>
      <c r="M30" s="51">
        <v>69.7</v>
      </c>
      <c r="N30" s="51">
        <v>2</v>
      </c>
      <c r="O30" s="51">
        <v>0</v>
      </c>
      <c r="P30" s="51">
        <v>0.79</v>
      </c>
      <c r="Q30" s="51">
        <v>10.06</v>
      </c>
    </row>
    <row r="31" spans="1:17" customFormat="1">
      <c r="A31" s="50">
        <v>45650.958333333336</v>
      </c>
      <c r="B31" s="51">
        <v>6.35</v>
      </c>
      <c r="C31" s="51">
        <v>20.56</v>
      </c>
      <c r="D31" s="51">
        <v>17.190000000000001</v>
      </c>
      <c r="E31" s="51">
        <v>10.51</v>
      </c>
      <c r="F31" s="53" t="s">
        <v>8</v>
      </c>
      <c r="G31" s="51">
        <v>72.17</v>
      </c>
      <c r="H31" s="51">
        <v>26.83</v>
      </c>
      <c r="I31" s="51">
        <v>7.7</v>
      </c>
      <c r="J31" s="51">
        <v>0.34</v>
      </c>
      <c r="K31" s="51">
        <v>159.28</v>
      </c>
      <c r="L31" s="51">
        <v>21.73</v>
      </c>
      <c r="M31" s="51">
        <v>76.97</v>
      </c>
      <c r="N31" s="51">
        <v>1.9</v>
      </c>
      <c r="O31" s="51">
        <v>0</v>
      </c>
      <c r="P31" s="51">
        <v>0.77</v>
      </c>
      <c r="Q31" s="51">
        <v>10.050000000000001</v>
      </c>
    </row>
    <row r="32" spans="1:17" customFormat="1">
      <c r="A32" s="50">
        <v>45651</v>
      </c>
      <c r="B32" s="51">
        <v>7.56</v>
      </c>
      <c r="C32" s="51">
        <v>20.57</v>
      </c>
      <c r="D32" s="51">
        <v>18.09</v>
      </c>
      <c r="E32" s="51">
        <v>10.41</v>
      </c>
      <c r="F32" s="53" t="s">
        <v>8</v>
      </c>
      <c r="G32" s="51">
        <v>71.83</v>
      </c>
      <c r="H32" s="51">
        <v>25.92</v>
      </c>
      <c r="I32" s="51">
        <v>7.75</v>
      </c>
      <c r="J32" s="51">
        <v>0.48</v>
      </c>
      <c r="K32" s="51">
        <v>87.86</v>
      </c>
      <c r="L32" s="51">
        <v>20.79</v>
      </c>
      <c r="M32" s="51">
        <v>83.25</v>
      </c>
      <c r="N32" s="51">
        <v>1.7</v>
      </c>
      <c r="O32" s="51">
        <v>0</v>
      </c>
      <c r="P32" s="51">
        <v>0.78</v>
      </c>
      <c r="Q32" s="51">
        <v>10.050000000000001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4.03</v>
      </c>
      <c r="C34" s="41">
        <f t="shared" si="0"/>
        <v>19.52</v>
      </c>
      <c r="D34" s="41">
        <f t="shared" si="0"/>
        <v>14.94</v>
      </c>
      <c r="E34" s="41">
        <f t="shared" si="0"/>
        <v>9.4600000000000009</v>
      </c>
      <c r="F34" s="41">
        <f t="shared" si="0"/>
        <v>0</v>
      </c>
      <c r="G34" s="41">
        <f t="shared" si="0"/>
        <v>33.9</v>
      </c>
      <c r="H34" s="41">
        <f t="shared" si="0"/>
        <v>4.7699999999999996</v>
      </c>
      <c r="I34" s="41">
        <f t="shared" si="0"/>
        <v>5.65</v>
      </c>
      <c r="J34" s="41">
        <f t="shared" si="0"/>
        <v>0.18</v>
      </c>
      <c r="K34" s="41">
        <f t="shared" si="0"/>
        <v>53.86</v>
      </c>
      <c r="L34" s="41">
        <f t="shared" si="0"/>
        <v>17.16</v>
      </c>
      <c r="M34" s="41">
        <f t="shared" si="0"/>
        <v>40.409999999999997</v>
      </c>
      <c r="N34" s="41">
        <f t="shared" si="0"/>
        <v>1.4</v>
      </c>
      <c r="O34" s="41">
        <f t="shared" si="0"/>
        <v>0</v>
      </c>
      <c r="P34" s="41">
        <f t="shared" si="0"/>
        <v>0.46</v>
      </c>
      <c r="Q34" s="41">
        <f t="shared" si="0"/>
        <v>10.01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14.64</v>
      </c>
      <c r="C35" s="33">
        <f t="shared" si="1"/>
        <v>21.58</v>
      </c>
      <c r="D35" s="33">
        <f t="shared" si="1"/>
        <v>24.04</v>
      </c>
      <c r="E35" s="33">
        <f t="shared" si="1"/>
        <v>11.13</v>
      </c>
      <c r="F35" s="33">
        <f t="shared" si="1"/>
        <v>0</v>
      </c>
      <c r="G35" s="33">
        <f t="shared" si="1"/>
        <v>72.17</v>
      </c>
      <c r="H35" s="33">
        <f t="shared" si="1"/>
        <v>27.25</v>
      </c>
      <c r="I35" s="33">
        <f t="shared" si="1"/>
        <v>9.2100000000000009</v>
      </c>
      <c r="J35" s="33">
        <f t="shared" si="1"/>
        <v>0.83</v>
      </c>
      <c r="K35" s="33">
        <f t="shared" si="1"/>
        <v>188.33</v>
      </c>
      <c r="L35" s="33">
        <f t="shared" si="1"/>
        <v>27.82</v>
      </c>
      <c r="M35" s="33">
        <f t="shared" si="1"/>
        <v>88.08</v>
      </c>
      <c r="N35" s="33">
        <f t="shared" si="1"/>
        <v>283.39999999999998</v>
      </c>
      <c r="O35" s="33">
        <f t="shared" si="1"/>
        <v>0</v>
      </c>
      <c r="P35" s="33">
        <f t="shared" si="1"/>
        <v>0.8</v>
      </c>
      <c r="Q35" s="33">
        <f t="shared" si="1"/>
        <v>10.08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8.2212499999999995</v>
      </c>
      <c r="C36" s="41">
        <f t="shared" si="2"/>
        <v>20.383749999999999</v>
      </c>
      <c r="D36" s="41">
        <f t="shared" si="2"/>
        <v>18.522916666666671</v>
      </c>
      <c r="E36" s="41">
        <f t="shared" si="2"/>
        <v>10.439583333333333</v>
      </c>
      <c r="F36" s="41" t="e">
        <f t="shared" si="2"/>
        <v>#DIV/0!</v>
      </c>
      <c r="G36" s="41">
        <f t="shared" si="2"/>
        <v>58.665714285714287</v>
      </c>
      <c r="H36" s="41">
        <f t="shared" si="2"/>
        <v>21.238095238095234</v>
      </c>
      <c r="I36" s="41">
        <f t="shared" si="2"/>
        <v>7.4174999999999995</v>
      </c>
      <c r="J36" s="41">
        <f t="shared" si="2"/>
        <v>0.53500000000000003</v>
      </c>
      <c r="K36" s="41">
        <f t="shared" si="2"/>
        <v>112.61291666666666</v>
      </c>
      <c r="L36" s="41">
        <f t="shared" si="2"/>
        <v>22.530833333333334</v>
      </c>
      <c r="M36" s="41">
        <f t="shared" si="2"/>
        <v>67.520833333333343</v>
      </c>
      <c r="N36" s="41">
        <f t="shared" si="2"/>
        <v>69.666666666666671</v>
      </c>
      <c r="O36" s="41">
        <f t="shared" si="2"/>
        <v>0</v>
      </c>
      <c r="P36" s="41">
        <f t="shared" si="2"/>
        <v>0.66666666666666685</v>
      </c>
      <c r="Q36" s="41">
        <f t="shared" si="2"/>
        <v>10.043333333333335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3.315034674223539</v>
      </c>
      <c r="C37" s="41">
        <f t="shared" ref="C37:Q37" si="3">STDEV(C9:C32)</f>
        <v>0.61582615065134372</v>
      </c>
      <c r="D37" s="41">
        <f t="shared" si="3"/>
        <v>2.7218847037631102</v>
      </c>
      <c r="E37" s="41">
        <f t="shared" si="3"/>
        <v>0.3796964367201402</v>
      </c>
      <c r="F37" s="41" t="e">
        <f t="shared" si="3"/>
        <v>#DIV/0!</v>
      </c>
      <c r="G37" s="41">
        <f t="shared" si="3"/>
        <v>10.870730229119152</v>
      </c>
      <c r="H37" s="41">
        <f t="shared" si="3"/>
        <v>6.2083940105696014</v>
      </c>
      <c r="I37" s="41">
        <f t="shared" si="3"/>
        <v>1.068653154778207</v>
      </c>
      <c r="J37" s="41">
        <f t="shared" si="3"/>
        <v>0.16826480166172864</v>
      </c>
      <c r="K37" s="41">
        <f t="shared" si="3"/>
        <v>40.843754402991479</v>
      </c>
      <c r="L37" s="41">
        <f t="shared" si="3"/>
        <v>3.9966452417503686</v>
      </c>
      <c r="M37" s="41">
        <f t="shared" si="3"/>
        <v>16.775500489304775</v>
      </c>
      <c r="N37" s="41">
        <f t="shared" si="3"/>
        <v>95.677195804964128</v>
      </c>
      <c r="O37" s="41">
        <f t="shared" si="3"/>
        <v>0</v>
      </c>
      <c r="P37" s="41">
        <f t="shared" si="3"/>
        <v>9.3560799421582158E-2</v>
      </c>
      <c r="Q37" s="41">
        <f t="shared" si="3"/>
        <v>1.9261736493723397E-2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0</v>
      </c>
      <c r="G38" s="46">
        <v>24</v>
      </c>
      <c r="H38" s="46"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&lt;90%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LESS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18" activePane="bottomRight" state="frozen"/>
      <selection activeCell="A9" sqref="A9"/>
      <selection pane="topRight" activeCell="A9" sqref="A9"/>
      <selection pane="bottomLeft" activeCell="A9" sqref="A9"/>
      <selection pane="bottomRight"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45651.041666666664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45651.041666666664</v>
      </c>
      <c r="B9" s="51">
        <v>8.5</v>
      </c>
      <c r="C9" s="51">
        <v>20.48</v>
      </c>
      <c r="D9" s="51">
        <v>18.850000000000001</v>
      </c>
      <c r="E9" s="51">
        <v>10.18</v>
      </c>
      <c r="F9" s="53" t="s">
        <v>8</v>
      </c>
      <c r="G9" s="51">
        <v>69.62</v>
      </c>
      <c r="H9" s="51">
        <v>26.57</v>
      </c>
      <c r="I9" s="51">
        <v>8.16</v>
      </c>
      <c r="J9" s="51">
        <v>0.16</v>
      </c>
      <c r="K9" s="51">
        <v>134.47999999999999</v>
      </c>
      <c r="L9" s="51">
        <v>19.89</v>
      </c>
      <c r="M9" s="51">
        <v>87.29</v>
      </c>
      <c r="N9" s="51">
        <v>1.7</v>
      </c>
      <c r="O9" s="51">
        <v>0</v>
      </c>
      <c r="P9" s="51">
        <v>0.8</v>
      </c>
      <c r="Q9" s="51">
        <v>10.06</v>
      </c>
    </row>
    <row r="10" spans="1:21" customFormat="1">
      <c r="A10" s="50">
        <v>45651.083333333336</v>
      </c>
      <c r="B10" s="51">
        <v>8.57</v>
      </c>
      <c r="C10" s="51">
        <v>20.21</v>
      </c>
      <c r="D10" s="51">
        <v>18.78</v>
      </c>
      <c r="E10" s="51">
        <v>10.47</v>
      </c>
      <c r="F10" s="53" t="s">
        <v>8</v>
      </c>
      <c r="G10" s="51">
        <v>69.180000000000007</v>
      </c>
      <c r="H10" s="51">
        <v>28.64</v>
      </c>
      <c r="I10" s="51">
        <v>8.0399999999999991</v>
      </c>
      <c r="J10" s="51">
        <v>0.43</v>
      </c>
      <c r="K10" s="51">
        <v>150.88</v>
      </c>
      <c r="L10" s="51">
        <v>19.55</v>
      </c>
      <c r="M10" s="51">
        <v>90.45</v>
      </c>
      <c r="N10" s="51">
        <v>1.7</v>
      </c>
      <c r="O10" s="51">
        <v>0</v>
      </c>
      <c r="P10" s="51">
        <v>0.79</v>
      </c>
      <c r="Q10" s="51">
        <v>10.06</v>
      </c>
    </row>
    <row r="11" spans="1:21" customFormat="1">
      <c r="A11" s="50">
        <v>45651.125</v>
      </c>
      <c r="B11" s="51">
        <v>8.8800000000000008</v>
      </c>
      <c r="C11" s="51">
        <v>19.41</v>
      </c>
      <c r="D11" s="51">
        <v>18.47</v>
      </c>
      <c r="E11" s="51">
        <v>10.16</v>
      </c>
      <c r="F11" s="53" t="s">
        <v>8</v>
      </c>
      <c r="G11" s="51">
        <v>62.31</v>
      </c>
      <c r="H11" s="51">
        <v>28.33</v>
      </c>
      <c r="I11" s="51">
        <v>7.74</v>
      </c>
      <c r="J11" s="51">
        <v>0.48</v>
      </c>
      <c r="K11" s="51">
        <v>71.05</v>
      </c>
      <c r="L11" s="51">
        <v>18.940000000000001</v>
      </c>
      <c r="M11" s="51">
        <v>94.13</v>
      </c>
      <c r="N11" s="51">
        <v>1.7</v>
      </c>
      <c r="O11" s="51">
        <v>0</v>
      </c>
      <c r="P11" s="51">
        <v>0.79</v>
      </c>
      <c r="Q11" s="51">
        <v>10.029999999999999</v>
      </c>
    </row>
    <row r="12" spans="1:21" customFormat="1">
      <c r="A12" s="50">
        <v>45651.166666666664</v>
      </c>
      <c r="B12" s="51">
        <v>9.76</v>
      </c>
      <c r="C12" s="51">
        <v>19.03</v>
      </c>
      <c r="D12" s="51">
        <v>18.98</v>
      </c>
      <c r="E12" s="51">
        <v>10.35</v>
      </c>
      <c r="F12" s="53" t="s">
        <v>8</v>
      </c>
      <c r="G12" s="51">
        <v>51.24</v>
      </c>
      <c r="H12" s="51">
        <v>24.36</v>
      </c>
      <c r="I12" s="51">
        <v>7.54</v>
      </c>
      <c r="J12" s="51">
        <v>0.45</v>
      </c>
      <c r="K12" s="51">
        <v>65.86</v>
      </c>
      <c r="L12" s="51">
        <v>18.53</v>
      </c>
      <c r="M12" s="51">
        <v>93.73</v>
      </c>
      <c r="N12" s="51">
        <v>1.7</v>
      </c>
      <c r="O12" s="51">
        <v>0</v>
      </c>
      <c r="P12" s="51">
        <v>0.78</v>
      </c>
      <c r="Q12" s="51">
        <v>10.02</v>
      </c>
    </row>
    <row r="13" spans="1:21" customFormat="1">
      <c r="A13" s="50">
        <v>45651.208333333336</v>
      </c>
      <c r="B13" s="51">
        <v>10.24</v>
      </c>
      <c r="C13" s="51">
        <v>18.670000000000002</v>
      </c>
      <c r="D13" s="51">
        <v>19.22</v>
      </c>
      <c r="E13" s="51">
        <v>10.48</v>
      </c>
      <c r="F13" s="53" t="s">
        <v>8</v>
      </c>
      <c r="G13" s="51">
        <v>49.33</v>
      </c>
      <c r="H13" s="51">
        <v>22.81</v>
      </c>
      <c r="I13" s="51">
        <v>7.31</v>
      </c>
      <c r="J13" s="51">
        <v>0.25</v>
      </c>
      <c r="K13" s="51">
        <v>157.08000000000001</v>
      </c>
      <c r="L13" s="51">
        <v>18.440000000000001</v>
      </c>
      <c r="M13" s="51">
        <v>93.35</v>
      </c>
      <c r="N13" s="51">
        <v>1.7</v>
      </c>
      <c r="O13" s="51">
        <v>0</v>
      </c>
      <c r="P13" s="51">
        <v>0.75</v>
      </c>
      <c r="Q13" s="51">
        <v>10.029999999999999</v>
      </c>
    </row>
    <row r="14" spans="1:21" customFormat="1">
      <c r="A14" s="50">
        <v>45651.25</v>
      </c>
      <c r="B14" s="51">
        <v>10.33</v>
      </c>
      <c r="C14" s="51">
        <v>18.23</v>
      </c>
      <c r="D14" s="51">
        <v>19.12</v>
      </c>
      <c r="E14" s="51">
        <v>10.27</v>
      </c>
      <c r="F14" s="53" t="s">
        <v>8</v>
      </c>
      <c r="G14" s="51">
        <v>44.85</v>
      </c>
      <c r="H14" s="51">
        <v>19.66</v>
      </c>
      <c r="I14" s="51">
        <v>7.07</v>
      </c>
      <c r="J14" s="51">
        <v>0.16</v>
      </c>
      <c r="K14" s="51">
        <v>178.59</v>
      </c>
      <c r="L14" s="51">
        <v>18.52</v>
      </c>
      <c r="M14" s="51">
        <v>93.53</v>
      </c>
      <c r="N14" s="51">
        <v>2</v>
      </c>
      <c r="O14" s="51">
        <v>0</v>
      </c>
      <c r="P14" s="51">
        <v>0.72</v>
      </c>
      <c r="Q14" s="51">
        <v>10.029999999999999</v>
      </c>
    </row>
    <row r="15" spans="1:21" customFormat="1">
      <c r="A15" s="50">
        <v>45651.291666666664</v>
      </c>
      <c r="B15" s="51">
        <v>10.52</v>
      </c>
      <c r="C15" s="51">
        <v>17.71</v>
      </c>
      <c r="D15" s="51">
        <v>18.97</v>
      </c>
      <c r="E15" s="51">
        <v>10.66</v>
      </c>
      <c r="F15" s="53" t="s">
        <v>8</v>
      </c>
      <c r="G15" s="51">
        <v>39.51</v>
      </c>
      <c r="H15" s="51">
        <v>18.72</v>
      </c>
      <c r="I15" s="51">
        <v>6.86</v>
      </c>
      <c r="J15" s="51">
        <v>0.18</v>
      </c>
      <c r="K15" s="51">
        <v>145.71</v>
      </c>
      <c r="L15" s="51">
        <v>19.079999999999998</v>
      </c>
      <c r="M15" s="51">
        <v>93.28</v>
      </c>
      <c r="N15" s="51">
        <v>8.8000000000000007</v>
      </c>
      <c r="O15" s="51">
        <v>0</v>
      </c>
      <c r="P15" s="51">
        <v>0.69</v>
      </c>
      <c r="Q15" s="51">
        <v>10.02</v>
      </c>
    </row>
    <row r="16" spans="1:21" customFormat="1">
      <c r="A16" s="50">
        <v>45651.333333333336</v>
      </c>
      <c r="B16" s="51">
        <v>12.62</v>
      </c>
      <c r="C16" s="51">
        <v>17.73</v>
      </c>
      <c r="D16" s="51">
        <v>20.74</v>
      </c>
      <c r="E16" s="51">
        <v>10.68</v>
      </c>
      <c r="F16" s="53" t="s">
        <v>8</v>
      </c>
      <c r="G16" s="51">
        <v>35.65</v>
      </c>
      <c r="H16" s="51">
        <v>16.309999999999999</v>
      </c>
      <c r="I16" s="51">
        <v>6.76</v>
      </c>
      <c r="J16" s="51">
        <v>0.76</v>
      </c>
      <c r="K16" s="51">
        <v>38.83</v>
      </c>
      <c r="L16" s="51">
        <v>19.239999999999998</v>
      </c>
      <c r="M16" s="51">
        <v>90.96</v>
      </c>
      <c r="N16" s="51">
        <v>40</v>
      </c>
      <c r="O16" s="51">
        <v>0</v>
      </c>
      <c r="P16" s="51">
        <v>0.64</v>
      </c>
      <c r="Q16" s="51">
        <v>10.06</v>
      </c>
    </row>
    <row r="17" spans="1:17" customFormat="1">
      <c r="A17" s="50">
        <v>45651.375</v>
      </c>
      <c r="B17" s="51">
        <v>13.23</v>
      </c>
      <c r="C17" s="51">
        <v>18.04</v>
      </c>
      <c r="D17" s="51">
        <v>21.28</v>
      </c>
      <c r="E17" s="51">
        <v>10.42</v>
      </c>
      <c r="F17" s="53" t="s">
        <v>8</v>
      </c>
      <c r="G17" s="51">
        <v>38.11</v>
      </c>
      <c r="H17" s="51">
        <v>15.48</v>
      </c>
      <c r="I17" s="51">
        <v>7.29</v>
      </c>
      <c r="J17" s="51">
        <v>0.99</v>
      </c>
      <c r="K17" s="51">
        <v>54.52</v>
      </c>
      <c r="L17" s="51">
        <v>21.19</v>
      </c>
      <c r="M17" s="51">
        <v>87.77</v>
      </c>
      <c r="N17" s="51">
        <v>171.5</v>
      </c>
      <c r="O17" s="51">
        <v>0</v>
      </c>
      <c r="P17" s="51">
        <v>0.66</v>
      </c>
      <c r="Q17" s="51">
        <v>10.06</v>
      </c>
    </row>
    <row r="18" spans="1:17" customFormat="1">
      <c r="A18" s="50">
        <v>45651.416666666664</v>
      </c>
      <c r="B18" s="51">
        <v>12.68</v>
      </c>
      <c r="C18" s="51">
        <v>18.3</v>
      </c>
      <c r="D18" s="51">
        <v>21.03</v>
      </c>
      <c r="E18" s="51">
        <v>10.29</v>
      </c>
      <c r="F18" s="53" t="s">
        <v>8</v>
      </c>
      <c r="G18" s="51">
        <v>42.25</v>
      </c>
      <c r="H18" s="51">
        <v>15.37</v>
      </c>
      <c r="I18" s="51">
        <v>7.41</v>
      </c>
      <c r="J18" s="51">
        <v>0.51</v>
      </c>
      <c r="K18" s="51">
        <v>106.3</v>
      </c>
      <c r="L18" s="51">
        <v>24.12</v>
      </c>
      <c r="M18" s="51">
        <v>77.05</v>
      </c>
      <c r="N18" s="51">
        <v>190.9</v>
      </c>
      <c r="O18" s="51">
        <v>0</v>
      </c>
      <c r="P18" s="51">
        <v>0.66</v>
      </c>
      <c r="Q18" s="51">
        <v>10.050000000000001</v>
      </c>
    </row>
    <row r="19" spans="1:17" customFormat="1">
      <c r="A19" s="50">
        <v>45651.458333333336</v>
      </c>
      <c r="B19" s="51">
        <v>10.34</v>
      </c>
      <c r="C19" s="51">
        <v>18.46</v>
      </c>
      <c r="D19" s="51">
        <v>19.239999999999998</v>
      </c>
      <c r="E19" s="51">
        <v>10.43</v>
      </c>
      <c r="F19" s="53" t="s">
        <v>8</v>
      </c>
      <c r="G19" s="51">
        <v>41.98</v>
      </c>
      <c r="H19" s="51">
        <v>15.29</v>
      </c>
      <c r="I19" s="51">
        <v>7.26</v>
      </c>
      <c r="J19" s="51">
        <v>0.38</v>
      </c>
      <c r="K19" s="51">
        <v>156.1</v>
      </c>
      <c r="L19" s="51">
        <v>25.36</v>
      </c>
      <c r="M19" s="51">
        <v>63.83</v>
      </c>
      <c r="N19" s="51">
        <v>293.2</v>
      </c>
      <c r="O19" s="51">
        <v>0</v>
      </c>
      <c r="P19" s="51">
        <v>0.63</v>
      </c>
      <c r="Q19" s="51">
        <v>10.07</v>
      </c>
    </row>
    <row r="20" spans="1:17" customFormat="1">
      <c r="A20" s="50">
        <v>45651.5</v>
      </c>
      <c r="B20" s="51">
        <v>7.35</v>
      </c>
      <c r="C20" s="51">
        <v>18.25</v>
      </c>
      <c r="D20" s="51">
        <v>16.77</v>
      </c>
      <c r="E20" s="51">
        <v>10.69</v>
      </c>
      <c r="F20" s="53" t="s">
        <v>8</v>
      </c>
      <c r="G20" s="51">
        <v>54.22</v>
      </c>
      <c r="H20" s="51">
        <v>14.37</v>
      </c>
      <c r="I20" s="51">
        <v>6.75</v>
      </c>
      <c r="J20" s="51">
        <v>0.44</v>
      </c>
      <c r="K20" s="51">
        <v>141.16</v>
      </c>
      <c r="L20" s="51">
        <v>25.83</v>
      </c>
      <c r="M20" s="51">
        <v>57.13</v>
      </c>
      <c r="N20" s="51">
        <v>216</v>
      </c>
      <c r="O20" s="51">
        <v>0</v>
      </c>
      <c r="P20" s="51">
        <v>0.59</v>
      </c>
      <c r="Q20" s="51">
        <v>10.050000000000001</v>
      </c>
    </row>
    <row r="21" spans="1:17" customFormat="1">
      <c r="A21" s="50">
        <v>45651.541666666664</v>
      </c>
      <c r="B21" s="51">
        <v>5.34</v>
      </c>
      <c r="C21" s="51">
        <v>17.399999999999999</v>
      </c>
      <c r="D21" s="51">
        <v>14.71</v>
      </c>
      <c r="E21" s="51">
        <v>10.56</v>
      </c>
      <c r="F21" s="53" t="s">
        <v>8</v>
      </c>
      <c r="G21" s="51">
        <v>53.76</v>
      </c>
      <c r="H21" s="51">
        <v>15.02</v>
      </c>
      <c r="I21" s="51">
        <v>6.28</v>
      </c>
      <c r="J21" s="51">
        <v>0.48</v>
      </c>
      <c r="K21" s="51">
        <v>126.13</v>
      </c>
      <c r="L21" s="51">
        <v>26.37</v>
      </c>
      <c r="M21" s="51">
        <v>55.88</v>
      </c>
      <c r="N21" s="51">
        <v>187.8</v>
      </c>
      <c r="O21" s="51">
        <v>0</v>
      </c>
      <c r="P21" s="51">
        <v>0.6</v>
      </c>
      <c r="Q21" s="51">
        <v>10.02</v>
      </c>
    </row>
    <row r="22" spans="1:17" customFormat="1">
      <c r="A22" s="50">
        <v>45651.583333333336</v>
      </c>
      <c r="B22" s="51">
        <v>5.31</v>
      </c>
      <c r="C22" s="51">
        <v>17.440000000000001</v>
      </c>
      <c r="D22" s="51">
        <v>14.72</v>
      </c>
      <c r="E22" s="51">
        <v>10.98</v>
      </c>
      <c r="F22" s="53" t="s">
        <v>8</v>
      </c>
      <c r="G22" s="51">
        <v>47.15</v>
      </c>
      <c r="H22" s="51">
        <v>14.98</v>
      </c>
      <c r="I22" s="51">
        <v>6.35</v>
      </c>
      <c r="J22" s="51">
        <v>0.56999999999999995</v>
      </c>
      <c r="K22" s="51">
        <v>149.96</v>
      </c>
      <c r="L22" s="51">
        <v>26.57</v>
      </c>
      <c r="M22" s="51">
        <v>55.25</v>
      </c>
      <c r="N22" s="51">
        <v>144.6</v>
      </c>
      <c r="O22" s="51">
        <v>0</v>
      </c>
      <c r="P22" s="51">
        <v>0.59</v>
      </c>
      <c r="Q22" s="51">
        <v>10.01</v>
      </c>
    </row>
    <row r="23" spans="1:17" customFormat="1">
      <c r="A23" s="50">
        <v>45651.625</v>
      </c>
      <c r="B23" s="51">
        <v>5.24</v>
      </c>
      <c r="C23" s="51">
        <v>16.87</v>
      </c>
      <c r="D23" s="51">
        <v>14.35</v>
      </c>
      <c r="E23" s="51">
        <v>11.35</v>
      </c>
      <c r="F23" s="53" t="s">
        <v>8</v>
      </c>
      <c r="G23" s="51">
        <v>44.66</v>
      </c>
      <c r="H23" s="51">
        <v>14.32</v>
      </c>
      <c r="I23" s="51">
        <v>6.33</v>
      </c>
      <c r="J23" s="51">
        <v>0.4</v>
      </c>
      <c r="K23" s="51">
        <v>152.03</v>
      </c>
      <c r="L23" s="51">
        <v>26.24</v>
      </c>
      <c r="M23" s="51">
        <v>55.22</v>
      </c>
      <c r="N23" s="51">
        <v>112.7</v>
      </c>
      <c r="O23" s="51">
        <v>0</v>
      </c>
      <c r="P23" s="51">
        <v>0.5</v>
      </c>
      <c r="Q23" s="51">
        <v>10.01</v>
      </c>
    </row>
    <row r="24" spans="1:17" customFormat="1">
      <c r="A24" s="50">
        <v>45651.666666666664</v>
      </c>
      <c r="B24" s="51">
        <v>5.31</v>
      </c>
      <c r="C24" s="51">
        <v>16.64</v>
      </c>
      <c r="D24" s="51">
        <v>14.23</v>
      </c>
      <c r="E24" s="51">
        <v>11.39</v>
      </c>
      <c r="F24" s="53" t="s">
        <v>8</v>
      </c>
      <c r="G24" s="51">
        <v>36.11</v>
      </c>
      <c r="H24" s="51">
        <v>13.5</v>
      </c>
      <c r="I24" s="51">
        <v>6.12</v>
      </c>
      <c r="J24" s="51">
        <v>0.31</v>
      </c>
      <c r="K24" s="51">
        <v>162.91</v>
      </c>
      <c r="L24" s="51">
        <v>26.15</v>
      </c>
      <c r="M24" s="51">
        <v>54.92</v>
      </c>
      <c r="N24" s="51">
        <v>81.3</v>
      </c>
      <c r="O24" s="51">
        <v>0</v>
      </c>
      <c r="P24" s="51">
        <v>0.49</v>
      </c>
      <c r="Q24" s="51">
        <v>10.01</v>
      </c>
    </row>
    <row r="25" spans="1:17" customFormat="1">
      <c r="A25" s="50">
        <v>45651.708333333336</v>
      </c>
      <c r="B25" s="51">
        <v>5.44</v>
      </c>
      <c r="C25" s="51">
        <v>16.100000000000001</v>
      </c>
      <c r="D25" s="51">
        <v>14.09</v>
      </c>
      <c r="E25" s="51">
        <v>11.62</v>
      </c>
      <c r="F25" s="53" t="s">
        <v>8</v>
      </c>
      <c r="G25" s="51">
        <v>34.08</v>
      </c>
      <c r="H25" s="51">
        <v>13.3</v>
      </c>
      <c r="I25" s="51">
        <v>6.08</v>
      </c>
      <c r="J25" s="51">
        <v>0.21</v>
      </c>
      <c r="K25" s="51">
        <v>139.29</v>
      </c>
      <c r="L25" s="51">
        <v>25.39</v>
      </c>
      <c r="M25" s="51">
        <v>59.33</v>
      </c>
      <c r="N25" s="51">
        <v>33.5</v>
      </c>
      <c r="O25" s="51">
        <v>0</v>
      </c>
      <c r="P25" s="51">
        <v>0.47</v>
      </c>
      <c r="Q25" s="51">
        <v>10.01</v>
      </c>
    </row>
    <row r="26" spans="1:17" customFormat="1">
      <c r="A26" s="50">
        <v>45651.75</v>
      </c>
      <c r="B26" s="51">
        <v>4.95</v>
      </c>
      <c r="C26" s="51">
        <v>15.42</v>
      </c>
      <c r="D26" s="51">
        <v>13.1</v>
      </c>
      <c r="E26" s="51">
        <v>11.5</v>
      </c>
      <c r="F26" s="53" t="s">
        <v>8</v>
      </c>
      <c r="G26" s="51">
        <v>29.77</v>
      </c>
      <c r="H26" s="51">
        <v>13.24</v>
      </c>
      <c r="I26" s="51">
        <v>5.88</v>
      </c>
      <c r="J26" s="51">
        <v>0.27</v>
      </c>
      <c r="K26" s="51">
        <v>134.96</v>
      </c>
      <c r="L26" s="51">
        <v>24.59</v>
      </c>
      <c r="M26" s="51">
        <v>68.040000000000006</v>
      </c>
      <c r="N26" s="51">
        <v>4.0999999999999996</v>
      </c>
      <c r="O26" s="51">
        <v>0</v>
      </c>
      <c r="P26" s="51">
        <v>0.42</v>
      </c>
      <c r="Q26" s="51">
        <v>10.02</v>
      </c>
    </row>
    <row r="27" spans="1:17" customFormat="1">
      <c r="A27" s="50">
        <v>45651.791666666664</v>
      </c>
      <c r="B27" s="51">
        <v>4.3099999999999996</v>
      </c>
      <c r="C27" s="51">
        <v>15.47</v>
      </c>
      <c r="D27" s="51">
        <v>12.85</v>
      </c>
      <c r="E27" s="51">
        <v>9.73</v>
      </c>
      <c r="F27" s="53" t="s">
        <v>8</v>
      </c>
      <c r="G27" s="51">
        <v>31.78</v>
      </c>
      <c r="H27" s="51">
        <v>13.13</v>
      </c>
      <c r="I27" s="51">
        <v>5.63</v>
      </c>
      <c r="J27" s="51">
        <v>0.28999999999999998</v>
      </c>
      <c r="K27" s="51">
        <v>152.51</v>
      </c>
      <c r="L27" s="51">
        <v>23.1</v>
      </c>
      <c r="M27" s="51">
        <v>73.569999999999993</v>
      </c>
      <c r="N27" s="51">
        <v>2.1</v>
      </c>
      <c r="O27" s="51">
        <v>0</v>
      </c>
      <c r="P27" s="51">
        <v>0.41</v>
      </c>
      <c r="Q27" s="51">
        <v>10.029999999999999</v>
      </c>
    </row>
    <row r="28" spans="1:17" customFormat="1">
      <c r="A28" s="50">
        <v>45651.833333333336</v>
      </c>
      <c r="B28" s="51">
        <v>4.5199999999999996</v>
      </c>
      <c r="C28" s="51">
        <v>15.26</v>
      </c>
      <c r="D28" s="51">
        <v>12.87</v>
      </c>
      <c r="E28" s="51">
        <v>9.57</v>
      </c>
      <c r="F28" s="53" t="s">
        <v>8</v>
      </c>
      <c r="G28" s="51">
        <v>31.72</v>
      </c>
      <c r="H28" s="51">
        <v>11.61</v>
      </c>
      <c r="I28" s="51">
        <v>5.42</v>
      </c>
      <c r="J28" s="51">
        <v>0.2</v>
      </c>
      <c r="K28" s="51">
        <v>180.11</v>
      </c>
      <c r="L28" s="51">
        <v>21.75</v>
      </c>
      <c r="M28" s="51">
        <v>77.44</v>
      </c>
      <c r="N28" s="51">
        <v>1.9</v>
      </c>
      <c r="O28" s="51">
        <v>0</v>
      </c>
      <c r="P28" s="51">
        <v>0.4</v>
      </c>
      <c r="Q28" s="51">
        <v>10.029999999999999</v>
      </c>
    </row>
    <row r="29" spans="1:17" customFormat="1">
      <c r="A29" s="50">
        <v>45651.875</v>
      </c>
      <c r="B29" s="51">
        <v>4.8899999999999997</v>
      </c>
      <c r="C29" s="51">
        <v>15.03</v>
      </c>
      <c r="D29" s="51">
        <v>13.08</v>
      </c>
      <c r="E29" s="51">
        <v>9.7899999999999991</v>
      </c>
      <c r="F29" s="53" t="s">
        <v>8</v>
      </c>
      <c r="G29" s="51">
        <v>30.74</v>
      </c>
      <c r="H29" s="51">
        <v>10.38</v>
      </c>
      <c r="I29" s="51">
        <v>5.24</v>
      </c>
      <c r="J29" s="51">
        <v>0.24</v>
      </c>
      <c r="K29" s="51">
        <v>165.47</v>
      </c>
      <c r="L29" s="51">
        <v>21.25</v>
      </c>
      <c r="M29" s="51">
        <v>80.45</v>
      </c>
      <c r="N29" s="51">
        <v>1.9</v>
      </c>
      <c r="O29" s="51">
        <v>0</v>
      </c>
      <c r="P29" s="51">
        <v>0.39</v>
      </c>
      <c r="Q29" s="51">
        <v>10.029999999999999</v>
      </c>
    </row>
    <row r="30" spans="1:17" customFormat="1">
      <c r="A30" s="50">
        <v>45651.916666666664</v>
      </c>
      <c r="B30" s="51">
        <v>5.17</v>
      </c>
      <c r="C30" s="51">
        <v>15.33</v>
      </c>
      <c r="D30" s="51">
        <v>13.5</v>
      </c>
      <c r="E30" s="51">
        <v>9.77</v>
      </c>
      <c r="F30" s="53" t="s">
        <v>8</v>
      </c>
      <c r="G30" s="51">
        <v>29.5</v>
      </c>
      <c r="H30" s="51">
        <v>8.0299999999999994</v>
      </c>
      <c r="I30" s="51">
        <v>5.17</v>
      </c>
      <c r="J30" s="51">
        <v>0.26</v>
      </c>
      <c r="K30" s="51">
        <v>161.71</v>
      </c>
      <c r="L30" s="51">
        <v>21.1</v>
      </c>
      <c r="M30" s="51">
        <v>82.56</v>
      </c>
      <c r="N30" s="51">
        <v>1.9</v>
      </c>
      <c r="O30" s="51">
        <v>0</v>
      </c>
      <c r="P30" s="51">
        <v>0.4</v>
      </c>
      <c r="Q30" s="51">
        <v>10.029999999999999</v>
      </c>
    </row>
    <row r="31" spans="1:17" customFormat="1">
      <c r="A31" s="50">
        <v>45651.958333333336</v>
      </c>
      <c r="B31" s="51">
        <v>6.09</v>
      </c>
      <c r="C31" s="51">
        <v>15.72</v>
      </c>
      <c r="D31" s="51">
        <v>14.33</v>
      </c>
      <c r="E31" s="51">
        <v>9.89</v>
      </c>
      <c r="F31" s="53" t="s">
        <v>8</v>
      </c>
      <c r="G31" s="51">
        <v>28.4</v>
      </c>
      <c r="H31" s="51">
        <v>8.0299999999999994</v>
      </c>
      <c r="I31" s="51">
        <v>5.09</v>
      </c>
      <c r="J31" s="51">
        <v>0.26</v>
      </c>
      <c r="K31" s="51">
        <v>150.41</v>
      </c>
      <c r="L31" s="51">
        <v>20.8</v>
      </c>
      <c r="M31" s="51">
        <v>82.88</v>
      </c>
      <c r="N31" s="51">
        <v>1.8</v>
      </c>
      <c r="O31" s="51">
        <v>0</v>
      </c>
      <c r="P31" s="51">
        <v>0.43</v>
      </c>
      <c r="Q31" s="51">
        <v>10</v>
      </c>
    </row>
    <row r="32" spans="1:17" customFormat="1">
      <c r="A32" s="50">
        <v>45652</v>
      </c>
      <c r="B32" s="51">
        <v>6.6</v>
      </c>
      <c r="C32" s="51">
        <v>15.75</v>
      </c>
      <c r="D32" s="51">
        <v>14.78</v>
      </c>
      <c r="E32" s="51">
        <v>10.35</v>
      </c>
      <c r="F32" s="53" t="s">
        <v>8</v>
      </c>
      <c r="G32" s="51">
        <v>27.44</v>
      </c>
      <c r="H32" s="51">
        <v>7.83</v>
      </c>
      <c r="I32" s="51">
        <v>5.05</v>
      </c>
      <c r="J32" s="51">
        <v>0.24</v>
      </c>
      <c r="K32" s="51">
        <v>162.28</v>
      </c>
      <c r="L32" s="51">
        <v>20.46</v>
      </c>
      <c r="M32" s="51">
        <v>86.81</v>
      </c>
      <c r="N32" s="51">
        <v>1.8</v>
      </c>
      <c r="O32" s="51">
        <v>0</v>
      </c>
      <c r="P32" s="51">
        <v>0.43</v>
      </c>
      <c r="Q32" s="51">
        <v>10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4.3099999999999996</v>
      </c>
      <c r="C34" s="41">
        <f t="shared" si="0"/>
        <v>15.03</v>
      </c>
      <c r="D34" s="41">
        <f t="shared" si="0"/>
        <v>12.85</v>
      </c>
      <c r="E34" s="41">
        <f t="shared" si="0"/>
        <v>9.57</v>
      </c>
      <c r="F34" s="41">
        <f t="shared" si="0"/>
        <v>0</v>
      </c>
      <c r="G34" s="41">
        <f t="shared" si="0"/>
        <v>27.44</v>
      </c>
      <c r="H34" s="41">
        <f t="shared" si="0"/>
        <v>7.83</v>
      </c>
      <c r="I34" s="41">
        <f t="shared" si="0"/>
        <v>5.05</v>
      </c>
      <c r="J34" s="41">
        <f t="shared" si="0"/>
        <v>0.16</v>
      </c>
      <c r="K34" s="41">
        <f t="shared" si="0"/>
        <v>38.83</v>
      </c>
      <c r="L34" s="41">
        <f t="shared" si="0"/>
        <v>18.440000000000001</v>
      </c>
      <c r="M34" s="41">
        <f t="shared" si="0"/>
        <v>54.92</v>
      </c>
      <c r="N34" s="41">
        <f t="shared" si="0"/>
        <v>1.7</v>
      </c>
      <c r="O34" s="41">
        <f t="shared" si="0"/>
        <v>0</v>
      </c>
      <c r="P34" s="41">
        <f t="shared" si="0"/>
        <v>0.39</v>
      </c>
      <c r="Q34" s="41">
        <f t="shared" si="0"/>
        <v>10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13.23</v>
      </c>
      <c r="C35" s="33">
        <f t="shared" si="1"/>
        <v>20.48</v>
      </c>
      <c r="D35" s="33">
        <f t="shared" si="1"/>
        <v>21.28</v>
      </c>
      <c r="E35" s="33">
        <f t="shared" si="1"/>
        <v>11.62</v>
      </c>
      <c r="F35" s="33">
        <f t="shared" si="1"/>
        <v>0</v>
      </c>
      <c r="G35" s="33">
        <f t="shared" si="1"/>
        <v>69.62</v>
      </c>
      <c r="H35" s="33">
        <f t="shared" si="1"/>
        <v>28.64</v>
      </c>
      <c r="I35" s="33">
        <f t="shared" si="1"/>
        <v>8.16</v>
      </c>
      <c r="J35" s="33">
        <f t="shared" si="1"/>
        <v>0.99</v>
      </c>
      <c r="K35" s="33">
        <f t="shared" si="1"/>
        <v>180.11</v>
      </c>
      <c r="L35" s="33">
        <f t="shared" si="1"/>
        <v>26.57</v>
      </c>
      <c r="M35" s="33">
        <f t="shared" si="1"/>
        <v>94.13</v>
      </c>
      <c r="N35" s="33">
        <f t="shared" si="1"/>
        <v>293.2</v>
      </c>
      <c r="O35" s="33">
        <f t="shared" si="1"/>
        <v>0</v>
      </c>
      <c r="P35" s="33">
        <f t="shared" si="1"/>
        <v>0.8</v>
      </c>
      <c r="Q35" s="33">
        <f t="shared" si="1"/>
        <v>10.07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7.7579166666666666</v>
      </c>
      <c r="C36" s="41">
        <f t="shared" si="2"/>
        <v>17.372916666666669</v>
      </c>
      <c r="D36" s="41">
        <f t="shared" si="2"/>
        <v>16.585833333333337</v>
      </c>
      <c r="E36" s="41">
        <f t="shared" si="2"/>
        <v>10.4825</v>
      </c>
      <c r="F36" s="41" t="e">
        <f t="shared" si="2"/>
        <v>#DIV/0!</v>
      </c>
      <c r="G36" s="41">
        <f t="shared" si="2"/>
        <v>42.64</v>
      </c>
      <c r="H36" s="41">
        <f t="shared" si="2"/>
        <v>16.219999999999995</v>
      </c>
      <c r="I36" s="41">
        <f t="shared" si="2"/>
        <v>6.534583333333333</v>
      </c>
      <c r="J36" s="41">
        <f t="shared" si="2"/>
        <v>0.37166666666666665</v>
      </c>
      <c r="K36" s="41">
        <f t="shared" si="2"/>
        <v>134.93041666666667</v>
      </c>
      <c r="L36" s="41">
        <f t="shared" si="2"/>
        <v>22.185833333333335</v>
      </c>
      <c r="M36" s="41">
        <f t="shared" si="2"/>
        <v>77.285416666666663</v>
      </c>
      <c r="N36" s="41">
        <f t="shared" si="2"/>
        <v>62.762499999999996</v>
      </c>
      <c r="O36" s="41">
        <f t="shared" si="2"/>
        <v>0</v>
      </c>
      <c r="P36" s="41">
        <f t="shared" si="2"/>
        <v>0.58458333333333334</v>
      </c>
      <c r="Q36" s="41">
        <f t="shared" si="2"/>
        <v>10.030833333333332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2.8769866167143725</v>
      </c>
      <c r="C37" s="41">
        <f t="shared" ref="C37:Q37" si="3">STDEV(C9:C32)</f>
        <v>1.6132076584479818</v>
      </c>
      <c r="D37" s="41">
        <f t="shared" si="3"/>
        <v>2.9358769028019136</v>
      </c>
      <c r="E37" s="41">
        <f t="shared" si="3"/>
        <v>0.56450247428886535</v>
      </c>
      <c r="F37" s="41" t="e">
        <f t="shared" si="3"/>
        <v>#DIV/0!</v>
      </c>
      <c r="G37" s="41">
        <f t="shared" si="3"/>
        <v>12.461353475236235</v>
      </c>
      <c r="H37" s="41">
        <f t="shared" si="3"/>
        <v>6.0512693601892531</v>
      </c>
      <c r="I37" s="41">
        <f t="shared" si="3"/>
        <v>0.95924779936140692</v>
      </c>
      <c r="J37" s="41">
        <f t="shared" si="3"/>
        <v>0.19861841647319314</v>
      </c>
      <c r="K37" s="41">
        <f t="shared" si="3"/>
        <v>39.016178971779979</v>
      </c>
      <c r="L37" s="41">
        <f t="shared" si="3"/>
        <v>2.9701850574269391</v>
      </c>
      <c r="M37" s="41">
        <f t="shared" si="3"/>
        <v>14.747163612079762</v>
      </c>
      <c r="N37" s="41">
        <f t="shared" si="3"/>
        <v>89.024617076694966</v>
      </c>
      <c r="O37" s="41">
        <f t="shared" si="3"/>
        <v>0</v>
      </c>
      <c r="P37" s="41">
        <f t="shared" si="3"/>
        <v>0.1449431422756996</v>
      </c>
      <c r="Q37" s="41">
        <f t="shared" si="3"/>
        <v>2.0624313778659198E-2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0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&lt;90%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LESS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orientation="portrait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1" activePane="bottomRight" state="frozen"/>
      <selection activeCell="A9" sqref="A9"/>
      <selection pane="topRight" activeCell="A9" sqref="A9"/>
      <selection pane="bottomLeft" activeCell="A9" sqref="A9"/>
      <selection pane="bottomRight" activeCell="Q32" sqref="Q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45652.041666666664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45652.041666666664</v>
      </c>
      <c r="B9" s="51">
        <v>8.2200000000000006</v>
      </c>
      <c r="C9" s="51">
        <v>16.39</v>
      </c>
      <c r="D9" s="51">
        <v>16.510000000000002</v>
      </c>
      <c r="E9" s="51">
        <v>10.24</v>
      </c>
      <c r="F9" s="53" t="s">
        <v>8</v>
      </c>
      <c r="G9" s="51">
        <v>24.78</v>
      </c>
      <c r="H9" s="51">
        <v>5.79</v>
      </c>
      <c r="I9" s="51">
        <v>4.92</v>
      </c>
      <c r="J9" s="51">
        <v>0.57999999999999996</v>
      </c>
      <c r="K9" s="51">
        <v>140.16999999999999</v>
      </c>
      <c r="L9" s="51">
        <v>20.059999999999999</v>
      </c>
      <c r="M9" s="51">
        <v>89.32</v>
      </c>
      <c r="N9" s="51">
        <v>1.7</v>
      </c>
      <c r="O9" s="51">
        <v>0</v>
      </c>
      <c r="P9" s="51">
        <v>0.42</v>
      </c>
      <c r="Q9" s="51">
        <v>10</v>
      </c>
    </row>
    <row r="10" spans="1:21" customFormat="1">
      <c r="A10" s="50">
        <v>45652.083333333336</v>
      </c>
      <c r="B10" s="51">
        <v>9.3699999999999992</v>
      </c>
      <c r="C10" s="51">
        <v>16.68</v>
      </c>
      <c r="D10" s="51">
        <v>17.5</v>
      </c>
      <c r="E10" s="51">
        <v>10.29</v>
      </c>
      <c r="F10" s="53" t="s">
        <v>8</v>
      </c>
      <c r="G10" s="51">
        <v>27.66</v>
      </c>
      <c r="H10" s="51">
        <v>7.68</v>
      </c>
      <c r="I10" s="51">
        <v>4.92</v>
      </c>
      <c r="J10" s="51">
        <v>0.27</v>
      </c>
      <c r="K10" s="51">
        <v>152.76</v>
      </c>
      <c r="L10" s="51">
        <v>19.62</v>
      </c>
      <c r="M10" s="51">
        <v>90.37</v>
      </c>
      <c r="N10" s="51">
        <v>1.8</v>
      </c>
      <c r="O10" s="51">
        <v>0</v>
      </c>
      <c r="P10" s="51">
        <v>0.43</v>
      </c>
      <c r="Q10" s="51">
        <v>10.01</v>
      </c>
    </row>
    <row r="11" spans="1:21" customFormat="1">
      <c r="A11" s="50">
        <v>45652.125</v>
      </c>
      <c r="B11" s="51">
        <v>9.41</v>
      </c>
      <c r="C11" s="51">
        <v>16.440000000000001</v>
      </c>
      <c r="D11" s="51">
        <v>17.38</v>
      </c>
      <c r="E11" s="51">
        <v>10.27</v>
      </c>
      <c r="F11" s="53" t="s">
        <v>8</v>
      </c>
      <c r="G11" s="51">
        <v>27.35</v>
      </c>
      <c r="H11" s="51">
        <v>7.56</v>
      </c>
      <c r="I11" s="51">
        <v>4.92</v>
      </c>
      <c r="J11" s="51">
        <v>0.44</v>
      </c>
      <c r="K11" s="51">
        <v>139.07</v>
      </c>
      <c r="L11" s="51">
        <v>19.46</v>
      </c>
      <c r="M11" s="51">
        <v>93.4</v>
      </c>
      <c r="N11" s="51">
        <v>1.7</v>
      </c>
      <c r="O11" s="51">
        <v>0</v>
      </c>
      <c r="P11" s="51">
        <v>0.44</v>
      </c>
      <c r="Q11" s="51">
        <v>10.029999999999999</v>
      </c>
    </row>
    <row r="12" spans="1:21" customFormat="1">
      <c r="A12" s="50">
        <v>45652.166666666664</v>
      </c>
      <c r="B12" s="51">
        <v>9.14</v>
      </c>
      <c r="C12" s="51">
        <v>15.67</v>
      </c>
      <c r="D12" s="51">
        <v>16.760000000000002</v>
      </c>
      <c r="E12" s="51">
        <v>9.75</v>
      </c>
      <c r="F12" s="53" t="s">
        <v>8</v>
      </c>
      <c r="G12" s="51">
        <v>23.52</v>
      </c>
      <c r="H12" s="51">
        <v>7.99</v>
      </c>
      <c r="I12" s="51">
        <v>4.83</v>
      </c>
      <c r="J12" s="51">
        <v>0.19</v>
      </c>
      <c r="K12" s="51">
        <v>147.86000000000001</v>
      </c>
      <c r="L12" s="51">
        <v>19.04</v>
      </c>
      <c r="M12" s="51">
        <v>93.41</v>
      </c>
      <c r="N12" s="51">
        <v>1.6</v>
      </c>
      <c r="O12" s="51">
        <v>0</v>
      </c>
      <c r="P12" s="51">
        <v>0.4</v>
      </c>
      <c r="Q12" s="51">
        <v>10.050000000000001</v>
      </c>
    </row>
    <row r="13" spans="1:21" customFormat="1">
      <c r="A13" s="50">
        <v>45652.208333333336</v>
      </c>
      <c r="B13" s="51">
        <v>10.9</v>
      </c>
      <c r="C13" s="51">
        <v>16.41</v>
      </c>
      <c r="D13" s="51">
        <v>18.670000000000002</v>
      </c>
      <c r="E13" s="51">
        <v>10.3</v>
      </c>
      <c r="F13" s="53" t="s">
        <v>8</v>
      </c>
      <c r="G13" s="51">
        <v>23.5</v>
      </c>
      <c r="H13" s="51">
        <v>7.94</v>
      </c>
      <c r="I13" s="51">
        <v>4.6900000000000004</v>
      </c>
      <c r="J13" s="51">
        <v>0.5</v>
      </c>
      <c r="K13" s="51">
        <v>113.3</v>
      </c>
      <c r="L13" s="51">
        <v>18.760000000000002</v>
      </c>
      <c r="M13" s="51">
        <v>97.37</v>
      </c>
      <c r="N13" s="51">
        <v>1.6</v>
      </c>
      <c r="O13" s="51">
        <v>0</v>
      </c>
      <c r="P13" s="51">
        <v>0.39</v>
      </c>
      <c r="Q13" s="51">
        <v>10.029999999999999</v>
      </c>
    </row>
    <row r="14" spans="1:21" customFormat="1">
      <c r="A14" s="50">
        <v>45652.25</v>
      </c>
      <c r="B14" s="51">
        <v>14.29</v>
      </c>
      <c r="C14" s="51">
        <v>16.559999999999999</v>
      </c>
      <c r="D14" s="51">
        <v>21.41</v>
      </c>
      <c r="E14" s="51">
        <v>9.76</v>
      </c>
      <c r="F14" s="53" t="s">
        <v>8</v>
      </c>
      <c r="G14" s="51">
        <v>24.48</v>
      </c>
      <c r="H14" s="51">
        <v>7.15</v>
      </c>
      <c r="I14" s="51">
        <v>4.93</v>
      </c>
      <c r="J14" s="51">
        <v>0.72</v>
      </c>
      <c r="K14" s="51">
        <v>55.87</v>
      </c>
      <c r="L14" s="51">
        <v>18.079999999999998</v>
      </c>
      <c r="M14" s="51">
        <v>100.58</v>
      </c>
      <c r="N14" s="51">
        <v>1.7</v>
      </c>
      <c r="O14" s="51">
        <v>0</v>
      </c>
      <c r="P14" s="51">
        <v>0.4</v>
      </c>
      <c r="Q14" s="51">
        <v>10.050000000000001</v>
      </c>
    </row>
    <row r="15" spans="1:21" customFormat="1">
      <c r="A15" s="50">
        <v>45652.291666666664</v>
      </c>
      <c r="B15" s="51">
        <v>17.97</v>
      </c>
      <c r="C15" s="51">
        <v>16.600000000000001</v>
      </c>
      <c r="D15" s="51">
        <v>24.42</v>
      </c>
      <c r="E15" s="51">
        <v>9.8699999999999992</v>
      </c>
      <c r="F15" s="53" t="s">
        <v>8</v>
      </c>
      <c r="G15" s="51">
        <v>24.59</v>
      </c>
      <c r="H15" s="51">
        <v>7.23</v>
      </c>
      <c r="I15" s="51">
        <v>5.29</v>
      </c>
      <c r="J15" s="51">
        <v>0.75</v>
      </c>
      <c r="K15" s="51">
        <v>55.32</v>
      </c>
      <c r="L15" s="51">
        <v>17.489999999999998</v>
      </c>
      <c r="M15" s="51">
        <v>101.9</v>
      </c>
      <c r="N15" s="51">
        <v>13.4</v>
      </c>
      <c r="O15" s="51">
        <v>0</v>
      </c>
      <c r="P15" s="51">
        <v>0.44</v>
      </c>
      <c r="Q15" s="51">
        <v>10.07</v>
      </c>
    </row>
    <row r="16" spans="1:21" customFormat="1">
      <c r="A16" s="50">
        <v>45652.333333333336</v>
      </c>
      <c r="B16" s="51">
        <v>19.57</v>
      </c>
      <c r="C16" s="51">
        <v>16.89</v>
      </c>
      <c r="D16" s="51">
        <v>25.87</v>
      </c>
      <c r="E16" s="51">
        <v>10.46</v>
      </c>
      <c r="F16" s="53" t="s">
        <v>8</v>
      </c>
      <c r="G16" s="51">
        <v>37.18</v>
      </c>
      <c r="H16" s="51">
        <v>11.48</v>
      </c>
      <c r="I16" s="51">
        <v>6.12</v>
      </c>
      <c r="J16" s="51">
        <v>0.76</v>
      </c>
      <c r="K16" s="51">
        <v>62.94</v>
      </c>
      <c r="L16" s="51">
        <v>19.440000000000001</v>
      </c>
      <c r="M16" s="51">
        <v>101.71</v>
      </c>
      <c r="N16" s="51">
        <v>116.7</v>
      </c>
      <c r="O16" s="51">
        <v>0</v>
      </c>
      <c r="P16" s="51">
        <v>0.54</v>
      </c>
      <c r="Q16" s="51">
        <v>10.08</v>
      </c>
    </row>
    <row r="17" spans="1:17" customFormat="1">
      <c r="A17" s="50">
        <v>45652.375</v>
      </c>
      <c r="B17" s="51">
        <v>19.329999999999998</v>
      </c>
      <c r="C17" s="51">
        <v>17.45</v>
      </c>
      <c r="D17" s="51">
        <v>25.79</v>
      </c>
      <c r="E17" s="51">
        <v>10.33</v>
      </c>
      <c r="F17" s="53" t="s">
        <v>8</v>
      </c>
      <c r="G17" s="51">
        <v>37.450000000000003</v>
      </c>
      <c r="H17" s="51">
        <v>12.59</v>
      </c>
      <c r="I17" s="51">
        <v>6.59</v>
      </c>
      <c r="J17" s="51">
        <v>1.01</v>
      </c>
      <c r="K17" s="51">
        <v>82.57</v>
      </c>
      <c r="L17" s="51">
        <v>22.01</v>
      </c>
      <c r="M17" s="51">
        <v>90.83</v>
      </c>
      <c r="N17" s="51">
        <v>157.5</v>
      </c>
      <c r="O17" s="51">
        <v>0</v>
      </c>
      <c r="P17" s="51">
        <v>0.55000000000000004</v>
      </c>
      <c r="Q17" s="51">
        <v>10.039999999999999</v>
      </c>
    </row>
    <row r="18" spans="1:17" customFormat="1">
      <c r="A18" s="50">
        <v>45652.416666666664</v>
      </c>
      <c r="B18" s="51">
        <v>18.579999999999998</v>
      </c>
      <c r="C18" s="51">
        <v>17.34</v>
      </c>
      <c r="D18" s="51">
        <v>25.13</v>
      </c>
      <c r="E18" s="51">
        <v>10.050000000000001</v>
      </c>
      <c r="F18" s="53" t="s">
        <v>8</v>
      </c>
      <c r="G18" s="51">
        <v>37.409999999999997</v>
      </c>
      <c r="H18" s="51">
        <v>13.23</v>
      </c>
      <c r="I18" s="51">
        <v>6.6</v>
      </c>
      <c r="J18" s="51">
        <v>0.71</v>
      </c>
      <c r="K18" s="51">
        <v>142.77000000000001</v>
      </c>
      <c r="L18" s="51">
        <v>24.79</v>
      </c>
      <c r="M18" s="51">
        <v>79.13</v>
      </c>
      <c r="N18" s="51">
        <v>227.2</v>
      </c>
      <c r="O18" s="51">
        <v>0</v>
      </c>
      <c r="P18" s="51">
        <v>0.56000000000000005</v>
      </c>
      <c r="Q18" s="51">
        <v>10.050000000000001</v>
      </c>
    </row>
    <row r="19" spans="1:17" customFormat="1">
      <c r="A19" s="50">
        <v>45652.458333333336</v>
      </c>
      <c r="B19" s="51">
        <v>16.62</v>
      </c>
      <c r="C19" s="51">
        <v>17.14</v>
      </c>
      <c r="D19" s="51">
        <v>23.42</v>
      </c>
      <c r="E19" s="51">
        <v>9.94</v>
      </c>
      <c r="F19" s="53" t="s">
        <v>8</v>
      </c>
      <c r="G19" s="51">
        <v>36.47</v>
      </c>
      <c r="H19" s="51">
        <v>13.15</v>
      </c>
      <c r="I19" s="51">
        <v>6.51</v>
      </c>
      <c r="J19" s="51">
        <v>0.56999999999999995</v>
      </c>
      <c r="K19" s="51">
        <v>133.1</v>
      </c>
      <c r="L19" s="51">
        <v>27.08</v>
      </c>
      <c r="M19" s="51">
        <v>67.84</v>
      </c>
      <c r="N19" s="51">
        <v>447.8</v>
      </c>
      <c r="O19" s="51">
        <v>0</v>
      </c>
      <c r="P19" s="51">
        <v>0.55000000000000004</v>
      </c>
      <c r="Q19" s="51">
        <v>10.06</v>
      </c>
    </row>
    <row r="20" spans="1:17" customFormat="1">
      <c r="A20" s="50">
        <v>45652.5</v>
      </c>
      <c r="B20" s="51">
        <v>14.45</v>
      </c>
      <c r="C20" s="51">
        <v>16.850000000000001</v>
      </c>
      <c r="D20" s="51">
        <v>21.64</v>
      </c>
      <c r="E20" s="51">
        <v>9.69</v>
      </c>
      <c r="F20" s="53" t="s">
        <v>8</v>
      </c>
      <c r="G20" s="51">
        <v>31.91</v>
      </c>
      <c r="H20" s="51">
        <v>12.04</v>
      </c>
      <c r="I20" s="51">
        <v>6.29</v>
      </c>
      <c r="J20" s="51">
        <v>0.43</v>
      </c>
      <c r="K20" s="51">
        <v>63</v>
      </c>
      <c r="L20" s="51">
        <v>27.34</v>
      </c>
      <c r="M20" s="51">
        <v>59.36</v>
      </c>
      <c r="N20" s="51">
        <v>392.2</v>
      </c>
      <c r="O20" s="51">
        <v>0</v>
      </c>
      <c r="P20" s="51">
        <v>0.52</v>
      </c>
      <c r="Q20" s="51">
        <v>10.06</v>
      </c>
    </row>
    <row r="21" spans="1:17" customFormat="1">
      <c r="A21" s="50">
        <v>45652.541666666664</v>
      </c>
      <c r="B21" s="9" t="s">
        <v>4</v>
      </c>
      <c r="C21" s="9" t="s">
        <v>4</v>
      </c>
      <c r="D21" s="9" t="s">
        <v>4</v>
      </c>
      <c r="E21" s="9" t="s">
        <v>4</v>
      </c>
      <c r="F21" s="9" t="s">
        <v>4</v>
      </c>
      <c r="G21" s="9" t="s">
        <v>4</v>
      </c>
      <c r="H21" s="9" t="s">
        <v>4</v>
      </c>
      <c r="I21" s="9" t="s">
        <v>4</v>
      </c>
      <c r="J21" s="9" t="s">
        <v>4</v>
      </c>
      <c r="K21" s="9" t="s">
        <v>4</v>
      </c>
      <c r="L21" s="9" t="s">
        <v>4</v>
      </c>
      <c r="M21" s="9" t="s">
        <v>4</v>
      </c>
      <c r="N21" s="9" t="s">
        <v>4</v>
      </c>
      <c r="O21" s="9" t="s">
        <v>4</v>
      </c>
      <c r="P21" s="9" t="s">
        <v>4</v>
      </c>
      <c r="Q21" s="9" t="s">
        <v>4</v>
      </c>
    </row>
    <row r="22" spans="1:17" customFormat="1">
      <c r="A22" s="50">
        <v>45652.583333333336</v>
      </c>
      <c r="B22" s="9" t="s">
        <v>4</v>
      </c>
      <c r="C22" s="9" t="s">
        <v>4</v>
      </c>
      <c r="D22" s="9" t="s">
        <v>4</v>
      </c>
      <c r="E22" s="9" t="s">
        <v>4</v>
      </c>
      <c r="F22" s="9" t="s">
        <v>4</v>
      </c>
      <c r="G22" s="9" t="s">
        <v>4</v>
      </c>
      <c r="H22" s="9" t="s">
        <v>4</v>
      </c>
      <c r="I22" s="9" t="s">
        <v>4</v>
      </c>
      <c r="J22" s="9" t="s">
        <v>4</v>
      </c>
      <c r="K22" s="9" t="s">
        <v>4</v>
      </c>
      <c r="L22" s="9" t="s">
        <v>4</v>
      </c>
      <c r="M22" s="9" t="s">
        <v>4</v>
      </c>
      <c r="N22" s="9" t="s">
        <v>4</v>
      </c>
      <c r="O22" s="9" t="s">
        <v>4</v>
      </c>
      <c r="P22" s="9" t="s">
        <v>4</v>
      </c>
      <c r="Q22" s="9" t="s">
        <v>4</v>
      </c>
    </row>
    <row r="23" spans="1:17" customFormat="1">
      <c r="A23" s="50">
        <v>45652.625</v>
      </c>
      <c r="B23" s="29" t="s">
        <v>21</v>
      </c>
      <c r="C23" s="29" t="s">
        <v>21</v>
      </c>
      <c r="D23" s="29" t="s">
        <v>21</v>
      </c>
      <c r="E23" s="51">
        <v>14.09</v>
      </c>
      <c r="F23" s="53" t="s">
        <v>8</v>
      </c>
      <c r="G23" s="51">
        <v>30.67</v>
      </c>
      <c r="H23" s="51">
        <v>8.66</v>
      </c>
      <c r="I23" s="51">
        <v>0</v>
      </c>
      <c r="J23" s="51">
        <v>0.25</v>
      </c>
      <c r="K23" s="51">
        <v>112.33</v>
      </c>
      <c r="L23" s="51">
        <v>27.39</v>
      </c>
      <c r="M23" s="51">
        <v>60.23</v>
      </c>
      <c r="N23" s="51">
        <v>82.2</v>
      </c>
      <c r="O23" s="51">
        <v>0</v>
      </c>
      <c r="P23" s="51">
        <v>0.43</v>
      </c>
      <c r="Q23" s="29" t="s">
        <v>21</v>
      </c>
    </row>
    <row r="24" spans="1:17" customFormat="1">
      <c r="A24" s="50">
        <v>45652.666666666664</v>
      </c>
      <c r="B24" s="51">
        <v>12.69</v>
      </c>
      <c r="C24" s="51">
        <v>16.93</v>
      </c>
      <c r="D24" s="51">
        <v>20.11</v>
      </c>
      <c r="E24" s="51">
        <v>1.1399999999999999</v>
      </c>
      <c r="F24" s="53" t="s">
        <v>8</v>
      </c>
      <c r="G24" s="51">
        <v>56.35</v>
      </c>
      <c r="H24" s="51">
        <v>15.89</v>
      </c>
      <c r="I24" s="51">
        <v>6.63</v>
      </c>
      <c r="J24" s="51">
        <v>0.23</v>
      </c>
      <c r="K24" s="51">
        <v>234.14</v>
      </c>
      <c r="L24" s="51">
        <v>27.46</v>
      </c>
      <c r="M24" s="51">
        <v>64.59</v>
      </c>
      <c r="N24" s="51">
        <v>69.7</v>
      </c>
      <c r="O24" s="51">
        <v>0</v>
      </c>
      <c r="P24" s="51">
        <v>0.34</v>
      </c>
      <c r="Q24" s="27" t="s">
        <v>14</v>
      </c>
    </row>
    <row r="25" spans="1:17" customFormat="1">
      <c r="A25" s="50">
        <v>45652.708333333336</v>
      </c>
      <c r="B25" s="51">
        <v>10.86</v>
      </c>
      <c r="C25" s="51">
        <v>16.510000000000002</v>
      </c>
      <c r="D25" s="51">
        <v>18.690000000000001</v>
      </c>
      <c r="E25" s="27" t="s">
        <v>14</v>
      </c>
      <c r="F25" s="53" t="s">
        <v>8</v>
      </c>
      <c r="G25" s="51">
        <v>55.15</v>
      </c>
      <c r="H25" s="51">
        <v>15.81</v>
      </c>
      <c r="I25" s="51">
        <v>6.23</v>
      </c>
      <c r="J25" s="51">
        <v>0.15</v>
      </c>
      <c r="K25" s="51">
        <v>222.26</v>
      </c>
      <c r="L25" s="51">
        <v>26.08</v>
      </c>
      <c r="M25" s="51">
        <v>69.819999999999993</v>
      </c>
      <c r="N25" s="51">
        <v>36.5</v>
      </c>
      <c r="O25" s="51">
        <v>0</v>
      </c>
      <c r="P25" s="51">
        <v>0.19</v>
      </c>
      <c r="Q25" s="27" t="s">
        <v>14</v>
      </c>
    </row>
    <row r="26" spans="1:17" customFormat="1">
      <c r="A26" s="50">
        <v>45652.75</v>
      </c>
      <c r="B26" s="51">
        <v>9.8800000000000008</v>
      </c>
      <c r="C26" s="51">
        <v>16.34</v>
      </c>
      <c r="D26" s="51">
        <v>17.66</v>
      </c>
      <c r="E26" s="27" t="s">
        <v>14</v>
      </c>
      <c r="F26" s="53" t="s">
        <v>8</v>
      </c>
      <c r="G26" s="51">
        <v>37.42</v>
      </c>
      <c r="H26" s="51">
        <v>14.75</v>
      </c>
      <c r="I26" s="51">
        <v>6.09</v>
      </c>
      <c r="J26" s="51">
        <v>0.12</v>
      </c>
      <c r="K26" s="51">
        <v>214.3</v>
      </c>
      <c r="L26" s="51">
        <v>24.61</v>
      </c>
      <c r="M26" s="51">
        <v>79.900000000000006</v>
      </c>
      <c r="N26" s="51">
        <v>4.8</v>
      </c>
      <c r="O26" s="51">
        <v>0</v>
      </c>
      <c r="P26" s="51">
        <v>0.18</v>
      </c>
      <c r="Q26" s="27" t="s">
        <v>14</v>
      </c>
    </row>
    <row r="27" spans="1:17" customFormat="1">
      <c r="A27" s="50">
        <v>45652.791666666664</v>
      </c>
      <c r="B27" s="51">
        <v>10</v>
      </c>
      <c r="C27" s="51">
        <v>16.690000000000001</v>
      </c>
      <c r="D27" s="51">
        <v>18.03</v>
      </c>
      <c r="E27" s="51">
        <v>11.45</v>
      </c>
      <c r="F27" s="53" t="s">
        <v>8</v>
      </c>
      <c r="G27" s="51">
        <v>30.96</v>
      </c>
      <c r="H27" s="51">
        <v>13.25</v>
      </c>
      <c r="I27" s="51">
        <v>6.14</v>
      </c>
      <c r="J27" s="51">
        <v>0.14000000000000001</v>
      </c>
      <c r="K27" s="51">
        <v>211.66</v>
      </c>
      <c r="L27" s="51">
        <v>22.81</v>
      </c>
      <c r="M27" s="51">
        <v>83.5</v>
      </c>
      <c r="N27" s="51">
        <v>1.8</v>
      </c>
      <c r="O27" s="51">
        <v>0</v>
      </c>
      <c r="P27" s="51">
        <v>0.17</v>
      </c>
      <c r="Q27" s="27" t="s">
        <v>14</v>
      </c>
    </row>
    <row r="28" spans="1:17" customFormat="1">
      <c r="A28" s="50">
        <v>45652.833333333336</v>
      </c>
      <c r="B28" s="51">
        <v>10.130000000000001</v>
      </c>
      <c r="C28" s="51">
        <v>17.350000000000001</v>
      </c>
      <c r="D28" s="51">
        <v>18.54</v>
      </c>
      <c r="E28" s="51">
        <v>10.62</v>
      </c>
      <c r="F28" s="53" t="s">
        <v>8</v>
      </c>
      <c r="G28" s="51">
        <v>32.72</v>
      </c>
      <c r="H28" s="51">
        <v>9.86</v>
      </c>
      <c r="I28" s="51">
        <v>6.37</v>
      </c>
      <c r="J28" s="51">
        <v>0.25</v>
      </c>
      <c r="K28" s="51">
        <v>160.69999999999999</v>
      </c>
      <c r="L28" s="51">
        <v>22.14</v>
      </c>
      <c r="M28" s="51">
        <v>85.64</v>
      </c>
      <c r="N28" s="51">
        <v>1.7</v>
      </c>
      <c r="O28" s="51">
        <v>0</v>
      </c>
      <c r="P28" s="51">
        <v>0.17</v>
      </c>
      <c r="Q28" s="27" t="s">
        <v>14</v>
      </c>
    </row>
    <row r="29" spans="1:17" customFormat="1">
      <c r="A29" s="50">
        <v>45652.875</v>
      </c>
      <c r="B29" s="51">
        <v>9.59</v>
      </c>
      <c r="C29" s="51">
        <v>17</v>
      </c>
      <c r="D29" s="51">
        <v>17.84</v>
      </c>
      <c r="E29" s="51">
        <v>8.8800000000000008</v>
      </c>
      <c r="F29" s="53" t="s">
        <v>8</v>
      </c>
      <c r="G29" s="51">
        <v>40.340000000000003</v>
      </c>
      <c r="H29" s="51">
        <v>12.24</v>
      </c>
      <c r="I29" s="51">
        <v>6.75</v>
      </c>
      <c r="J29" s="51">
        <v>0.24</v>
      </c>
      <c r="K29" s="51">
        <v>208.45</v>
      </c>
      <c r="L29" s="51">
        <v>21.71</v>
      </c>
      <c r="M29" s="51">
        <v>91.26</v>
      </c>
      <c r="N29" s="51">
        <v>1.7</v>
      </c>
      <c r="O29" s="51">
        <v>0</v>
      </c>
      <c r="P29" s="51">
        <v>0.21</v>
      </c>
      <c r="Q29" s="27" t="s">
        <v>14</v>
      </c>
    </row>
    <row r="30" spans="1:17" customFormat="1">
      <c r="A30" s="50">
        <v>45652.916666666664</v>
      </c>
      <c r="B30" s="51">
        <v>15.17</v>
      </c>
      <c r="C30" s="51">
        <v>18.34</v>
      </c>
      <c r="D30" s="51">
        <v>23.1</v>
      </c>
      <c r="E30" s="51">
        <v>8.67</v>
      </c>
      <c r="F30" s="53" t="s">
        <v>8</v>
      </c>
      <c r="G30" s="51">
        <v>45.2</v>
      </c>
      <c r="H30" s="51">
        <v>12.15</v>
      </c>
      <c r="I30" s="51">
        <v>7.84</v>
      </c>
      <c r="J30" s="51">
        <v>0.24</v>
      </c>
      <c r="K30" s="51">
        <v>161.09</v>
      </c>
      <c r="L30" s="51">
        <v>21.47</v>
      </c>
      <c r="M30" s="51">
        <v>92.35</v>
      </c>
      <c r="N30" s="51">
        <v>1.7</v>
      </c>
      <c r="O30" s="51">
        <v>0</v>
      </c>
      <c r="P30" s="51">
        <v>0.34</v>
      </c>
      <c r="Q30" s="27" t="s">
        <v>14</v>
      </c>
    </row>
    <row r="31" spans="1:17" customFormat="1">
      <c r="A31" s="50">
        <v>45652.958333333336</v>
      </c>
      <c r="B31" s="51">
        <v>21.6</v>
      </c>
      <c r="C31" s="51">
        <v>18.53</v>
      </c>
      <c r="D31" s="51">
        <v>28.35</v>
      </c>
      <c r="E31" s="51">
        <v>8.75</v>
      </c>
      <c r="F31" s="53" t="s">
        <v>8</v>
      </c>
      <c r="G31" s="51">
        <v>59.28</v>
      </c>
      <c r="H31" s="51">
        <v>12.91</v>
      </c>
      <c r="I31" s="51">
        <v>9.5399999999999991</v>
      </c>
      <c r="J31" s="51">
        <v>0.21</v>
      </c>
      <c r="K31" s="51">
        <v>185.96</v>
      </c>
      <c r="L31" s="51">
        <v>20.96</v>
      </c>
      <c r="M31" s="51">
        <v>94.68</v>
      </c>
      <c r="N31" s="51">
        <v>1.7</v>
      </c>
      <c r="O31" s="51">
        <v>0</v>
      </c>
      <c r="P31" s="51">
        <v>0.43</v>
      </c>
      <c r="Q31" s="27" t="s">
        <v>14</v>
      </c>
    </row>
    <row r="32" spans="1:17" customFormat="1">
      <c r="A32" s="50">
        <v>45653</v>
      </c>
      <c r="B32" s="51">
        <v>27.08</v>
      </c>
      <c r="C32" s="51">
        <v>19.11</v>
      </c>
      <c r="D32" s="51">
        <v>32.869999999999997</v>
      </c>
      <c r="E32" s="51">
        <v>9.1</v>
      </c>
      <c r="F32" s="53" t="s">
        <v>8</v>
      </c>
      <c r="G32" s="51">
        <v>61.94</v>
      </c>
      <c r="H32" s="51">
        <v>16.8</v>
      </c>
      <c r="I32" s="51">
        <v>10.19</v>
      </c>
      <c r="J32" s="51">
        <v>0.21</v>
      </c>
      <c r="K32" s="51">
        <v>231.1</v>
      </c>
      <c r="L32" s="51">
        <v>20.87</v>
      </c>
      <c r="M32" s="51">
        <v>95.08</v>
      </c>
      <c r="N32" s="51">
        <v>1.9</v>
      </c>
      <c r="O32" s="51">
        <v>0</v>
      </c>
      <c r="P32" s="51">
        <v>0.46</v>
      </c>
      <c r="Q32" s="27" t="s">
        <v>14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8.2200000000000006</v>
      </c>
      <c r="C34" s="41">
        <f t="shared" si="0"/>
        <v>15.67</v>
      </c>
      <c r="D34" s="41">
        <f t="shared" si="0"/>
        <v>16.510000000000002</v>
      </c>
      <c r="E34" s="41">
        <f t="shared" si="0"/>
        <v>1.1399999999999999</v>
      </c>
      <c r="F34" s="41">
        <f t="shared" si="0"/>
        <v>0</v>
      </c>
      <c r="G34" s="41">
        <f t="shared" si="0"/>
        <v>23.5</v>
      </c>
      <c r="H34" s="41">
        <f t="shared" si="0"/>
        <v>5.79</v>
      </c>
      <c r="I34" s="41">
        <f t="shared" si="0"/>
        <v>0</v>
      </c>
      <c r="J34" s="41">
        <f t="shared" si="0"/>
        <v>0.12</v>
      </c>
      <c r="K34" s="41">
        <f t="shared" si="0"/>
        <v>55.32</v>
      </c>
      <c r="L34" s="41">
        <f t="shared" si="0"/>
        <v>17.489999999999998</v>
      </c>
      <c r="M34" s="41">
        <f t="shared" si="0"/>
        <v>59.36</v>
      </c>
      <c r="N34" s="41">
        <f t="shared" si="0"/>
        <v>1.6</v>
      </c>
      <c r="O34" s="41">
        <f t="shared" si="0"/>
        <v>0</v>
      </c>
      <c r="P34" s="41">
        <f t="shared" si="0"/>
        <v>0.17</v>
      </c>
      <c r="Q34" s="41">
        <f t="shared" si="0"/>
        <v>10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27.08</v>
      </c>
      <c r="C35" s="33">
        <f t="shared" si="1"/>
        <v>19.11</v>
      </c>
      <c r="D35" s="33">
        <f t="shared" si="1"/>
        <v>32.869999999999997</v>
      </c>
      <c r="E35" s="33">
        <f t="shared" si="1"/>
        <v>14.09</v>
      </c>
      <c r="F35" s="33">
        <f t="shared" si="1"/>
        <v>0</v>
      </c>
      <c r="G35" s="33">
        <f t="shared" si="1"/>
        <v>61.94</v>
      </c>
      <c r="H35" s="33">
        <f t="shared" si="1"/>
        <v>16.8</v>
      </c>
      <c r="I35" s="33">
        <f t="shared" si="1"/>
        <v>10.19</v>
      </c>
      <c r="J35" s="33">
        <f t="shared" si="1"/>
        <v>1.01</v>
      </c>
      <c r="K35" s="33">
        <f t="shared" si="1"/>
        <v>234.14</v>
      </c>
      <c r="L35" s="33">
        <f t="shared" si="1"/>
        <v>27.46</v>
      </c>
      <c r="M35" s="33">
        <f t="shared" si="1"/>
        <v>101.9</v>
      </c>
      <c r="N35" s="33">
        <f t="shared" si="1"/>
        <v>447.8</v>
      </c>
      <c r="O35" s="33">
        <f t="shared" si="1"/>
        <v>0</v>
      </c>
      <c r="P35" s="33">
        <f t="shared" si="1"/>
        <v>0.56000000000000005</v>
      </c>
      <c r="Q35" s="33">
        <f t="shared" si="1"/>
        <v>10.08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14.040476190476189</v>
      </c>
      <c r="C36" s="41">
        <f t="shared" si="2"/>
        <v>17.01047619047619</v>
      </c>
      <c r="D36" s="41">
        <f t="shared" si="2"/>
        <v>21.413809523809526</v>
      </c>
      <c r="E36" s="41">
        <f t="shared" si="2"/>
        <v>9.6824999999999974</v>
      </c>
      <c r="F36" s="41" t="e">
        <f t="shared" si="2"/>
        <v>#DIV/0!</v>
      </c>
      <c r="G36" s="41">
        <f t="shared" si="2"/>
        <v>36.651363636363641</v>
      </c>
      <c r="H36" s="41">
        <f t="shared" si="2"/>
        <v>11.188636363636364</v>
      </c>
      <c r="I36" s="41">
        <f t="shared" si="2"/>
        <v>6.0177272727272735</v>
      </c>
      <c r="J36" s="41">
        <f t="shared" si="2"/>
        <v>0.40772727272727283</v>
      </c>
      <c r="K36" s="41">
        <f t="shared" si="2"/>
        <v>146.85090909090906</v>
      </c>
      <c r="L36" s="41">
        <f t="shared" si="2"/>
        <v>22.212272727272723</v>
      </c>
      <c r="M36" s="41">
        <f t="shared" si="2"/>
        <v>85.557727272727277</v>
      </c>
      <c r="N36" s="41">
        <f t="shared" si="2"/>
        <v>71.300000000000011</v>
      </c>
      <c r="O36" s="41">
        <f t="shared" si="2"/>
        <v>0</v>
      </c>
      <c r="P36" s="41">
        <f t="shared" si="2"/>
        <v>0.3890909090909091</v>
      </c>
      <c r="Q36" s="41">
        <f t="shared" si="2"/>
        <v>10.044166666666667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5.1069614020378893</v>
      </c>
      <c r="C37" s="41">
        <f t="shared" ref="C37:Q37" si="3">STDEV(C9:C32)</f>
        <v>0.80983008211890051</v>
      </c>
      <c r="D37" s="41">
        <f t="shared" si="3"/>
        <v>4.4082008531718015</v>
      </c>
      <c r="E37" s="41">
        <f t="shared" si="3"/>
        <v>2.3165147937092296</v>
      </c>
      <c r="F37" s="41" t="e">
        <f t="shared" si="3"/>
        <v>#DIV/0!</v>
      </c>
      <c r="G37" s="41">
        <f t="shared" si="3"/>
        <v>12.000022339445271</v>
      </c>
      <c r="H37" s="41">
        <f t="shared" si="3"/>
        <v>3.2602107665646698</v>
      </c>
      <c r="I37" s="41">
        <f t="shared" si="3"/>
        <v>1.9511069674080905</v>
      </c>
      <c r="J37" s="41">
        <f t="shared" si="3"/>
        <v>0.25466938077926332</v>
      </c>
      <c r="K37" s="41">
        <f t="shared" si="3"/>
        <v>58.714659718002906</v>
      </c>
      <c r="L37" s="41">
        <f t="shared" si="3"/>
        <v>3.2677004173143045</v>
      </c>
      <c r="M37" s="41">
        <f t="shared" si="3"/>
        <v>13.346293201027471</v>
      </c>
      <c r="N37" s="41">
        <f t="shared" si="3"/>
        <v>128.31039374445524</v>
      </c>
      <c r="O37" s="41">
        <f t="shared" si="3"/>
        <v>0</v>
      </c>
      <c r="P37" s="41">
        <f t="shared" si="3"/>
        <v>0.12975835016379281</v>
      </c>
      <c r="Q37" s="41">
        <f t="shared" si="3"/>
        <v>2.3532698077098832E-2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v>24</v>
      </c>
      <c r="C38" s="46">
        <v>24</v>
      </c>
      <c r="D38" s="46">
        <v>24</v>
      </c>
      <c r="E38" s="46">
        <v>24</v>
      </c>
      <c r="F38" s="46">
        <v>24</v>
      </c>
      <c r="G38" s="46">
        <v>24</v>
      </c>
      <c r="H38" s="46">
        <v>24</v>
      </c>
      <c r="I38" s="46">
        <v>24</v>
      </c>
      <c r="J38" s="46">
        <v>24</v>
      </c>
      <c r="K38" s="46">
        <v>24</v>
      </c>
      <c r="L38" s="46">
        <v>24</v>
      </c>
      <c r="M38" s="46">
        <v>24</v>
      </c>
      <c r="N38" s="46">
        <v>24</v>
      </c>
      <c r="O38" s="46">
        <v>24</v>
      </c>
      <c r="P38" s="46">
        <v>24</v>
      </c>
      <c r="Q38" s="46"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4">IF(C38&gt;=22,"&gt;90%",IF(C38&lt;=22,"&lt;90%"))</f>
        <v>&gt;90%</v>
      </c>
      <c r="D39" s="33" t="str">
        <f t="shared" si="4"/>
        <v>&gt;90%</v>
      </c>
      <c r="E39" s="33" t="str">
        <f t="shared" si="4"/>
        <v>&gt;90%</v>
      </c>
      <c r="F39" s="33" t="str">
        <f t="shared" si="4"/>
        <v>&gt;90%</v>
      </c>
      <c r="G39" s="33" t="str">
        <f t="shared" si="4"/>
        <v>&gt;90%</v>
      </c>
      <c r="H39" s="33" t="str">
        <f t="shared" si="4"/>
        <v>&gt;90%</v>
      </c>
      <c r="I39" s="33" t="str">
        <f t="shared" si="4"/>
        <v>&gt;90%</v>
      </c>
      <c r="J39" s="33" t="str">
        <f t="shared" si="4"/>
        <v>&gt;90%</v>
      </c>
      <c r="K39" s="33" t="str">
        <f t="shared" si="4"/>
        <v>&gt;90%</v>
      </c>
      <c r="L39" s="33" t="str">
        <f t="shared" si="4"/>
        <v>&gt;90%</v>
      </c>
      <c r="M39" s="33" t="str">
        <f t="shared" si="4"/>
        <v>&gt;90%</v>
      </c>
      <c r="N39" s="33" t="str">
        <f t="shared" si="4"/>
        <v>&gt;90%</v>
      </c>
      <c r="O39" s="33" t="str">
        <f t="shared" si="4"/>
        <v>&gt;90%</v>
      </c>
      <c r="P39" s="33" t="str">
        <f t="shared" si="4"/>
        <v>&gt;90%</v>
      </c>
      <c r="Q39" s="33" t="str">
        <f t="shared" si="4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5">IF(C38&gt;=22,"OK",IF(C38&lt;=22,"LESS"))</f>
        <v>OK</v>
      </c>
      <c r="D40" s="33" t="str">
        <f t="shared" si="5"/>
        <v>OK</v>
      </c>
      <c r="E40" s="33" t="str">
        <f t="shared" si="5"/>
        <v>OK</v>
      </c>
      <c r="F40" s="33" t="str">
        <f t="shared" si="5"/>
        <v>OK</v>
      </c>
      <c r="G40" s="33" t="str">
        <f t="shared" si="5"/>
        <v>OK</v>
      </c>
      <c r="H40" s="33" t="str">
        <f t="shared" si="5"/>
        <v>OK</v>
      </c>
      <c r="I40" s="33" t="str">
        <f t="shared" si="5"/>
        <v>OK</v>
      </c>
      <c r="J40" s="33" t="str">
        <f t="shared" si="5"/>
        <v>OK</v>
      </c>
      <c r="K40" s="33" t="str">
        <f t="shared" si="5"/>
        <v>OK</v>
      </c>
      <c r="L40" s="33" t="str">
        <f t="shared" si="5"/>
        <v>OK</v>
      </c>
      <c r="M40" s="33" t="str">
        <f t="shared" si="5"/>
        <v>OK</v>
      </c>
      <c r="N40" s="33" t="str">
        <f t="shared" si="5"/>
        <v>OK</v>
      </c>
      <c r="O40" s="33" t="str">
        <f t="shared" si="5"/>
        <v>OK</v>
      </c>
      <c r="P40" s="33" t="str">
        <f t="shared" si="5"/>
        <v>OK</v>
      </c>
      <c r="Q40" s="33" t="str">
        <f t="shared" si="5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4" activePane="bottomRight" state="frozen"/>
      <selection activeCell="A9" sqref="A9"/>
      <selection pane="topRight" activeCell="A9" sqref="A9"/>
      <selection pane="bottomLeft" activeCell="A9" sqref="A9"/>
      <selection pane="bottomRight" activeCell="Q39" sqref="Q39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45653.041666666664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45653.041666666664</v>
      </c>
      <c r="B9" s="51">
        <v>31.95</v>
      </c>
      <c r="C9" s="51">
        <v>19.510000000000002</v>
      </c>
      <c r="D9" s="51">
        <v>37.11</v>
      </c>
      <c r="E9" s="51">
        <v>8.91</v>
      </c>
      <c r="F9" s="53" t="s">
        <v>8</v>
      </c>
      <c r="G9" s="51">
        <v>61.51</v>
      </c>
      <c r="H9" s="51">
        <v>16.64</v>
      </c>
      <c r="I9" s="51">
        <v>10.45</v>
      </c>
      <c r="J9" s="51">
        <v>0.23</v>
      </c>
      <c r="K9" s="51">
        <v>175.1</v>
      </c>
      <c r="L9" s="51">
        <v>19.87</v>
      </c>
      <c r="M9" s="51">
        <v>96.63</v>
      </c>
      <c r="N9" s="51">
        <v>1.7</v>
      </c>
      <c r="O9" s="51">
        <v>0</v>
      </c>
      <c r="P9" s="51">
        <v>0.53</v>
      </c>
      <c r="Q9" s="27" t="s">
        <v>14</v>
      </c>
    </row>
    <row r="10" spans="1:21" customFormat="1">
      <c r="A10" s="50">
        <v>45653.083333333336</v>
      </c>
      <c r="B10" s="51">
        <v>32.799999999999997</v>
      </c>
      <c r="C10" s="51">
        <v>19.91</v>
      </c>
      <c r="D10" s="51">
        <v>37.869999999999997</v>
      </c>
      <c r="E10" s="51">
        <v>8.94</v>
      </c>
      <c r="F10" s="53" t="s">
        <v>8</v>
      </c>
      <c r="G10" s="51">
        <v>56.36</v>
      </c>
      <c r="H10" s="51">
        <v>14.66</v>
      </c>
      <c r="I10" s="51">
        <v>10.55</v>
      </c>
      <c r="J10" s="51">
        <v>0.22</v>
      </c>
      <c r="K10" s="51">
        <v>217.18</v>
      </c>
      <c r="L10" s="51">
        <v>19.88</v>
      </c>
      <c r="M10" s="51">
        <v>98.79</v>
      </c>
      <c r="N10" s="51">
        <v>1.7</v>
      </c>
      <c r="O10" s="51">
        <v>0</v>
      </c>
      <c r="P10" s="51">
        <v>0.52</v>
      </c>
      <c r="Q10" s="27" t="s">
        <v>14</v>
      </c>
    </row>
    <row r="11" spans="1:21" customFormat="1">
      <c r="A11" s="50">
        <v>45653.125</v>
      </c>
      <c r="B11" s="51">
        <v>31.39</v>
      </c>
      <c r="C11" s="51">
        <v>19.690000000000001</v>
      </c>
      <c r="D11" s="51">
        <v>36.72</v>
      </c>
      <c r="E11" s="51">
        <v>11.19</v>
      </c>
      <c r="F11" s="53" t="s">
        <v>8</v>
      </c>
      <c r="G11" s="51">
        <v>55.68</v>
      </c>
      <c r="H11" s="51">
        <v>13.75</v>
      </c>
      <c r="I11" s="51">
        <v>10.41</v>
      </c>
      <c r="J11" s="51">
        <v>0.28999999999999998</v>
      </c>
      <c r="K11" s="51">
        <v>98.35</v>
      </c>
      <c r="L11" s="51">
        <v>19.54</v>
      </c>
      <c r="M11" s="51">
        <v>98.44</v>
      </c>
      <c r="N11" s="51">
        <v>1.6</v>
      </c>
      <c r="O11" s="51">
        <v>0</v>
      </c>
      <c r="P11" s="51">
        <v>0.49</v>
      </c>
      <c r="Q11" s="27" t="s">
        <v>14</v>
      </c>
    </row>
    <row r="12" spans="1:21" customFormat="1">
      <c r="A12" s="50">
        <v>45653.166666666664</v>
      </c>
      <c r="B12" s="51">
        <v>30.32</v>
      </c>
      <c r="C12" s="51">
        <v>19.7</v>
      </c>
      <c r="D12" s="51">
        <v>35.93</v>
      </c>
      <c r="E12" s="51">
        <v>10.93</v>
      </c>
      <c r="F12" s="53" t="s">
        <v>8</v>
      </c>
      <c r="G12" s="51">
        <v>47.79</v>
      </c>
      <c r="H12" s="51">
        <v>11.9</v>
      </c>
      <c r="I12" s="51">
        <v>10.050000000000001</v>
      </c>
      <c r="J12" s="51">
        <v>0.32</v>
      </c>
      <c r="K12" s="51">
        <v>86.91</v>
      </c>
      <c r="L12" s="51">
        <v>19.43</v>
      </c>
      <c r="M12" s="51">
        <v>98.05</v>
      </c>
      <c r="N12" s="51">
        <v>1.7</v>
      </c>
      <c r="O12" s="51">
        <v>0</v>
      </c>
      <c r="P12" s="51">
        <v>0.47</v>
      </c>
      <c r="Q12" s="27" t="s">
        <v>14</v>
      </c>
    </row>
    <row r="13" spans="1:21" customFormat="1">
      <c r="A13" s="50">
        <v>45653.208333333336</v>
      </c>
      <c r="B13" s="51">
        <v>29.67</v>
      </c>
      <c r="C13" s="51">
        <v>19.559999999999999</v>
      </c>
      <c r="D13" s="51">
        <v>35.36</v>
      </c>
      <c r="E13" s="51">
        <v>10.78</v>
      </c>
      <c r="F13" s="53" t="s">
        <v>8</v>
      </c>
      <c r="G13" s="51">
        <v>47.72</v>
      </c>
      <c r="H13" s="51">
        <v>11.87</v>
      </c>
      <c r="I13" s="51">
        <v>9.84</v>
      </c>
      <c r="J13" s="51">
        <v>0.52</v>
      </c>
      <c r="K13" s="51">
        <v>75.98</v>
      </c>
      <c r="L13" s="51">
        <v>19.14</v>
      </c>
      <c r="M13" s="51">
        <v>98.72</v>
      </c>
      <c r="N13" s="51">
        <v>1.7</v>
      </c>
      <c r="O13" s="51">
        <v>0</v>
      </c>
      <c r="P13" s="51">
        <v>0.45</v>
      </c>
      <c r="Q13" s="27" t="s">
        <v>14</v>
      </c>
    </row>
    <row r="14" spans="1:21" customFormat="1">
      <c r="A14" s="50">
        <v>45653.25</v>
      </c>
      <c r="B14" s="51">
        <v>28.56</v>
      </c>
      <c r="C14" s="51">
        <v>19.46</v>
      </c>
      <c r="D14" s="51">
        <v>34.32</v>
      </c>
      <c r="E14" s="51">
        <v>10.59</v>
      </c>
      <c r="F14" s="53" t="s">
        <v>8</v>
      </c>
      <c r="G14" s="51">
        <v>46.58</v>
      </c>
      <c r="H14" s="51">
        <v>12.4</v>
      </c>
      <c r="I14" s="51">
        <v>9.68</v>
      </c>
      <c r="J14" s="51">
        <v>0.42</v>
      </c>
      <c r="K14" s="51">
        <v>75.87</v>
      </c>
      <c r="L14" s="51">
        <v>19.05</v>
      </c>
      <c r="M14" s="51">
        <v>99.2</v>
      </c>
      <c r="N14" s="51">
        <v>1.7</v>
      </c>
      <c r="O14" s="51">
        <v>0</v>
      </c>
      <c r="P14" s="51">
        <v>0.42</v>
      </c>
      <c r="Q14" s="27" t="s">
        <v>14</v>
      </c>
    </row>
    <row r="15" spans="1:21" customFormat="1">
      <c r="A15" s="50">
        <v>45653.291666666664</v>
      </c>
      <c r="B15" s="51">
        <v>29.08</v>
      </c>
      <c r="C15" s="51">
        <v>19.46</v>
      </c>
      <c r="D15" s="51">
        <v>34.72</v>
      </c>
      <c r="E15" s="51">
        <v>9.7100000000000009</v>
      </c>
      <c r="F15" s="53" t="s">
        <v>8</v>
      </c>
      <c r="G15" s="51">
        <v>45.73</v>
      </c>
      <c r="H15" s="51">
        <v>12.4</v>
      </c>
      <c r="I15" s="51">
        <v>9.43</v>
      </c>
      <c r="J15" s="51">
        <v>0.34</v>
      </c>
      <c r="K15" s="51">
        <v>184.87</v>
      </c>
      <c r="L15" s="51">
        <v>18.75</v>
      </c>
      <c r="M15" s="51">
        <v>100.28</v>
      </c>
      <c r="N15" s="51">
        <v>15.9</v>
      </c>
      <c r="O15" s="51">
        <v>0</v>
      </c>
      <c r="P15" s="51">
        <v>0.38</v>
      </c>
      <c r="Q15" s="27" t="s">
        <v>14</v>
      </c>
    </row>
    <row r="16" spans="1:21" customFormat="1">
      <c r="A16" s="50">
        <v>45653.333333333336</v>
      </c>
      <c r="B16" s="51">
        <v>29.11</v>
      </c>
      <c r="C16" s="51">
        <v>19.64</v>
      </c>
      <c r="D16" s="51">
        <v>34.81</v>
      </c>
      <c r="E16" s="51">
        <v>9.44</v>
      </c>
      <c r="F16" s="53" t="s">
        <v>8</v>
      </c>
      <c r="G16" s="51">
        <v>48.23</v>
      </c>
      <c r="H16" s="51">
        <v>18.920000000000002</v>
      </c>
      <c r="I16" s="51">
        <v>9.64</v>
      </c>
      <c r="J16" s="51">
        <v>0.6</v>
      </c>
      <c r="K16" s="51">
        <v>77.91</v>
      </c>
      <c r="L16" s="51">
        <v>20.37</v>
      </c>
      <c r="M16" s="51">
        <v>98.73</v>
      </c>
      <c r="N16" s="51">
        <v>81</v>
      </c>
      <c r="O16" s="51">
        <v>0</v>
      </c>
      <c r="P16" s="51">
        <v>0.42</v>
      </c>
      <c r="Q16" s="27" t="s">
        <v>14</v>
      </c>
    </row>
    <row r="17" spans="1:17" customFormat="1">
      <c r="A17" s="50">
        <v>45653.375</v>
      </c>
      <c r="B17" s="51">
        <v>26.36</v>
      </c>
      <c r="C17" s="51">
        <v>20.96</v>
      </c>
      <c r="D17" s="51">
        <v>32.99</v>
      </c>
      <c r="E17" s="51">
        <v>9.59</v>
      </c>
      <c r="F17" s="53" t="s">
        <v>8</v>
      </c>
      <c r="G17" s="51">
        <v>54.71</v>
      </c>
      <c r="H17" s="51">
        <v>20.58</v>
      </c>
      <c r="I17" s="51">
        <v>9.8000000000000007</v>
      </c>
      <c r="J17" s="51">
        <v>0.68</v>
      </c>
      <c r="K17" s="51">
        <v>89.26</v>
      </c>
      <c r="L17" s="51">
        <v>23.95</v>
      </c>
      <c r="M17" s="51">
        <v>88.67</v>
      </c>
      <c r="N17" s="51">
        <v>205.7</v>
      </c>
      <c r="O17" s="51">
        <v>0</v>
      </c>
      <c r="P17" s="51">
        <v>0.42</v>
      </c>
      <c r="Q17" s="27" t="s">
        <v>14</v>
      </c>
    </row>
    <row r="18" spans="1:17" customFormat="1">
      <c r="A18" s="50">
        <v>45653.416666666664</v>
      </c>
      <c r="B18" s="51">
        <v>20.91</v>
      </c>
      <c r="C18" s="51">
        <v>21.42</v>
      </c>
      <c r="D18" s="51">
        <v>29.16</v>
      </c>
      <c r="E18" s="51">
        <v>9.26</v>
      </c>
      <c r="F18" s="53" t="s">
        <v>8</v>
      </c>
      <c r="G18" s="51">
        <v>54.53</v>
      </c>
      <c r="H18" s="51">
        <v>20.53</v>
      </c>
      <c r="I18" s="51">
        <v>9.64</v>
      </c>
      <c r="J18" s="51">
        <v>0.6</v>
      </c>
      <c r="K18" s="51">
        <v>105.81</v>
      </c>
      <c r="L18" s="51">
        <v>26.39</v>
      </c>
      <c r="M18" s="51">
        <v>76.47</v>
      </c>
      <c r="N18" s="51">
        <v>259.3</v>
      </c>
      <c r="O18" s="51">
        <v>0</v>
      </c>
      <c r="P18" s="51">
        <v>0.39</v>
      </c>
      <c r="Q18" s="27" t="s">
        <v>14</v>
      </c>
    </row>
    <row r="19" spans="1:17" customFormat="1">
      <c r="A19" s="50">
        <v>45653.458333333336</v>
      </c>
      <c r="B19" s="51">
        <v>14.9</v>
      </c>
      <c r="C19" s="51">
        <v>21.28</v>
      </c>
      <c r="D19" s="51">
        <v>24.42</v>
      </c>
      <c r="E19" s="51">
        <v>10.119999999999999</v>
      </c>
      <c r="F19" s="53" t="s">
        <v>8</v>
      </c>
      <c r="G19" s="51">
        <v>51.63</v>
      </c>
      <c r="H19" s="51">
        <v>19.760000000000002</v>
      </c>
      <c r="I19" s="51">
        <v>8.84</v>
      </c>
      <c r="J19" s="51">
        <v>0.54</v>
      </c>
      <c r="K19" s="51">
        <v>123.81</v>
      </c>
      <c r="L19" s="51">
        <v>27.88</v>
      </c>
      <c r="M19" s="51">
        <v>66.78</v>
      </c>
      <c r="N19" s="51">
        <v>453.8</v>
      </c>
      <c r="O19" s="51">
        <v>0</v>
      </c>
      <c r="P19" s="51">
        <v>0.34</v>
      </c>
      <c r="Q19" s="27" t="s">
        <v>14</v>
      </c>
    </row>
    <row r="20" spans="1:17" customFormat="1">
      <c r="A20" s="50">
        <v>45653.5</v>
      </c>
      <c r="B20" s="51">
        <v>11.39</v>
      </c>
      <c r="C20" s="51">
        <v>19.149999999999999</v>
      </c>
      <c r="D20" s="51">
        <v>20.49</v>
      </c>
      <c r="E20" s="51">
        <v>10.55</v>
      </c>
      <c r="F20" s="53" t="s">
        <v>8</v>
      </c>
      <c r="G20" s="51">
        <v>46.71</v>
      </c>
      <c r="H20" s="51">
        <v>16.7</v>
      </c>
      <c r="I20" s="51">
        <v>8.17</v>
      </c>
      <c r="J20" s="51">
        <v>0.53</v>
      </c>
      <c r="K20" s="51">
        <v>144.07</v>
      </c>
      <c r="L20" s="51">
        <v>29.24</v>
      </c>
      <c r="M20" s="51">
        <v>57.42</v>
      </c>
      <c r="N20" s="51">
        <v>496.1</v>
      </c>
      <c r="O20" s="51">
        <v>0</v>
      </c>
      <c r="P20" s="51">
        <v>0.32</v>
      </c>
      <c r="Q20" s="27" t="s">
        <v>14</v>
      </c>
    </row>
    <row r="21" spans="1:17" customFormat="1">
      <c r="A21" s="50">
        <v>45653.541666666664</v>
      </c>
      <c r="B21" s="51">
        <v>8.8000000000000007</v>
      </c>
      <c r="C21" s="51">
        <v>17.38</v>
      </c>
      <c r="D21" s="51">
        <v>17.07</v>
      </c>
      <c r="E21" s="51">
        <v>10.52</v>
      </c>
      <c r="F21" s="53" t="s">
        <v>8</v>
      </c>
      <c r="G21" s="51">
        <v>42.86</v>
      </c>
      <c r="H21" s="51">
        <v>16.05</v>
      </c>
      <c r="I21" s="51">
        <v>8.02</v>
      </c>
      <c r="J21" s="51">
        <v>0.41</v>
      </c>
      <c r="K21" s="51">
        <v>176.35</v>
      </c>
      <c r="L21" s="51">
        <v>29.54</v>
      </c>
      <c r="M21" s="51">
        <v>56.3</v>
      </c>
      <c r="N21" s="51">
        <v>444.1</v>
      </c>
      <c r="O21" s="51">
        <v>0</v>
      </c>
      <c r="P21" s="51">
        <v>0.28000000000000003</v>
      </c>
      <c r="Q21" s="27" t="s">
        <v>14</v>
      </c>
    </row>
    <row r="22" spans="1:17" customFormat="1">
      <c r="A22" s="50">
        <v>45653.583333333336</v>
      </c>
      <c r="B22" s="51">
        <v>7.13</v>
      </c>
      <c r="C22" s="51">
        <v>17.170000000000002</v>
      </c>
      <c r="D22" s="51">
        <v>16.04</v>
      </c>
      <c r="E22" s="51">
        <v>10.35</v>
      </c>
      <c r="F22" s="53" t="s">
        <v>8</v>
      </c>
      <c r="G22" s="51">
        <v>34.07</v>
      </c>
      <c r="H22" s="51">
        <v>14.56</v>
      </c>
      <c r="I22" s="51">
        <v>7.43</v>
      </c>
      <c r="J22" s="51">
        <v>0.52</v>
      </c>
      <c r="K22" s="51">
        <v>102.9</v>
      </c>
      <c r="L22" s="51">
        <v>29.2</v>
      </c>
      <c r="M22" s="51">
        <v>53.41</v>
      </c>
      <c r="N22" s="51">
        <v>363.8</v>
      </c>
      <c r="O22" s="51">
        <v>0</v>
      </c>
      <c r="P22" s="51">
        <v>0.26</v>
      </c>
      <c r="Q22" s="27" t="s">
        <v>14</v>
      </c>
    </row>
    <row r="23" spans="1:17" customFormat="1">
      <c r="A23" s="50">
        <v>45653.625</v>
      </c>
      <c r="B23" s="51">
        <v>6.41</v>
      </c>
      <c r="C23" s="51">
        <v>16.36</v>
      </c>
      <c r="D23" s="51">
        <v>14.92</v>
      </c>
      <c r="E23" s="51">
        <v>10.49</v>
      </c>
      <c r="F23" s="53" t="s">
        <v>8</v>
      </c>
      <c r="G23" s="51">
        <v>32.93</v>
      </c>
      <c r="H23" s="51">
        <v>14.32</v>
      </c>
      <c r="I23" s="51">
        <v>7.16</v>
      </c>
      <c r="J23" s="51">
        <v>0.34</v>
      </c>
      <c r="K23" s="51">
        <v>237.22</v>
      </c>
      <c r="L23" s="51">
        <v>28.9</v>
      </c>
      <c r="M23" s="51">
        <v>52.19</v>
      </c>
      <c r="N23" s="51">
        <v>106.6</v>
      </c>
      <c r="O23" s="51">
        <v>0</v>
      </c>
      <c r="P23" s="51">
        <v>0.57999999999999996</v>
      </c>
      <c r="Q23" s="27" t="s">
        <v>14</v>
      </c>
    </row>
    <row r="24" spans="1:17" customFormat="1">
      <c r="A24" s="50">
        <v>45653.666666666664</v>
      </c>
      <c r="B24" s="51">
        <v>5.74</v>
      </c>
      <c r="C24" s="51">
        <v>15.99</v>
      </c>
      <c r="D24" s="51">
        <v>14.31</v>
      </c>
      <c r="E24" s="51">
        <v>10.52</v>
      </c>
      <c r="F24" s="53" t="s">
        <v>8</v>
      </c>
      <c r="G24" s="51">
        <v>26.03</v>
      </c>
      <c r="H24" s="51">
        <v>13.44</v>
      </c>
      <c r="I24" s="51">
        <v>6.78</v>
      </c>
      <c r="J24" s="51">
        <v>0.24</v>
      </c>
      <c r="K24" s="51">
        <v>307.45999999999998</v>
      </c>
      <c r="L24" s="51">
        <v>29.15</v>
      </c>
      <c r="M24" s="51">
        <v>50.6</v>
      </c>
      <c r="N24" s="51">
        <v>65.3</v>
      </c>
      <c r="O24" s="51">
        <v>0</v>
      </c>
      <c r="P24" s="51">
        <v>0.56000000000000005</v>
      </c>
      <c r="Q24" s="27" t="s">
        <v>14</v>
      </c>
    </row>
    <row r="25" spans="1:17" customFormat="1">
      <c r="A25" s="50">
        <v>45653.708333333336</v>
      </c>
      <c r="B25" s="51">
        <v>4.46</v>
      </c>
      <c r="C25" s="51">
        <v>16.04</v>
      </c>
      <c r="D25" s="51">
        <v>13.31</v>
      </c>
      <c r="E25" s="51">
        <v>10.53</v>
      </c>
      <c r="F25" s="53" t="s">
        <v>8</v>
      </c>
      <c r="G25" s="51">
        <v>25.96</v>
      </c>
      <c r="H25" s="51">
        <v>10.93</v>
      </c>
      <c r="I25" s="51">
        <v>6.41</v>
      </c>
      <c r="J25" s="51">
        <v>0.24</v>
      </c>
      <c r="K25" s="51">
        <v>163.22999999999999</v>
      </c>
      <c r="L25" s="51">
        <v>28.36</v>
      </c>
      <c r="M25" s="51">
        <v>56.56</v>
      </c>
      <c r="N25" s="51">
        <v>30.6</v>
      </c>
      <c r="O25" s="51">
        <v>0</v>
      </c>
      <c r="P25" s="51">
        <v>0.48</v>
      </c>
      <c r="Q25" s="27" t="s">
        <v>14</v>
      </c>
    </row>
    <row r="26" spans="1:17" customFormat="1">
      <c r="A26" s="50">
        <v>45653.75</v>
      </c>
      <c r="B26" s="51">
        <v>5.12</v>
      </c>
      <c r="C26" s="51">
        <v>17.88</v>
      </c>
      <c r="D26" s="51">
        <v>14.8</v>
      </c>
      <c r="E26" s="51">
        <v>10.52</v>
      </c>
      <c r="F26" s="53" t="s">
        <v>8</v>
      </c>
      <c r="G26" s="51">
        <v>56.25</v>
      </c>
      <c r="H26" s="51">
        <v>27.03</v>
      </c>
      <c r="I26" s="51">
        <v>8.34</v>
      </c>
      <c r="J26" s="51">
        <v>0.23</v>
      </c>
      <c r="K26" s="51">
        <v>130.55000000000001</v>
      </c>
      <c r="L26" s="51">
        <v>27.06</v>
      </c>
      <c r="M26" s="51">
        <v>61.62</v>
      </c>
      <c r="N26" s="51">
        <v>5.5</v>
      </c>
      <c r="O26" s="51">
        <v>0</v>
      </c>
      <c r="P26" s="51">
        <v>0.63</v>
      </c>
      <c r="Q26" s="27" t="s">
        <v>14</v>
      </c>
    </row>
    <row r="27" spans="1:17" customFormat="1">
      <c r="A27" s="50">
        <v>45653.791666666664</v>
      </c>
      <c r="B27" s="51">
        <v>6.33</v>
      </c>
      <c r="C27" s="51">
        <v>20.079999999999998</v>
      </c>
      <c r="D27" s="51">
        <v>16.920000000000002</v>
      </c>
      <c r="E27" s="51">
        <v>8.5299999999999994</v>
      </c>
      <c r="F27" s="53" t="s">
        <v>8</v>
      </c>
      <c r="G27" s="51">
        <v>76.900000000000006</v>
      </c>
      <c r="H27" s="51">
        <v>29.54</v>
      </c>
      <c r="I27" s="51">
        <v>10.25</v>
      </c>
      <c r="J27" s="51">
        <v>0.25</v>
      </c>
      <c r="K27" s="51">
        <v>162.68</v>
      </c>
      <c r="L27" s="51">
        <v>25.85</v>
      </c>
      <c r="M27" s="51">
        <v>64.430000000000007</v>
      </c>
      <c r="N27" s="51">
        <v>1.9</v>
      </c>
      <c r="O27" s="51">
        <v>0</v>
      </c>
      <c r="P27" s="51">
        <v>0.7</v>
      </c>
      <c r="Q27" s="27" t="s">
        <v>14</v>
      </c>
    </row>
    <row r="28" spans="1:17" customFormat="1">
      <c r="A28" s="50">
        <v>45653.833333333336</v>
      </c>
      <c r="B28" s="51">
        <v>6.14</v>
      </c>
      <c r="C28" s="51">
        <v>20.36</v>
      </c>
      <c r="D28" s="51">
        <v>16.829999999999998</v>
      </c>
      <c r="E28" s="51">
        <v>8.34</v>
      </c>
      <c r="F28" s="53" t="s">
        <v>8</v>
      </c>
      <c r="G28" s="51">
        <v>76.83</v>
      </c>
      <c r="H28" s="51">
        <v>29.17</v>
      </c>
      <c r="I28" s="51">
        <v>10.4</v>
      </c>
      <c r="J28" s="51">
        <v>0.35</v>
      </c>
      <c r="K28" s="51">
        <v>158.5</v>
      </c>
      <c r="L28" s="51">
        <v>25.09</v>
      </c>
      <c r="M28" s="51">
        <v>66.69</v>
      </c>
      <c r="N28" s="51">
        <v>1.8</v>
      </c>
      <c r="O28" s="51">
        <v>0</v>
      </c>
      <c r="P28" s="51">
        <v>0.71</v>
      </c>
      <c r="Q28" s="27" t="s">
        <v>14</v>
      </c>
    </row>
    <row r="29" spans="1:17" customFormat="1">
      <c r="A29" s="50">
        <v>45653.875</v>
      </c>
      <c r="B29" s="51">
        <v>5.9</v>
      </c>
      <c r="C29" s="51">
        <v>21.6</v>
      </c>
      <c r="D29" s="51">
        <v>17.27</v>
      </c>
      <c r="E29" s="51">
        <v>9.07</v>
      </c>
      <c r="F29" s="53" t="s">
        <v>8</v>
      </c>
      <c r="G29" s="51">
        <v>75.5</v>
      </c>
      <c r="H29" s="51">
        <v>24.59</v>
      </c>
      <c r="I29" s="51">
        <v>10.220000000000001</v>
      </c>
      <c r="J29" s="51">
        <v>0.2</v>
      </c>
      <c r="K29" s="51">
        <v>180.22</v>
      </c>
      <c r="L29" s="51">
        <v>24.11</v>
      </c>
      <c r="M29" s="51">
        <v>74.92</v>
      </c>
      <c r="N29" s="51">
        <v>2.1</v>
      </c>
      <c r="O29" s="51">
        <v>0</v>
      </c>
      <c r="P29" s="51">
        <v>0.75</v>
      </c>
      <c r="Q29" s="27" t="s">
        <v>14</v>
      </c>
    </row>
    <row r="30" spans="1:17" customFormat="1">
      <c r="A30" s="50">
        <v>45653.916666666664</v>
      </c>
      <c r="B30" s="51">
        <v>6.66</v>
      </c>
      <c r="C30" s="51">
        <v>20.18</v>
      </c>
      <c r="D30" s="51">
        <v>17.04</v>
      </c>
      <c r="E30" s="51">
        <v>9.14</v>
      </c>
      <c r="F30" s="53" t="s">
        <v>8</v>
      </c>
      <c r="G30" s="51">
        <v>69.44</v>
      </c>
      <c r="H30" s="51">
        <v>25.15</v>
      </c>
      <c r="I30" s="51">
        <v>9.9600000000000009</v>
      </c>
      <c r="J30" s="51">
        <v>0.13</v>
      </c>
      <c r="K30" s="51">
        <v>189.86</v>
      </c>
      <c r="L30" s="51">
        <v>22.52</v>
      </c>
      <c r="M30" s="51">
        <v>77.36</v>
      </c>
      <c r="N30" s="51">
        <v>1.7</v>
      </c>
      <c r="O30" s="51">
        <v>0</v>
      </c>
      <c r="P30" s="51">
        <v>0.76</v>
      </c>
      <c r="Q30" s="27" t="s">
        <v>14</v>
      </c>
    </row>
    <row r="31" spans="1:17" customFormat="1">
      <c r="A31" s="50">
        <v>45653.958333333336</v>
      </c>
      <c r="B31" s="51">
        <v>7.19</v>
      </c>
      <c r="C31" s="51">
        <v>19.84</v>
      </c>
      <c r="D31" s="51">
        <v>17.39</v>
      </c>
      <c r="E31" s="51">
        <v>8.91</v>
      </c>
      <c r="F31" s="53" t="s">
        <v>8</v>
      </c>
      <c r="G31" s="51">
        <v>63.1</v>
      </c>
      <c r="H31" s="51">
        <v>25.19</v>
      </c>
      <c r="I31" s="51">
        <v>9.7799999999999994</v>
      </c>
      <c r="J31" s="51">
        <v>0.14000000000000001</v>
      </c>
      <c r="K31" s="51">
        <v>213.2</v>
      </c>
      <c r="L31" s="51">
        <v>21.9</v>
      </c>
      <c r="M31" s="51">
        <v>80.290000000000006</v>
      </c>
      <c r="N31" s="51">
        <v>1.7</v>
      </c>
      <c r="O31" s="51">
        <v>0</v>
      </c>
      <c r="P31" s="51">
        <v>0.76</v>
      </c>
      <c r="Q31" s="27" t="s">
        <v>14</v>
      </c>
    </row>
    <row r="32" spans="1:17" customFormat="1">
      <c r="A32" s="50">
        <v>45654</v>
      </c>
      <c r="B32" s="51">
        <v>7.64</v>
      </c>
      <c r="C32" s="51">
        <v>19.48</v>
      </c>
      <c r="D32" s="51">
        <v>17.48</v>
      </c>
      <c r="E32" s="51">
        <v>8.84</v>
      </c>
      <c r="F32" s="53" t="s">
        <v>8</v>
      </c>
      <c r="G32" s="51">
        <v>62.91</v>
      </c>
      <c r="H32" s="51">
        <v>24.93</v>
      </c>
      <c r="I32" s="51">
        <v>9.58</v>
      </c>
      <c r="J32" s="51">
        <v>0.11</v>
      </c>
      <c r="K32" s="51">
        <v>234.08</v>
      </c>
      <c r="L32" s="51">
        <v>21.09</v>
      </c>
      <c r="M32" s="51">
        <v>82.2</v>
      </c>
      <c r="N32" s="51">
        <v>1.7</v>
      </c>
      <c r="O32" s="51">
        <v>0</v>
      </c>
      <c r="P32" s="51">
        <v>0.76</v>
      </c>
      <c r="Q32" s="27" t="s">
        <v>14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4.46</v>
      </c>
      <c r="C34" s="41">
        <f t="shared" si="0"/>
        <v>15.99</v>
      </c>
      <c r="D34" s="41">
        <f t="shared" si="0"/>
        <v>13.31</v>
      </c>
      <c r="E34" s="41">
        <f t="shared" si="0"/>
        <v>8.34</v>
      </c>
      <c r="F34" s="41">
        <f t="shared" si="0"/>
        <v>0</v>
      </c>
      <c r="G34" s="41">
        <f t="shared" si="0"/>
        <v>25.96</v>
      </c>
      <c r="H34" s="41">
        <f t="shared" si="0"/>
        <v>10.93</v>
      </c>
      <c r="I34" s="41">
        <f t="shared" si="0"/>
        <v>6.41</v>
      </c>
      <c r="J34" s="41">
        <f t="shared" si="0"/>
        <v>0.11</v>
      </c>
      <c r="K34" s="41">
        <f t="shared" si="0"/>
        <v>75.87</v>
      </c>
      <c r="L34" s="41">
        <f t="shared" si="0"/>
        <v>18.75</v>
      </c>
      <c r="M34" s="41">
        <f t="shared" si="0"/>
        <v>50.6</v>
      </c>
      <c r="N34" s="41">
        <f t="shared" si="0"/>
        <v>1.6</v>
      </c>
      <c r="O34" s="41">
        <f t="shared" si="0"/>
        <v>0</v>
      </c>
      <c r="P34" s="41">
        <f t="shared" si="0"/>
        <v>0.26</v>
      </c>
      <c r="Q34" s="27" t="s">
        <v>14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32.799999999999997</v>
      </c>
      <c r="C35" s="33">
        <f t="shared" si="1"/>
        <v>21.6</v>
      </c>
      <c r="D35" s="33">
        <f t="shared" si="1"/>
        <v>37.869999999999997</v>
      </c>
      <c r="E35" s="33">
        <f t="shared" si="1"/>
        <v>11.19</v>
      </c>
      <c r="F35" s="33">
        <f t="shared" si="1"/>
        <v>0</v>
      </c>
      <c r="G35" s="33">
        <f t="shared" si="1"/>
        <v>76.900000000000006</v>
      </c>
      <c r="H35" s="33">
        <f t="shared" si="1"/>
        <v>29.54</v>
      </c>
      <c r="I35" s="33">
        <f t="shared" si="1"/>
        <v>10.55</v>
      </c>
      <c r="J35" s="33">
        <f t="shared" si="1"/>
        <v>0.68</v>
      </c>
      <c r="K35" s="33">
        <f t="shared" si="1"/>
        <v>307.45999999999998</v>
      </c>
      <c r="L35" s="33">
        <f t="shared" si="1"/>
        <v>29.54</v>
      </c>
      <c r="M35" s="33">
        <f t="shared" si="1"/>
        <v>100.28</v>
      </c>
      <c r="N35" s="33">
        <f t="shared" si="1"/>
        <v>496.1</v>
      </c>
      <c r="O35" s="33">
        <f t="shared" si="1"/>
        <v>0</v>
      </c>
      <c r="P35" s="33">
        <f t="shared" si="1"/>
        <v>0.76</v>
      </c>
      <c r="Q35" s="27" t="s">
        <v>14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16.414999999999999</v>
      </c>
      <c r="C36" s="41">
        <f t="shared" si="2"/>
        <v>19.25416666666667</v>
      </c>
      <c r="D36" s="41">
        <f t="shared" si="2"/>
        <v>24.470000000000002</v>
      </c>
      <c r="E36" s="41">
        <f t="shared" si="2"/>
        <v>9.8237500000000022</v>
      </c>
      <c r="F36" s="41" t="e">
        <f t="shared" si="2"/>
        <v>#DIV/0!</v>
      </c>
      <c r="G36" s="41">
        <f t="shared" si="2"/>
        <v>52.498333333333342</v>
      </c>
      <c r="H36" s="41">
        <f t="shared" si="2"/>
        <v>18.542083333333331</v>
      </c>
      <c r="I36" s="41">
        <f t="shared" si="2"/>
        <v>9.2012499999999999</v>
      </c>
      <c r="J36" s="41">
        <f t="shared" si="2"/>
        <v>0.35208333333333336</v>
      </c>
      <c r="K36" s="41">
        <f t="shared" si="2"/>
        <v>154.64041666666665</v>
      </c>
      <c r="L36" s="41">
        <f t="shared" si="2"/>
        <v>24.010833333333334</v>
      </c>
      <c r="M36" s="41">
        <f t="shared" si="2"/>
        <v>77.28125</v>
      </c>
      <c r="N36" s="41">
        <f t="shared" si="2"/>
        <v>106.19583333333333</v>
      </c>
      <c r="O36" s="41">
        <f t="shared" si="2"/>
        <v>0</v>
      </c>
      <c r="P36" s="41">
        <f t="shared" si="2"/>
        <v>0.51583333333333337</v>
      </c>
      <c r="Q36" s="27" t="s">
        <v>14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11.272673383780418</v>
      </c>
      <c r="C37" s="41">
        <f t="shared" ref="C37:Q37" si="3">STDEV(C9:C32)</f>
        <v>1.6244408179476222</v>
      </c>
      <c r="D37" s="41">
        <f t="shared" si="3"/>
        <v>9.3679769056262945</v>
      </c>
      <c r="E37" s="41">
        <f t="shared" si="3"/>
        <v>0.85321291751158512</v>
      </c>
      <c r="F37" s="41" t="e">
        <f t="shared" si="3"/>
        <v>#DIV/0!</v>
      </c>
      <c r="G37" s="41">
        <f t="shared" si="3"/>
        <v>14.374339657170641</v>
      </c>
      <c r="H37" s="41">
        <f t="shared" si="3"/>
        <v>5.9487791799565173</v>
      </c>
      <c r="I37" s="41">
        <f t="shared" si="3"/>
        <v>1.2495296941336524</v>
      </c>
      <c r="J37" s="41">
        <f t="shared" si="3"/>
        <v>0.16495003635268951</v>
      </c>
      <c r="K37" s="41">
        <f t="shared" si="3"/>
        <v>60.681116429439548</v>
      </c>
      <c r="L37" s="41">
        <f t="shared" si="3"/>
        <v>4.0012040760215069</v>
      </c>
      <c r="M37" s="41">
        <f t="shared" si="3"/>
        <v>18.204748857873899</v>
      </c>
      <c r="N37" s="41">
        <f t="shared" si="3"/>
        <v>167.32649281950353</v>
      </c>
      <c r="O37" s="41">
        <f t="shared" si="3"/>
        <v>0</v>
      </c>
      <c r="P37" s="41">
        <f t="shared" si="3"/>
        <v>0.15950784815546989</v>
      </c>
      <c r="Q37" s="27" t="s">
        <v>14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0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&lt;90%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LESS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66929133858267698" right="2.63779527559055" top="0.196850393700787" bottom="2.0866141732283499" header="0.31496062992126" footer="0.15748031496063"/>
  <pageSetup paperSize="9" scale="90" orientation="landscape" horizontalDpi="300" verticalDpi="300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4" activePane="bottomRight" state="frozen"/>
      <selection activeCell="A9" sqref="A9"/>
      <selection pane="topRight" activeCell="A9" sqref="A9"/>
      <selection pane="bottomLeft" activeCell="A9" sqref="A9"/>
      <selection pane="bottomRight" activeCell="Q34" sqref="Q34:Q37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45654.041666666664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45654.041666666664</v>
      </c>
      <c r="B9" s="51">
        <v>7.7</v>
      </c>
      <c r="C9" s="51">
        <v>19.7</v>
      </c>
      <c r="D9" s="51">
        <v>17.8</v>
      </c>
      <c r="E9" s="51">
        <v>8.69</v>
      </c>
      <c r="F9" s="53" t="s">
        <v>8</v>
      </c>
      <c r="G9" s="51">
        <v>59.95</v>
      </c>
      <c r="H9" s="51">
        <v>24.26</v>
      </c>
      <c r="I9" s="51">
        <v>9.3699999999999992</v>
      </c>
      <c r="J9" s="51">
        <v>0.22</v>
      </c>
      <c r="K9" s="51">
        <v>185.15</v>
      </c>
      <c r="L9" s="51">
        <v>21.08</v>
      </c>
      <c r="M9" s="51">
        <v>80.209999999999994</v>
      </c>
      <c r="N9" s="51">
        <v>1.7</v>
      </c>
      <c r="O9" s="51">
        <v>0</v>
      </c>
      <c r="P9" s="51">
        <v>0.75</v>
      </c>
      <c r="Q9" s="27" t="s">
        <v>14</v>
      </c>
    </row>
    <row r="10" spans="1:21" customFormat="1">
      <c r="A10" s="50">
        <v>45654.083333333336</v>
      </c>
      <c r="B10" s="51">
        <v>7.44</v>
      </c>
      <c r="C10" s="51">
        <v>17.239999999999998</v>
      </c>
      <c r="D10" s="51">
        <v>16.14</v>
      </c>
      <c r="E10" s="51">
        <v>8.2899999999999991</v>
      </c>
      <c r="F10" s="53" t="s">
        <v>8</v>
      </c>
      <c r="G10" s="51">
        <v>58.27</v>
      </c>
      <c r="H10" s="51">
        <v>24.05</v>
      </c>
      <c r="I10" s="51">
        <v>9.0299999999999994</v>
      </c>
      <c r="J10" s="51">
        <v>0.21</v>
      </c>
      <c r="K10" s="51">
        <v>200.9</v>
      </c>
      <c r="L10" s="51">
        <v>21.15</v>
      </c>
      <c r="M10" s="51">
        <v>78.91</v>
      </c>
      <c r="N10" s="51">
        <v>2</v>
      </c>
      <c r="O10" s="51">
        <v>0</v>
      </c>
      <c r="P10" s="51">
        <v>0.7</v>
      </c>
      <c r="Q10" s="27" t="s">
        <v>14</v>
      </c>
    </row>
    <row r="11" spans="1:21" customFormat="1">
      <c r="A11" s="50">
        <v>45654.125</v>
      </c>
      <c r="B11" s="51">
        <v>5.81</v>
      </c>
      <c r="C11" s="51">
        <v>17.27</v>
      </c>
      <c r="D11" s="51">
        <v>15.03</v>
      </c>
      <c r="E11" s="51">
        <v>9.74</v>
      </c>
      <c r="F11" s="53" t="s">
        <v>8</v>
      </c>
      <c r="G11" s="51">
        <v>57.49</v>
      </c>
      <c r="H11" s="51">
        <v>21.4</v>
      </c>
      <c r="I11" s="51">
        <v>8.58</v>
      </c>
      <c r="J11" s="51">
        <v>0.08</v>
      </c>
      <c r="K11" s="51">
        <v>244.8</v>
      </c>
      <c r="L11" s="51">
        <v>20.39</v>
      </c>
      <c r="M11" s="51">
        <v>81.33</v>
      </c>
      <c r="N11" s="51">
        <v>1.7</v>
      </c>
      <c r="O11" s="51">
        <v>0</v>
      </c>
      <c r="P11" s="51">
        <v>0.67</v>
      </c>
      <c r="Q11" s="27" t="s">
        <v>14</v>
      </c>
    </row>
    <row r="12" spans="1:21" customFormat="1">
      <c r="A12" s="50">
        <v>45654.166666666664</v>
      </c>
      <c r="B12" s="51">
        <v>5.27</v>
      </c>
      <c r="C12" s="51">
        <v>18.43</v>
      </c>
      <c r="D12" s="51">
        <v>15.16</v>
      </c>
      <c r="E12" s="51">
        <v>9.4</v>
      </c>
      <c r="F12" s="53" t="s">
        <v>8</v>
      </c>
      <c r="G12" s="51">
        <v>52.51</v>
      </c>
      <c r="H12" s="51">
        <v>20.69</v>
      </c>
      <c r="I12" s="51">
        <v>7.56</v>
      </c>
      <c r="J12" s="51">
        <v>0.09</v>
      </c>
      <c r="K12" s="51">
        <v>228.8</v>
      </c>
      <c r="L12" s="51">
        <v>19.61</v>
      </c>
      <c r="M12" s="51">
        <v>84.89</v>
      </c>
      <c r="N12" s="51">
        <v>1.7</v>
      </c>
      <c r="O12" s="51">
        <v>0</v>
      </c>
      <c r="P12" s="51">
        <v>0.73</v>
      </c>
      <c r="Q12" s="27" t="s">
        <v>14</v>
      </c>
    </row>
    <row r="13" spans="1:21" customFormat="1">
      <c r="A13" s="50">
        <v>45654.208333333336</v>
      </c>
      <c r="B13" s="51">
        <v>6.09</v>
      </c>
      <c r="C13" s="51">
        <v>18.239999999999998</v>
      </c>
      <c r="D13" s="51">
        <v>15.68</v>
      </c>
      <c r="E13" s="51">
        <v>6.28</v>
      </c>
      <c r="F13" s="53" t="s">
        <v>8</v>
      </c>
      <c r="G13" s="51">
        <v>52.26</v>
      </c>
      <c r="H13" s="51">
        <v>19.57</v>
      </c>
      <c r="I13" s="51">
        <v>7.49</v>
      </c>
      <c r="J13" s="51">
        <v>0.27</v>
      </c>
      <c r="K13" s="51">
        <v>252.17</v>
      </c>
      <c r="L13" s="51">
        <v>20.010000000000002</v>
      </c>
      <c r="M13" s="51">
        <v>86.35</v>
      </c>
      <c r="N13" s="51">
        <v>1.7</v>
      </c>
      <c r="O13" s="51">
        <v>0</v>
      </c>
      <c r="P13" s="51">
        <v>0.71</v>
      </c>
      <c r="Q13" s="27" t="s">
        <v>14</v>
      </c>
    </row>
    <row r="14" spans="1:21" customFormat="1">
      <c r="A14" s="50">
        <v>45654.25</v>
      </c>
      <c r="B14" s="51">
        <v>8.57</v>
      </c>
      <c r="C14" s="51">
        <v>19.22</v>
      </c>
      <c r="D14" s="51">
        <v>18.260000000000002</v>
      </c>
      <c r="E14" s="51">
        <v>5.82</v>
      </c>
      <c r="F14" s="53" t="s">
        <v>8</v>
      </c>
      <c r="G14" s="51">
        <v>48.78</v>
      </c>
      <c r="H14" s="51">
        <v>21.27</v>
      </c>
      <c r="I14" s="51">
        <v>7.27</v>
      </c>
      <c r="J14" s="51">
        <v>0.64</v>
      </c>
      <c r="K14" s="51">
        <v>206.15</v>
      </c>
      <c r="L14" s="51">
        <v>20.21</v>
      </c>
      <c r="M14" s="51">
        <v>84.49</v>
      </c>
      <c r="N14" s="51">
        <v>2.1</v>
      </c>
      <c r="O14" s="51">
        <v>0</v>
      </c>
      <c r="P14" s="51">
        <v>0.71</v>
      </c>
      <c r="Q14" s="27" t="s">
        <v>14</v>
      </c>
    </row>
    <row r="15" spans="1:21" customFormat="1">
      <c r="A15" s="50">
        <v>45654.291666666664</v>
      </c>
      <c r="B15" s="51">
        <v>10.93</v>
      </c>
      <c r="C15" s="51">
        <v>19.78</v>
      </c>
      <c r="D15" s="51">
        <v>20.43</v>
      </c>
      <c r="E15" s="51">
        <v>5.71</v>
      </c>
      <c r="F15" s="53" t="s">
        <v>8</v>
      </c>
      <c r="G15" s="51">
        <v>49.13</v>
      </c>
      <c r="H15" s="51">
        <v>21.12</v>
      </c>
      <c r="I15" s="51">
        <v>7.29</v>
      </c>
      <c r="J15" s="51">
        <v>0.4</v>
      </c>
      <c r="K15" s="51">
        <v>160.22999999999999</v>
      </c>
      <c r="L15" s="51">
        <v>19.989999999999998</v>
      </c>
      <c r="M15" s="51">
        <v>84.6</v>
      </c>
      <c r="N15" s="51">
        <v>20.2</v>
      </c>
      <c r="O15" s="51">
        <v>0</v>
      </c>
      <c r="P15" s="51">
        <v>0.73</v>
      </c>
      <c r="Q15" s="27" t="s">
        <v>14</v>
      </c>
    </row>
    <row r="16" spans="1:21" customFormat="1">
      <c r="A16" s="50">
        <v>45654.333333333336</v>
      </c>
      <c r="B16" s="51">
        <v>11.32</v>
      </c>
      <c r="C16" s="51">
        <v>19.75</v>
      </c>
      <c r="D16" s="51">
        <v>20.63</v>
      </c>
      <c r="E16" s="51">
        <v>5.22</v>
      </c>
      <c r="F16" s="53" t="s">
        <v>8</v>
      </c>
      <c r="G16" s="51">
        <v>55.63</v>
      </c>
      <c r="H16" s="51">
        <v>24.16</v>
      </c>
      <c r="I16" s="51">
        <v>7.77</v>
      </c>
      <c r="J16" s="51">
        <v>0.17</v>
      </c>
      <c r="K16" s="51">
        <v>168.31</v>
      </c>
      <c r="L16" s="51">
        <v>21.4</v>
      </c>
      <c r="M16" s="51">
        <v>83.1</v>
      </c>
      <c r="N16" s="51">
        <v>60.7</v>
      </c>
      <c r="O16" s="51">
        <v>0</v>
      </c>
      <c r="P16" s="51">
        <v>0.75</v>
      </c>
      <c r="Q16" s="27" t="s">
        <v>14</v>
      </c>
    </row>
    <row r="17" spans="1:17" customFormat="1">
      <c r="A17" s="50">
        <v>45654.375</v>
      </c>
      <c r="B17" s="51">
        <v>10.97</v>
      </c>
      <c r="C17" s="51">
        <v>20.2</v>
      </c>
      <c r="D17" s="51">
        <v>20.170000000000002</v>
      </c>
      <c r="E17" s="51">
        <v>5.17</v>
      </c>
      <c r="F17" s="53" t="s">
        <v>8</v>
      </c>
      <c r="G17" s="51">
        <v>55.63</v>
      </c>
      <c r="H17" s="51">
        <v>24.24</v>
      </c>
      <c r="I17" s="51">
        <v>8.15</v>
      </c>
      <c r="J17" s="51">
        <v>0.47</v>
      </c>
      <c r="K17" s="51">
        <v>154.16999999999999</v>
      </c>
      <c r="L17" s="51">
        <v>25.04</v>
      </c>
      <c r="M17" s="51">
        <v>77.37</v>
      </c>
      <c r="N17" s="51">
        <v>198.3</v>
      </c>
      <c r="O17" s="51">
        <v>0</v>
      </c>
      <c r="P17" s="51">
        <v>0.74</v>
      </c>
      <c r="Q17" s="27" t="s">
        <v>14</v>
      </c>
    </row>
    <row r="18" spans="1:17" customFormat="1">
      <c r="A18" s="50">
        <v>45654.416666666664</v>
      </c>
      <c r="B18" s="51">
        <v>9.36</v>
      </c>
      <c r="C18" s="51">
        <v>20.59</v>
      </c>
      <c r="D18" s="51">
        <v>19.48</v>
      </c>
      <c r="E18" s="51">
        <v>4.8899999999999997</v>
      </c>
      <c r="F18" s="53" t="s">
        <v>8</v>
      </c>
      <c r="G18" s="51">
        <v>59.99</v>
      </c>
      <c r="H18" s="51">
        <v>26.03</v>
      </c>
      <c r="I18" s="51">
        <v>8.26</v>
      </c>
      <c r="J18" s="51">
        <v>0.25</v>
      </c>
      <c r="K18" s="51">
        <v>129.22999999999999</v>
      </c>
      <c r="L18" s="51">
        <v>27.39</v>
      </c>
      <c r="M18" s="51">
        <v>65.739999999999995</v>
      </c>
      <c r="N18" s="51">
        <v>229.9</v>
      </c>
      <c r="O18" s="51">
        <v>0</v>
      </c>
      <c r="P18" s="51">
        <v>0.73</v>
      </c>
      <c r="Q18" s="27" t="s">
        <v>14</v>
      </c>
    </row>
    <row r="19" spans="1:17" customFormat="1">
      <c r="A19" s="50">
        <v>45654.458333333336</v>
      </c>
      <c r="B19" s="51">
        <v>5.95</v>
      </c>
      <c r="C19" s="51">
        <v>19.829999999999998</v>
      </c>
      <c r="D19" s="51">
        <v>16.43</v>
      </c>
      <c r="E19" s="51">
        <v>8.99</v>
      </c>
      <c r="F19" s="53" t="s">
        <v>8</v>
      </c>
      <c r="G19" s="51">
        <v>59.6</v>
      </c>
      <c r="H19" s="51">
        <v>25.71</v>
      </c>
      <c r="I19" s="51">
        <v>7.89</v>
      </c>
      <c r="J19" s="51">
        <v>0.52</v>
      </c>
      <c r="K19" s="51">
        <v>349.58</v>
      </c>
      <c r="L19" s="51">
        <v>28.33</v>
      </c>
      <c r="M19" s="51">
        <v>63.1</v>
      </c>
      <c r="N19" s="51">
        <v>415.6</v>
      </c>
      <c r="O19" s="51">
        <v>0</v>
      </c>
      <c r="P19" s="51">
        <v>0.68</v>
      </c>
      <c r="Q19" s="27" t="s">
        <v>14</v>
      </c>
    </row>
    <row r="20" spans="1:17" customFormat="1">
      <c r="A20" s="50">
        <v>45654.5</v>
      </c>
      <c r="B20" s="51">
        <v>4.46</v>
      </c>
      <c r="C20" s="51">
        <v>19.100000000000001</v>
      </c>
      <c r="D20" s="51">
        <v>14.9</v>
      </c>
      <c r="E20" s="51">
        <v>9.6199999999999992</v>
      </c>
      <c r="F20" s="53" t="s">
        <v>8</v>
      </c>
      <c r="G20" s="51">
        <v>53.96</v>
      </c>
      <c r="H20" s="51">
        <v>23.07</v>
      </c>
      <c r="I20" s="51">
        <v>7.47</v>
      </c>
      <c r="J20" s="51">
        <v>0.42</v>
      </c>
      <c r="K20" s="51">
        <v>276.77</v>
      </c>
      <c r="L20" s="51">
        <v>29.48</v>
      </c>
      <c r="M20" s="51">
        <v>58.68</v>
      </c>
      <c r="N20" s="51">
        <v>421.3</v>
      </c>
      <c r="O20" s="51">
        <v>0</v>
      </c>
      <c r="P20" s="51">
        <v>0.64</v>
      </c>
      <c r="Q20" s="27" t="s">
        <v>14</v>
      </c>
    </row>
    <row r="21" spans="1:17" customFormat="1">
      <c r="A21" s="50">
        <v>45654.541666666664</v>
      </c>
      <c r="B21" s="51">
        <v>3.61</v>
      </c>
      <c r="C21" s="51">
        <v>17.77</v>
      </c>
      <c r="D21" s="51">
        <v>13.53</v>
      </c>
      <c r="E21" s="51">
        <v>9.41</v>
      </c>
      <c r="F21" s="53" t="s">
        <v>8</v>
      </c>
      <c r="G21" s="51">
        <v>50.62</v>
      </c>
      <c r="H21" s="51">
        <v>22.69</v>
      </c>
      <c r="I21" s="51">
        <v>7.11</v>
      </c>
      <c r="J21" s="51">
        <v>0.55000000000000004</v>
      </c>
      <c r="K21" s="51">
        <v>336.14</v>
      </c>
      <c r="L21" s="51">
        <v>29.47</v>
      </c>
      <c r="M21" s="51">
        <v>59.47</v>
      </c>
      <c r="N21" s="51">
        <v>298</v>
      </c>
      <c r="O21" s="51">
        <v>0</v>
      </c>
      <c r="P21" s="51">
        <v>0.63</v>
      </c>
      <c r="Q21" s="27" t="s">
        <v>14</v>
      </c>
    </row>
    <row r="22" spans="1:17" customFormat="1">
      <c r="A22" s="50">
        <v>45654.583333333336</v>
      </c>
      <c r="B22" s="51">
        <v>3.94</v>
      </c>
      <c r="C22" s="51">
        <v>15.51</v>
      </c>
      <c r="D22" s="51">
        <v>12.61</v>
      </c>
      <c r="E22" s="51">
        <v>9.7100000000000009</v>
      </c>
      <c r="F22" s="53" t="s">
        <v>8</v>
      </c>
      <c r="G22" s="51">
        <v>45.72</v>
      </c>
      <c r="H22" s="51">
        <v>17.91</v>
      </c>
      <c r="I22" s="51">
        <v>7</v>
      </c>
      <c r="J22" s="51">
        <v>0.62</v>
      </c>
      <c r="K22" s="51">
        <v>352.78</v>
      </c>
      <c r="L22" s="51">
        <v>29.69</v>
      </c>
      <c r="M22" s="51">
        <v>56.1</v>
      </c>
      <c r="N22" s="51">
        <v>306</v>
      </c>
      <c r="O22" s="51">
        <v>0</v>
      </c>
      <c r="P22" s="51">
        <v>0.65</v>
      </c>
      <c r="Q22" s="27" t="s">
        <v>14</v>
      </c>
    </row>
    <row r="23" spans="1:17" customFormat="1">
      <c r="A23" s="50">
        <v>45654.625</v>
      </c>
      <c r="B23" s="51">
        <v>4.18</v>
      </c>
      <c r="C23" s="51">
        <v>16.18</v>
      </c>
      <c r="D23" s="51">
        <v>13.07</v>
      </c>
      <c r="E23" s="51">
        <v>10.68</v>
      </c>
      <c r="F23" s="53" t="s">
        <v>8</v>
      </c>
      <c r="G23" s="51">
        <v>42.63</v>
      </c>
      <c r="H23" s="51">
        <v>15.96</v>
      </c>
      <c r="I23" s="51">
        <v>7.2</v>
      </c>
      <c r="J23" s="51">
        <v>0.75</v>
      </c>
      <c r="K23" s="51">
        <v>332.88</v>
      </c>
      <c r="L23" s="51">
        <v>29.6</v>
      </c>
      <c r="M23" s="51">
        <v>55.39</v>
      </c>
      <c r="N23" s="51">
        <v>157.4</v>
      </c>
      <c r="O23" s="51">
        <v>0</v>
      </c>
      <c r="P23" s="51">
        <v>0.68</v>
      </c>
      <c r="Q23" s="27" t="s">
        <v>14</v>
      </c>
    </row>
    <row r="24" spans="1:17" customFormat="1">
      <c r="A24" s="50">
        <v>45654.666666666664</v>
      </c>
      <c r="B24" s="51">
        <v>4.2699999999999996</v>
      </c>
      <c r="C24" s="51">
        <v>16.43</v>
      </c>
      <c r="D24" s="51">
        <v>13.34</v>
      </c>
      <c r="E24" s="51">
        <v>12.25</v>
      </c>
      <c r="F24" s="53" t="s">
        <v>8</v>
      </c>
      <c r="G24" s="51">
        <v>46.95</v>
      </c>
      <c r="H24" s="51">
        <v>16.16</v>
      </c>
      <c r="I24" s="51">
        <v>7.74</v>
      </c>
      <c r="J24" s="51">
        <v>0.76</v>
      </c>
      <c r="K24" s="51">
        <v>318.20999999999998</v>
      </c>
      <c r="L24" s="51">
        <v>29.05</v>
      </c>
      <c r="M24" s="51">
        <v>57.27</v>
      </c>
      <c r="N24" s="51">
        <v>73.400000000000006</v>
      </c>
      <c r="O24" s="51">
        <v>0</v>
      </c>
      <c r="P24" s="51">
        <v>0.7</v>
      </c>
      <c r="Q24" s="27" t="s">
        <v>14</v>
      </c>
    </row>
    <row r="25" spans="1:17" customFormat="1">
      <c r="A25" s="50">
        <v>45654.708333333336</v>
      </c>
      <c r="B25" s="51">
        <v>4.46</v>
      </c>
      <c r="C25" s="51">
        <v>18.23</v>
      </c>
      <c r="D25" s="51">
        <v>14.45</v>
      </c>
      <c r="E25" s="51">
        <v>12.03</v>
      </c>
      <c r="F25" s="53" t="s">
        <v>8</v>
      </c>
      <c r="G25" s="51">
        <v>52.21</v>
      </c>
      <c r="H25" s="51">
        <v>17.41</v>
      </c>
      <c r="I25" s="51">
        <v>8.0500000000000007</v>
      </c>
      <c r="J25" s="51">
        <v>0.42</v>
      </c>
      <c r="K25" s="51">
        <v>334.17</v>
      </c>
      <c r="L25" s="51">
        <v>28.42</v>
      </c>
      <c r="M25" s="51">
        <v>61.09</v>
      </c>
      <c r="N25" s="51">
        <v>35.4</v>
      </c>
      <c r="O25" s="51">
        <v>0</v>
      </c>
      <c r="P25" s="51">
        <v>0.73</v>
      </c>
      <c r="Q25" s="27" t="s">
        <v>14</v>
      </c>
    </row>
    <row r="26" spans="1:17" customFormat="1">
      <c r="A26" s="50">
        <v>45654.75</v>
      </c>
      <c r="B26" s="51">
        <v>5.63</v>
      </c>
      <c r="C26" s="51">
        <v>19.28</v>
      </c>
      <c r="D26" s="51">
        <v>15.25</v>
      </c>
      <c r="E26" s="51">
        <v>10.64</v>
      </c>
      <c r="F26" s="53" t="s">
        <v>8</v>
      </c>
      <c r="G26" s="51">
        <v>55.75</v>
      </c>
      <c r="H26" s="51">
        <v>17.39</v>
      </c>
      <c r="I26" s="51">
        <v>8.44</v>
      </c>
      <c r="J26" s="51">
        <v>0.49</v>
      </c>
      <c r="K26" s="51">
        <v>128.04</v>
      </c>
      <c r="L26" s="51">
        <v>27.07</v>
      </c>
      <c r="M26" s="51">
        <v>67.739999999999995</v>
      </c>
      <c r="N26" s="51">
        <v>5.6</v>
      </c>
      <c r="O26" s="51">
        <v>0</v>
      </c>
      <c r="P26" s="51">
        <v>0.77</v>
      </c>
      <c r="Q26" s="27" t="s">
        <v>14</v>
      </c>
    </row>
    <row r="27" spans="1:17" customFormat="1">
      <c r="A27" s="50">
        <v>45654.791666666664</v>
      </c>
      <c r="B27" s="51">
        <v>5.96</v>
      </c>
      <c r="C27" s="51">
        <v>19.59</v>
      </c>
      <c r="D27" s="51">
        <v>16.22</v>
      </c>
      <c r="E27" s="51">
        <v>10.65</v>
      </c>
      <c r="F27" s="53" t="s">
        <v>8</v>
      </c>
      <c r="G27" s="51">
        <v>79.42</v>
      </c>
      <c r="H27" s="51">
        <v>18.760000000000002</v>
      </c>
      <c r="I27" s="51">
        <v>8.84</v>
      </c>
      <c r="J27" s="51">
        <v>1.94</v>
      </c>
      <c r="K27" s="51">
        <v>39.65</v>
      </c>
      <c r="L27" s="51">
        <v>25.22</v>
      </c>
      <c r="M27" s="51">
        <v>70.53</v>
      </c>
      <c r="N27" s="51">
        <v>4.7</v>
      </c>
      <c r="O27" s="51">
        <v>0</v>
      </c>
      <c r="P27" s="51">
        <v>0.77</v>
      </c>
      <c r="Q27" s="27" t="s">
        <v>14</v>
      </c>
    </row>
    <row r="28" spans="1:17" customFormat="1">
      <c r="A28" s="50">
        <v>45654.833333333336</v>
      </c>
      <c r="B28" s="51">
        <v>5.09</v>
      </c>
      <c r="C28" s="51">
        <v>19.440000000000001</v>
      </c>
      <c r="D28" s="51">
        <v>15.59</v>
      </c>
      <c r="E28" s="51">
        <v>9.75</v>
      </c>
      <c r="F28" s="53" t="s">
        <v>8</v>
      </c>
      <c r="G28" s="51">
        <v>78.89</v>
      </c>
      <c r="H28" s="51">
        <v>18.62</v>
      </c>
      <c r="I28" s="51">
        <v>8.48</v>
      </c>
      <c r="J28" s="51">
        <v>1.63</v>
      </c>
      <c r="K28" s="51">
        <v>47.64</v>
      </c>
      <c r="L28" s="51">
        <v>22.03</v>
      </c>
      <c r="M28" s="51">
        <v>76.3</v>
      </c>
      <c r="N28" s="51">
        <v>2.8</v>
      </c>
      <c r="O28" s="51">
        <v>0</v>
      </c>
      <c r="P28" s="51">
        <v>0.72</v>
      </c>
      <c r="Q28" s="27" t="s">
        <v>14</v>
      </c>
    </row>
    <row r="29" spans="1:17" customFormat="1">
      <c r="A29" s="50">
        <v>45654.875</v>
      </c>
      <c r="B29" s="51">
        <v>5.39</v>
      </c>
      <c r="C29" s="51">
        <v>18.98</v>
      </c>
      <c r="D29" s="51">
        <v>15.42</v>
      </c>
      <c r="E29" s="51">
        <v>9.6300000000000008</v>
      </c>
      <c r="F29" s="53" t="s">
        <v>8</v>
      </c>
      <c r="G29" s="51">
        <v>69.69</v>
      </c>
      <c r="H29" s="51">
        <v>16.829999999999998</v>
      </c>
      <c r="I29" s="51">
        <v>7.69</v>
      </c>
      <c r="J29" s="51">
        <v>1.57</v>
      </c>
      <c r="K29" s="51">
        <v>48.3</v>
      </c>
      <c r="L29" s="51">
        <v>21.27</v>
      </c>
      <c r="M29" s="51">
        <v>78.45</v>
      </c>
      <c r="N29" s="51">
        <v>2.1</v>
      </c>
      <c r="O29" s="51">
        <v>0</v>
      </c>
      <c r="P29" s="51">
        <v>0.68</v>
      </c>
      <c r="Q29" s="27" t="s">
        <v>14</v>
      </c>
    </row>
    <row r="30" spans="1:17" customFormat="1">
      <c r="A30" s="50">
        <v>45654.916666666664</v>
      </c>
      <c r="B30" s="51">
        <v>5.6</v>
      </c>
      <c r="C30" s="51">
        <v>18.88</v>
      </c>
      <c r="D30" s="51">
        <v>15.67</v>
      </c>
      <c r="E30" s="51">
        <v>9.69</v>
      </c>
      <c r="F30" s="53" t="s">
        <v>8</v>
      </c>
      <c r="G30" s="51">
        <v>44.91</v>
      </c>
      <c r="H30" s="51">
        <v>11.9</v>
      </c>
      <c r="I30" s="51">
        <v>7</v>
      </c>
      <c r="J30" s="51">
        <v>1.51</v>
      </c>
      <c r="K30" s="51">
        <v>52.08</v>
      </c>
      <c r="L30" s="51">
        <v>20.77</v>
      </c>
      <c r="M30" s="51">
        <v>84.49</v>
      </c>
      <c r="N30" s="51">
        <v>2.5</v>
      </c>
      <c r="O30" s="51">
        <v>0</v>
      </c>
      <c r="P30" s="51">
        <v>0.64</v>
      </c>
      <c r="Q30" s="27" t="s">
        <v>14</v>
      </c>
    </row>
    <row r="31" spans="1:17" customFormat="1">
      <c r="A31" s="50">
        <v>45654.958333333336</v>
      </c>
      <c r="B31" s="51">
        <v>6.63</v>
      </c>
      <c r="C31" s="51">
        <v>20.8</v>
      </c>
      <c r="D31" s="51">
        <v>17.53</v>
      </c>
      <c r="E31" s="51">
        <v>9.44</v>
      </c>
      <c r="F31" s="53" t="s">
        <v>8</v>
      </c>
      <c r="G31" s="51">
        <v>39.07</v>
      </c>
      <c r="H31" s="51">
        <v>9.4</v>
      </c>
      <c r="I31" s="51">
        <v>6.37</v>
      </c>
      <c r="J31" s="51">
        <v>1.6</v>
      </c>
      <c r="K31" s="51">
        <v>66.87</v>
      </c>
      <c r="L31" s="51">
        <v>20.059999999999999</v>
      </c>
      <c r="M31" s="51">
        <v>85.04</v>
      </c>
      <c r="N31" s="51">
        <v>2.1</v>
      </c>
      <c r="O31" s="51">
        <v>0</v>
      </c>
      <c r="P31" s="51">
        <v>0.61</v>
      </c>
      <c r="Q31" s="27" t="s">
        <v>14</v>
      </c>
    </row>
    <row r="32" spans="1:17" customFormat="1">
      <c r="A32" s="50">
        <v>45655</v>
      </c>
      <c r="B32" s="51">
        <v>9.0500000000000007</v>
      </c>
      <c r="C32" s="51">
        <v>21.99</v>
      </c>
      <c r="D32" s="51">
        <v>20.07</v>
      </c>
      <c r="E32" s="51">
        <v>9.86</v>
      </c>
      <c r="F32" s="53" t="s">
        <v>8</v>
      </c>
      <c r="G32" s="51">
        <v>32.549999999999997</v>
      </c>
      <c r="H32" s="51">
        <v>6.87</v>
      </c>
      <c r="I32" s="51">
        <v>6.07</v>
      </c>
      <c r="J32" s="51">
        <v>0.68</v>
      </c>
      <c r="K32" s="51">
        <v>133.09</v>
      </c>
      <c r="L32" s="51">
        <v>19.91</v>
      </c>
      <c r="M32" s="51">
        <v>85.53</v>
      </c>
      <c r="N32" s="51">
        <v>1.7</v>
      </c>
      <c r="O32" s="51">
        <v>0</v>
      </c>
      <c r="P32" s="51">
        <v>0.62</v>
      </c>
      <c r="Q32" s="27" t="s">
        <v>14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3.61</v>
      </c>
      <c r="C34" s="41">
        <f t="shared" si="0"/>
        <v>15.51</v>
      </c>
      <c r="D34" s="41">
        <f t="shared" si="0"/>
        <v>12.61</v>
      </c>
      <c r="E34" s="41">
        <f t="shared" si="0"/>
        <v>4.8899999999999997</v>
      </c>
      <c r="F34" s="41">
        <f t="shared" si="0"/>
        <v>0</v>
      </c>
      <c r="G34" s="41">
        <f t="shared" si="0"/>
        <v>32.549999999999997</v>
      </c>
      <c r="H34" s="41">
        <f t="shared" si="0"/>
        <v>6.87</v>
      </c>
      <c r="I34" s="41">
        <f t="shared" si="0"/>
        <v>6.07</v>
      </c>
      <c r="J34" s="41">
        <f t="shared" si="0"/>
        <v>0.08</v>
      </c>
      <c r="K34" s="41">
        <f t="shared" si="0"/>
        <v>39.65</v>
      </c>
      <c r="L34" s="41">
        <f t="shared" si="0"/>
        <v>19.61</v>
      </c>
      <c r="M34" s="41">
        <f t="shared" si="0"/>
        <v>55.39</v>
      </c>
      <c r="N34" s="41">
        <f t="shared" si="0"/>
        <v>1.7</v>
      </c>
      <c r="O34" s="41">
        <f t="shared" si="0"/>
        <v>0</v>
      </c>
      <c r="P34" s="41">
        <f t="shared" si="0"/>
        <v>0.61</v>
      </c>
      <c r="Q34" s="27" t="s">
        <v>14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11.32</v>
      </c>
      <c r="C35" s="33">
        <f t="shared" si="1"/>
        <v>21.99</v>
      </c>
      <c r="D35" s="33">
        <f t="shared" si="1"/>
        <v>20.63</v>
      </c>
      <c r="E35" s="33">
        <f t="shared" si="1"/>
        <v>12.25</v>
      </c>
      <c r="F35" s="33">
        <f t="shared" si="1"/>
        <v>0</v>
      </c>
      <c r="G35" s="33">
        <f t="shared" si="1"/>
        <v>79.42</v>
      </c>
      <c r="H35" s="33">
        <f t="shared" si="1"/>
        <v>26.03</v>
      </c>
      <c r="I35" s="33">
        <f t="shared" si="1"/>
        <v>9.3699999999999992</v>
      </c>
      <c r="J35" s="33">
        <f t="shared" si="1"/>
        <v>1.94</v>
      </c>
      <c r="K35" s="33">
        <f t="shared" si="1"/>
        <v>352.78</v>
      </c>
      <c r="L35" s="33">
        <f t="shared" si="1"/>
        <v>29.69</v>
      </c>
      <c r="M35" s="33">
        <f t="shared" si="1"/>
        <v>86.35</v>
      </c>
      <c r="N35" s="33">
        <f t="shared" si="1"/>
        <v>421.3</v>
      </c>
      <c r="O35" s="33">
        <f t="shared" si="1"/>
        <v>0</v>
      </c>
      <c r="P35" s="33">
        <f t="shared" si="1"/>
        <v>0.77</v>
      </c>
      <c r="Q35" s="27" t="s">
        <v>14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6.5699999999999976</v>
      </c>
      <c r="C36" s="41">
        <f t="shared" si="2"/>
        <v>18.85125</v>
      </c>
      <c r="D36" s="41">
        <f t="shared" si="2"/>
        <v>16.369166666666665</v>
      </c>
      <c r="E36" s="41">
        <f t="shared" si="2"/>
        <v>8.8149999999999995</v>
      </c>
      <c r="F36" s="41" t="e">
        <f t="shared" si="2"/>
        <v>#DIV/0!</v>
      </c>
      <c r="G36" s="41">
        <f t="shared" si="2"/>
        <v>54.233750000000015</v>
      </c>
      <c r="H36" s="41">
        <f t="shared" si="2"/>
        <v>19.394583333333333</v>
      </c>
      <c r="I36" s="41">
        <f t="shared" si="2"/>
        <v>7.7549999999999999</v>
      </c>
      <c r="J36" s="41">
        <f t="shared" si="2"/>
        <v>0.67749999999999988</v>
      </c>
      <c r="K36" s="41">
        <f t="shared" si="2"/>
        <v>197.75458333333336</v>
      </c>
      <c r="L36" s="41">
        <f t="shared" si="2"/>
        <v>24.02666666666666</v>
      </c>
      <c r="M36" s="41">
        <f t="shared" si="2"/>
        <v>73.590416666666655</v>
      </c>
      <c r="N36" s="41">
        <f t="shared" si="2"/>
        <v>93.691666666666663</v>
      </c>
      <c r="O36" s="41">
        <f t="shared" si="2"/>
        <v>0</v>
      </c>
      <c r="P36" s="41">
        <f t="shared" si="2"/>
        <v>0.69750000000000012</v>
      </c>
      <c r="Q36" s="27" t="s">
        <v>14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2.332665950105723</v>
      </c>
      <c r="C37" s="41">
        <f t="shared" ref="C37:Q37" si="3">STDEV(C9:C32)</f>
        <v>1.5392892558072144</v>
      </c>
      <c r="D37" s="41">
        <f t="shared" si="3"/>
        <v>2.4190133034605013</v>
      </c>
      <c r="E37" s="41">
        <f t="shared" si="3"/>
        <v>2.1475365057382039</v>
      </c>
      <c r="F37" s="41" t="e">
        <f t="shared" si="3"/>
        <v>#DIV/0!</v>
      </c>
      <c r="G37" s="41">
        <f t="shared" si="3"/>
        <v>10.906722224110759</v>
      </c>
      <c r="H37" s="41">
        <f t="shared" si="3"/>
        <v>4.9561739969865775</v>
      </c>
      <c r="I37" s="41">
        <f t="shared" si="3"/>
        <v>0.80406575547677694</v>
      </c>
      <c r="J37" s="41">
        <f t="shared" si="3"/>
        <v>0.54866834838701906</v>
      </c>
      <c r="K37" s="41">
        <f t="shared" si="3"/>
        <v>105.5759872640334</v>
      </c>
      <c r="L37" s="41">
        <f t="shared" si="3"/>
        <v>3.9947842806934761</v>
      </c>
      <c r="M37" s="41">
        <f t="shared" si="3"/>
        <v>11.204432538709613</v>
      </c>
      <c r="N37" s="41">
        <f t="shared" si="3"/>
        <v>139.83936410618861</v>
      </c>
      <c r="O37" s="41">
        <f t="shared" si="3"/>
        <v>0</v>
      </c>
      <c r="P37" s="41">
        <f t="shared" si="3"/>
        <v>4.7388312629939748E-2</v>
      </c>
      <c r="Q37" s="27" t="s">
        <v>14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0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0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&lt;90%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LESS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pane xSplit="1" ySplit="8" topLeftCell="B27" activePane="bottomRight" state="frozen"/>
      <selection activeCell="A9" sqref="A9"/>
      <selection pane="topRight" activeCell="A9" sqref="A9"/>
      <selection pane="bottomLeft" activeCell="A9" sqref="A9"/>
      <selection pane="bottomRight" activeCell="Q34" sqref="Q34:Q37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45655.041666666664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4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45655.041666666664</v>
      </c>
      <c r="B9" s="51">
        <v>10.72</v>
      </c>
      <c r="C9" s="51">
        <v>22.23</v>
      </c>
      <c r="D9" s="51">
        <v>21.4</v>
      </c>
      <c r="E9" s="51">
        <v>9.99</v>
      </c>
      <c r="F9" s="53" t="s">
        <v>8</v>
      </c>
      <c r="G9" s="51">
        <v>26.66</v>
      </c>
      <c r="H9" s="51">
        <v>6.73</v>
      </c>
      <c r="I9" s="51">
        <v>6.05</v>
      </c>
      <c r="J9" s="51">
        <v>0.49</v>
      </c>
      <c r="K9" s="51">
        <v>165.25</v>
      </c>
      <c r="L9" s="51">
        <v>19.5</v>
      </c>
      <c r="M9" s="51">
        <v>89.21</v>
      </c>
      <c r="N9" s="51">
        <v>1.7</v>
      </c>
      <c r="O9" s="51">
        <v>0</v>
      </c>
      <c r="P9" s="51">
        <v>0.59</v>
      </c>
      <c r="Q9" s="27" t="s">
        <v>14</v>
      </c>
    </row>
    <row r="10" spans="1:21" customFormat="1">
      <c r="A10" s="50">
        <v>45655.083333333336</v>
      </c>
      <c r="B10" s="51">
        <v>10.83</v>
      </c>
      <c r="C10" s="51">
        <v>21.82</v>
      </c>
      <c r="D10" s="51">
        <v>21.27</v>
      </c>
      <c r="E10" s="51">
        <v>9.9700000000000006</v>
      </c>
      <c r="F10" s="53" t="s">
        <v>8</v>
      </c>
      <c r="G10" s="51">
        <v>23.06</v>
      </c>
      <c r="H10" s="51">
        <v>6.73</v>
      </c>
      <c r="I10" s="51">
        <v>5.88</v>
      </c>
      <c r="J10" s="51">
        <v>0.2</v>
      </c>
      <c r="K10" s="51">
        <v>216.66</v>
      </c>
      <c r="L10" s="51">
        <v>19.41</v>
      </c>
      <c r="M10" s="51">
        <v>89.93</v>
      </c>
      <c r="N10" s="51">
        <v>1.9</v>
      </c>
      <c r="O10" s="51">
        <v>0</v>
      </c>
      <c r="P10" s="51">
        <v>0.56999999999999995</v>
      </c>
      <c r="Q10" s="27" t="s">
        <v>14</v>
      </c>
    </row>
    <row r="11" spans="1:21" customFormat="1">
      <c r="A11" s="50">
        <v>45655.125</v>
      </c>
      <c r="B11" s="51">
        <v>10.91</v>
      </c>
      <c r="C11" s="51">
        <v>20.86</v>
      </c>
      <c r="D11" s="51">
        <v>21</v>
      </c>
      <c r="E11" s="51">
        <v>10.99</v>
      </c>
      <c r="F11" s="53" t="s">
        <v>8</v>
      </c>
      <c r="G11" s="51">
        <v>23.19</v>
      </c>
      <c r="H11" s="51">
        <v>6.71</v>
      </c>
      <c r="I11" s="51">
        <v>5.71</v>
      </c>
      <c r="J11" s="51">
        <v>0.16</v>
      </c>
      <c r="K11" s="51">
        <v>153.09</v>
      </c>
      <c r="L11" s="51">
        <v>19.13</v>
      </c>
      <c r="M11" s="51">
        <v>93.3</v>
      </c>
      <c r="N11" s="51">
        <v>2.1</v>
      </c>
      <c r="O11" s="51">
        <v>0</v>
      </c>
      <c r="P11" s="51">
        <v>0.56999999999999995</v>
      </c>
      <c r="Q11" s="27" t="s">
        <v>14</v>
      </c>
    </row>
    <row r="12" spans="1:21" customFormat="1">
      <c r="A12" s="50">
        <v>45655.166666666664</v>
      </c>
      <c r="B12" s="51">
        <v>10.75</v>
      </c>
      <c r="C12" s="51">
        <v>19.43</v>
      </c>
      <c r="D12" s="51">
        <v>20.11</v>
      </c>
      <c r="E12" s="51">
        <v>10.58</v>
      </c>
      <c r="F12" s="53" t="s">
        <v>8</v>
      </c>
      <c r="G12" s="51">
        <v>22.93</v>
      </c>
      <c r="H12" s="51">
        <v>6.27</v>
      </c>
      <c r="I12" s="51">
        <v>5.67</v>
      </c>
      <c r="J12" s="51">
        <v>0.16</v>
      </c>
      <c r="K12" s="51">
        <v>275.93</v>
      </c>
      <c r="L12" s="51">
        <v>18.46</v>
      </c>
      <c r="M12" s="51">
        <v>95.85</v>
      </c>
      <c r="N12" s="51">
        <v>1.6</v>
      </c>
      <c r="O12" s="51">
        <v>0</v>
      </c>
      <c r="P12" s="51">
        <v>0.56000000000000005</v>
      </c>
      <c r="Q12" s="27" t="s">
        <v>14</v>
      </c>
    </row>
    <row r="13" spans="1:21" customFormat="1">
      <c r="A13" s="50">
        <v>45655.208333333336</v>
      </c>
      <c r="B13" s="51">
        <v>10.58</v>
      </c>
      <c r="C13" s="51">
        <v>16.510000000000002</v>
      </c>
      <c r="D13" s="51">
        <v>18.46</v>
      </c>
      <c r="E13" s="51">
        <v>10.28</v>
      </c>
      <c r="F13" s="53" t="s">
        <v>8</v>
      </c>
      <c r="G13" s="51">
        <v>18.93</v>
      </c>
      <c r="H13" s="51">
        <v>5.84</v>
      </c>
      <c r="I13" s="51">
        <v>5.51</v>
      </c>
      <c r="J13" s="51">
        <v>0.34</v>
      </c>
      <c r="K13" s="51">
        <v>356.08</v>
      </c>
      <c r="L13" s="51">
        <v>18.72</v>
      </c>
      <c r="M13" s="51">
        <v>94.47</v>
      </c>
      <c r="N13" s="51">
        <v>1.7</v>
      </c>
      <c r="O13" s="51">
        <v>0</v>
      </c>
      <c r="P13" s="51">
        <v>0.5</v>
      </c>
      <c r="Q13" s="27" t="s">
        <v>14</v>
      </c>
    </row>
    <row r="14" spans="1:21" customFormat="1">
      <c r="A14" s="50">
        <v>45655.25</v>
      </c>
      <c r="B14" s="51">
        <v>14.02</v>
      </c>
      <c r="C14" s="51">
        <v>17.68</v>
      </c>
      <c r="D14" s="51">
        <v>21.83</v>
      </c>
      <c r="E14" s="51">
        <v>10.08</v>
      </c>
      <c r="F14" s="53" t="s">
        <v>8</v>
      </c>
      <c r="G14" s="51">
        <v>16.79</v>
      </c>
      <c r="H14" s="51">
        <v>5.73</v>
      </c>
      <c r="I14" s="51">
        <v>5.54</v>
      </c>
      <c r="J14" s="51">
        <v>0.4</v>
      </c>
      <c r="K14" s="51">
        <v>38.630000000000003</v>
      </c>
      <c r="L14" s="51">
        <v>18.739999999999998</v>
      </c>
      <c r="M14" s="51">
        <v>94.16</v>
      </c>
      <c r="N14" s="51">
        <v>1.7</v>
      </c>
      <c r="O14" s="51">
        <v>0</v>
      </c>
      <c r="P14" s="51">
        <v>0.51</v>
      </c>
      <c r="Q14" s="27" t="s">
        <v>14</v>
      </c>
    </row>
    <row r="15" spans="1:21" customFormat="1">
      <c r="A15" s="50">
        <v>45655.291666666664</v>
      </c>
      <c r="B15" s="51">
        <v>17.62</v>
      </c>
      <c r="C15" s="51">
        <v>18.25</v>
      </c>
      <c r="D15" s="51">
        <v>24.98</v>
      </c>
      <c r="E15" s="51">
        <v>10.5</v>
      </c>
      <c r="F15" s="53" t="s">
        <v>8</v>
      </c>
      <c r="G15" s="51">
        <v>21.69</v>
      </c>
      <c r="H15" s="51">
        <v>6.36</v>
      </c>
      <c r="I15" s="51">
        <v>6.08</v>
      </c>
      <c r="J15" s="51">
        <v>0.32</v>
      </c>
      <c r="K15" s="51">
        <v>56.73</v>
      </c>
      <c r="L15" s="51">
        <v>18.66</v>
      </c>
      <c r="M15" s="51">
        <v>95.97</v>
      </c>
      <c r="N15" s="51">
        <v>14.8</v>
      </c>
      <c r="O15" s="51">
        <v>0</v>
      </c>
      <c r="P15" s="51">
        <v>0.57999999999999996</v>
      </c>
      <c r="Q15" s="27" t="s">
        <v>14</v>
      </c>
    </row>
    <row r="16" spans="1:21" customFormat="1">
      <c r="A16" s="50">
        <v>45655.333333333336</v>
      </c>
      <c r="B16" s="51">
        <v>20.55</v>
      </c>
      <c r="C16" s="51">
        <v>18.77</v>
      </c>
      <c r="D16" s="51">
        <v>27.64</v>
      </c>
      <c r="E16" s="51">
        <v>10.29</v>
      </c>
      <c r="F16" s="53" t="s">
        <v>8</v>
      </c>
      <c r="G16" s="51">
        <v>37.049999999999997</v>
      </c>
      <c r="H16" s="51">
        <v>9.0299999999999994</v>
      </c>
      <c r="I16" s="51">
        <v>7.04</v>
      </c>
      <c r="J16" s="51">
        <v>0.35</v>
      </c>
      <c r="K16" s="51">
        <v>351.72</v>
      </c>
      <c r="L16" s="51">
        <v>19.64</v>
      </c>
      <c r="M16" s="51">
        <v>95.55</v>
      </c>
      <c r="N16" s="51">
        <v>72.099999999999994</v>
      </c>
      <c r="O16" s="51">
        <v>0</v>
      </c>
      <c r="P16" s="51">
        <v>0.72</v>
      </c>
      <c r="Q16" s="27" t="s">
        <v>14</v>
      </c>
    </row>
    <row r="17" spans="1:17" customFormat="1">
      <c r="A17" s="50">
        <v>45655.375</v>
      </c>
      <c r="B17" s="51">
        <v>23.11</v>
      </c>
      <c r="C17" s="51">
        <v>21.18</v>
      </c>
      <c r="D17" s="51">
        <v>30.95</v>
      </c>
      <c r="E17" s="51">
        <v>11.08</v>
      </c>
      <c r="F17" s="53" t="s">
        <v>8</v>
      </c>
      <c r="G17" s="51">
        <v>57.13</v>
      </c>
      <c r="H17" s="51">
        <v>11.83</v>
      </c>
      <c r="I17" s="51">
        <v>8.25</v>
      </c>
      <c r="J17" s="51">
        <v>0.53</v>
      </c>
      <c r="K17" s="51">
        <v>349.31</v>
      </c>
      <c r="L17" s="51">
        <v>22.23</v>
      </c>
      <c r="M17" s="51">
        <v>90.15</v>
      </c>
      <c r="N17" s="51">
        <v>200.7</v>
      </c>
      <c r="O17" s="51">
        <v>0</v>
      </c>
      <c r="P17" s="51">
        <v>1.1499999999999999</v>
      </c>
      <c r="Q17" s="27" t="s">
        <v>14</v>
      </c>
    </row>
    <row r="18" spans="1:17" customFormat="1">
      <c r="A18" s="50">
        <v>45655.416666666664</v>
      </c>
      <c r="B18" s="51">
        <v>23.84</v>
      </c>
      <c r="C18" s="51">
        <v>21.09</v>
      </c>
      <c r="D18" s="51">
        <v>31.33</v>
      </c>
      <c r="E18" s="51">
        <v>11.65</v>
      </c>
      <c r="F18" s="53" t="s">
        <v>8</v>
      </c>
      <c r="G18" s="51">
        <v>70.05</v>
      </c>
      <c r="H18" s="51">
        <v>15.43</v>
      </c>
      <c r="I18" s="51">
        <v>8.6199999999999992</v>
      </c>
      <c r="J18" s="51">
        <v>0.5</v>
      </c>
      <c r="K18" s="51">
        <v>61.81</v>
      </c>
      <c r="L18" s="51">
        <v>24.18</v>
      </c>
      <c r="M18" s="51">
        <v>76.7</v>
      </c>
      <c r="N18" s="51">
        <v>238.9</v>
      </c>
      <c r="O18" s="51">
        <v>0</v>
      </c>
      <c r="P18" s="51">
        <v>1.1499999999999999</v>
      </c>
      <c r="Q18" s="27" t="s">
        <v>14</v>
      </c>
    </row>
    <row r="19" spans="1:17" customFormat="1">
      <c r="A19" s="50">
        <v>45655.458333333336</v>
      </c>
      <c r="B19" s="51">
        <v>23.81</v>
      </c>
      <c r="C19" s="51">
        <v>19.39</v>
      </c>
      <c r="D19" s="51">
        <v>30.56</v>
      </c>
      <c r="E19" s="51">
        <v>11.17</v>
      </c>
      <c r="F19" s="53" t="s">
        <v>8</v>
      </c>
      <c r="G19" s="51">
        <v>69.56</v>
      </c>
      <c r="H19" s="51">
        <v>15.93</v>
      </c>
      <c r="I19" s="51">
        <v>8.6199999999999992</v>
      </c>
      <c r="J19" s="51">
        <v>0.73</v>
      </c>
      <c r="K19" s="51">
        <v>56.03</v>
      </c>
      <c r="L19" s="51">
        <v>25.34</v>
      </c>
      <c r="M19" s="51">
        <v>66.569999999999993</v>
      </c>
      <c r="N19" s="51">
        <v>378.7</v>
      </c>
      <c r="O19" s="51">
        <v>0</v>
      </c>
      <c r="P19" s="51">
        <v>1.1200000000000001</v>
      </c>
      <c r="Q19" s="27" t="s">
        <v>14</v>
      </c>
    </row>
    <row r="20" spans="1:17" customFormat="1">
      <c r="A20" s="50">
        <v>45655.5</v>
      </c>
      <c r="B20" s="51">
        <v>21.84</v>
      </c>
      <c r="C20" s="51">
        <v>19.489999999999998</v>
      </c>
      <c r="D20" s="51">
        <v>28.66</v>
      </c>
      <c r="E20" s="51">
        <v>11.22</v>
      </c>
      <c r="F20" s="53" t="s">
        <v>8</v>
      </c>
      <c r="G20" s="51">
        <v>62.18</v>
      </c>
      <c r="H20" s="51">
        <v>15.66</v>
      </c>
      <c r="I20" s="51">
        <v>8.4700000000000006</v>
      </c>
      <c r="J20" s="51">
        <v>0.81</v>
      </c>
      <c r="K20" s="51">
        <v>52.01</v>
      </c>
      <c r="L20" s="51">
        <v>26.95</v>
      </c>
      <c r="M20" s="51">
        <v>58.64</v>
      </c>
      <c r="N20" s="51">
        <v>418.7</v>
      </c>
      <c r="O20" s="51">
        <v>0</v>
      </c>
      <c r="P20" s="51">
        <v>1.05</v>
      </c>
      <c r="Q20" s="27" t="s">
        <v>14</v>
      </c>
    </row>
    <row r="21" spans="1:17" customFormat="1">
      <c r="A21" s="50">
        <v>45655.541666666664</v>
      </c>
      <c r="B21" s="51">
        <v>18.38</v>
      </c>
      <c r="C21" s="51">
        <v>20.51</v>
      </c>
      <c r="D21" s="51">
        <v>25.85</v>
      </c>
      <c r="E21" s="51">
        <v>11.19</v>
      </c>
      <c r="F21" s="53" t="s">
        <v>8</v>
      </c>
      <c r="G21" s="51">
        <v>54.72</v>
      </c>
      <c r="H21" s="51">
        <v>12.38</v>
      </c>
      <c r="I21" s="51">
        <v>8.24</v>
      </c>
      <c r="J21" s="51">
        <v>1</v>
      </c>
      <c r="K21" s="51">
        <v>354.33</v>
      </c>
      <c r="L21" s="51">
        <v>27.47</v>
      </c>
      <c r="M21" s="51">
        <v>56.66</v>
      </c>
      <c r="N21" s="51">
        <v>349</v>
      </c>
      <c r="O21" s="51">
        <v>0</v>
      </c>
      <c r="P21" s="51">
        <v>0.96</v>
      </c>
      <c r="Q21" s="27" t="s">
        <v>14</v>
      </c>
    </row>
    <row r="22" spans="1:17" customFormat="1">
      <c r="A22" s="50">
        <v>45655.583333333336</v>
      </c>
      <c r="B22" s="51">
        <v>15.35</v>
      </c>
      <c r="C22" s="51">
        <v>19.96</v>
      </c>
      <c r="D22" s="51">
        <v>24.09</v>
      </c>
      <c r="E22" s="51">
        <v>12.51</v>
      </c>
      <c r="F22" s="53" t="s">
        <v>8</v>
      </c>
      <c r="G22" s="51">
        <v>50.05</v>
      </c>
      <c r="H22" s="51">
        <v>14.44</v>
      </c>
      <c r="I22" s="51">
        <v>8.0500000000000007</v>
      </c>
      <c r="J22" s="51">
        <v>0.78</v>
      </c>
      <c r="K22" s="51">
        <v>54.27</v>
      </c>
      <c r="L22" s="51">
        <v>27.46</v>
      </c>
      <c r="M22" s="51">
        <v>58.21</v>
      </c>
      <c r="N22" s="51">
        <v>361.2</v>
      </c>
      <c r="O22" s="51">
        <v>0</v>
      </c>
      <c r="P22" s="51">
        <v>0.9</v>
      </c>
      <c r="Q22" s="27" t="s">
        <v>14</v>
      </c>
    </row>
    <row r="23" spans="1:17" customFormat="1">
      <c r="A23" s="50">
        <v>45655.625</v>
      </c>
      <c r="B23" s="51">
        <v>12.99</v>
      </c>
      <c r="C23" s="51">
        <v>22.88</v>
      </c>
      <c r="D23" s="51">
        <v>22.65</v>
      </c>
      <c r="E23" s="51">
        <v>11.22</v>
      </c>
      <c r="F23" s="53" t="s">
        <v>8</v>
      </c>
      <c r="G23" s="51">
        <v>51.58</v>
      </c>
      <c r="H23" s="51">
        <v>14.73</v>
      </c>
      <c r="I23" s="51">
        <v>7.96</v>
      </c>
      <c r="J23" s="51">
        <v>0.89</v>
      </c>
      <c r="K23" s="51">
        <v>54</v>
      </c>
      <c r="L23" s="51">
        <v>27.1</v>
      </c>
      <c r="M23" s="51">
        <v>58.19</v>
      </c>
      <c r="N23" s="51">
        <v>124.2</v>
      </c>
      <c r="O23" s="51">
        <v>0</v>
      </c>
      <c r="P23" s="51">
        <v>0.81</v>
      </c>
      <c r="Q23" s="27" t="s">
        <v>14</v>
      </c>
    </row>
    <row r="24" spans="1:17" customFormat="1">
      <c r="A24" s="50">
        <v>45655.666666666664</v>
      </c>
      <c r="B24" s="51">
        <v>10.130000000000001</v>
      </c>
      <c r="C24" s="51">
        <v>24.24</v>
      </c>
      <c r="D24" s="51">
        <v>21.61</v>
      </c>
      <c r="E24" s="51">
        <v>10.199999999999999</v>
      </c>
      <c r="F24" s="53" t="s">
        <v>8</v>
      </c>
      <c r="G24" s="51">
        <v>51.45</v>
      </c>
      <c r="H24" s="51">
        <v>14.71</v>
      </c>
      <c r="I24" s="51">
        <v>7.58</v>
      </c>
      <c r="J24" s="51">
        <v>0.93</v>
      </c>
      <c r="K24" s="51">
        <v>314.2</v>
      </c>
      <c r="L24" s="51">
        <v>26.75</v>
      </c>
      <c r="M24" s="51">
        <v>59.06</v>
      </c>
      <c r="N24" s="51">
        <v>67.2</v>
      </c>
      <c r="O24" s="51">
        <v>0</v>
      </c>
      <c r="P24" s="51">
        <v>0.77</v>
      </c>
      <c r="Q24" s="27" t="s">
        <v>14</v>
      </c>
    </row>
    <row r="25" spans="1:17" customFormat="1">
      <c r="A25" s="50">
        <v>45655.708333333336</v>
      </c>
      <c r="B25" s="51">
        <v>7.54</v>
      </c>
      <c r="C25" s="51">
        <v>24.57</v>
      </c>
      <c r="D25" s="51">
        <v>20.079999999999998</v>
      </c>
      <c r="E25" s="51">
        <v>10.210000000000001</v>
      </c>
      <c r="F25" s="53" t="s">
        <v>8</v>
      </c>
      <c r="G25" s="51">
        <v>49.5</v>
      </c>
      <c r="H25" s="51">
        <v>16.43</v>
      </c>
      <c r="I25" s="51">
        <v>7.23</v>
      </c>
      <c r="J25" s="51">
        <v>0.52</v>
      </c>
      <c r="K25" s="51">
        <v>46.08</v>
      </c>
      <c r="L25" s="51">
        <v>26.43</v>
      </c>
      <c r="M25" s="51">
        <v>59.66</v>
      </c>
      <c r="N25" s="51">
        <v>33.1</v>
      </c>
      <c r="O25" s="51">
        <v>0</v>
      </c>
      <c r="P25" s="51">
        <v>0.75</v>
      </c>
      <c r="Q25" s="27" t="s">
        <v>14</v>
      </c>
    </row>
    <row r="26" spans="1:17" customFormat="1">
      <c r="A26" s="50">
        <v>45655.75</v>
      </c>
      <c r="B26" s="51">
        <v>7.21</v>
      </c>
      <c r="C26" s="51">
        <v>24.42</v>
      </c>
      <c r="D26" s="51">
        <v>19.84</v>
      </c>
      <c r="E26" s="51">
        <v>9.85</v>
      </c>
      <c r="F26" s="53" t="s">
        <v>8</v>
      </c>
      <c r="G26" s="51">
        <v>47.01</v>
      </c>
      <c r="H26" s="51">
        <v>16.190000000000001</v>
      </c>
      <c r="I26" s="51">
        <v>7.04</v>
      </c>
      <c r="J26" s="51">
        <v>0.43</v>
      </c>
      <c r="K26" s="51">
        <v>47.9</v>
      </c>
      <c r="L26" s="51">
        <v>25.49</v>
      </c>
      <c r="M26" s="51">
        <v>63.01</v>
      </c>
      <c r="N26" s="51">
        <v>5.2</v>
      </c>
      <c r="O26" s="51">
        <v>0</v>
      </c>
      <c r="P26" s="51">
        <v>0.75</v>
      </c>
      <c r="Q26" s="27" t="s">
        <v>14</v>
      </c>
    </row>
    <row r="27" spans="1:17" customFormat="1">
      <c r="A27" s="50">
        <v>45655.791666666664</v>
      </c>
      <c r="B27" s="51">
        <v>9.6300000000000008</v>
      </c>
      <c r="C27" s="51">
        <v>26.39</v>
      </c>
      <c r="D27" s="51">
        <v>22.47</v>
      </c>
      <c r="E27" s="51">
        <v>9.59</v>
      </c>
      <c r="F27" s="53" t="s">
        <v>8</v>
      </c>
      <c r="G27" s="51">
        <v>53.97</v>
      </c>
      <c r="H27" s="51">
        <v>15.47</v>
      </c>
      <c r="I27" s="51">
        <v>7.69</v>
      </c>
      <c r="J27" s="51">
        <v>0.37</v>
      </c>
      <c r="K27" s="51">
        <v>150.5</v>
      </c>
      <c r="L27" s="51">
        <v>24.26</v>
      </c>
      <c r="M27" s="51">
        <v>74.959999999999994</v>
      </c>
      <c r="N27" s="51">
        <v>2.1</v>
      </c>
      <c r="O27" s="51">
        <v>0</v>
      </c>
      <c r="P27" s="51">
        <v>0.84</v>
      </c>
      <c r="Q27" s="27" t="s">
        <v>14</v>
      </c>
    </row>
    <row r="28" spans="1:17" customFormat="1">
      <c r="A28" s="50">
        <v>45655.833333333336</v>
      </c>
      <c r="B28" s="51">
        <v>10.82</v>
      </c>
      <c r="C28" s="51">
        <v>24.76</v>
      </c>
      <c r="D28" s="51">
        <v>22.38</v>
      </c>
      <c r="E28" s="51">
        <v>9.41</v>
      </c>
      <c r="F28" s="53" t="s">
        <v>8</v>
      </c>
      <c r="G28" s="51">
        <v>55.49</v>
      </c>
      <c r="H28" s="51">
        <v>17.45</v>
      </c>
      <c r="I28" s="51">
        <v>8.23</v>
      </c>
      <c r="J28" s="51">
        <v>0.26</v>
      </c>
      <c r="K28" s="51">
        <v>164.01</v>
      </c>
      <c r="L28" s="51">
        <v>22.47</v>
      </c>
      <c r="M28" s="51">
        <v>81.62</v>
      </c>
      <c r="N28" s="51">
        <v>2.1</v>
      </c>
      <c r="O28" s="51">
        <v>0</v>
      </c>
      <c r="P28" s="51">
        <v>0.87</v>
      </c>
      <c r="Q28" s="27" t="s">
        <v>14</v>
      </c>
    </row>
    <row r="29" spans="1:17" customFormat="1">
      <c r="A29" s="50">
        <v>45655.875</v>
      </c>
      <c r="B29" s="51">
        <v>12.82</v>
      </c>
      <c r="C29" s="51">
        <v>22.95</v>
      </c>
      <c r="D29" s="51">
        <v>23.17</v>
      </c>
      <c r="E29" s="51">
        <v>9.6</v>
      </c>
      <c r="F29" s="53" t="s">
        <v>8</v>
      </c>
      <c r="G29" s="51">
        <v>67.48</v>
      </c>
      <c r="H29" s="51">
        <v>17.3</v>
      </c>
      <c r="I29" s="51">
        <v>9.0500000000000007</v>
      </c>
      <c r="J29" s="51">
        <v>0.28999999999999998</v>
      </c>
      <c r="K29" s="51">
        <v>184.92</v>
      </c>
      <c r="L29" s="51">
        <v>22.35</v>
      </c>
      <c r="M29" s="51">
        <v>79</v>
      </c>
      <c r="N29" s="51">
        <v>1.9</v>
      </c>
      <c r="O29" s="51">
        <v>0</v>
      </c>
      <c r="P29" s="51">
        <v>0.89</v>
      </c>
      <c r="Q29" s="27" t="s">
        <v>14</v>
      </c>
    </row>
    <row r="30" spans="1:17" customFormat="1">
      <c r="A30" s="50">
        <v>45655.916666666664</v>
      </c>
      <c r="B30" s="51">
        <v>13.56</v>
      </c>
      <c r="C30" s="51">
        <v>22.63</v>
      </c>
      <c r="D30" s="51">
        <v>23.92</v>
      </c>
      <c r="E30" s="51">
        <v>9.81</v>
      </c>
      <c r="F30" s="53" t="s">
        <v>8</v>
      </c>
      <c r="G30" s="51">
        <v>79.63</v>
      </c>
      <c r="H30" s="51">
        <v>18.579999999999998</v>
      </c>
      <c r="I30" s="51">
        <v>9.3699999999999992</v>
      </c>
      <c r="J30" s="51">
        <v>0.23</v>
      </c>
      <c r="K30" s="51">
        <v>218.99</v>
      </c>
      <c r="L30" s="51">
        <v>21.65</v>
      </c>
      <c r="M30" s="51">
        <v>87.81</v>
      </c>
      <c r="N30" s="51">
        <v>2.1</v>
      </c>
      <c r="O30" s="51">
        <v>0</v>
      </c>
      <c r="P30" s="51">
        <v>0.89</v>
      </c>
      <c r="Q30" s="27" t="s">
        <v>14</v>
      </c>
    </row>
    <row r="31" spans="1:17" customFormat="1">
      <c r="A31" s="50">
        <v>45655.958333333336</v>
      </c>
      <c r="B31" s="51">
        <v>15.98</v>
      </c>
      <c r="C31" s="51">
        <v>21.9</v>
      </c>
      <c r="D31" s="51">
        <v>25.43</v>
      </c>
      <c r="E31" s="51">
        <v>9.57</v>
      </c>
      <c r="F31" s="53" t="s">
        <v>8</v>
      </c>
      <c r="G31" s="51">
        <v>85.07</v>
      </c>
      <c r="H31" s="51">
        <v>18.43</v>
      </c>
      <c r="I31" s="51">
        <v>9.56</v>
      </c>
      <c r="J31" s="51">
        <v>0.16</v>
      </c>
      <c r="K31" s="51">
        <v>212.82</v>
      </c>
      <c r="L31" s="51">
        <v>20.58</v>
      </c>
      <c r="M31" s="51">
        <v>88.58</v>
      </c>
      <c r="N31" s="51">
        <v>1.7</v>
      </c>
      <c r="O31" s="51">
        <v>0</v>
      </c>
      <c r="P31" s="51">
        <v>0.9</v>
      </c>
      <c r="Q31" s="27" t="s">
        <v>14</v>
      </c>
    </row>
    <row r="32" spans="1:17" customFormat="1">
      <c r="A32" s="50">
        <v>45656</v>
      </c>
      <c r="B32" s="51">
        <v>18.239999999999998</v>
      </c>
      <c r="C32" s="51">
        <v>21.34</v>
      </c>
      <c r="D32" s="51">
        <v>26.29</v>
      </c>
      <c r="E32" s="51">
        <v>9.26</v>
      </c>
      <c r="F32" s="53" t="s">
        <v>8</v>
      </c>
      <c r="G32" s="51">
        <v>86.89</v>
      </c>
      <c r="H32" s="51">
        <v>20.13</v>
      </c>
      <c r="I32" s="51">
        <v>9.68</v>
      </c>
      <c r="J32" s="51">
        <v>0.19</v>
      </c>
      <c r="K32" s="51">
        <v>189.73</v>
      </c>
      <c r="L32" s="51">
        <v>20.11</v>
      </c>
      <c r="M32" s="51">
        <v>92.71</v>
      </c>
      <c r="N32" s="51">
        <v>1.7</v>
      </c>
      <c r="O32" s="51">
        <v>0</v>
      </c>
      <c r="P32" s="51">
        <v>0.89</v>
      </c>
      <c r="Q32" s="27" t="s">
        <v>14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7.21</v>
      </c>
      <c r="C34" s="41">
        <f t="shared" si="0"/>
        <v>16.510000000000002</v>
      </c>
      <c r="D34" s="41">
        <f t="shared" si="0"/>
        <v>18.46</v>
      </c>
      <c r="E34" s="41">
        <f t="shared" si="0"/>
        <v>9.26</v>
      </c>
      <c r="F34" s="41">
        <f t="shared" si="0"/>
        <v>0</v>
      </c>
      <c r="G34" s="41">
        <f t="shared" si="0"/>
        <v>16.79</v>
      </c>
      <c r="H34" s="41">
        <f t="shared" si="0"/>
        <v>5.73</v>
      </c>
      <c r="I34" s="41">
        <f t="shared" si="0"/>
        <v>5.51</v>
      </c>
      <c r="J34" s="41">
        <f t="shared" si="0"/>
        <v>0.16</v>
      </c>
      <c r="K34" s="41">
        <f t="shared" si="0"/>
        <v>38.630000000000003</v>
      </c>
      <c r="L34" s="41">
        <f t="shared" si="0"/>
        <v>18.46</v>
      </c>
      <c r="M34" s="41">
        <f t="shared" si="0"/>
        <v>56.66</v>
      </c>
      <c r="N34" s="41">
        <f t="shared" si="0"/>
        <v>1.6</v>
      </c>
      <c r="O34" s="41">
        <f t="shared" si="0"/>
        <v>0</v>
      </c>
      <c r="P34" s="41">
        <f t="shared" si="0"/>
        <v>0.5</v>
      </c>
      <c r="Q34" s="27" t="s">
        <v>14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23.84</v>
      </c>
      <c r="C35" s="33">
        <f t="shared" si="1"/>
        <v>26.39</v>
      </c>
      <c r="D35" s="33">
        <f t="shared" si="1"/>
        <v>31.33</v>
      </c>
      <c r="E35" s="33">
        <f t="shared" si="1"/>
        <v>12.51</v>
      </c>
      <c r="F35" s="33">
        <f t="shared" si="1"/>
        <v>0</v>
      </c>
      <c r="G35" s="33">
        <f t="shared" si="1"/>
        <v>86.89</v>
      </c>
      <c r="H35" s="33">
        <f t="shared" si="1"/>
        <v>20.13</v>
      </c>
      <c r="I35" s="33">
        <f t="shared" si="1"/>
        <v>9.68</v>
      </c>
      <c r="J35" s="33">
        <f t="shared" si="1"/>
        <v>1</v>
      </c>
      <c r="K35" s="33">
        <f t="shared" si="1"/>
        <v>356.08</v>
      </c>
      <c r="L35" s="33">
        <f t="shared" si="1"/>
        <v>27.47</v>
      </c>
      <c r="M35" s="33">
        <f t="shared" si="1"/>
        <v>95.97</v>
      </c>
      <c r="N35" s="33">
        <f t="shared" si="1"/>
        <v>418.7</v>
      </c>
      <c r="O35" s="33">
        <f t="shared" si="1"/>
        <v>0</v>
      </c>
      <c r="P35" s="33">
        <f t="shared" si="1"/>
        <v>1.1499999999999999</v>
      </c>
      <c r="Q35" s="27" t="s">
        <v>14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14.634583333333333</v>
      </c>
      <c r="C36" s="41">
        <f t="shared" si="2"/>
        <v>21.385416666666668</v>
      </c>
      <c r="D36" s="41">
        <f t="shared" si="2"/>
        <v>23.998749999999998</v>
      </c>
      <c r="E36" s="41">
        <f t="shared" si="2"/>
        <v>10.425833333333332</v>
      </c>
      <c r="F36" s="41" t="e">
        <f t="shared" si="2"/>
        <v>#DIV/0!</v>
      </c>
      <c r="G36" s="41">
        <f t="shared" si="2"/>
        <v>49.252500000000005</v>
      </c>
      <c r="H36" s="41">
        <f t="shared" si="2"/>
        <v>12.85375</v>
      </c>
      <c r="I36" s="41">
        <f t="shared" si="2"/>
        <v>7.5466666666666669</v>
      </c>
      <c r="J36" s="41">
        <f t="shared" si="2"/>
        <v>0.45999999999999991</v>
      </c>
      <c r="K36" s="41">
        <f t="shared" si="2"/>
        <v>171.875</v>
      </c>
      <c r="L36" s="41">
        <f t="shared" si="2"/>
        <v>22.628333333333334</v>
      </c>
      <c r="M36" s="41">
        <f t="shared" si="2"/>
        <v>79.165416666666673</v>
      </c>
      <c r="N36" s="41">
        <f t="shared" si="2"/>
        <v>95.25416666666662</v>
      </c>
      <c r="O36" s="41">
        <f t="shared" si="2"/>
        <v>0</v>
      </c>
      <c r="P36" s="41">
        <f t="shared" si="2"/>
        <v>0.80374999999999996</v>
      </c>
      <c r="Q36" s="27" t="s">
        <v>14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5.1668222335158331</v>
      </c>
      <c r="C37" s="41">
        <f t="shared" ref="C37:Q37" si="3">STDEV(C9:C32)</f>
        <v>2.4681007997995166</v>
      </c>
      <c r="D37" s="41">
        <f t="shared" si="3"/>
        <v>3.6790999755965901</v>
      </c>
      <c r="E37" s="41">
        <f t="shared" si="3"/>
        <v>0.80451398597116508</v>
      </c>
      <c r="F37" s="41" t="e">
        <f t="shared" si="3"/>
        <v>#DIV/0!</v>
      </c>
      <c r="G37" s="41">
        <f t="shared" si="3"/>
        <v>21.453790837619973</v>
      </c>
      <c r="H37" s="41">
        <f t="shared" si="3"/>
        <v>4.8276394560272724</v>
      </c>
      <c r="I37" s="41">
        <f t="shared" si="3"/>
        <v>1.3527192152706045</v>
      </c>
      <c r="J37" s="41">
        <f t="shared" si="3"/>
        <v>0.26352130513654809</v>
      </c>
      <c r="K37" s="41">
        <f t="shared" si="3"/>
        <v>114.06963624489856</v>
      </c>
      <c r="L37" s="41">
        <f t="shared" si="3"/>
        <v>3.3238135073863733</v>
      </c>
      <c r="M37" s="41">
        <f t="shared" si="3"/>
        <v>15.055490686750739</v>
      </c>
      <c r="N37" s="41">
        <f t="shared" si="3"/>
        <v>144.02693280490431</v>
      </c>
      <c r="O37" s="41">
        <f t="shared" si="3"/>
        <v>0</v>
      </c>
      <c r="P37" s="41">
        <f t="shared" si="3"/>
        <v>0.20090691117162154</v>
      </c>
      <c r="Q37" s="27" t="s">
        <v>14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0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0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&lt;90%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LESS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 horizontalDpi="300" verticalDpi="300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119"/>
  <sheetViews>
    <sheetView topLeftCell="A16" zoomScale="85" zoomScaleNormal="85" workbookViewId="0">
      <selection activeCell="Q9" sqref="Q9:Q20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45656.041666666664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45656.041666666664</v>
      </c>
      <c r="B9" s="51">
        <v>21.92</v>
      </c>
      <c r="C9" s="51">
        <v>20.39</v>
      </c>
      <c r="D9" s="51">
        <v>29.58</v>
      </c>
      <c r="E9" s="51">
        <v>8.66</v>
      </c>
      <c r="F9" s="53" t="s">
        <v>8</v>
      </c>
      <c r="G9" s="51">
        <v>86.4</v>
      </c>
      <c r="H9" s="51">
        <v>20</v>
      </c>
      <c r="I9" s="51">
        <v>9.68</v>
      </c>
      <c r="J9" s="51">
        <v>0.19</v>
      </c>
      <c r="K9" s="51">
        <v>215.78</v>
      </c>
      <c r="L9" s="51">
        <v>19.809999999999999</v>
      </c>
      <c r="M9" s="51">
        <v>92.37</v>
      </c>
      <c r="N9" s="51">
        <v>1.5</v>
      </c>
      <c r="O9" s="51">
        <v>0</v>
      </c>
      <c r="P9" s="51">
        <v>0.87</v>
      </c>
      <c r="Q9" s="27" t="s">
        <v>14</v>
      </c>
    </row>
    <row r="10" spans="1:21" customFormat="1">
      <c r="A10" s="50">
        <v>45656.083333333336</v>
      </c>
      <c r="B10" s="51">
        <v>28.14</v>
      </c>
      <c r="C10" s="51">
        <v>20.55</v>
      </c>
      <c r="D10" s="51">
        <v>34.659999999999997</v>
      </c>
      <c r="E10" s="51">
        <v>8.99</v>
      </c>
      <c r="F10" s="53" t="s">
        <v>8</v>
      </c>
      <c r="G10" s="51">
        <v>79.489999999999995</v>
      </c>
      <c r="H10" s="51">
        <v>18.579999999999998</v>
      </c>
      <c r="I10" s="51">
        <v>9.7899999999999991</v>
      </c>
      <c r="J10" s="51">
        <v>0.23</v>
      </c>
      <c r="K10" s="51">
        <v>261.62</v>
      </c>
      <c r="L10" s="51">
        <v>19.600000000000001</v>
      </c>
      <c r="M10" s="51">
        <v>94.76</v>
      </c>
      <c r="N10" s="51">
        <v>1.7</v>
      </c>
      <c r="O10" s="51">
        <v>0</v>
      </c>
      <c r="P10" s="51">
        <v>0.88</v>
      </c>
      <c r="Q10" s="27" t="s">
        <v>14</v>
      </c>
    </row>
    <row r="11" spans="1:21" customFormat="1">
      <c r="A11" s="50">
        <v>45656.125</v>
      </c>
      <c r="B11" s="51">
        <v>30.33</v>
      </c>
      <c r="C11" s="51">
        <v>20.77</v>
      </c>
      <c r="D11" s="51">
        <v>36.520000000000003</v>
      </c>
      <c r="E11" s="51">
        <v>8.35</v>
      </c>
      <c r="F11" s="53" t="s">
        <v>8</v>
      </c>
      <c r="G11" s="51">
        <v>78.510000000000005</v>
      </c>
      <c r="H11" s="51">
        <v>17</v>
      </c>
      <c r="I11" s="51">
        <v>9.89</v>
      </c>
      <c r="J11" s="51">
        <v>0.43</v>
      </c>
      <c r="K11" s="51">
        <v>49.82</v>
      </c>
      <c r="L11" s="51">
        <v>19.739999999999998</v>
      </c>
      <c r="M11" s="51">
        <v>89.75</v>
      </c>
      <c r="N11" s="51">
        <v>1.6</v>
      </c>
      <c r="O11" s="51">
        <v>0</v>
      </c>
      <c r="P11" s="51">
        <v>0.88</v>
      </c>
      <c r="Q11" s="27" t="s">
        <v>14</v>
      </c>
    </row>
    <row r="12" spans="1:21" customFormat="1">
      <c r="A12" s="50">
        <v>45656.166666666664</v>
      </c>
      <c r="B12" s="51">
        <v>29.34</v>
      </c>
      <c r="C12" s="51">
        <v>20.77</v>
      </c>
      <c r="D12" s="51">
        <v>35.729999999999997</v>
      </c>
      <c r="E12" s="51">
        <v>8.82</v>
      </c>
      <c r="F12" s="53" t="s">
        <v>8</v>
      </c>
      <c r="G12" s="51">
        <v>76.34</v>
      </c>
      <c r="H12" s="51">
        <v>16.149999999999999</v>
      </c>
      <c r="I12" s="51">
        <v>9.85</v>
      </c>
      <c r="J12" s="51">
        <v>0.53</v>
      </c>
      <c r="K12" s="51">
        <v>60.2</v>
      </c>
      <c r="L12" s="51">
        <v>19.54</v>
      </c>
      <c r="M12" s="51">
        <v>91.44</v>
      </c>
      <c r="N12" s="51">
        <v>1.7</v>
      </c>
      <c r="O12" s="51">
        <v>0</v>
      </c>
      <c r="P12" s="51">
        <v>0.85</v>
      </c>
      <c r="Q12" s="27" t="s">
        <v>14</v>
      </c>
    </row>
    <row r="13" spans="1:21" customFormat="1">
      <c r="A13" s="50">
        <v>45656.208333333336</v>
      </c>
      <c r="B13" s="51">
        <v>27.7</v>
      </c>
      <c r="C13" s="51">
        <v>21.77</v>
      </c>
      <c r="D13" s="51">
        <v>34.729999999999997</v>
      </c>
      <c r="E13" s="51">
        <v>9.0299999999999994</v>
      </c>
      <c r="F13" s="53" t="s">
        <v>8</v>
      </c>
      <c r="G13" s="51">
        <v>67.8</v>
      </c>
      <c r="H13" s="51">
        <v>15.76</v>
      </c>
      <c r="I13" s="51">
        <v>9.6199999999999992</v>
      </c>
      <c r="J13" s="51">
        <v>0.36</v>
      </c>
      <c r="K13" s="51">
        <v>51.85</v>
      </c>
      <c r="L13" s="51">
        <v>19.079999999999998</v>
      </c>
      <c r="M13" s="51">
        <v>93.64</v>
      </c>
      <c r="N13" s="51">
        <v>1.7</v>
      </c>
      <c r="O13" s="51">
        <v>0</v>
      </c>
      <c r="P13" s="51">
        <v>0.84</v>
      </c>
      <c r="Q13" s="27" t="s">
        <v>14</v>
      </c>
    </row>
    <row r="14" spans="1:21" customFormat="1">
      <c r="A14" s="50">
        <v>45656.25</v>
      </c>
      <c r="B14" s="51">
        <v>27.46</v>
      </c>
      <c r="C14" s="51">
        <v>21.24</v>
      </c>
      <c r="D14" s="51">
        <v>34.46</v>
      </c>
      <c r="E14" s="51">
        <v>9.0299999999999994</v>
      </c>
      <c r="F14" s="53" t="s">
        <v>8</v>
      </c>
      <c r="G14" s="51">
        <v>61.4</v>
      </c>
      <c r="H14" s="51">
        <v>16.07</v>
      </c>
      <c r="I14" s="51">
        <v>9.7100000000000009</v>
      </c>
      <c r="J14" s="51">
        <v>0.37</v>
      </c>
      <c r="K14" s="51">
        <v>136.91999999999999</v>
      </c>
      <c r="L14" s="51">
        <v>18.71</v>
      </c>
      <c r="M14" s="51">
        <v>94.42</v>
      </c>
      <c r="N14" s="51">
        <v>1.7</v>
      </c>
      <c r="O14" s="51">
        <v>0</v>
      </c>
      <c r="P14" s="51">
        <v>0.84</v>
      </c>
      <c r="Q14" s="27" t="s">
        <v>14</v>
      </c>
    </row>
    <row r="15" spans="1:21" customFormat="1">
      <c r="A15" s="50">
        <v>45656.291666666664</v>
      </c>
      <c r="B15" s="51">
        <v>26.99</v>
      </c>
      <c r="C15" s="51">
        <v>21.46</v>
      </c>
      <c r="D15" s="51">
        <v>33.97</v>
      </c>
      <c r="E15" s="51">
        <v>9</v>
      </c>
      <c r="F15" s="53" t="s">
        <v>8</v>
      </c>
      <c r="G15" s="51">
        <v>61.02</v>
      </c>
      <c r="H15" s="51">
        <v>15.82</v>
      </c>
      <c r="I15" s="51">
        <v>9.69</v>
      </c>
      <c r="J15" s="51">
        <v>0.18</v>
      </c>
      <c r="K15" s="51">
        <v>199</v>
      </c>
      <c r="L15" s="51">
        <v>18.309999999999999</v>
      </c>
      <c r="M15" s="51">
        <v>97.59</v>
      </c>
      <c r="N15" s="51">
        <v>15.7</v>
      </c>
      <c r="O15" s="51">
        <v>0</v>
      </c>
      <c r="P15" s="51">
        <v>0.81</v>
      </c>
      <c r="Q15" s="27" t="s">
        <v>14</v>
      </c>
    </row>
    <row r="16" spans="1:21" customFormat="1">
      <c r="A16" s="50">
        <v>45656.333333333336</v>
      </c>
      <c r="B16" s="51">
        <v>26.75</v>
      </c>
      <c r="C16" s="51">
        <v>21.08</v>
      </c>
      <c r="D16" s="51">
        <v>33.75</v>
      </c>
      <c r="E16" s="51">
        <v>8.69</v>
      </c>
      <c r="F16" s="53" t="s">
        <v>8</v>
      </c>
      <c r="G16" s="51">
        <v>55.59</v>
      </c>
      <c r="H16" s="51">
        <v>15.34</v>
      </c>
      <c r="I16" s="51">
        <v>9.81</v>
      </c>
      <c r="J16" s="51">
        <v>0.42</v>
      </c>
      <c r="K16" s="51">
        <v>131.26</v>
      </c>
      <c r="L16" s="51">
        <v>19.87</v>
      </c>
      <c r="M16" s="51">
        <v>94.35</v>
      </c>
      <c r="N16" s="51">
        <v>71.900000000000006</v>
      </c>
      <c r="O16" s="51">
        <v>0</v>
      </c>
      <c r="P16" s="51">
        <v>0.81</v>
      </c>
      <c r="Q16" s="27" t="s">
        <v>14</v>
      </c>
    </row>
    <row r="17" spans="1:17" customFormat="1">
      <c r="A17" s="50">
        <v>45656.375</v>
      </c>
      <c r="B17" s="51">
        <v>25.72</v>
      </c>
      <c r="C17" s="51">
        <v>20.82</v>
      </c>
      <c r="D17" s="51">
        <v>32.700000000000003</v>
      </c>
      <c r="E17" s="51">
        <v>8.64</v>
      </c>
      <c r="F17" s="53" t="s">
        <v>8</v>
      </c>
      <c r="G17" s="51">
        <v>53.14</v>
      </c>
      <c r="H17" s="51">
        <v>15.32</v>
      </c>
      <c r="I17" s="51">
        <v>9.7799999999999994</v>
      </c>
      <c r="J17" s="51">
        <v>0.89</v>
      </c>
      <c r="K17" s="51">
        <v>93.42</v>
      </c>
      <c r="L17" s="51">
        <v>21.97</v>
      </c>
      <c r="M17" s="51">
        <v>87.35</v>
      </c>
      <c r="N17" s="51">
        <v>194.4</v>
      </c>
      <c r="O17" s="51">
        <v>0</v>
      </c>
      <c r="P17" s="51">
        <v>0.81</v>
      </c>
      <c r="Q17" s="27" t="s">
        <v>14</v>
      </c>
    </row>
    <row r="18" spans="1:17" customFormat="1">
      <c r="A18" s="50">
        <v>45656.416666666664</v>
      </c>
      <c r="B18" s="51">
        <v>24.32</v>
      </c>
      <c r="C18" s="51">
        <v>21.62</v>
      </c>
      <c r="D18" s="51">
        <v>31.75</v>
      </c>
      <c r="E18" s="51">
        <v>8.25</v>
      </c>
      <c r="F18" s="53" t="s">
        <v>8</v>
      </c>
      <c r="G18" s="51">
        <v>51.85</v>
      </c>
      <c r="H18" s="51">
        <v>15.17</v>
      </c>
      <c r="I18" s="51">
        <v>9.5</v>
      </c>
      <c r="J18" s="51">
        <v>0.73</v>
      </c>
      <c r="K18" s="51">
        <v>101.96</v>
      </c>
      <c r="L18" s="51">
        <v>24.25</v>
      </c>
      <c r="M18" s="51">
        <v>73.83</v>
      </c>
      <c r="N18" s="51">
        <v>247.2</v>
      </c>
      <c r="O18" s="51">
        <v>0</v>
      </c>
      <c r="P18" s="51">
        <v>0.78</v>
      </c>
      <c r="Q18" s="27" t="s">
        <v>14</v>
      </c>
    </row>
    <row r="19" spans="1:17" customFormat="1">
      <c r="A19" s="50">
        <v>45656.458333333336</v>
      </c>
      <c r="B19" s="51">
        <v>22.07</v>
      </c>
      <c r="C19" s="51">
        <v>22.62</v>
      </c>
      <c r="D19" s="51">
        <v>30.5</v>
      </c>
      <c r="E19" s="51">
        <v>9.1300000000000008</v>
      </c>
      <c r="F19" s="53" t="s">
        <v>8</v>
      </c>
      <c r="G19" s="51">
        <v>51.48</v>
      </c>
      <c r="H19" s="51">
        <v>15.02</v>
      </c>
      <c r="I19" s="51">
        <v>9.0500000000000007</v>
      </c>
      <c r="J19" s="51">
        <v>0.67</v>
      </c>
      <c r="K19" s="51">
        <v>358.42</v>
      </c>
      <c r="L19" s="51">
        <v>25.37</v>
      </c>
      <c r="M19" s="51">
        <v>64.42</v>
      </c>
      <c r="N19" s="51">
        <v>397</v>
      </c>
      <c r="O19" s="51">
        <v>0</v>
      </c>
      <c r="P19" s="51">
        <v>0.72</v>
      </c>
      <c r="Q19" s="27" t="s">
        <v>14</v>
      </c>
    </row>
    <row r="20" spans="1:17" customFormat="1">
      <c r="A20" s="50">
        <v>45656.5</v>
      </c>
      <c r="B20" s="51">
        <v>16.88</v>
      </c>
      <c r="C20" s="51">
        <v>23.45</v>
      </c>
      <c r="D20" s="51">
        <v>26.84</v>
      </c>
      <c r="E20" s="51">
        <v>9.09</v>
      </c>
      <c r="F20" s="53" t="s">
        <v>8</v>
      </c>
      <c r="G20" s="51">
        <v>45.85</v>
      </c>
      <c r="H20" s="51">
        <v>15.86</v>
      </c>
      <c r="I20" s="51">
        <v>8.2799999999999994</v>
      </c>
      <c r="J20" s="51">
        <v>0.74</v>
      </c>
      <c r="K20" s="51">
        <v>81.62</v>
      </c>
      <c r="L20" s="51">
        <v>26.7</v>
      </c>
      <c r="M20" s="51">
        <v>60.05</v>
      </c>
      <c r="N20" s="51">
        <v>431.2</v>
      </c>
      <c r="O20" s="51">
        <v>0</v>
      </c>
      <c r="P20" s="51">
        <v>0.68</v>
      </c>
      <c r="Q20" s="27" t="s">
        <v>14</v>
      </c>
    </row>
    <row r="21" spans="1:17" customFormat="1">
      <c r="A21" s="50">
        <v>45656.541666666664</v>
      </c>
      <c r="B21" s="51">
        <v>10.95</v>
      </c>
      <c r="C21" s="51">
        <v>23.67</v>
      </c>
      <c r="D21" s="51">
        <v>22.47</v>
      </c>
      <c r="E21" s="51">
        <v>8.89</v>
      </c>
      <c r="F21" s="53" t="s">
        <v>8</v>
      </c>
      <c r="G21" s="51">
        <v>41.7</v>
      </c>
      <c r="H21" s="51">
        <v>15.62</v>
      </c>
      <c r="I21" s="51">
        <v>7.77</v>
      </c>
      <c r="J21" s="51">
        <v>0.61</v>
      </c>
      <c r="K21" s="51">
        <v>321.2</v>
      </c>
      <c r="L21" s="51">
        <v>27.88</v>
      </c>
      <c r="M21" s="51">
        <v>57.65</v>
      </c>
      <c r="N21" s="51">
        <v>399.6</v>
      </c>
      <c r="O21" s="51">
        <v>0</v>
      </c>
      <c r="P21" s="51">
        <v>0.63</v>
      </c>
      <c r="Q21" s="51">
        <v>13.02</v>
      </c>
    </row>
    <row r="22" spans="1:17" customFormat="1">
      <c r="A22" s="50">
        <v>45656.583333333336</v>
      </c>
      <c r="B22" s="51">
        <v>5.6</v>
      </c>
      <c r="C22" s="51">
        <v>22.41</v>
      </c>
      <c r="D22" s="51">
        <v>17.3</v>
      </c>
      <c r="E22" s="51">
        <v>11.09</v>
      </c>
      <c r="F22" s="53" t="s">
        <v>8</v>
      </c>
      <c r="G22" s="51">
        <v>0</v>
      </c>
      <c r="H22" s="51">
        <v>0</v>
      </c>
      <c r="I22" s="51">
        <v>7.17</v>
      </c>
      <c r="J22" s="51">
        <v>0.56000000000000005</v>
      </c>
      <c r="K22" s="51">
        <v>347.8</v>
      </c>
      <c r="L22" s="51">
        <v>27.95</v>
      </c>
      <c r="M22" s="51">
        <v>54.86</v>
      </c>
      <c r="N22" s="51">
        <v>406.1</v>
      </c>
      <c r="O22" s="51">
        <v>0</v>
      </c>
      <c r="P22" s="51">
        <v>0.61</v>
      </c>
      <c r="Q22" s="51">
        <v>13.01</v>
      </c>
    </row>
    <row r="23" spans="1:17" customFormat="1">
      <c r="A23" s="50">
        <v>45656.625</v>
      </c>
      <c r="B23" s="51">
        <v>5.04</v>
      </c>
      <c r="C23" s="51">
        <v>22.38</v>
      </c>
      <c r="D23" s="51">
        <v>16.809999999999999</v>
      </c>
      <c r="E23" s="51">
        <v>17.29</v>
      </c>
      <c r="F23" s="53" t="s">
        <v>8</v>
      </c>
      <c r="G23" s="51">
        <v>69.42</v>
      </c>
      <c r="H23" s="51">
        <v>18.149999999999999</v>
      </c>
      <c r="I23" s="51">
        <v>6.99</v>
      </c>
      <c r="J23" s="51">
        <v>0.75</v>
      </c>
      <c r="K23" s="51">
        <v>328.99</v>
      </c>
      <c r="L23" s="51">
        <v>28</v>
      </c>
      <c r="M23" s="51">
        <v>54.6</v>
      </c>
      <c r="N23" s="51">
        <v>136.9</v>
      </c>
      <c r="O23" s="51">
        <v>0</v>
      </c>
      <c r="P23" s="51">
        <v>0.61</v>
      </c>
      <c r="Q23" s="51">
        <v>13</v>
      </c>
    </row>
    <row r="24" spans="1:17" customFormat="1">
      <c r="A24" s="50">
        <v>45656.666666666664</v>
      </c>
      <c r="B24" s="51">
        <v>5.13</v>
      </c>
      <c r="C24" s="51">
        <v>20.25</v>
      </c>
      <c r="D24" s="51">
        <v>15.8</v>
      </c>
      <c r="E24" s="51">
        <v>10.68</v>
      </c>
      <c r="F24" s="53" t="s">
        <v>8</v>
      </c>
      <c r="G24" s="51">
        <v>68.44</v>
      </c>
      <c r="H24" s="51">
        <v>17.27</v>
      </c>
      <c r="I24" s="51">
        <v>6.87</v>
      </c>
      <c r="J24" s="51">
        <v>0.52</v>
      </c>
      <c r="K24" s="51">
        <v>342.38</v>
      </c>
      <c r="L24" s="51">
        <v>27.46</v>
      </c>
      <c r="M24" s="51">
        <v>48.73</v>
      </c>
      <c r="N24" s="51">
        <v>61.8</v>
      </c>
      <c r="O24" s="51">
        <v>0</v>
      </c>
      <c r="P24" s="51">
        <v>0.59</v>
      </c>
      <c r="Q24" s="51">
        <v>12.99</v>
      </c>
    </row>
    <row r="25" spans="1:17" customFormat="1">
      <c r="A25" s="50">
        <v>45656.708333333336</v>
      </c>
      <c r="B25" s="51">
        <v>6.57</v>
      </c>
      <c r="C25" s="51">
        <v>20.67</v>
      </c>
      <c r="D25" s="51">
        <v>16.829999999999998</v>
      </c>
      <c r="E25" s="51">
        <v>9.27</v>
      </c>
      <c r="F25" s="53" t="s">
        <v>8</v>
      </c>
      <c r="G25" s="51">
        <v>64.78</v>
      </c>
      <c r="H25" s="51">
        <v>15.98</v>
      </c>
      <c r="I25" s="51">
        <v>6.79</v>
      </c>
      <c r="J25" s="51">
        <v>0.57999999999999996</v>
      </c>
      <c r="K25" s="51">
        <v>47.18</v>
      </c>
      <c r="L25" s="51">
        <v>27.26</v>
      </c>
      <c r="M25" s="51">
        <v>53.11</v>
      </c>
      <c r="N25" s="51">
        <v>33.799999999999997</v>
      </c>
      <c r="O25" s="51">
        <v>0</v>
      </c>
      <c r="P25" s="51">
        <v>0.61</v>
      </c>
      <c r="Q25" s="51">
        <v>12.98</v>
      </c>
    </row>
    <row r="26" spans="1:17" customFormat="1">
      <c r="A26" s="50">
        <v>45656.75</v>
      </c>
      <c r="B26" s="51">
        <v>7.92</v>
      </c>
      <c r="C26" s="51">
        <v>20.81</v>
      </c>
      <c r="D26" s="51">
        <v>18.3</v>
      </c>
      <c r="E26" s="51">
        <v>8.52</v>
      </c>
      <c r="F26" s="53" t="s">
        <v>8</v>
      </c>
      <c r="G26" s="51">
        <v>62.66</v>
      </c>
      <c r="H26" s="51">
        <v>14.62</v>
      </c>
      <c r="I26" s="51">
        <v>6.94</v>
      </c>
      <c r="J26" s="51">
        <v>0.3</v>
      </c>
      <c r="K26" s="51">
        <v>164.3</v>
      </c>
      <c r="L26" s="51">
        <v>25.32</v>
      </c>
      <c r="M26" s="51">
        <v>65.53</v>
      </c>
      <c r="N26" s="51">
        <v>5.6</v>
      </c>
      <c r="O26" s="51">
        <v>0</v>
      </c>
      <c r="P26" s="51">
        <v>0.65</v>
      </c>
      <c r="Q26" s="51">
        <v>12.98</v>
      </c>
    </row>
    <row r="27" spans="1:17" customFormat="1">
      <c r="A27" s="50">
        <v>45656.791666666664</v>
      </c>
      <c r="B27" s="51">
        <v>10.84</v>
      </c>
      <c r="C27" s="51">
        <v>22.49</v>
      </c>
      <c r="D27" s="51">
        <v>21.79</v>
      </c>
      <c r="E27" s="51">
        <v>10.26</v>
      </c>
      <c r="F27" s="53" t="s">
        <v>8</v>
      </c>
      <c r="G27" s="51">
        <v>73.45</v>
      </c>
      <c r="H27" s="51">
        <v>18.64</v>
      </c>
      <c r="I27" s="51">
        <v>7.58</v>
      </c>
      <c r="J27" s="51">
        <v>0.25</v>
      </c>
      <c r="K27" s="51">
        <v>170.85</v>
      </c>
      <c r="L27" s="51">
        <v>23.16</v>
      </c>
      <c r="M27" s="51">
        <v>76.17</v>
      </c>
      <c r="N27" s="51">
        <v>1.9</v>
      </c>
      <c r="O27" s="51">
        <v>0</v>
      </c>
      <c r="P27" s="51">
        <v>0.7</v>
      </c>
      <c r="Q27" s="51">
        <v>12.99</v>
      </c>
    </row>
    <row r="28" spans="1:17" customFormat="1">
      <c r="A28" s="50">
        <v>45656.833333333336</v>
      </c>
      <c r="B28" s="51">
        <v>13.99</v>
      </c>
      <c r="C28" s="51">
        <v>23.03</v>
      </c>
      <c r="D28" s="51">
        <v>24.6</v>
      </c>
      <c r="E28" s="51">
        <v>9.84</v>
      </c>
      <c r="F28" s="53" t="s">
        <v>8</v>
      </c>
      <c r="G28" s="51">
        <v>87.46</v>
      </c>
      <c r="H28" s="51">
        <v>21.4</v>
      </c>
      <c r="I28" s="51">
        <v>9.1999999999999993</v>
      </c>
      <c r="J28" s="51">
        <v>0.21</v>
      </c>
      <c r="K28" s="51">
        <v>196.16</v>
      </c>
      <c r="L28" s="51">
        <v>22.11</v>
      </c>
      <c r="M28" s="51">
        <v>81.73</v>
      </c>
      <c r="N28" s="51">
        <v>1.8</v>
      </c>
      <c r="O28" s="51">
        <v>0</v>
      </c>
      <c r="P28" s="51">
        <v>0.79</v>
      </c>
      <c r="Q28" s="51">
        <v>13.01</v>
      </c>
    </row>
    <row r="29" spans="1:17" customFormat="1">
      <c r="A29" s="50">
        <v>45656.875</v>
      </c>
      <c r="B29" s="51">
        <v>23.7</v>
      </c>
      <c r="C29" s="51">
        <v>23.79</v>
      </c>
      <c r="D29" s="51">
        <v>32.74</v>
      </c>
      <c r="E29" s="51">
        <v>9.8800000000000008</v>
      </c>
      <c r="F29" s="53" t="s">
        <v>8</v>
      </c>
      <c r="G29" s="51">
        <v>90.76</v>
      </c>
      <c r="H29" s="51">
        <v>20.45</v>
      </c>
      <c r="I29" s="51">
        <v>10.72</v>
      </c>
      <c r="J29" s="51">
        <v>0.24</v>
      </c>
      <c r="K29" s="51">
        <v>258.35000000000002</v>
      </c>
      <c r="L29" s="51">
        <v>21.72</v>
      </c>
      <c r="M29" s="51">
        <v>86.17</v>
      </c>
      <c r="N29" s="51">
        <v>1.7</v>
      </c>
      <c r="O29" s="51">
        <v>0</v>
      </c>
      <c r="P29" s="51">
        <v>0.95</v>
      </c>
      <c r="Q29" s="51">
        <v>13.05</v>
      </c>
    </row>
    <row r="30" spans="1:17" customFormat="1">
      <c r="A30" s="50">
        <v>45656.916666666664</v>
      </c>
      <c r="B30" s="51">
        <v>25.01</v>
      </c>
      <c r="C30" s="51">
        <v>23.37</v>
      </c>
      <c r="D30" s="51">
        <v>33.520000000000003</v>
      </c>
      <c r="E30" s="51">
        <v>10.15</v>
      </c>
      <c r="F30" s="53" t="s">
        <v>8</v>
      </c>
      <c r="G30" s="51">
        <v>98.56</v>
      </c>
      <c r="H30" s="51">
        <v>24.49</v>
      </c>
      <c r="I30" s="51">
        <v>12.15</v>
      </c>
      <c r="J30" s="51">
        <v>0.21</v>
      </c>
      <c r="K30" s="51">
        <v>206.98</v>
      </c>
      <c r="L30" s="51">
        <v>20.53</v>
      </c>
      <c r="M30" s="51">
        <v>89.8</v>
      </c>
      <c r="N30" s="51">
        <v>1.7</v>
      </c>
      <c r="O30" s="51">
        <v>0</v>
      </c>
      <c r="P30" s="51">
        <v>1.01</v>
      </c>
      <c r="Q30" s="51">
        <v>13.06</v>
      </c>
    </row>
    <row r="31" spans="1:17" customFormat="1">
      <c r="A31" s="50">
        <v>45656.958333333336</v>
      </c>
      <c r="B31" s="51">
        <v>24.31</v>
      </c>
      <c r="C31" s="51">
        <v>22.62</v>
      </c>
      <c r="D31" s="51">
        <v>32.659999999999997</v>
      </c>
      <c r="E31" s="51">
        <v>10.26</v>
      </c>
      <c r="F31" s="53" t="s">
        <v>8</v>
      </c>
      <c r="G31" s="51">
        <v>93.07</v>
      </c>
      <c r="H31" s="51">
        <v>22.73</v>
      </c>
      <c r="I31" s="51">
        <v>12.8</v>
      </c>
      <c r="J31" s="51">
        <v>0.19</v>
      </c>
      <c r="K31" s="51">
        <v>192.18</v>
      </c>
      <c r="L31" s="51">
        <v>19.48</v>
      </c>
      <c r="M31" s="51">
        <v>91.42</v>
      </c>
      <c r="N31" s="51">
        <v>1.4</v>
      </c>
      <c r="O31" s="51">
        <v>0</v>
      </c>
      <c r="P31" s="51">
        <v>1.03</v>
      </c>
      <c r="Q31" s="51">
        <v>13.05</v>
      </c>
    </row>
    <row r="32" spans="1:17" customFormat="1">
      <c r="A32" s="50">
        <v>45657</v>
      </c>
      <c r="B32" s="51">
        <v>30.32</v>
      </c>
      <c r="C32" s="51">
        <v>23.35</v>
      </c>
      <c r="D32" s="51">
        <v>37.86</v>
      </c>
      <c r="E32" s="51">
        <v>10.68</v>
      </c>
      <c r="F32" s="53" t="s">
        <v>8</v>
      </c>
      <c r="G32" s="51">
        <v>82.52</v>
      </c>
      <c r="H32" s="51">
        <v>21.36</v>
      </c>
      <c r="I32" s="51">
        <v>13.38</v>
      </c>
      <c r="J32" s="51">
        <v>0.26</v>
      </c>
      <c r="K32" s="51">
        <v>243.53</v>
      </c>
      <c r="L32" s="51">
        <v>19.260000000000002</v>
      </c>
      <c r="M32" s="51">
        <v>90.47</v>
      </c>
      <c r="N32" s="51">
        <v>1.3</v>
      </c>
      <c r="O32" s="51">
        <v>0</v>
      </c>
      <c r="P32" s="51">
        <v>1.1000000000000001</v>
      </c>
      <c r="Q32" s="51">
        <v>13.05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5.04</v>
      </c>
      <c r="C34" s="41">
        <f t="shared" si="0"/>
        <v>20.25</v>
      </c>
      <c r="D34" s="41">
        <f t="shared" si="0"/>
        <v>15.8</v>
      </c>
      <c r="E34" s="41">
        <f t="shared" si="0"/>
        <v>8.25</v>
      </c>
      <c r="F34" s="41">
        <f t="shared" si="0"/>
        <v>0</v>
      </c>
      <c r="G34" s="41">
        <f t="shared" si="0"/>
        <v>0</v>
      </c>
      <c r="H34" s="41">
        <f t="shared" si="0"/>
        <v>0</v>
      </c>
      <c r="I34" s="41">
        <f t="shared" si="0"/>
        <v>6.79</v>
      </c>
      <c r="J34" s="41">
        <f t="shared" si="0"/>
        <v>0.18</v>
      </c>
      <c r="K34" s="41">
        <f t="shared" si="0"/>
        <v>47.18</v>
      </c>
      <c r="L34" s="41">
        <f t="shared" si="0"/>
        <v>18.309999999999999</v>
      </c>
      <c r="M34" s="41">
        <f t="shared" si="0"/>
        <v>48.73</v>
      </c>
      <c r="N34" s="41">
        <f t="shared" si="0"/>
        <v>1.3</v>
      </c>
      <c r="O34" s="41">
        <f t="shared" si="0"/>
        <v>0</v>
      </c>
      <c r="P34" s="41">
        <f t="shared" si="0"/>
        <v>0.59</v>
      </c>
      <c r="Q34" s="41">
        <f t="shared" si="0"/>
        <v>12.98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30.33</v>
      </c>
      <c r="C35" s="33">
        <f t="shared" si="1"/>
        <v>23.79</v>
      </c>
      <c r="D35" s="33">
        <f t="shared" si="1"/>
        <v>37.86</v>
      </c>
      <c r="E35" s="33">
        <f t="shared" si="1"/>
        <v>17.29</v>
      </c>
      <c r="F35" s="33">
        <f t="shared" si="1"/>
        <v>0</v>
      </c>
      <c r="G35" s="33">
        <f t="shared" si="1"/>
        <v>98.56</v>
      </c>
      <c r="H35" s="33">
        <f t="shared" si="1"/>
        <v>24.49</v>
      </c>
      <c r="I35" s="33">
        <f t="shared" si="1"/>
        <v>13.38</v>
      </c>
      <c r="J35" s="33">
        <f t="shared" si="1"/>
        <v>0.89</v>
      </c>
      <c r="K35" s="33">
        <f t="shared" si="1"/>
        <v>358.42</v>
      </c>
      <c r="L35" s="33">
        <f t="shared" si="1"/>
        <v>28</v>
      </c>
      <c r="M35" s="33">
        <f t="shared" si="1"/>
        <v>97.59</v>
      </c>
      <c r="N35" s="33">
        <f t="shared" si="1"/>
        <v>431.2</v>
      </c>
      <c r="O35" s="33">
        <f t="shared" si="1"/>
        <v>0</v>
      </c>
      <c r="P35" s="33">
        <f t="shared" si="1"/>
        <v>1.1000000000000001</v>
      </c>
      <c r="Q35" s="33">
        <f t="shared" si="1"/>
        <v>13.06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19.875</v>
      </c>
      <c r="C36" s="41">
        <f t="shared" si="2"/>
        <v>21.890833333333333</v>
      </c>
      <c r="D36" s="41">
        <f t="shared" si="2"/>
        <v>28.577916666666667</v>
      </c>
      <c r="E36" s="41">
        <f t="shared" si="2"/>
        <v>9.6870833333333355</v>
      </c>
      <c r="F36" s="41" t="e">
        <f t="shared" si="2"/>
        <v>#DIV/0!</v>
      </c>
      <c r="G36" s="41">
        <f t="shared" si="2"/>
        <v>66.737083333333331</v>
      </c>
      <c r="H36" s="41">
        <f t="shared" si="2"/>
        <v>16.95</v>
      </c>
      <c r="I36" s="41">
        <f t="shared" si="2"/>
        <v>9.2920833333333341</v>
      </c>
      <c r="J36" s="41">
        <f t="shared" si="2"/>
        <v>0.43416666666666676</v>
      </c>
      <c r="K36" s="41">
        <f t="shared" si="2"/>
        <v>190.07375000000002</v>
      </c>
      <c r="L36" s="41">
        <f t="shared" si="2"/>
        <v>22.62833333333333</v>
      </c>
      <c r="M36" s="41">
        <f t="shared" si="2"/>
        <v>78.508750000000006</v>
      </c>
      <c r="N36" s="41">
        <f t="shared" si="2"/>
        <v>100.87083333333335</v>
      </c>
      <c r="O36" s="41">
        <f t="shared" si="2"/>
        <v>0</v>
      </c>
      <c r="P36" s="41">
        <f t="shared" si="2"/>
        <v>0.79375000000000018</v>
      </c>
      <c r="Q36" s="41">
        <f t="shared" si="2"/>
        <v>13.015833333333335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9.0473306176102462</v>
      </c>
      <c r="C37" s="41">
        <f t="shared" ref="C37:Q37" si="3">STDEV(C9:C32)</f>
        <v>1.1640331560594717</v>
      </c>
      <c r="D37" s="41">
        <f t="shared" si="3"/>
        <v>7.3147819243945502</v>
      </c>
      <c r="E37" s="41">
        <f t="shared" si="3"/>
        <v>1.806819158359368</v>
      </c>
      <c r="F37" s="41" t="e">
        <f t="shared" si="3"/>
        <v>#DIV/0!</v>
      </c>
      <c r="G37" s="41">
        <f t="shared" si="3"/>
        <v>21.017864963999745</v>
      </c>
      <c r="H37" s="41">
        <f t="shared" si="3"/>
        <v>4.5252912469326416</v>
      </c>
      <c r="I37" s="41">
        <f t="shared" si="3"/>
        <v>1.8067722340674479</v>
      </c>
      <c r="J37" s="41">
        <f t="shared" si="3"/>
        <v>0.21715385582910854</v>
      </c>
      <c r="K37" s="41">
        <f t="shared" si="3"/>
        <v>101.90832648545071</v>
      </c>
      <c r="L37" s="41">
        <f t="shared" si="3"/>
        <v>3.4902805003344142</v>
      </c>
      <c r="M37" s="41">
        <f t="shared" si="3"/>
        <v>16.5034405668478</v>
      </c>
      <c r="N37" s="41">
        <f t="shared" si="3"/>
        <v>154.92273103253666</v>
      </c>
      <c r="O37" s="41">
        <f t="shared" si="3"/>
        <v>0</v>
      </c>
      <c r="P37" s="41">
        <f t="shared" si="3"/>
        <v>0.14254861870832683</v>
      </c>
      <c r="Q37" s="41">
        <f t="shared" si="3"/>
        <v>2.9682665076785405E-2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0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12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&lt;90%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&lt;90%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LESS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LESS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119"/>
  <sheetViews>
    <sheetView zoomScale="85" zoomScaleNormal="85" workbookViewId="0">
      <selection activeCell="A9" sqref="A9:XFD32"/>
    </sheetView>
  </sheetViews>
  <sheetFormatPr defaultColWidth="8.85546875" defaultRowHeight="15"/>
  <cols>
    <col min="1" max="1" width="18.28515625" style="42" customWidth="1"/>
    <col min="2" max="2" width="14.42578125" style="39" customWidth="1"/>
    <col min="3" max="12" width="9.140625" style="39" customWidth="1"/>
    <col min="13" max="13" width="10" style="39" customWidth="1"/>
    <col min="14" max="16" width="9.140625" style="39" customWidth="1"/>
    <col min="17" max="17" width="16.42578125" style="39" customWidth="1"/>
    <col min="18" max="19" width="9.140625" style="39" customWidth="1"/>
    <col min="20" max="20" width="11.42578125" style="39" customWidth="1"/>
    <col min="21" max="16384" width="8.85546875" style="39"/>
  </cols>
  <sheetData>
    <row r="1" spans="1:21" s="1" customFormat="1">
      <c r="A1" s="3" t="s">
        <v>0</v>
      </c>
      <c r="B1" s="4" t="s">
        <v>1</v>
      </c>
      <c r="C1" s="43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45657.041666666664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17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44" t="s">
        <v>24</v>
      </c>
      <c r="D7" s="44" t="s">
        <v>25</v>
      </c>
      <c r="E7" s="44" t="s">
        <v>26</v>
      </c>
      <c r="F7" s="44" t="s">
        <v>27</v>
      </c>
      <c r="G7" s="44" t="s">
        <v>28</v>
      </c>
      <c r="H7" s="44" t="s">
        <v>29</v>
      </c>
      <c r="I7" s="44" t="s">
        <v>30</v>
      </c>
      <c r="J7" s="44" t="s">
        <v>31</v>
      </c>
      <c r="K7" s="44" t="s">
        <v>32</v>
      </c>
      <c r="L7" s="44" t="s">
        <v>33</v>
      </c>
      <c r="M7" s="44" t="s">
        <v>34</v>
      </c>
      <c r="N7" s="44" t="s">
        <v>35</v>
      </c>
      <c r="O7" s="44" t="s">
        <v>36</v>
      </c>
      <c r="P7" s="44" t="s">
        <v>37</v>
      </c>
      <c r="Q7" s="4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 customFormat="1">
      <c r="A9" s="50">
        <v>45657.041666666664</v>
      </c>
      <c r="B9" s="51">
        <v>38.770000000000003</v>
      </c>
      <c r="C9" s="51">
        <v>26.33</v>
      </c>
      <c r="D9" s="51">
        <v>45.7</v>
      </c>
      <c r="E9" s="51">
        <v>11.12</v>
      </c>
      <c r="F9" s="53" t="s">
        <v>8</v>
      </c>
      <c r="G9" s="51">
        <v>79.66</v>
      </c>
      <c r="H9" s="51">
        <v>24.15</v>
      </c>
      <c r="I9" s="51">
        <v>13.86</v>
      </c>
      <c r="J9" s="51">
        <v>0.35</v>
      </c>
      <c r="K9" s="51">
        <v>128.27000000000001</v>
      </c>
      <c r="L9" s="51">
        <v>19.23</v>
      </c>
      <c r="M9" s="51">
        <v>85.57</v>
      </c>
      <c r="N9" s="51">
        <v>1.3</v>
      </c>
      <c r="O9" s="51">
        <v>0</v>
      </c>
      <c r="P9" s="51">
        <v>1.1200000000000001</v>
      </c>
      <c r="Q9" s="51">
        <v>13.1</v>
      </c>
    </row>
    <row r="10" spans="1:21" customFormat="1">
      <c r="A10" s="50">
        <v>45657.083333333336</v>
      </c>
      <c r="B10" s="51">
        <v>38.64</v>
      </c>
      <c r="C10" s="51">
        <v>25.6</v>
      </c>
      <c r="D10" s="51">
        <v>45.54</v>
      </c>
      <c r="E10" s="51">
        <v>10.95</v>
      </c>
      <c r="F10" s="53" t="s">
        <v>8</v>
      </c>
      <c r="G10" s="51">
        <v>81.78</v>
      </c>
      <c r="H10" s="51">
        <v>24.02</v>
      </c>
      <c r="I10" s="51">
        <v>13.87</v>
      </c>
      <c r="J10" s="51">
        <v>0.8</v>
      </c>
      <c r="K10" s="51">
        <v>60.24</v>
      </c>
      <c r="L10" s="51">
        <v>18.75</v>
      </c>
      <c r="M10" s="51">
        <v>79.23</v>
      </c>
      <c r="N10" s="51">
        <v>1.6</v>
      </c>
      <c r="O10" s="51">
        <v>0</v>
      </c>
      <c r="P10" s="51">
        <v>1.0900000000000001</v>
      </c>
      <c r="Q10" s="51">
        <v>13.11</v>
      </c>
    </row>
    <row r="11" spans="1:21" customFormat="1">
      <c r="A11" s="50">
        <v>45657.125</v>
      </c>
      <c r="B11" s="51">
        <v>35.119999999999997</v>
      </c>
      <c r="C11" s="51">
        <v>24.5</v>
      </c>
      <c r="D11" s="51">
        <v>42.27</v>
      </c>
      <c r="E11" s="51">
        <v>9.2100000000000009</v>
      </c>
      <c r="F11" s="53" t="s">
        <v>8</v>
      </c>
      <c r="G11" s="51">
        <v>74.89</v>
      </c>
      <c r="H11" s="51">
        <v>20.66</v>
      </c>
      <c r="I11" s="51">
        <v>13.53</v>
      </c>
      <c r="J11" s="51">
        <v>0.61</v>
      </c>
      <c r="K11" s="51">
        <v>31.05</v>
      </c>
      <c r="L11" s="51">
        <v>18.09</v>
      </c>
      <c r="M11" s="51">
        <v>81.55</v>
      </c>
      <c r="N11" s="51">
        <v>1.7</v>
      </c>
      <c r="O11" s="51">
        <v>0</v>
      </c>
      <c r="P11" s="51">
        <v>1.02</v>
      </c>
      <c r="Q11" s="51">
        <v>13.09</v>
      </c>
    </row>
    <row r="12" spans="1:21" customFormat="1">
      <c r="A12" s="50">
        <v>45657.166666666664</v>
      </c>
      <c r="B12" s="51">
        <v>30.43</v>
      </c>
      <c r="C12" s="51">
        <v>23.18</v>
      </c>
      <c r="D12" s="51">
        <v>37.840000000000003</v>
      </c>
      <c r="E12" s="51">
        <v>8.7200000000000006</v>
      </c>
      <c r="F12" s="53" t="s">
        <v>8</v>
      </c>
      <c r="G12" s="51">
        <v>65.86</v>
      </c>
      <c r="H12" s="51">
        <v>19.02</v>
      </c>
      <c r="I12" s="51">
        <v>12.39</v>
      </c>
      <c r="J12" s="51">
        <v>0.73</v>
      </c>
      <c r="K12" s="51">
        <v>47.45</v>
      </c>
      <c r="L12" s="51">
        <v>17.04</v>
      </c>
      <c r="M12" s="51">
        <v>83.04</v>
      </c>
      <c r="N12" s="51">
        <v>1.7</v>
      </c>
      <c r="O12" s="51">
        <v>0</v>
      </c>
      <c r="P12" s="51">
        <v>0.93</v>
      </c>
      <c r="Q12" s="51">
        <v>13.07</v>
      </c>
    </row>
    <row r="13" spans="1:21" customFormat="1">
      <c r="A13" s="50">
        <v>45657.208333333336</v>
      </c>
      <c r="B13" s="51">
        <v>27.01</v>
      </c>
      <c r="C13" s="51">
        <v>22.51</v>
      </c>
      <c r="D13" s="51">
        <v>34.75</v>
      </c>
      <c r="E13" s="51">
        <v>8.1</v>
      </c>
      <c r="F13" s="53" t="s">
        <v>8</v>
      </c>
      <c r="G13" s="51">
        <v>59.78</v>
      </c>
      <c r="H13" s="51">
        <v>17.91</v>
      </c>
      <c r="I13" s="51">
        <v>11.54</v>
      </c>
      <c r="J13" s="51">
        <v>0.75</v>
      </c>
      <c r="K13" s="51">
        <v>56.92</v>
      </c>
      <c r="L13" s="51">
        <v>16.350000000000001</v>
      </c>
      <c r="M13" s="51">
        <v>83.06</v>
      </c>
      <c r="N13" s="51">
        <v>1.4</v>
      </c>
      <c r="O13" s="51">
        <v>0</v>
      </c>
      <c r="P13" s="51">
        <v>0.87</v>
      </c>
      <c r="Q13" s="51">
        <v>13.06</v>
      </c>
    </row>
    <row r="14" spans="1:21" customFormat="1">
      <c r="A14" s="50">
        <v>45657.25</v>
      </c>
      <c r="B14" s="51">
        <v>24.28</v>
      </c>
      <c r="C14" s="51">
        <v>22.03</v>
      </c>
      <c r="D14" s="51">
        <v>32.21</v>
      </c>
      <c r="E14" s="51">
        <v>7.34</v>
      </c>
      <c r="F14" s="53" t="s">
        <v>8</v>
      </c>
      <c r="G14" s="51">
        <v>52.08</v>
      </c>
      <c r="H14" s="51">
        <v>16.95</v>
      </c>
      <c r="I14" s="51">
        <v>10.8</v>
      </c>
      <c r="J14" s="51">
        <v>0.66</v>
      </c>
      <c r="K14" s="51">
        <v>60.28</v>
      </c>
      <c r="L14" s="51">
        <v>16.03</v>
      </c>
      <c r="M14" s="51">
        <v>81.25</v>
      </c>
      <c r="N14" s="51">
        <v>1.4</v>
      </c>
      <c r="O14" s="51">
        <v>0</v>
      </c>
      <c r="P14" s="51">
        <v>0.77</v>
      </c>
      <c r="Q14" s="51">
        <v>13.04</v>
      </c>
    </row>
    <row r="15" spans="1:21" customFormat="1">
      <c r="A15" s="50">
        <v>45657.291666666664</v>
      </c>
      <c r="B15" s="51">
        <v>23.23</v>
      </c>
      <c r="C15" s="51">
        <v>22</v>
      </c>
      <c r="D15" s="51">
        <v>31.42</v>
      </c>
      <c r="E15" s="51">
        <v>7.4</v>
      </c>
      <c r="F15" s="53" t="s">
        <v>8</v>
      </c>
      <c r="G15" s="51">
        <v>49.66</v>
      </c>
      <c r="H15" s="51">
        <v>16.21</v>
      </c>
      <c r="I15" s="51">
        <v>10.050000000000001</v>
      </c>
      <c r="J15" s="51">
        <v>0.66</v>
      </c>
      <c r="K15" s="51">
        <v>57.61</v>
      </c>
      <c r="L15" s="51">
        <v>15.71</v>
      </c>
      <c r="M15" s="51">
        <v>79.91</v>
      </c>
      <c r="N15" s="51">
        <v>14.7</v>
      </c>
      <c r="O15" s="51">
        <v>0</v>
      </c>
      <c r="P15" s="51">
        <v>0.71</v>
      </c>
      <c r="Q15" s="51">
        <v>13.05</v>
      </c>
    </row>
    <row r="16" spans="1:21" customFormat="1">
      <c r="A16" s="50">
        <v>45657.333333333336</v>
      </c>
      <c r="B16" s="51">
        <v>21.95</v>
      </c>
      <c r="C16" s="51">
        <v>22.16</v>
      </c>
      <c r="D16" s="51">
        <v>30.51</v>
      </c>
      <c r="E16" s="51">
        <v>6.9</v>
      </c>
      <c r="F16" s="53" t="s">
        <v>8</v>
      </c>
      <c r="G16" s="51">
        <v>48.95</v>
      </c>
      <c r="H16" s="51">
        <v>16.95</v>
      </c>
      <c r="I16" s="51">
        <v>9.43</v>
      </c>
      <c r="J16" s="51">
        <v>1</v>
      </c>
      <c r="K16" s="51">
        <v>52.8</v>
      </c>
      <c r="L16" s="51">
        <v>17.21</v>
      </c>
      <c r="M16" s="51">
        <v>76.83</v>
      </c>
      <c r="N16" s="51">
        <v>73.099999999999994</v>
      </c>
      <c r="O16" s="51">
        <v>0</v>
      </c>
      <c r="P16" s="51">
        <v>0.66</v>
      </c>
      <c r="Q16" s="51">
        <v>13.05</v>
      </c>
    </row>
    <row r="17" spans="1:17" customFormat="1">
      <c r="A17" s="50">
        <v>45657.375</v>
      </c>
      <c r="B17" s="51">
        <v>20.36</v>
      </c>
      <c r="C17" s="51">
        <v>22.92</v>
      </c>
      <c r="D17" s="51">
        <v>29.35</v>
      </c>
      <c r="E17" s="51">
        <v>6.76</v>
      </c>
      <c r="F17" s="53" t="s">
        <v>8</v>
      </c>
      <c r="G17" s="51">
        <v>46.31</v>
      </c>
      <c r="H17" s="51">
        <v>16.68</v>
      </c>
      <c r="I17" s="51">
        <v>9</v>
      </c>
      <c r="J17" s="51">
        <v>1.1200000000000001</v>
      </c>
      <c r="K17" s="51">
        <v>56.17</v>
      </c>
      <c r="L17" s="51">
        <v>20.440000000000001</v>
      </c>
      <c r="M17" s="51">
        <v>69.3</v>
      </c>
      <c r="N17" s="51">
        <v>249.6</v>
      </c>
      <c r="O17" s="51">
        <v>0</v>
      </c>
      <c r="P17" s="51">
        <v>0.63</v>
      </c>
      <c r="Q17" s="51">
        <v>13.03</v>
      </c>
    </row>
    <row r="18" spans="1:17" customFormat="1">
      <c r="A18" s="50">
        <v>45657.416666666664</v>
      </c>
      <c r="B18" s="51">
        <v>21.77</v>
      </c>
      <c r="C18" s="51">
        <v>24.93</v>
      </c>
      <c r="D18" s="51">
        <v>31.83</v>
      </c>
      <c r="E18" s="51">
        <v>6.82</v>
      </c>
      <c r="F18" s="53" t="s">
        <v>8</v>
      </c>
      <c r="G18" s="51">
        <v>56.69</v>
      </c>
      <c r="H18" s="51">
        <v>16.66</v>
      </c>
      <c r="I18" s="51">
        <v>8.3800000000000008</v>
      </c>
      <c r="J18" s="51">
        <v>1</v>
      </c>
      <c r="K18" s="51">
        <v>64.36</v>
      </c>
      <c r="L18" s="51">
        <v>23.12</v>
      </c>
      <c r="M18" s="51">
        <v>57.86</v>
      </c>
      <c r="N18" s="51">
        <v>259.60000000000002</v>
      </c>
      <c r="O18" s="51">
        <v>0</v>
      </c>
      <c r="P18" s="51">
        <v>0.64</v>
      </c>
      <c r="Q18" s="51">
        <v>13.05</v>
      </c>
    </row>
    <row r="19" spans="1:17" customFormat="1">
      <c r="A19" s="50">
        <v>45657.458333333336</v>
      </c>
      <c r="B19" s="51">
        <v>21.83</v>
      </c>
      <c r="C19" s="51">
        <v>24.43</v>
      </c>
      <c r="D19" s="51">
        <v>31.62</v>
      </c>
      <c r="E19" s="51">
        <v>9.6999999999999993</v>
      </c>
      <c r="F19" s="53" t="s">
        <v>8</v>
      </c>
      <c r="G19" s="51">
        <v>53.96</v>
      </c>
      <c r="H19" s="51">
        <v>16.14</v>
      </c>
      <c r="I19" s="51">
        <v>8</v>
      </c>
      <c r="J19" s="51">
        <v>1.1000000000000001</v>
      </c>
      <c r="K19" s="51">
        <v>57.47</v>
      </c>
      <c r="L19" s="51">
        <v>24.61</v>
      </c>
      <c r="M19" s="51">
        <v>51.66</v>
      </c>
      <c r="N19" s="51">
        <v>466.5</v>
      </c>
      <c r="O19" s="51">
        <v>0</v>
      </c>
      <c r="P19" s="51">
        <v>0.64</v>
      </c>
      <c r="Q19" s="51">
        <v>13.04</v>
      </c>
    </row>
    <row r="20" spans="1:17" customFormat="1">
      <c r="A20" s="50">
        <v>45657.5</v>
      </c>
      <c r="B20" s="51">
        <v>19.989999999999998</v>
      </c>
      <c r="C20" s="51">
        <v>23.08</v>
      </c>
      <c r="D20" s="51">
        <v>29.44</v>
      </c>
      <c r="E20" s="51">
        <v>10.050000000000001</v>
      </c>
      <c r="F20" s="53" t="s">
        <v>8</v>
      </c>
      <c r="G20" s="51">
        <v>50.39</v>
      </c>
      <c r="H20" s="51">
        <v>14.5</v>
      </c>
      <c r="I20" s="51">
        <v>7.88</v>
      </c>
      <c r="J20" s="51">
        <v>0.91</v>
      </c>
      <c r="K20" s="51">
        <v>33.54</v>
      </c>
      <c r="L20" s="51">
        <v>25.89</v>
      </c>
      <c r="M20" s="51">
        <v>40.479999999999997</v>
      </c>
      <c r="N20" s="51">
        <v>489.2</v>
      </c>
      <c r="O20" s="51">
        <v>0</v>
      </c>
      <c r="P20" s="51">
        <v>0.61</v>
      </c>
      <c r="Q20" s="51">
        <v>13.04</v>
      </c>
    </row>
    <row r="21" spans="1:17" customFormat="1">
      <c r="A21" s="50">
        <v>45657.541666666664</v>
      </c>
      <c r="B21" s="51">
        <v>16.010000000000002</v>
      </c>
      <c r="C21" s="51">
        <v>22.89</v>
      </c>
      <c r="D21" s="51">
        <v>26.13</v>
      </c>
      <c r="E21" s="51">
        <v>10.79</v>
      </c>
      <c r="F21" s="53" t="s">
        <v>8</v>
      </c>
      <c r="G21" s="51">
        <v>48.99</v>
      </c>
      <c r="H21" s="51">
        <v>17.079999999999998</v>
      </c>
      <c r="I21" s="51">
        <v>7.58</v>
      </c>
      <c r="J21" s="51">
        <v>0.92</v>
      </c>
      <c r="K21" s="51">
        <v>42.87</v>
      </c>
      <c r="L21" s="51">
        <v>26.86</v>
      </c>
      <c r="M21" s="51">
        <v>40.130000000000003</v>
      </c>
      <c r="N21" s="51">
        <v>448.7</v>
      </c>
      <c r="O21" s="51">
        <v>0</v>
      </c>
      <c r="P21" s="51">
        <v>0.59</v>
      </c>
      <c r="Q21" s="51">
        <v>13</v>
      </c>
    </row>
    <row r="22" spans="1:17" customFormat="1">
      <c r="A22" s="50">
        <v>45657.583333333336</v>
      </c>
      <c r="B22" s="51">
        <v>12.52</v>
      </c>
      <c r="C22" s="51">
        <v>22.78</v>
      </c>
      <c r="D22" s="51">
        <v>23.29</v>
      </c>
      <c r="E22" s="51">
        <v>10.83</v>
      </c>
      <c r="F22" s="53" t="s">
        <v>8</v>
      </c>
      <c r="G22" s="51">
        <v>53.89</v>
      </c>
      <c r="H22" s="51">
        <v>16.02</v>
      </c>
      <c r="I22" s="51">
        <v>7.28</v>
      </c>
      <c r="J22" s="51">
        <v>0.68</v>
      </c>
      <c r="K22" s="51">
        <v>351.96</v>
      </c>
      <c r="L22" s="51">
        <v>27.14</v>
      </c>
      <c r="M22" s="51">
        <v>42.47</v>
      </c>
      <c r="N22" s="51">
        <v>426.7</v>
      </c>
      <c r="O22" s="51">
        <v>0</v>
      </c>
      <c r="P22" s="51">
        <v>0.57999999999999996</v>
      </c>
      <c r="Q22" s="51">
        <v>13.01</v>
      </c>
    </row>
    <row r="23" spans="1:17" customFormat="1">
      <c r="A23" s="50">
        <v>45657.625</v>
      </c>
      <c r="B23" s="51">
        <v>9.9499999999999993</v>
      </c>
      <c r="C23" s="51">
        <v>22.45</v>
      </c>
      <c r="D23" s="51">
        <v>21.05</v>
      </c>
      <c r="E23" s="51">
        <v>10.55</v>
      </c>
      <c r="F23" s="53" t="s">
        <v>8</v>
      </c>
      <c r="G23" s="51">
        <v>54.79</v>
      </c>
      <c r="H23" s="51">
        <v>15.28</v>
      </c>
      <c r="I23" s="51">
        <v>7.09</v>
      </c>
      <c r="J23" s="51">
        <v>0.7</v>
      </c>
      <c r="K23" s="51">
        <v>340.01</v>
      </c>
      <c r="L23" s="51">
        <v>26.83</v>
      </c>
      <c r="M23" s="51">
        <v>42.79</v>
      </c>
      <c r="N23" s="51">
        <v>98</v>
      </c>
      <c r="O23" s="51">
        <v>0</v>
      </c>
      <c r="P23" s="51">
        <v>0.57999999999999996</v>
      </c>
      <c r="Q23" s="51">
        <v>12.99</v>
      </c>
    </row>
    <row r="24" spans="1:17" customFormat="1">
      <c r="A24" s="50">
        <v>45657.666666666664</v>
      </c>
      <c r="B24" s="51">
        <v>6.75</v>
      </c>
      <c r="C24" s="51">
        <v>23.63</v>
      </c>
      <c r="D24" s="51">
        <v>18.75</v>
      </c>
      <c r="E24" s="51">
        <v>9.41</v>
      </c>
      <c r="F24" s="53" t="s">
        <v>8</v>
      </c>
      <c r="G24" s="51">
        <v>52.49</v>
      </c>
      <c r="H24" s="51">
        <v>15.53</v>
      </c>
      <c r="I24" s="51">
        <v>6.83</v>
      </c>
      <c r="J24" s="51">
        <v>0.78</v>
      </c>
      <c r="K24" s="51">
        <v>34.909999999999997</v>
      </c>
      <c r="L24" s="51">
        <v>26.73</v>
      </c>
      <c r="M24" s="51">
        <v>43.57</v>
      </c>
      <c r="N24" s="51">
        <v>51.4</v>
      </c>
      <c r="O24" s="51">
        <v>0</v>
      </c>
      <c r="P24" s="51">
        <v>0.52</v>
      </c>
      <c r="Q24" s="51">
        <v>12.98</v>
      </c>
    </row>
    <row r="25" spans="1:17" customFormat="1">
      <c r="A25" s="50">
        <v>45657.708333333336</v>
      </c>
      <c r="B25" s="51">
        <v>5.8</v>
      </c>
      <c r="C25" s="51">
        <v>24.37</v>
      </c>
      <c r="D25" s="51">
        <v>18.73</v>
      </c>
      <c r="E25" s="51">
        <v>9.15</v>
      </c>
      <c r="F25" s="53" t="s">
        <v>8</v>
      </c>
      <c r="G25" s="51">
        <v>48.76</v>
      </c>
      <c r="H25" s="51">
        <v>13.62</v>
      </c>
      <c r="I25" s="51">
        <v>6.68</v>
      </c>
      <c r="J25" s="51">
        <v>0.44</v>
      </c>
      <c r="K25" s="51">
        <v>34.35</v>
      </c>
      <c r="L25" s="51">
        <v>26.58</v>
      </c>
      <c r="M25" s="51">
        <v>47.31</v>
      </c>
      <c r="N25" s="51">
        <v>30.4</v>
      </c>
      <c r="O25" s="51">
        <v>0</v>
      </c>
      <c r="P25" s="51">
        <v>0.52</v>
      </c>
      <c r="Q25" s="51">
        <v>12.98</v>
      </c>
    </row>
    <row r="26" spans="1:17" customFormat="1">
      <c r="A26" s="50">
        <v>45657.75</v>
      </c>
      <c r="B26" s="51">
        <v>6.83</v>
      </c>
      <c r="C26" s="51">
        <v>24.56</v>
      </c>
      <c r="D26" s="51">
        <v>19.579999999999998</v>
      </c>
      <c r="E26" s="51">
        <v>9.14</v>
      </c>
      <c r="F26" s="53" t="s">
        <v>8</v>
      </c>
      <c r="G26" s="51">
        <v>53.37</v>
      </c>
      <c r="H26" s="51">
        <v>13.94</v>
      </c>
      <c r="I26" s="51">
        <v>6.8</v>
      </c>
      <c r="J26" s="51">
        <v>0.38</v>
      </c>
      <c r="K26" s="51">
        <v>138.05000000000001</v>
      </c>
      <c r="L26" s="51">
        <v>25.49</v>
      </c>
      <c r="M26" s="51">
        <v>60.48</v>
      </c>
      <c r="N26" s="51">
        <v>5.6</v>
      </c>
      <c r="O26" s="51">
        <v>0</v>
      </c>
      <c r="P26" s="51">
        <v>0.56000000000000005</v>
      </c>
      <c r="Q26" s="51">
        <v>12.99</v>
      </c>
    </row>
    <row r="27" spans="1:17" customFormat="1">
      <c r="A27" s="50">
        <v>45657.791666666664</v>
      </c>
      <c r="B27" s="51">
        <v>8.59</v>
      </c>
      <c r="C27" s="51">
        <v>24.43</v>
      </c>
      <c r="D27" s="51">
        <v>20.96</v>
      </c>
      <c r="E27" s="51">
        <v>10.34</v>
      </c>
      <c r="F27" s="53" t="s">
        <v>8</v>
      </c>
      <c r="G27" s="51">
        <v>67.33</v>
      </c>
      <c r="H27" s="51">
        <v>18.690000000000001</v>
      </c>
      <c r="I27" s="51">
        <v>7.69</v>
      </c>
      <c r="J27" s="51">
        <v>0.3</v>
      </c>
      <c r="K27" s="51">
        <v>165.42</v>
      </c>
      <c r="L27" s="51">
        <v>22.69</v>
      </c>
      <c r="M27" s="51">
        <v>76.25</v>
      </c>
      <c r="N27" s="51">
        <v>2</v>
      </c>
      <c r="O27" s="51">
        <v>0</v>
      </c>
      <c r="P27" s="51">
        <v>0.64</v>
      </c>
      <c r="Q27" s="51">
        <v>12.99</v>
      </c>
    </row>
    <row r="28" spans="1:17" customFormat="1">
      <c r="A28" s="50">
        <v>45657.833333333336</v>
      </c>
      <c r="B28" s="51">
        <v>11.35</v>
      </c>
      <c r="C28" s="51">
        <v>24.18</v>
      </c>
      <c r="D28" s="51">
        <v>22.9</v>
      </c>
      <c r="E28" s="51">
        <v>10.41</v>
      </c>
      <c r="F28" s="53" t="s">
        <v>8</v>
      </c>
      <c r="G28" s="51">
        <v>84.37</v>
      </c>
      <c r="H28" s="51">
        <v>21.34</v>
      </c>
      <c r="I28" s="51">
        <v>9.24</v>
      </c>
      <c r="J28" s="51">
        <v>0.28000000000000003</v>
      </c>
      <c r="K28" s="51">
        <v>200.91</v>
      </c>
      <c r="L28" s="51">
        <v>21.2</v>
      </c>
      <c r="M28" s="51">
        <v>78.13</v>
      </c>
      <c r="N28" s="51">
        <v>1.7</v>
      </c>
      <c r="O28" s="51">
        <v>0</v>
      </c>
      <c r="P28" s="51">
        <v>0.78</v>
      </c>
      <c r="Q28" s="51">
        <v>13.02</v>
      </c>
    </row>
    <row r="29" spans="1:17" customFormat="1">
      <c r="A29" s="50">
        <v>45657.875</v>
      </c>
      <c r="B29" s="51">
        <v>17.29</v>
      </c>
      <c r="C29" s="51">
        <v>23.94</v>
      </c>
      <c r="D29" s="51">
        <v>27.72</v>
      </c>
      <c r="E29" s="51">
        <v>10.92</v>
      </c>
      <c r="F29" s="53" t="s">
        <v>8</v>
      </c>
      <c r="G29" s="51">
        <v>90.56</v>
      </c>
      <c r="H29" s="51">
        <v>21.26</v>
      </c>
      <c r="I29" s="51">
        <v>10.26</v>
      </c>
      <c r="J29" s="51">
        <v>0.23</v>
      </c>
      <c r="K29" s="51">
        <v>199.54</v>
      </c>
      <c r="L29" s="51">
        <v>19.760000000000002</v>
      </c>
      <c r="M29" s="51">
        <v>77.8</v>
      </c>
      <c r="N29" s="51">
        <v>1.5</v>
      </c>
      <c r="O29" s="51">
        <v>0</v>
      </c>
      <c r="P29" s="51">
        <v>0.89</v>
      </c>
      <c r="Q29" s="51">
        <v>13.02</v>
      </c>
    </row>
    <row r="30" spans="1:17" customFormat="1">
      <c r="A30" s="50">
        <v>45657.916666666664</v>
      </c>
      <c r="B30" s="51">
        <v>22.62</v>
      </c>
      <c r="C30" s="51">
        <v>24.11</v>
      </c>
      <c r="D30" s="51">
        <v>32.090000000000003</v>
      </c>
      <c r="E30" s="51">
        <v>10.83</v>
      </c>
      <c r="F30" s="53" t="s">
        <v>8</v>
      </c>
      <c r="G30" s="51">
        <v>89.69</v>
      </c>
      <c r="H30" s="51">
        <v>22.28</v>
      </c>
      <c r="I30" s="51">
        <v>11.44</v>
      </c>
      <c r="J30" s="51">
        <v>0.64</v>
      </c>
      <c r="K30" s="51">
        <v>55.57</v>
      </c>
      <c r="L30" s="51">
        <v>20.54</v>
      </c>
      <c r="M30" s="51">
        <v>64.099999999999994</v>
      </c>
      <c r="N30" s="51">
        <v>1.4</v>
      </c>
      <c r="O30" s="51">
        <v>0</v>
      </c>
      <c r="P30" s="51">
        <v>0.99</v>
      </c>
      <c r="Q30" s="51">
        <v>13.03</v>
      </c>
    </row>
    <row r="31" spans="1:17" customFormat="1">
      <c r="A31" s="50">
        <v>45657.958333333336</v>
      </c>
      <c r="B31" s="51">
        <v>22.8</v>
      </c>
      <c r="C31" s="51">
        <v>24.43</v>
      </c>
      <c r="D31" s="51">
        <v>32.31</v>
      </c>
      <c r="E31" s="51">
        <v>10.6</v>
      </c>
      <c r="F31" s="53" t="s">
        <v>8</v>
      </c>
      <c r="G31" s="51">
        <v>92.05</v>
      </c>
      <c r="H31" s="51">
        <v>19.579999999999998</v>
      </c>
      <c r="I31" s="51">
        <v>11.68</v>
      </c>
      <c r="J31" s="51">
        <v>0.47</v>
      </c>
      <c r="K31" s="51">
        <v>179.59</v>
      </c>
      <c r="L31" s="51">
        <v>19.809999999999999</v>
      </c>
      <c r="M31" s="51">
        <v>60.07</v>
      </c>
      <c r="N31" s="51">
        <v>1.8</v>
      </c>
      <c r="O31" s="51">
        <v>0</v>
      </c>
      <c r="P31" s="51">
        <v>1</v>
      </c>
      <c r="Q31" s="51">
        <v>13.04</v>
      </c>
    </row>
    <row r="32" spans="1:17" customFormat="1">
      <c r="A32" s="50">
        <v>45658</v>
      </c>
      <c r="B32" s="51">
        <v>22.34</v>
      </c>
      <c r="C32" s="51">
        <v>24.49</v>
      </c>
      <c r="D32" s="51">
        <v>32.049999999999997</v>
      </c>
      <c r="E32" s="51">
        <v>10.47</v>
      </c>
      <c r="F32" s="53" t="s">
        <v>8</v>
      </c>
      <c r="G32" s="51">
        <v>90.99</v>
      </c>
      <c r="H32" s="51">
        <v>19.600000000000001</v>
      </c>
      <c r="I32" s="51">
        <v>11.66</v>
      </c>
      <c r="J32" s="51">
        <v>0.17</v>
      </c>
      <c r="K32" s="51">
        <v>216.68</v>
      </c>
      <c r="L32" s="51">
        <v>17.600000000000001</v>
      </c>
      <c r="M32" s="51">
        <v>75.849999999999994</v>
      </c>
      <c r="N32" s="51">
        <v>1.9</v>
      </c>
      <c r="O32" s="51">
        <v>0</v>
      </c>
      <c r="P32" s="51">
        <v>0.96</v>
      </c>
      <c r="Q32" s="51">
        <v>13.04</v>
      </c>
    </row>
    <row r="33" spans="1:21" s="1" customFormat="1">
      <c r="A33" s="42"/>
      <c r="B33" s="39"/>
      <c r="C33" s="39"/>
      <c r="D33" s="39"/>
      <c r="E33" s="39"/>
      <c r="F33" s="39"/>
      <c r="G33" s="42"/>
      <c r="H33" s="42"/>
      <c r="I33" s="42"/>
      <c r="J33" s="39"/>
      <c r="K33" s="39"/>
      <c r="L33" s="42"/>
      <c r="M33" s="42"/>
      <c r="N33" s="42"/>
      <c r="O33" s="42"/>
      <c r="P33" s="42"/>
      <c r="Q33" s="39"/>
      <c r="R33" s="39"/>
      <c r="S33" s="39"/>
      <c r="T33" s="39"/>
      <c r="U33" s="39"/>
    </row>
    <row r="34" spans="1:21" s="1" customFormat="1">
      <c r="A34" s="32" t="s">
        <v>48</v>
      </c>
      <c r="B34" s="41">
        <f t="shared" ref="B34:Q34" si="0">MIN(B9:B32)</f>
        <v>5.8</v>
      </c>
      <c r="C34" s="41">
        <f t="shared" si="0"/>
        <v>22</v>
      </c>
      <c r="D34" s="41">
        <f t="shared" si="0"/>
        <v>18.73</v>
      </c>
      <c r="E34" s="41">
        <f t="shared" si="0"/>
        <v>6.76</v>
      </c>
      <c r="F34" s="41">
        <f t="shared" si="0"/>
        <v>0</v>
      </c>
      <c r="G34" s="41">
        <f t="shared" si="0"/>
        <v>46.31</v>
      </c>
      <c r="H34" s="41">
        <f t="shared" si="0"/>
        <v>13.62</v>
      </c>
      <c r="I34" s="41">
        <f t="shared" si="0"/>
        <v>6.68</v>
      </c>
      <c r="J34" s="41">
        <f t="shared" si="0"/>
        <v>0.17</v>
      </c>
      <c r="K34" s="41">
        <f t="shared" si="0"/>
        <v>31.05</v>
      </c>
      <c r="L34" s="41">
        <f t="shared" si="0"/>
        <v>15.71</v>
      </c>
      <c r="M34" s="41">
        <f t="shared" si="0"/>
        <v>40.130000000000003</v>
      </c>
      <c r="N34" s="41">
        <f t="shared" si="0"/>
        <v>1.3</v>
      </c>
      <c r="O34" s="41">
        <f t="shared" si="0"/>
        <v>0</v>
      </c>
      <c r="P34" s="41">
        <f t="shared" si="0"/>
        <v>0.52</v>
      </c>
      <c r="Q34" s="41">
        <f t="shared" si="0"/>
        <v>12.98</v>
      </c>
      <c r="R34" s="41"/>
      <c r="S34" s="41"/>
      <c r="T34" s="41"/>
      <c r="U34" s="41"/>
    </row>
    <row r="35" spans="1:21" s="1" customFormat="1">
      <c r="A35" s="32" t="s">
        <v>49</v>
      </c>
      <c r="B35" s="33">
        <f t="shared" ref="B35:Q35" si="1">MAX(B9:B32)</f>
        <v>38.770000000000003</v>
      </c>
      <c r="C35" s="33">
        <f t="shared" si="1"/>
        <v>26.33</v>
      </c>
      <c r="D35" s="33">
        <f t="shared" si="1"/>
        <v>45.7</v>
      </c>
      <c r="E35" s="33">
        <f t="shared" si="1"/>
        <v>11.12</v>
      </c>
      <c r="F35" s="33">
        <f t="shared" si="1"/>
        <v>0</v>
      </c>
      <c r="G35" s="33">
        <f t="shared" si="1"/>
        <v>92.05</v>
      </c>
      <c r="H35" s="33">
        <f t="shared" si="1"/>
        <v>24.15</v>
      </c>
      <c r="I35" s="33">
        <f t="shared" si="1"/>
        <v>13.87</v>
      </c>
      <c r="J35" s="33">
        <f t="shared" si="1"/>
        <v>1.1200000000000001</v>
      </c>
      <c r="K35" s="33">
        <f t="shared" si="1"/>
        <v>351.96</v>
      </c>
      <c r="L35" s="33">
        <f t="shared" si="1"/>
        <v>27.14</v>
      </c>
      <c r="M35" s="33">
        <f t="shared" si="1"/>
        <v>85.57</v>
      </c>
      <c r="N35" s="33">
        <f t="shared" si="1"/>
        <v>489.2</v>
      </c>
      <c r="O35" s="33">
        <f t="shared" si="1"/>
        <v>0</v>
      </c>
      <c r="P35" s="33">
        <f t="shared" si="1"/>
        <v>1.1200000000000001</v>
      </c>
      <c r="Q35" s="33">
        <f t="shared" si="1"/>
        <v>13.11</v>
      </c>
      <c r="R35" s="33"/>
      <c r="S35" s="33"/>
      <c r="T35" s="33"/>
      <c r="U35" s="33"/>
    </row>
    <row r="36" spans="1:21" s="1" customFormat="1">
      <c r="A36" s="32" t="s">
        <v>50</v>
      </c>
      <c r="B36" s="41">
        <f t="shared" ref="B36:Q36" si="2">AVERAGE(B9:B32)</f>
        <v>20.259583333333328</v>
      </c>
      <c r="C36" s="41">
        <f t="shared" si="2"/>
        <v>23.747083333333332</v>
      </c>
      <c r="D36" s="41">
        <f t="shared" si="2"/>
        <v>29.91833333333334</v>
      </c>
      <c r="E36" s="41">
        <f t="shared" si="2"/>
        <v>9.4379166666666663</v>
      </c>
      <c r="F36" s="41" t="e">
        <f t="shared" si="2"/>
        <v>#DIV/0!</v>
      </c>
      <c r="G36" s="41">
        <f t="shared" si="2"/>
        <v>64.470416666666665</v>
      </c>
      <c r="H36" s="41">
        <f t="shared" si="2"/>
        <v>18.086249999999996</v>
      </c>
      <c r="I36" s="41">
        <f t="shared" si="2"/>
        <v>9.7066666666666688</v>
      </c>
      <c r="J36" s="41">
        <f t="shared" si="2"/>
        <v>0.65333333333333332</v>
      </c>
      <c r="K36" s="41">
        <f t="shared" si="2"/>
        <v>111.08416666666669</v>
      </c>
      <c r="L36" s="41">
        <f t="shared" si="2"/>
        <v>21.404166666666669</v>
      </c>
      <c r="M36" s="41">
        <f t="shared" si="2"/>
        <v>65.778749999999988</v>
      </c>
      <c r="N36" s="41">
        <f t="shared" si="2"/>
        <v>109.70416666666667</v>
      </c>
      <c r="O36" s="41">
        <f t="shared" si="2"/>
        <v>0</v>
      </c>
      <c r="P36" s="41">
        <f t="shared" si="2"/>
        <v>0.76250000000000007</v>
      </c>
      <c r="Q36" s="41">
        <f t="shared" si="2"/>
        <v>13.034166666666666</v>
      </c>
      <c r="R36" s="41"/>
      <c r="S36" s="41"/>
      <c r="T36" s="41"/>
      <c r="U36" s="41"/>
    </row>
    <row r="37" spans="1:21" s="1" customFormat="1">
      <c r="A37" s="32" t="s">
        <v>51</v>
      </c>
      <c r="B37" s="41">
        <f>STDEV(B9:B32)</f>
        <v>9.5095126191421286</v>
      </c>
      <c r="C37" s="41">
        <f t="shared" ref="C37:Q37" si="3">STDEV(C9:C32)</f>
        <v>1.1476572703315886</v>
      </c>
      <c r="D37" s="41">
        <f t="shared" si="3"/>
        <v>7.7733226439879504</v>
      </c>
      <c r="E37" s="41">
        <f t="shared" si="3"/>
        <v>1.4806079220511397</v>
      </c>
      <c r="F37" s="41" t="e">
        <f t="shared" si="3"/>
        <v>#DIV/0!</v>
      </c>
      <c r="G37" s="41">
        <f t="shared" si="3"/>
        <v>16.311255777414317</v>
      </c>
      <c r="H37" s="41">
        <f t="shared" si="3"/>
        <v>2.9944395026085884</v>
      </c>
      <c r="I37" s="41">
        <f t="shared" si="3"/>
        <v>2.3600786034564005</v>
      </c>
      <c r="J37" s="41">
        <f t="shared" si="3"/>
        <v>0.2778280147809099</v>
      </c>
      <c r="K37" s="41">
        <f t="shared" si="3"/>
        <v>94.285163336350578</v>
      </c>
      <c r="L37" s="41">
        <f t="shared" si="3"/>
        <v>3.9925331575946514</v>
      </c>
      <c r="M37" s="41">
        <f t="shared" si="3"/>
        <v>16.190705683924961</v>
      </c>
      <c r="N37" s="41">
        <f t="shared" si="3"/>
        <v>174.45427575645758</v>
      </c>
      <c r="O37" s="41">
        <f t="shared" si="3"/>
        <v>0</v>
      </c>
      <c r="P37" s="41">
        <f t="shared" si="3"/>
        <v>0.19323898247461857</v>
      </c>
      <c r="Q37" s="41">
        <f t="shared" si="3"/>
        <v>3.6105722377564875E-2</v>
      </c>
      <c r="R37" s="41"/>
      <c r="S37" s="41"/>
      <c r="T37" s="41"/>
      <c r="U37" s="41"/>
    </row>
    <row r="38" spans="1:21" s="1" customFormat="1">
      <c r="A38" s="45" t="s">
        <v>52</v>
      </c>
      <c r="B38" s="46">
        <f t="shared" ref="B38:Q38" si="4">COUNT(B9:B32)</f>
        <v>24</v>
      </c>
      <c r="C38" s="46">
        <f t="shared" si="4"/>
        <v>24</v>
      </c>
      <c r="D38" s="46">
        <f t="shared" si="4"/>
        <v>24</v>
      </c>
      <c r="E38" s="46">
        <f t="shared" si="4"/>
        <v>24</v>
      </c>
      <c r="F38" s="46">
        <f t="shared" si="4"/>
        <v>0</v>
      </c>
      <c r="G38" s="46">
        <f t="shared" si="4"/>
        <v>24</v>
      </c>
      <c r="H38" s="46">
        <f t="shared" si="4"/>
        <v>24</v>
      </c>
      <c r="I38" s="46">
        <f t="shared" si="4"/>
        <v>24</v>
      </c>
      <c r="J38" s="46">
        <f t="shared" si="4"/>
        <v>24</v>
      </c>
      <c r="K38" s="46">
        <f t="shared" si="4"/>
        <v>24</v>
      </c>
      <c r="L38" s="46">
        <f t="shared" si="4"/>
        <v>24</v>
      </c>
      <c r="M38" s="46">
        <f t="shared" si="4"/>
        <v>24</v>
      </c>
      <c r="N38" s="46">
        <f t="shared" si="4"/>
        <v>24</v>
      </c>
      <c r="O38" s="46">
        <f t="shared" si="4"/>
        <v>24</v>
      </c>
      <c r="P38" s="46">
        <f t="shared" si="4"/>
        <v>24</v>
      </c>
      <c r="Q38" s="46">
        <f t="shared" si="4"/>
        <v>24</v>
      </c>
      <c r="R38" s="46"/>
      <c r="S38" s="46"/>
      <c r="T38" s="46"/>
      <c r="U38" s="46"/>
    </row>
    <row r="39" spans="1:21" s="1" customFormat="1">
      <c r="A39" s="32" t="s">
        <v>53</v>
      </c>
      <c r="B39" s="33" t="str">
        <f>IF(B38&gt;=22,"&gt;90%",IF(B38&lt;=22,"&lt;90%"))</f>
        <v>&gt;90%</v>
      </c>
      <c r="C39" s="33" t="str">
        <f t="shared" ref="C39:Q39" si="5">IF(C38&gt;=22,"&gt;90%",IF(C38&lt;=22,"&lt;90%"))</f>
        <v>&gt;90%</v>
      </c>
      <c r="D39" s="33" t="str">
        <f t="shared" si="5"/>
        <v>&gt;90%</v>
      </c>
      <c r="E39" s="33" t="str">
        <f t="shared" si="5"/>
        <v>&gt;90%</v>
      </c>
      <c r="F39" s="33" t="str">
        <f t="shared" si="5"/>
        <v>&lt;90%</v>
      </c>
      <c r="G39" s="33" t="str">
        <f t="shared" si="5"/>
        <v>&gt;90%</v>
      </c>
      <c r="H39" s="33" t="str">
        <f t="shared" si="5"/>
        <v>&gt;90%</v>
      </c>
      <c r="I39" s="33" t="str">
        <f t="shared" si="5"/>
        <v>&gt;90%</v>
      </c>
      <c r="J39" s="33" t="str">
        <f t="shared" si="5"/>
        <v>&gt;90%</v>
      </c>
      <c r="K39" s="33" t="str">
        <f t="shared" si="5"/>
        <v>&gt;90%</v>
      </c>
      <c r="L39" s="33" t="str">
        <f t="shared" si="5"/>
        <v>&gt;90%</v>
      </c>
      <c r="M39" s="33" t="str">
        <f t="shared" si="5"/>
        <v>&gt;90%</v>
      </c>
      <c r="N39" s="33" t="str">
        <f t="shared" si="5"/>
        <v>&gt;90%</v>
      </c>
      <c r="O39" s="33" t="str">
        <f t="shared" si="5"/>
        <v>&gt;90%</v>
      </c>
      <c r="P39" s="33" t="str">
        <f t="shared" si="5"/>
        <v>&gt;90%</v>
      </c>
      <c r="Q39" s="33" t="str">
        <f t="shared" si="5"/>
        <v>&gt;90%</v>
      </c>
      <c r="R39" s="33"/>
      <c r="S39" s="33"/>
      <c r="T39" s="33"/>
      <c r="U39" s="33"/>
    </row>
    <row r="40" spans="1:21" s="1" customFormat="1">
      <c r="A40" s="32" t="s">
        <v>54</v>
      </c>
      <c r="B40" s="33" t="str">
        <f>IF(B38&gt;=22,"OK",IF(B38&lt;=22,"LESS"))</f>
        <v>OK</v>
      </c>
      <c r="C40" s="33" t="str">
        <f t="shared" ref="C40:Q40" si="6">IF(C38&gt;=22,"OK",IF(C38&lt;=22,"LESS"))</f>
        <v>OK</v>
      </c>
      <c r="D40" s="33" t="str">
        <f t="shared" si="6"/>
        <v>OK</v>
      </c>
      <c r="E40" s="33" t="str">
        <f t="shared" si="6"/>
        <v>OK</v>
      </c>
      <c r="F40" s="33" t="str">
        <f t="shared" si="6"/>
        <v>LESS</v>
      </c>
      <c r="G40" s="33" t="str">
        <f t="shared" si="6"/>
        <v>OK</v>
      </c>
      <c r="H40" s="33" t="str">
        <f t="shared" si="6"/>
        <v>OK</v>
      </c>
      <c r="I40" s="33" t="str">
        <f t="shared" si="6"/>
        <v>OK</v>
      </c>
      <c r="J40" s="33" t="str">
        <f t="shared" si="6"/>
        <v>OK</v>
      </c>
      <c r="K40" s="33" t="str">
        <f t="shared" si="6"/>
        <v>OK</v>
      </c>
      <c r="L40" s="33" t="str">
        <f t="shared" si="6"/>
        <v>OK</v>
      </c>
      <c r="M40" s="33" t="str">
        <f t="shared" si="6"/>
        <v>OK</v>
      </c>
      <c r="N40" s="33" t="str">
        <f t="shared" si="6"/>
        <v>OK</v>
      </c>
      <c r="O40" s="33" t="str">
        <f t="shared" si="6"/>
        <v>OK</v>
      </c>
      <c r="P40" s="33" t="str">
        <f t="shared" si="6"/>
        <v>OK</v>
      </c>
      <c r="Q40" s="33" t="str">
        <f t="shared" si="6"/>
        <v>OK</v>
      </c>
      <c r="R40" s="33"/>
      <c r="S40" s="33"/>
      <c r="T40" s="33"/>
      <c r="U40" s="33"/>
    </row>
    <row r="41" spans="1:21" s="1" customFormat="1">
      <c r="A41" s="22"/>
      <c r="L41" s="22"/>
      <c r="N41" s="49"/>
      <c r="O41" s="49"/>
      <c r="P41" s="49"/>
      <c r="Q41" s="49"/>
      <c r="R41" s="49"/>
      <c r="S41" s="49"/>
      <c r="T41" s="49"/>
      <c r="U41" s="49"/>
    </row>
    <row r="42" spans="1:21" s="1" customFormat="1">
      <c r="A42" s="22"/>
    </row>
    <row r="43" spans="1:21" s="1" customFormat="1">
      <c r="A43" s="3" t="s">
        <v>55</v>
      </c>
      <c r="B43" s="21" t="s">
        <v>56</v>
      </c>
      <c r="C43" s="47"/>
    </row>
    <row r="44" spans="1:21" s="1" customFormat="1">
      <c r="A44" s="22"/>
      <c r="D44" s="23"/>
      <c r="E44" s="23"/>
      <c r="F44" s="23"/>
      <c r="G44" s="23"/>
      <c r="H44" s="23"/>
      <c r="I44" s="23"/>
    </row>
    <row r="45" spans="1:21" s="1" customFormat="1" ht="15.75">
      <c r="A45" s="24" t="s">
        <v>57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</row>
    <row r="46" spans="1:21" s="1" customFormat="1"/>
    <row r="47" spans="1:21" s="1" customFormat="1"/>
    <row r="48" spans="1:21" s="1" customFormat="1"/>
    <row r="49" s="1" customFormat="1"/>
    <row r="50" s="1" customFormat="1"/>
    <row r="51" s="1" customFormat="1"/>
    <row r="52" s="1" customFormat="1"/>
    <row r="53" s="1" customFormat="1"/>
    <row r="54" s="1" customFormat="1"/>
    <row r="55" s="1" customFormat="1"/>
    <row r="56" s="1" customFormat="1"/>
    <row r="57" s="1" customFormat="1"/>
    <row r="58" s="1" customFormat="1"/>
    <row r="59" s="1" customFormat="1"/>
    <row r="60" s="1" customFormat="1"/>
    <row r="61" s="1" customFormat="1"/>
    <row r="62" s="1" customFormat="1"/>
    <row r="63" s="1" customFormat="1"/>
    <row r="64" s="1" customFormat="1"/>
    <row r="65" s="1" customFormat="1"/>
    <row r="66" s="1" customFormat="1"/>
    <row r="67" s="1" customFormat="1"/>
    <row r="68" s="1" customFormat="1"/>
    <row r="69" s="1" customFormat="1"/>
    <row r="70" s="1" customFormat="1"/>
    <row r="71" s="1" customFormat="1"/>
    <row r="72" s="1" customFormat="1"/>
    <row r="73" s="1" customFormat="1"/>
    <row r="74" s="1" customFormat="1"/>
    <row r="75" s="1" customFormat="1"/>
    <row r="76" s="1" customFormat="1"/>
    <row r="77" s="1" customFormat="1"/>
    <row r="78" s="1" customFormat="1"/>
    <row r="79" s="1" customFormat="1"/>
    <row r="80" s="1" customFormat="1"/>
    <row r="81" s="1" customFormat="1"/>
    <row r="82" s="1" customFormat="1"/>
    <row r="83" s="1" customFormat="1"/>
    <row r="84" s="1" customFormat="1"/>
    <row r="85" s="1" customFormat="1"/>
    <row r="86" s="1" customFormat="1"/>
    <row r="87" s="1" customFormat="1"/>
    <row r="88" s="1" customFormat="1"/>
    <row r="89" s="1" customFormat="1"/>
    <row r="90" s="1" customFormat="1"/>
    <row r="91" s="1" customFormat="1"/>
    <row r="92" s="1" customFormat="1"/>
    <row r="93" s="1" customFormat="1"/>
    <row r="94" s="1" customFormat="1"/>
    <row r="95" s="1" customFormat="1"/>
    <row r="96" s="1" customFormat="1"/>
    <row r="97" spans="1:1" s="1" customFormat="1"/>
    <row r="98" spans="1:1" s="1" customFormat="1"/>
    <row r="99" spans="1:1" s="1" customFormat="1"/>
    <row r="100" spans="1:1" s="1" customFormat="1"/>
    <row r="101" spans="1:1" s="1" customFormat="1"/>
    <row r="102" spans="1:1" s="1" customFormat="1"/>
    <row r="103" spans="1:1" s="1" customFormat="1"/>
    <row r="104" spans="1:1" s="1" customFormat="1"/>
    <row r="105" spans="1:1" s="1" customFormat="1"/>
    <row r="106" spans="1:1">
      <c r="A106" s="39"/>
    </row>
    <row r="107" spans="1:1" s="1" customFormat="1"/>
    <row r="108" spans="1:1" s="1" customFormat="1"/>
    <row r="109" spans="1:1" s="1" customFormat="1"/>
    <row r="110" spans="1:1" s="1" customFormat="1"/>
    <row r="111" spans="1:1" s="1" customFormat="1"/>
    <row r="112" spans="1:1" s="1" customFormat="1"/>
    <row r="113" spans="1:1" s="1" customFormat="1"/>
    <row r="114" spans="1:1" s="1" customFormat="1"/>
    <row r="115" spans="1:1" s="1" customFormat="1"/>
    <row r="116" spans="1:1" s="1" customFormat="1"/>
    <row r="117" spans="1:1" s="1" customFormat="1"/>
    <row r="118" spans="1:1">
      <c r="A118" s="39"/>
    </row>
    <row r="119" spans="1:1">
      <c r="A119" s="39"/>
    </row>
  </sheetData>
  <pageMargins left="0.7" right="0.7" top="0.75" bottom="0.75" header="0.3" footer="0.3"/>
  <pageSetup paperSize="9" orientation="portrait"/>
</worksheet>
</file>

<file path=xl/worksheets/sheet32.xml><?xml version="1.0" encoding="utf-8"?>
<worksheet xmlns="http://schemas.openxmlformats.org/spreadsheetml/2006/main" xmlns:r="http://schemas.openxmlformats.org/officeDocument/2006/relationships">
  <dimension ref="A1:X55"/>
  <sheetViews>
    <sheetView tabSelected="1" zoomScale="85" zoomScaleNormal="85" workbookViewId="0">
      <pane xSplit="1" ySplit="8" topLeftCell="B30" activePane="bottomRight" state="frozen"/>
      <selection activeCell="G19" sqref="G19"/>
      <selection pane="topRight" activeCell="G19" sqref="G19"/>
      <selection pane="bottomLeft" activeCell="G19" sqref="G19"/>
      <selection pane="bottomRight" activeCell="Q46" sqref="Q46"/>
    </sheetView>
  </sheetViews>
  <sheetFormatPr defaultColWidth="8.85546875" defaultRowHeight="15"/>
  <cols>
    <col min="1" max="1" width="17.42578125" customWidth="1"/>
    <col min="2" max="2" width="14.42578125" customWidth="1"/>
    <col min="3" max="3" width="11.7109375" customWidth="1"/>
    <col min="4" max="4" width="14.42578125" customWidth="1"/>
    <col min="5" max="5" width="10.7109375" customWidth="1"/>
    <col min="7" max="7" width="11.28515625" customWidth="1"/>
    <col min="8" max="8" width="12.42578125" customWidth="1"/>
    <col min="9" max="9" width="13" customWidth="1"/>
    <col min="11" max="11" width="9.7109375" customWidth="1"/>
    <col min="12" max="12" width="11" customWidth="1"/>
    <col min="13" max="13" width="10" customWidth="1"/>
    <col min="17" max="17" width="9.7109375" customWidth="1"/>
    <col min="19" max="19" width="12.140625" customWidth="1"/>
    <col min="20" max="20" width="12.7109375" customWidth="1"/>
  </cols>
  <sheetData>
    <row r="1" spans="1:21" s="1" customFormat="1" ht="27.75" customHeight="1">
      <c r="A1" s="3" t="s">
        <v>0</v>
      </c>
      <c r="B1" s="4" t="s">
        <v>58</v>
      </c>
      <c r="C1" s="5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1:21" s="1" customFormat="1">
      <c r="A2" s="3" t="s">
        <v>2</v>
      </c>
      <c r="B2" s="7">
        <f>$A$9</f>
        <v>45627.041666666664</v>
      </c>
      <c r="C2"/>
      <c r="D2" s="8" t="s">
        <v>3</v>
      </c>
      <c r="E2" s="8"/>
      <c r="F2" s="8"/>
      <c r="G2" s="9" t="s">
        <v>4</v>
      </c>
      <c r="H2" s="10"/>
      <c r="I2" s="10"/>
      <c r="J2" s="10"/>
      <c r="K2" s="6"/>
      <c r="L2" s="8" t="s">
        <v>5</v>
      </c>
      <c r="M2" s="6"/>
      <c r="N2" s="25" t="s">
        <v>6</v>
      </c>
      <c r="P2" s="26" t="s">
        <v>7</v>
      </c>
      <c r="Q2" s="6"/>
      <c r="R2" s="30" t="s">
        <v>8</v>
      </c>
      <c r="S2"/>
      <c r="T2"/>
      <c r="U2"/>
    </row>
    <row r="3" spans="1:21" s="1" customFormat="1">
      <c r="A3" s="3" t="s">
        <v>9</v>
      </c>
      <c r="B3" s="6" t="s">
        <v>10</v>
      </c>
      <c r="C3"/>
      <c r="D3" s="8" t="s">
        <v>11</v>
      </c>
      <c r="E3" s="8"/>
      <c r="F3" s="8"/>
      <c r="G3" s="11" t="s">
        <v>12</v>
      </c>
      <c r="H3" s="10"/>
      <c r="I3" s="10"/>
      <c r="J3" s="10"/>
      <c r="K3"/>
      <c r="L3" s="8" t="s">
        <v>13</v>
      </c>
      <c r="M3" s="6"/>
      <c r="N3" s="27" t="s">
        <v>14</v>
      </c>
      <c r="O3" s="6"/>
      <c r="P3" s="26" t="s">
        <v>15</v>
      </c>
      <c r="Q3" s="6"/>
      <c r="R3" s="31" t="s">
        <v>15</v>
      </c>
      <c r="S3"/>
      <c r="T3"/>
      <c r="U3"/>
    </row>
    <row r="4" spans="1:21" s="1" customFormat="1">
      <c r="A4" s="3" t="s">
        <v>16</v>
      </c>
      <c r="B4" s="6" t="s">
        <v>59</v>
      </c>
      <c r="C4"/>
      <c r="D4" s="8" t="s">
        <v>18</v>
      </c>
      <c r="E4" s="8"/>
      <c r="F4" s="8"/>
      <c r="G4" s="12" t="s">
        <v>19</v>
      </c>
      <c r="H4" s="10"/>
      <c r="I4" s="10"/>
      <c r="J4" s="10"/>
      <c r="K4" s="28"/>
      <c r="L4" s="8" t="s">
        <v>20</v>
      </c>
      <c r="M4" s="6"/>
      <c r="N4" s="29" t="s">
        <v>21</v>
      </c>
      <c r="O4" s="6"/>
      <c r="P4" s="6"/>
      <c r="Q4" s="6"/>
      <c r="R4" s="6"/>
      <c r="S4"/>
      <c r="T4"/>
      <c r="U4"/>
    </row>
    <row r="5" spans="1:21" s="1" customFormat="1">
      <c r="A5" s="3"/>
      <c r="B5" s="6"/>
      <c r="C5" s="6"/>
      <c r="D5" s="6"/>
      <c r="E5" s="6"/>
      <c r="F5" s="6"/>
      <c r="G5" s="6"/>
      <c r="H5" s="3"/>
      <c r="I5" s="3"/>
      <c r="J5" s="3"/>
      <c r="K5" s="6"/>
      <c r="L5" s="6"/>
      <c r="M5" s="6"/>
      <c r="N5" s="6"/>
      <c r="O5" s="6"/>
      <c r="P5" s="6"/>
      <c r="Q5" s="6"/>
      <c r="R5" s="6"/>
      <c r="S5" s="6"/>
      <c r="T5" s="6"/>
      <c r="U5" s="6"/>
    </row>
    <row r="6" spans="1:21" s="1" customFormat="1">
      <c r="A6" s="3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/>
    </row>
    <row r="7" spans="1:21" s="1" customFormat="1">
      <c r="A7" s="13" t="s">
        <v>22</v>
      </c>
      <c r="B7" s="14" t="s">
        <v>23</v>
      </c>
      <c r="C7" s="14" t="s">
        <v>24</v>
      </c>
      <c r="D7" s="14" t="s">
        <v>25</v>
      </c>
      <c r="E7" s="14" t="s">
        <v>26</v>
      </c>
      <c r="F7" s="14" t="s">
        <v>27</v>
      </c>
      <c r="G7" s="14" t="s">
        <v>28</v>
      </c>
      <c r="H7" s="14" t="s">
        <v>29</v>
      </c>
      <c r="I7" s="14" t="s">
        <v>30</v>
      </c>
      <c r="J7" s="14" t="s">
        <v>31</v>
      </c>
      <c r="K7" s="14" t="s">
        <v>32</v>
      </c>
      <c r="L7" s="14" t="s">
        <v>33</v>
      </c>
      <c r="M7" s="14" t="s">
        <v>34</v>
      </c>
      <c r="N7" s="14" t="s">
        <v>35</v>
      </c>
      <c r="O7" s="14" t="s">
        <v>36</v>
      </c>
      <c r="P7" s="14" t="s">
        <v>37</v>
      </c>
      <c r="Q7" s="14" t="s">
        <v>38</v>
      </c>
      <c r="R7" s="32"/>
      <c r="S7" s="33"/>
      <c r="T7" s="32"/>
      <c r="U7" s="32"/>
    </row>
    <row r="8" spans="1:21" s="1" customFormat="1">
      <c r="A8" s="13"/>
      <c r="B8" s="15" t="s">
        <v>39</v>
      </c>
      <c r="C8" s="15" t="s">
        <v>39</v>
      </c>
      <c r="D8" s="15" t="s">
        <v>40</v>
      </c>
      <c r="E8" s="15" t="s">
        <v>39</v>
      </c>
      <c r="F8" s="15" t="s">
        <v>39</v>
      </c>
      <c r="G8" s="15" t="s">
        <v>39</v>
      </c>
      <c r="H8" s="15" t="s">
        <v>39</v>
      </c>
      <c r="I8" s="15" t="s">
        <v>39</v>
      </c>
      <c r="J8" s="15" t="s">
        <v>42</v>
      </c>
      <c r="K8" s="15" t="s">
        <v>43</v>
      </c>
      <c r="L8" s="13" t="s">
        <v>44</v>
      </c>
      <c r="M8" s="15" t="s">
        <v>45</v>
      </c>
      <c r="N8" s="15" t="s">
        <v>46</v>
      </c>
      <c r="O8" s="13" t="s">
        <v>47</v>
      </c>
      <c r="P8" s="15" t="s">
        <v>41</v>
      </c>
      <c r="Q8" s="15" t="s">
        <v>39</v>
      </c>
      <c r="R8" s="32"/>
      <c r="S8" s="33"/>
      <c r="T8" s="32"/>
      <c r="U8" s="32"/>
    </row>
    <row r="9" spans="1:21">
      <c r="A9" s="16">
        <f>'01'!$B$2</f>
        <v>45627.041666666664</v>
      </c>
      <c r="B9" s="17">
        <f>'01'!B36</f>
        <v>13.121249999999998</v>
      </c>
      <c r="C9" s="17">
        <f>'01'!C36</f>
        <v>18.300833333333333</v>
      </c>
      <c r="D9" s="17">
        <f>'01'!D36</f>
        <v>21.345000000000002</v>
      </c>
      <c r="E9" s="17">
        <f>'01'!E36</f>
        <v>9.6916666666666664</v>
      </c>
      <c r="F9" s="17">
        <f>'01'!F36</f>
        <v>6.7787499999999987</v>
      </c>
      <c r="G9" s="17">
        <f>'01'!G36</f>
        <v>36.075833333333335</v>
      </c>
      <c r="H9" s="17">
        <f>'01'!H36</f>
        <v>13.205833333333333</v>
      </c>
      <c r="I9" s="17">
        <f>'01'!I36</f>
        <v>8.3854166666666661</v>
      </c>
      <c r="J9" s="17">
        <f>'01'!J36</f>
        <v>0.65249999999999997</v>
      </c>
      <c r="K9" s="17">
        <f>'01'!K36</f>
        <v>88.67</v>
      </c>
      <c r="L9" s="17">
        <f>'01'!L36</f>
        <v>20.7</v>
      </c>
      <c r="M9" s="17">
        <f>'01'!M36</f>
        <v>97.230833333333337</v>
      </c>
      <c r="N9" s="17">
        <f>'01'!N36</f>
        <v>24.933333333333334</v>
      </c>
      <c r="O9" s="17">
        <f>'01'!O36</f>
        <v>7.4999999999999997E-2</v>
      </c>
      <c r="P9" s="17">
        <f>'01'!P36</f>
        <v>0.68833333333333335</v>
      </c>
      <c r="Q9" s="17">
        <f>'01'!Q36</f>
        <v>10.147916666666665</v>
      </c>
      <c r="R9" s="34"/>
      <c r="S9" s="34"/>
      <c r="T9" s="34"/>
      <c r="U9" s="35"/>
    </row>
    <row r="10" spans="1:21" s="2" customFormat="1">
      <c r="A10" s="16">
        <f>'02'!$B$2</f>
        <v>45628.041666666664</v>
      </c>
      <c r="B10" s="17">
        <f>'02'!B36</f>
        <v>14.971249999999998</v>
      </c>
      <c r="C10" s="17">
        <f>'02'!C36</f>
        <v>17.518333333333338</v>
      </c>
      <c r="D10" s="17">
        <f>'02'!D36</f>
        <v>22.3325</v>
      </c>
      <c r="E10" s="17">
        <f>'02'!E36</f>
        <v>10.112916666666665</v>
      </c>
      <c r="F10" s="17">
        <f>'02'!F36</f>
        <v>6.1554166666666665</v>
      </c>
      <c r="G10" s="17">
        <f>'02'!G36</f>
        <v>47.112500000000004</v>
      </c>
      <c r="H10" s="17">
        <f>'02'!H36</f>
        <v>16.677083333333332</v>
      </c>
      <c r="I10" s="17">
        <f>'02'!I36</f>
        <v>7.6812500000000012</v>
      </c>
      <c r="J10" s="17">
        <f>'02'!J36</f>
        <v>0.84624999999999995</v>
      </c>
      <c r="K10" s="17">
        <f>'02'!K36</f>
        <v>61.127500000000005</v>
      </c>
      <c r="L10" s="17">
        <f>'02'!L36</f>
        <v>22.54291666666667</v>
      </c>
      <c r="M10" s="17">
        <f>'02'!M36</f>
        <v>90.254583333333343</v>
      </c>
      <c r="N10" s="17">
        <f>'02'!N36</f>
        <v>60.429166666666667</v>
      </c>
      <c r="O10" s="17">
        <f>'02'!O36</f>
        <v>0</v>
      </c>
      <c r="P10" s="17">
        <f>'02'!P36</f>
        <v>0.70541666666666647</v>
      </c>
      <c r="Q10" s="17">
        <f>'02'!Q36</f>
        <v>10.102083333333335</v>
      </c>
      <c r="R10" s="36"/>
      <c r="S10" s="36"/>
      <c r="T10" s="36"/>
      <c r="U10" s="36"/>
    </row>
    <row r="11" spans="1:21" s="2" customFormat="1">
      <c r="A11" s="16">
        <f>'03'!$B$2</f>
        <v>45629.041666666664</v>
      </c>
      <c r="B11" s="17">
        <f>'03'!B36</f>
        <v>14.042499999999999</v>
      </c>
      <c r="C11" s="17">
        <f>'03'!C36</f>
        <v>16.219583333333329</v>
      </c>
      <c r="D11" s="17">
        <f>'03'!D36</f>
        <v>20.820416666666667</v>
      </c>
      <c r="E11" s="17">
        <f>'03'!E36</f>
        <v>9.1266666666666652</v>
      </c>
      <c r="F11" s="17">
        <f>'03'!F36</f>
        <v>5.78125</v>
      </c>
      <c r="G11" s="17">
        <f>'03'!G36</f>
        <v>55.749565217391293</v>
      </c>
      <c r="H11" s="17">
        <f>'03'!H36</f>
        <v>19.105</v>
      </c>
      <c r="I11" s="17">
        <f>'03'!I36</f>
        <v>8.2795833333333313</v>
      </c>
      <c r="J11" s="17">
        <f>'03'!J36</f>
        <v>0.58041666666666669</v>
      </c>
      <c r="K11" s="17">
        <f>'03'!K36</f>
        <v>98.814583333333346</v>
      </c>
      <c r="L11" s="17">
        <f>'03'!L36</f>
        <v>24.572083333333328</v>
      </c>
      <c r="M11" s="17">
        <f>'03'!M36</f>
        <v>80.628750000000011</v>
      </c>
      <c r="N11" s="17">
        <f>'03'!N36</f>
        <v>98.733333333333348</v>
      </c>
      <c r="O11" s="17">
        <f>'03'!O36</f>
        <v>0</v>
      </c>
      <c r="P11" s="17">
        <f>'03'!P36</f>
        <v>0.75749999999999984</v>
      </c>
      <c r="Q11" s="17">
        <f>'03'!Q36</f>
        <v>10.08</v>
      </c>
      <c r="R11" s="36"/>
      <c r="S11" s="36"/>
      <c r="T11" s="36"/>
      <c r="U11" s="36"/>
    </row>
    <row r="12" spans="1:21" s="2" customFormat="1">
      <c r="A12" s="16">
        <f>'04'!$B$2</f>
        <v>45630.041666666664</v>
      </c>
      <c r="B12" s="17">
        <f>'04'!B36</f>
        <v>14.5525</v>
      </c>
      <c r="C12" s="17">
        <f>'04'!C36</f>
        <v>16.610833333333336</v>
      </c>
      <c r="D12" s="17">
        <f>'04'!D36</f>
        <v>21.473333333333333</v>
      </c>
      <c r="E12" s="17">
        <f>'04'!E36</f>
        <v>11.145416666666664</v>
      </c>
      <c r="F12" s="17">
        <f>'04'!F36</f>
        <v>8.8737499999999976</v>
      </c>
      <c r="G12" s="17">
        <f>'04'!G36</f>
        <v>73.974583333333328</v>
      </c>
      <c r="H12" s="17">
        <f>'04'!H36</f>
        <v>23.746666666666666</v>
      </c>
      <c r="I12" s="17">
        <f>'04'!I36</f>
        <v>8.4583333333333304</v>
      </c>
      <c r="J12" s="17">
        <f>'04'!J36</f>
        <v>0.4916666666666667</v>
      </c>
      <c r="K12" s="17">
        <f>'04'!K36</f>
        <v>113.05458333333335</v>
      </c>
      <c r="L12" s="17">
        <f>'04'!L36</f>
        <v>25.541250000000005</v>
      </c>
      <c r="M12" s="17">
        <f>'04'!M36</f>
        <v>75.554166666666674</v>
      </c>
      <c r="N12" s="17">
        <f>'04'!N36</f>
        <v>130.10416666666669</v>
      </c>
      <c r="O12" s="17">
        <f>'04'!O36</f>
        <v>0</v>
      </c>
      <c r="P12" s="17">
        <f>'04'!P36</f>
        <v>0.79333333333333333</v>
      </c>
      <c r="Q12" s="17">
        <f>'04'!Q36</f>
        <v>10.072916666666668</v>
      </c>
      <c r="R12" s="36"/>
      <c r="S12" s="36"/>
      <c r="T12" s="36"/>
      <c r="U12" s="36"/>
    </row>
    <row r="13" spans="1:21" s="2" customFormat="1">
      <c r="A13" s="16">
        <f>'05'!$B$2</f>
        <v>45631.041666666664</v>
      </c>
      <c r="B13" s="17">
        <f>'05'!B36</f>
        <v>14.25916666666666</v>
      </c>
      <c r="C13" s="17">
        <f>'05'!C36</f>
        <v>20.356666666666669</v>
      </c>
      <c r="D13" s="17">
        <f>'05'!D36</f>
        <v>23.060416666666665</v>
      </c>
      <c r="E13" s="17">
        <f>'05'!E36</f>
        <v>16.372916666666669</v>
      </c>
      <c r="F13" s="17">
        <f>'05'!F36</f>
        <v>10.404583333333333</v>
      </c>
      <c r="G13" s="17">
        <f>'05'!G36</f>
        <v>98.007499999999993</v>
      </c>
      <c r="H13" s="17">
        <f>'05'!H36</f>
        <v>34.465833333333329</v>
      </c>
      <c r="I13" s="17">
        <f>'05'!I36</f>
        <v>10.609583333333331</v>
      </c>
      <c r="J13" s="17">
        <f>'05'!J36</f>
        <v>0.42208333333333337</v>
      </c>
      <c r="K13" s="17">
        <f>'05'!K36</f>
        <v>152.64583333333334</v>
      </c>
      <c r="L13" s="17">
        <f>'05'!L36</f>
        <v>24.951250000000005</v>
      </c>
      <c r="M13" s="17">
        <f>'05'!M36</f>
        <v>66.169166666666655</v>
      </c>
      <c r="N13" s="17">
        <f>'05'!N36</f>
        <v>122.64166666666667</v>
      </c>
      <c r="O13" s="17">
        <f>'05'!O36</f>
        <v>0</v>
      </c>
      <c r="P13" s="17">
        <f>'05'!P36</f>
        <v>0.94208333333333361</v>
      </c>
      <c r="Q13" s="17">
        <f>'05'!Q36</f>
        <v>10.078750000000001</v>
      </c>
      <c r="R13" s="36"/>
      <c r="S13" s="36"/>
      <c r="T13" s="36"/>
      <c r="U13" s="36"/>
    </row>
    <row r="14" spans="1:21" s="2" customFormat="1">
      <c r="A14" s="16">
        <f>'06'!$B$2</f>
        <v>45632.041666666664</v>
      </c>
      <c r="B14" s="18">
        <f>'06'!B36</f>
        <v>18.262500000000003</v>
      </c>
      <c r="C14" s="18">
        <f>'06'!C36</f>
        <v>20.869583333333335</v>
      </c>
      <c r="D14" s="18">
        <f>'06'!D36</f>
        <v>26.587083333333329</v>
      </c>
      <c r="E14" s="18">
        <f>'06'!E36</f>
        <v>10.731666666666667</v>
      </c>
      <c r="F14" s="18">
        <f>'06'!F36</f>
        <v>10.157916666666667</v>
      </c>
      <c r="G14" s="18">
        <f>'06'!G36</f>
        <v>115.24874999999999</v>
      </c>
      <c r="H14" s="18">
        <f>'06'!H36</f>
        <v>41.89083333333334</v>
      </c>
      <c r="I14" s="18">
        <f>'06'!I36</f>
        <v>12.889999999999999</v>
      </c>
      <c r="J14" s="18">
        <f>'06'!J36</f>
        <v>0.41916666666666663</v>
      </c>
      <c r="K14" s="18">
        <f>'06'!K36</f>
        <v>194.87083333333337</v>
      </c>
      <c r="L14" s="18">
        <f>'06'!L36</f>
        <v>24.56708333333334</v>
      </c>
      <c r="M14" s="18">
        <f>'06'!M36</f>
        <v>70.232916666666668</v>
      </c>
      <c r="N14" s="18">
        <f>'06'!N36</f>
        <v>113.28333333333335</v>
      </c>
      <c r="O14" s="18">
        <f>'06'!O36</f>
        <v>0</v>
      </c>
      <c r="P14" s="18">
        <f>'06'!P36</f>
        <v>1.0933333333333333</v>
      </c>
      <c r="Q14" s="18">
        <f>'06'!Q36</f>
        <v>10.092916666666666</v>
      </c>
      <c r="R14" s="36"/>
      <c r="S14" s="36"/>
      <c r="T14" s="36"/>
      <c r="U14" s="36"/>
    </row>
    <row r="15" spans="1:21" s="2" customFormat="1">
      <c r="A15" s="16">
        <f>'07'!$B$2</f>
        <v>45633.041666666664</v>
      </c>
      <c r="B15" s="18">
        <f>'07'!B36</f>
        <v>8.8879166666666674</v>
      </c>
      <c r="C15" s="18">
        <f>'07'!C36</f>
        <v>20.053333333333335</v>
      </c>
      <c r="D15" s="18">
        <f>'07'!D36</f>
        <v>18.794583333333335</v>
      </c>
      <c r="E15" s="18">
        <f>'07'!E36</f>
        <v>9.1487499999999979</v>
      </c>
      <c r="F15" s="18">
        <f>'07'!F36</f>
        <v>3.8299999999999996</v>
      </c>
      <c r="G15" s="18">
        <f>'07'!G36</f>
        <v>78.143333333333331</v>
      </c>
      <c r="H15" s="18">
        <f>'07'!H36</f>
        <v>27.869999999999994</v>
      </c>
      <c r="I15" s="18">
        <f>'07'!I36</f>
        <v>9.6129166666666688</v>
      </c>
      <c r="J15" s="18">
        <f>'07'!J36</f>
        <v>0.47125</v>
      </c>
      <c r="K15" s="18">
        <f>'07'!K36</f>
        <v>124.27416666666664</v>
      </c>
      <c r="L15" s="18">
        <f>'07'!L36</f>
        <v>23.285416666666663</v>
      </c>
      <c r="M15" s="18">
        <f>'07'!M36</f>
        <v>63.785416666666663</v>
      </c>
      <c r="N15" s="18">
        <f>'07'!N36</f>
        <v>49.42499999999999</v>
      </c>
      <c r="O15" s="18">
        <f>'07'!O36</f>
        <v>0</v>
      </c>
      <c r="P15" s="18">
        <f>'07'!P36</f>
        <v>0.77666666666666684</v>
      </c>
      <c r="Q15" s="18">
        <f>'07'!Q36</f>
        <v>10.045416666666666</v>
      </c>
      <c r="R15" s="36"/>
      <c r="S15" s="36"/>
      <c r="T15" s="36"/>
      <c r="U15" s="36"/>
    </row>
    <row r="16" spans="1:21" s="2" customFormat="1">
      <c r="A16" s="16">
        <f>'08'!$B$2</f>
        <v>45634.041666666664</v>
      </c>
      <c r="B16" s="18">
        <f>'08'!B36</f>
        <v>8.3270833333333325</v>
      </c>
      <c r="C16" s="18">
        <f>'08'!C36</f>
        <v>16.858333333333334</v>
      </c>
      <c r="D16" s="18">
        <f>'08'!D36</f>
        <v>16.729999999999997</v>
      </c>
      <c r="E16" s="18">
        <f>'08'!E36</f>
        <v>9.6162499999999991</v>
      </c>
      <c r="F16" s="18">
        <f>'08'!F36</f>
        <v>4.8674999999999988</v>
      </c>
      <c r="G16" s="18">
        <f>'08'!G36</f>
        <v>77.877500000000012</v>
      </c>
      <c r="H16" s="18">
        <f>'08'!H36</f>
        <v>31.24291666666667</v>
      </c>
      <c r="I16" s="18">
        <f>'08'!I36</f>
        <v>9.5795833333333338</v>
      </c>
      <c r="J16" s="18">
        <f>'08'!J36</f>
        <v>0.37000000000000005</v>
      </c>
      <c r="K16" s="18">
        <f>'08'!K36</f>
        <v>190.05708333333337</v>
      </c>
      <c r="L16" s="18">
        <f>'08'!L36</f>
        <v>23.511666666666667</v>
      </c>
      <c r="M16" s="18">
        <f>'08'!M36</f>
        <v>78.656249999999986</v>
      </c>
      <c r="N16" s="18">
        <f>'08'!N36</f>
        <v>90.704166666666652</v>
      </c>
      <c r="O16" s="18">
        <f>'08'!O36</f>
        <v>0</v>
      </c>
      <c r="P16" s="18">
        <f>'08'!P36</f>
        <v>0.79541666666666666</v>
      </c>
      <c r="Q16" s="18">
        <f>'08'!Q36</f>
        <v>10.044583333333334</v>
      </c>
      <c r="R16" s="36"/>
      <c r="S16" s="36"/>
      <c r="T16" s="36"/>
      <c r="U16" s="36"/>
    </row>
    <row r="17" spans="1:24" s="2" customFormat="1">
      <c r="A17" s="16">
        <f>'09'!$B$2</f>
        <v>45635.041666666664</v>
      </c>
      <c r="B17" s="18">
        <f>'09'!B36</f>
        <v>9.3437499999999982</v>
      </c>
      <c r="C17" s="18">
        <f>'09'!C36</f>
        <v>16.505416666666665</v>
      </c>
      <c r="D17" s="18">
        <f>'09'!D36</f>
        <v>17.343749999999996</v>
      </c>
      <c r="E17" s="18">
        <f>'09'!E36</f>
        <v>9.5812500000000007</v>
      </c>
      <c r="F17" s="18">
        <f>'09'!F36</f>
        <v>5.7470833333333333</v>
      </c>
      <c r="G17" s="18">
        <f>'09'!G36</f>
        <v>70.532500000000013</v>
      </c>
      <c r="H17" s="18">
        <f>'09'!H36</f>
        <v>26.231666666666669</v>
      </c>
      <c r="I17" s="18">
        <f>'09'!I36</f>
        <v>10.358333333333333</v>
      </c>
      <c r="J17" s="18">
        <f>'09'!J36</f>
        <v>0.48291666666666666</v>
      </c>
      <c r="K17" s="18">
        <f>'09'!K36</f>
        <v>237.70250000000007</v>
      </c>
      <c r="L17" s="18">
        <f>'09'!L36</f>
        <v>24.029583333333331</v>
      </c>
      <c r="M17" s="18">
        <f>'09'!M36</f>
        <v>79.283750000000012</v>
      </c>
      <c r="N17" s="18">
        <f>'09'!N36</f>
        <v>87.062499999999986</v>
      </c>
      <c r="O17" s="18">
        <f>'09'!O36</f>
        <v>0</v>
      </c>
      <c r="P17" s="18">
        <f>'09'!P36</f>
        <v>0.85583333333333345</v>
      </c>
      <c r="Q17" s="18">
        <f>'09'!Q36</f>
        <v>10.03875</v>
      </c>
      <c r="R17" s="36"/>
      <c r="S17" s="36"/>
      <c r="T17" s="36"/>
      <c r="U17" s="36"/>
      <c r="V17" s="37"/>
      <c r="W17" s="37"/>
      <c r="X17" s="37"/>
    </row>
    <row r="18" spans="1:24" s="2" customFormat="1">
      <c r="A18" s="16">
        <f>'10'!$B$2</f>
        <v>45636.041666666664</v>
      </c>
      <c r="B18" s="18">
        <f>'10'!B36</f>
        <v>7.6395833333333352</v>
      </c>
      <c r="C18" s="18">
        <f>'10'!C36</f>
        <v>20.872916666666672</v>
      </c>
      <c r="D18" s="18">
        <f>'10'!D36</f>
        <v>18.231666666666666</v>
      </c>
      <c r="E18" s="18">
        <f>'10'!E36</f>
        <v>8.9054166666666656</v>
      </c>
      <c r="F18" s="18">
        <f>'10'!F36</f>
        <v>5.5854166666666671</v>
      </c>
      <c r="G18" s="18">
        <f>'10'!G36</f>
        <v>88.358333333333334</v>
      </c>
      <c r="H18" s="18">
        <f>'10'!H36</f>
        <v>32.067499999999988</v>
      </c>
      <c r="I18" s="18">
        <f>'10'!I36</f>
        <v>8.3445833333333344</v>
      </c>
      <c r="J18" s="18">
        <f>'10'!J36</f>
        <v>0.55333333333333334</v>
      </c>
      <c r="K18" s="18">
        <f>'10'!K36</f>
        <v>158.21666666666667</v>
      </c>
      <c r="L18" s="18">
        <f>'10'!L36</f>
        <v>20.487500000000001</v>
      </c>
      <c r="M18" s="18">
        <f>'10'!M36</f>
        <v>61.262499999999989</v>
      </c>
      <c r="N18" s="18">
        <f>'10'!N36</f>
        <v>123.40000000000002</v>
      </c>
      <c r="O18" s="18">
        <f>'10'!O36</f>
        <v>0</v>
      </c>
      <c r="P18" s="18">
        <f>'10'!P36</f>
        <v>0.75291666666666668</v>
      </c>
      <c r="Q18" s="18">
        <f>'10'!Q36</f>
        <v>10.047083333333331</v>
      </c>
      <c r="R18" s="36"/>
      <c r="S18" s="36"/>
      <c r="T18" s="36"/>
      <c r="U18" s="36"/>
    </row>
    <row r="19" spans="1:24" s="2" customFormat="1">
      <c r="A19" s="16">
        <f>'11'!$B$2</f>
        <v>45637.041666666664</v>
      </c>
      <c r="B19" s="18">
        <f>'11'!B36</f>
        <v>8.3187499999999996</v>
      </c>
      <c r="C19" s="18">
        <f>'11'!C36</f>
        <v>22.048333333333332</v>
      </c>
      <c r="D19" s="18">
        <f>'11'!D36</f>
        <v>19.393333333333327</v>
      </c>
      <c r="E19" s="18">
        <f>'11'!E36</f>
        <v>8.8570833333333319</v>
      </c>
      <c r="F19" s="18">
        <f>'11'!F36</f>
        <v>5.44</v>
      </c>
      <c r="G19" s="18">
        <f>'11'!G36</f>
        <v>104.74916666666668</v>
      </c>
      <c r="H19" s="18">
        <f>'11'!H36</f>
        <v>39.443333333333335</v>
      </c>
      <c r="I19" s="18">
        <f>'11'!I36</f>
        <v>10.473333333333334</v>
      </c>
      <c r="J19" s="18">
        <f>'11'!J36</f>
        <v>0.52583333333333337</v>
      </c>
      <c r="K19" s="18">
        <f>'11'!K36</f>
        <v>137.88875000000002</v>
      </c>
      <c r="L19" s="18">
        <f>'11'!L36</f>
        <v>19.56291666666667</v>
      </c>
      <c r="M19" s="18">
        <f>'11'!M36</f>
        <v>62.482916666666661</v>
      </c>
      <c r="N19" s="18">
        <f>'11'!N36</f>
        <v>130.23750000000004</v>
      </c>
      <c r="O19" s="18">
        <f>'11'!O36</f>
        <v>0</v>
      </c>
      <c r="P19" s="18">
        <f>'11'!P36</f>
        <v>0.86874999999999991</v>
      </c>
      <c r="Q19" s="18">
        <f>'11'!Q36</f>
        <v>10.063750000000001</v>
      </c>
      <c r="R19" s="36"/>
      <c r="S19" s="36"/>
      <c r="T19" s="36"/>
      <c r="U19" s="36"/>
    </row>
    <row r="20" spans="1:24" s="2" customFormat="1">
      <c r="A20" s="16">
        <f>'12'!$B$2</f>
        <v>45638.041666666664</v>
      </c>
      <c r="B20" s="18">
        <f>'12'!B36</f>
        <v>11.295</v>
      </c>
      <c r="C20" s="18">
        <f>'12'!C36</f>
        <v>23.887500000000003</v>
      </c>
      <c r="D20" s="18">
        <f>'12'!D36</f>
        <v>22.744583333333335</v>
      </c>
      <c r="E20" s="18">
        <f>'12'!E36</f>
        <v>9.5937500000000018</v>
      </c>
      <c r="F20" s="18">
        <f>'12'!F36</f>
        <v>6.22</v>
      </c>
      <c r="G20" s="18">
        <f>'12'!G36</f>
        <v>114.78416666666669</v>
      </c>
      <c r="H20" s="18">
        <f>'12'!H36</f>
        <v>46.192083333333336</v>
      </c>
      <c r="I20" s="18">
        <f>'12'!I36</f>
        <v>13.222499999999998</v>
      </c>
      <c r="J20" s="18">
        <f>'12'!J36</f>
        <v>0.42666666666666658</v>
      </c>
      <c r="K20" s="18">
        <f>'12'!K36</f>
        <v>191.10291666666672</v>
      </c>
      <c r="L20" s="18">
        <f>'12'!L36</f>
        <v>19.043750000000006</v>
      </c>
      <c r="M20" s="18">
        <f>'12'!M36</f>
        <v>68.372916666666683</v>
      </c>
      <c r="N20" s="18">
        <f>'12'!N36</f>
        <v>131.27916666666667</v>
      </c>
      <c r="O20" s="18">
        <f>'12'!O36</f>
        <v>0</v>
      </c>
      <c r="P20" s="18">
        <f>'12'!P36</f>
        <v>1.0758333333333334</v>
      </c>
      <c r="Q20" s="18">
        <f>'12'!Q36</f>
        <v>10.075833333333334</v>
      </c>
      <c r="R20" s="36"/>
      <c r="S20" s="36"/>
      <c r="T20" s="36"/>
      <c r="U20" s="36"/>
    </row>
    <row r="21" spans="1:24" s="2" customFormat="1">
      <c r="A21" s="16">
        <f>'13'!$B$2</f>
        <v>45639.041666666664</v>
      </c>
      <c r="B21" s="18">
        <f>'13'!B36</f>
        <v>11.469999999999999</v>
      </c>
      <c r="C21" s="18">
        <f>'13'!C36</f>
        <v>23.684166666666659</v>
      </c>
      <c r="D21" s="18">
        <f>'13'!D36</f>
        <v>22.828333333333333</v>
      </c>
      <c r="E21" s="18">
        <f>'13'!E36</f>
        <v>10.006666666666669</v>
      </c>
      <c r="F21" s="18">
        <f>'13'!F36</f>
        <v>5.4091666666666676</v>
      </c>
      <c r="G21" s="18">
        <f>'13'!G36</f>
        <v>118.7975</v>
      </c>
      <c r="H21" s="18">
        <f>'13'!H36</f>
        <v>43.258333333333326</v>
      </c>
      <c r="I21" s="18">
        <f>'13'!I36</f>
        <v>12.303333333333329</v>
      </c>
      <c r="J21" s="18">
        <f>'13'!J36</f>
        <v>0.47541666666666665</v>
      </c>
      <c r="K21" s="18">
        <f>'13'!K36</f>
        <v>154.72749999999999</v>
      </c>
      <c r="L21" s="18">
        <f>'13'!L36</f>
        <v>19.151249999999997</v>
      </c>
      <c r="M21" s="18">
        <f>'13'!M36</f>
        <v>68.222083333333345</v>
      </c>
      <c r="N21" s="18">
        <f>'13'!N36</f>
        <v>134.32499999999996</v>
      </c>
      <c r="O21" s="18">
        <f>'13'!O36</f>
        <v>0</v>
      </c>
      <c r="P21" s="18">
        <f>'13'!P36</f>
        <v>1.0845833333333332</v>
      </c>
      <c r="Q21" s="18">
        <f>'13'!Q36</f>
        <v>10.074583333333335</v>
      </c>
      <c r="R21" s="36"/>
      <c r="S21" s="36"/>
      <c r="T21" s="36"/>
      <c r="U21" s="36"/>
    </row>
    <row r="22" spans="1:24" s="2" customFormat="1">
      <c r="A22" s="16">
        <f>'14'!$B$2</f>
        <v>45640.041666666664</v>
      </c>
      <c r="B22" s="18">
        <f>'14'!B36</f>
        <v>9.3941666666666688</v>
      </c>
      <c r="C22" s="18">
        <f>'14'!C36</f>
        <v>24.618333333333336</v>
      </c>
      <c r="D22" s="18">
        <f>'14'!D36</f>
        <v>21.71541666666667</v>
      </c>
      <c r="E22" s="18">
        <f>'14'!E36</f>
        <v>9.0558333333333323</v>
      </c>
      <c r="F22" s="18">
        <f>'14'!F36</f>
        <v>4.7620833333333339</v>
      </c>
      <c r="G22" s="18">
        <f>'14'!G36</f>
        <v>95.594999999999985</v>
      </c>
      <c r="H22" s="18">
        <f>'14'!H36</f>
        <v>32.468750000000007</v>
      </c>
      <c r="I22" s="18">
        <f>'14'!I36</f>
        <v>10.350416666666668</v>
      </c>
      <c r="J22" s="18">
        <f>'14'!J36</f>
        <v>0.52791666666666659</v>
      </c>
      <c r="K22" s="18">
        <f>'14'!K36</f>
        <v>121.51249999999999</v>
      </c>
      <c r="L22" s="18">
        <f>'14'!L36</f>
        <v>18.383333333333333</v>
      </c>
      <c r="M22" s="18">
        <f>'14'!M36</f>
        <v>54.697916666666664</v>
      </c>
      <c r="N22" s="18">
        <f>'14'!N36</f>
        <v>138.62916666666669</v>
      </c>
      <c r="O22" s="18">
        <f>'14'!O36</f>
        <v>0</v>
      </c>
      <c r="P22" s="18">
        <f>'14'!P36</f>
        <v>0.90916666666666679</v>
      </c>
      <c r="Q22" s="18">
        <f>'14'!Q36</f>
        <v>10.071250000000001</v>
      </c>
      <c r="R22" s="38"/>
      <c r="S22" s="38"/>
      <c r="T22" s="38"/>
      <c r="U22" s="38"/>
    </row>
    <row r="23" spans="1:24" s="2" customFormat="1">
      <c r="A23" s="16">
        <f>'15'!$B$2</f>
        <v>45641.041666666664</v>
      </c>
      <c r="B23" s="19">
        <f>'15'!B36</f>
        <v>14.988749999999998</v>
      </c>
      <c r="C23" s="19">
        <f>'15'!C36</f>
        <v>25.19916666666667</v>
      </c>
      <c r="D23" s="19">
        <f>'15'!D36</f>
        <v>26.489166666666662</v>
      </c>
      <c r="E23" s="19">
        <f>'15'!E36</f>
        <v>9.2375000000000025</v>
      </c>
      <c r="F23" s="19">
        <f>'15'!F36</f>
        <v>7.4150000000000009</v>
      </c>
      <c r="G23" s="19">
        <f>'15'!G36</f>
        <v>103.01874999999997</v>
      </c>
      <c r="H23" s="19">
        <f>'15'!H36</f>
        <v>38.098333333333336</v>
      </c>
      <c r="I23" s="19">
        <f>'15'!I36</f>
        <v>11.910416666666665</v>
      </c>
      <c r="J23" s="19">
        <f>'15'!J36</f>
        <v>0.42416666666666664</v>
      </c>
      <c r="K23" s="19">
        <f>'15'!K36</f>
        <v>158.65875</v>
      </c>
      <c r="L23" s="19">
        <f>'15'!L36</f>
        <v>17.710833333333333</v>
      </c>
      <c r="M23" s="19">
        <f>'15'!M36</f>
        <v>59.865000000000002</v>
      </c>
      <c r="N23" s="19">
        <f>'15'!N36</f>
        <v>139.95416666666668</v>
      </c>
      <c r="O23" s="19">
        <f>'15'!O36</f>
        <v>0</v>
      </c>
      <c r="P23" s="19">
        <f>'15'!P36</f>
        <v>1.0595833333333333</v>
      </c>
      <c r="Q23" s="19">
        <f>'15'!Q36</f>
        <v>10.099583333333333</v>
      </c>
      <c r="R23" s="38"/>
      <c r="S23" s="38"/>
      <c r="T23" s="38"/>
      <c r="U23" s="36"/>
    </row>
    <row r="24" spans="1:24" s="2" customFormat="1">
      <c r="A24" s="16">
        <f>'16'!$B$2</f>
        <v>45642.041666666664</v>
      </c>
      <c r="B24" s="18">
        <f>'16'!B36</f>
        <v>23.632916666666659</v>
      </c>
      <c r="C24" s="18">
        <f>'16'!C36</f>
        <v>27.836249999999996</v>
      </c>
      <c r="D24" s="18">
        <f>'16'!D36</f>
        <v>34.653749999999995</v>
      </c>
      <c r="E24" s="18">
        <f>'16'!E36</f>
        <v>9.7591666666666654</v>
      </c>
      <c r="F24" s="30" t="s">
        <v>8</v>
      </c>
      <c r="G24" s="18">
        <f>'16'!G36</f>
        <v>114.31375000000001</v>
      </c>
      <c r="H24" s="18">
        <f>'16'!H36</f>
        <v>42.817083333333329</v>
      </c>
      <c r="I24" s="18">
        <f>'16'!I36</f>
        <v>13.918333333333331</v>
      </c>
      <c r="J24" s="18">
        <f>'16'!J36</f>
        <v>0.37958333333333338</v>
      </c>
      <c r="K24" s="18">
        <f>'16'!K36</f>
        <v>167.22083333333333</v>
      </c>
      <c r="L24" s="18">
        <f>'16'!L36</f>
        <v>17.792916666666663</v>
      </c>
      <c r="M24" s="18">
        <f>'16'!M36</f>
        <v>65.403749999999988</v>
      </c>
      <c r="N24" s="18">
        <f>'16'!N36</f>
        <v>127.32083333333337</v>
      </c>
      <c r="O24" s="18">
        <f>'16'!O36</f>
        <v>0</v>
      </c>
      <c r="P24" s="18">
        <f>'16'!P36</f>
        <v>1.1708333333333336</v>
      </c>
      <c r="Q24" s="18">
        <f>'16'!Q36</f>
        <v>10.131666666666669</v>
      </c>
      <c r="R24" s="38"/>
      <c r="S24" s="38"/>
      <c r="T24" s="38"/>
      <c r="U24" s="36"/>
    </row>
    <row r="25" spans="1:24" s="2" customFormat="1">
      <c r="A25" s="16">
        <f>'17'!$B$2</f>
        <v>45643.041666666664</v>
      </c>
      <c r="B25" s="18">
        <f>'17'!B36</f>
        <v>17.487916666666663</v>
      </c>
      <c r="C25" s="18">
        <f>'17'!C36</f>
        <v>28.163750000000007</v>
      </c>
      <c r="D25" s="18">
        <f>'17'!D36</f>
        <v>29.99666666666667</v>
      </c>
      <c r="E25" s="18">
        <f>'17'!E36</f>
        <v>10.1</v>
      </c>
      <c r="F25" s="30" t="s">
        <v>8</v>
      </c>
      <c r="G25" s="18">
        <f>'17'!G36</f>
        <v>134.97916666666666</v>
      </c>
      <c r="H25" s="18">
        <f>'17'!H36</f>
        <v>51.690416666666671</v>
      </c>
      <c r="I25" s="18">
        <f>'17'!I36</f>
        <v>14.993749999999999</v>
      </c>
      <c r="J25" s="18">
        <f>'17'!J36</f>
        <v>0.36125000000000002</v>
      </c>
      <c r="K25" s="18">
        <f>'17'!K36</f>
        <v>181.04833333333337</v>
      </c>
      <c r="L25" s="18">
        <f>'17'!L36</f>
        <v>18.443750000000001</v>
      </c>
      <c r="M25" s="18">
        <f>'17'!M36</f>
        <v>68.208333333333343</v>
      </c>
      <c r="N25" s="18">
        <f>'17'!N36</f>
        <v>125.37500000000004</v>
      </c>
      <c r="O25" s="18">
        <f>'17'!O36</f>
        <v>0</v>
      </c>
      <c r="P25" s="18">
        <f>'17'!P36</f>
        <v>1.2525000000000002</v>
      </c>
      <c r="Q25" s="18">
        <f>'17'!Q36</f>
        <v>10.118333333333334</v>
      </c>
      <c r="R25" s="38"/>
      <c r="S25" s="38"/>
      <c r="T25" s="38"/>
      <c r="U25" s="36"/>
    </row>
    <row r="26" spans="1:24" s="2" customFormat="1">
      <c r="A26" s="16">
        <f>'18'!$B$2</f>
        <v>45644.041666666664</v>
      </c>
      <c r="B26" s="18">
        <f>'18'!B36</f>
        <v>15.346666666666666</v>
      </c>
      <c r="C26" s="18">
        <f>'18'!C36</f>
        <v>29.887499999999999</v>
      </c>
      <c r="D26" s="18">
        <f>'18'!D36</f>
        <v>29.16833333333334</v>
      </c>
      <c r="E26" s="18">
        <f>'18'!E36</f>
        <v>11.557499999999997</v>
      </c>
      <c r="F26" s="30" t="s">
        <v>8</v>
      </c>
      <c r="G26" s="18">
        <f>'18'!G36</f>
        <v>139.29666666666668</v>
      </c>
      <c r="H26" s="18">
        <f>'18'!H36</f>
        <v>55.860833333333318</v>
      </c>
      <c r="I26" s="18">
        <f>'18'!I36</f>
        <v>15.102083333333333</v>
      </c>
      <c r="J26" s="18">
        <f>'18'!J36</f>
        <v>0.38499999999999995</v>
      </c>
      <c r="K26" s="18">
        <f>'18'!K36</f>
        <v>151.19208333333333</v>
      </c>
      <c r="L26" s="18">
        <f>'18'!L36</f>
        <v>19.025416666666665</v>
      </c>
      <c r="M26" s="18">
        <f>'18'!M36</f>
        <v>65.919166666666669</v>
      </c>
      <c r="N26" s="18">
        <f>'18'!N36</f>
        <v>118.64583333333331</v>
      </c>
      <c r="O26" s="18">
        <f>'18'!O36</f>
        <v>0</v>
      </c>
      <c r="P26" s="18">
        <f>'18'!P36</f>
        <v>1.2616666666666669</v>
      </c>
      <c r="Q26" s="18">
        <f>'18'!Q36</f>
        <v>10.11125</v>
      </c>
      <c r="R26" s="38"/>
      <c r="S26" s="38"/>
      <c r="T26" s="38"/>
      <c r="U26" s="36"/>
    </row>
    <row r="27" spans="1:24" s="2" customFormat="1">
      <c r="A27" s="16">
        <f>'19'!$B$2</f>
        <v>45645.041666666664</v>
      </c>
      <c r="B27" s="18">
        <f>'19'!B36</f>
        <v>9.7670833333333338</v>
      </c>
      <c r="C27" s="18">
        <f>'19'!C36</f>
        <v>27.453750000000003</v>
      </c>
      <c r="D27" s="18">
        <f>'19'!D36</f>
        <v>23.489583333333332</v>
      </c>
      <c r="E27" s="18">
        <f>'19'!E36</f>
        <v>9.0484210526315803</v>
      </c>
      <c r="F27" s="30" t="s">
        <v>8</v>
      </c>
      <c r="G27" s="18">
        <f>'19'!G36</f>
        <v>110.91583333333334</v>
      </c>
      <c r="H27" s="18">
        <f>'19'!H36</f>
        <v>44.704583333333339</v>
      </c>
      <c r="I27" s="18">
        <f>'19'!I36</f>
        <v>12.277500000000002</v>
      </c>
      <c r="J27" s="18">
        <f>'19'!J36</f>
        <v>0.45</v>
      </c>
      <c r="K27" s="18">
        <f>'19'!K36</f>
        <v>124.90708333333333</v>
      </c>
      <c r="L27" s="18">
        <f>'19'!L36</f>
        <v>20.891249999999999</v>
      </c>
      <c r="M27" s="18">
        <f>'19'!M36</f>
        <v>71.844166666666652</v>
      </c>
      <c r="N27" s="18">
        <f>'19'!N36</f>
        <v>96.079166666666666</v>
      </c>
      <c r="O27" s="18">
        <f>'19'!O36</f>
        <v>0</v>
      </c>
      <c r="P27" s="18">
        <f>'19'!P36</f>
        <v>1.0675000000000001</v>
      </c>
      <c r="Q27" s="18">
        <f>'19'!Q36</f>
        <v>10.075000000000003</v>
      </c>
      <c r="R27" s="38"/>
      <c r="S27" s="38"/>
      <c r="T27" s="38"/>
      <c r="U27" s="36"/>
    </row>
    <row r="28" spans="1:24" s="2" customFormat="1">
      <c r="A28" s="16">
        <f>'20'!$B$2</f>
        <v>45646.041666666664</v>
      </c>
      <c r="B28" s="18">
        <f>'20'!B36</f>
        <v>7.6929166666666662</v>
      </c>
      <c r="C28" s="18">
        <f>'20'!C36</f>
        <v>22.679999999999996</v>
      </c>
      <c r="D28" s="18">
        <f>'20'!D36</f>
        <v>19.273333333333333</v>
      </c>
      <c r="E28" s="18">
        <f>'20'!E36</f>
        <v>10.230000000000002</v>
      </c>
      <c r="F28" s="30" t="s">
        <v>8</v>
      </c>
      <c r="G28" s="18">
        <f>'20'!G36</f>
        <v>67.499583333333348</v>
      </c>
      <c r="H28" s="18">
        <f>'20'!H36</f>
        <v>28.949166666666667</v>
      </c>
      <c r="I28" s="18">
        <f>'20'!I36</f>
        <v>10.000416666666665</v>
      </c>
      <c r="J28" s="18">
        <f>'20'!J36</f>
        <v>0.49291666666666667</v>
      </c>
      <c r="K28" s="18">
        <f>'20'!K36</f>
        <v>111.00124999999998</v>
      </c>
      <c r="L28" s="18">
        <f>'20'!L36</f>
        <v>23.908750000000001</v>
      </c>
      <c r="M28" s="18">
        <f>'20'!M36</f>
        <v>76.434166666666655</v>
      </c>
      <c r="N28" s="18">
        <f>'20'!N36</f>
        <v>105.33749999999993</v>
      </c>
      <c r="O28" s="18">
        <f>'20'!O36</f>
        <v>0</v>
      </c>
      <c r="P28" s="18">
        <f>'20'!P36</f>
        <v>0.84208333333333363</v>
      </c>
      <c r="Q28" s="18">
        <f>'20'!Q36</f>
        <v>10.045416666666668</v>
      </c>
      <c r="R28" s="38"/>
      <c r="S28" s="38"/>
      <c r="T28" s="38"/>
      <c r="U28" s="36"/>
    </row>
    <row r="29" spans="1:24" s="2" customFormat="1">
      <c r="A29" s="16">
        <f>'21'!$B$2</f>
        <v>45647.041666666664</v>
      </c>
      <c r="B29" s="18">
        <f>'21'!B36</f>
        <v>14.657083333333333</v>
      </c>
      <c r="C29" s="18">
        <f>'21'!C36</f>
        <v>20.042083333333334</v>
      </c>
      <c r="D29" s="18">
        <f>'21'!D36</f>
        <v>23.456250000000001</v>
      </c>
      <c r="E29" s="18">
        <f>'21'!E36</f>
        <v>10.112083333333334</v>
      </c>
      <c r="F29" s="30" t="s">
        <v>8</v>
      </c>
      <c r="G29" s="18">
        <f>'21'!G36</f>
        <v>49.92208333333334</v>
      </c>
      <c r="H29" s="18">
        <f>'21'!H36</f>
        <v>13.765000000000001</v>
      </c>
      <c r="I29" s="18">
        <f>'21'!I36</f>
        <v>7.53125</v>
      </c>
      <c r="J29" s="18">
        <f>'21'!J36</f>
        <v>0.52875000000000005</v>
      </c>
      <c r="K29" s="18">
        <f>'21'!K36</f>
        <v>122.76499999999999</v>
      </c>
      <c r="L29" s="18">
        <f>'21'!L36</f>
        <v>22.268333333333331</v>
      </c>
      <c r="M29" s="18">
        <f>'21'!M36</f>
        <v>87.757916666666674</v>
      </c>
      <c r="N29" s="18">
        <f>'21'!N36</f>
        <v>78.420833333333334</v>
      </c>
      <c r="O29" s="18">
        <f>'21'!O36</f>
        <v>0</v>
      </c>
      <c r="P29" s="18">
        <f>'21'!P36</f>
        <v>0.68833333333333335</v>
      </c>
      <c r="Q29" s="18">
        <f>'21'!Q36</f>
        <v>10.048333333333334</v>
      </c>
      <c r="R29" s="38"/>
      <c r="S29" s="38"/>
      <c r="T29" s="38"/>
      <c r="U29" s="36"/>
    </row>
    <row r="30" spans="1:24" s="2" customFormat="1">
      <c r="A30" s="16">
        <f>'22'!$B$2</f>
        <v>45648.041666666664</v>
      </c>
      <c r="B30" s="18">
        <f>'22'!B36</f>
        <v>12.157083333333334</v>
      </c>
      <c r="C30" s="18">
        <f>'22'!C36</f>
        <v>19.842083333333331</v>
      </c>
      <c r="D30" s="18">
        <f>'22'!D36</f>
        <v>21.364583333333339</v>
      </c>
      <c r="E30" s="18">
        <f>'22'!E36</f>
        <v>9.872083333333336</v>
      </c>
      <c r="F30" s="30" t="s">
        <v>8</v>
      </c>
      <c r="G30" s="18">
        <f>'22'!G36</f>
        <v>61.067916666666683</v>
      </c>
      <c r="H30" s="18">
        <f>'22'!H36</f>
        <v>20.505416666666665</v>
      </c>
      <c r="I30" s="18">
        <f>'22'!I36</f>
        <v>8.2658333333333331</v>
      </c>
      <c r="J30" s="18">
        <f>'22'!J36</f>
        <v>0.52875000000000016</v>
      </c>
      <c r="K30" s="18">
        <f>'22'!K36</f>
        <v>110.03583333333337</v>
      </c>
      <c r="L30" s="18">
        <f>'22'!L36</f>
        <v>21.996249999999993</v>
      </c>
      <c r="M30" s="18">
        <f>'22'!M36</f>
        <v>79.984583333333333</v>
      </c>
      <c r="N30" s="18">
        <f>'22'!N36</f>
        <v>99.079166666666652</v>
      </c>
      <c r="O30" s="18">
        <f>'22'!O36</f>
        <v>0</v>
      </c>
      <c r="P30" s="18">
        <f>'22'!P36</f>
        <v>0.77708333333333346</v>
      </c>
      <c r="Q30" s="18">
        <f>'22'!Q36</f>
        <v>10.047499999999998</v>
      </c>
      <c r="R30" s="38"/>
      <c r="S30" s="36"/>
      <c r="T30" s="36"/>
      <c r="U30" s="36"/>
    </row>
    <row r="31" spans="1:24" s="2" customFormat="1">
      <c r="A31" s="16">
        <f>'23'!$B$2</f>
        <v>45649.041666666664</v>
      </c>
      <c r="B31" s="18">
        <f>'23'!B36</f>
        <v>8.4016666666666655</v>
      </c>
      <c r="C31" s="18">
        <f>'23'!C36</f>
        <v>20.430416666666666</v>
      </c>
      <c r="D31" s="18">
        <f>'23'!D36</f>
        <v>18.71916666666667</v>
      </c>
      <c r="E31" s="18">
        <f>'23'!E36</f>
        <v>9.5775000000000006</v>
      </c>
      <c r="F31" s="30" t="s">
        <v>8</v>
      </c>
      <c r="G31" s="18">
        <f>'23'!G36</f>
        <v>76.64166666666668</v>
      </c>
      <c r="H31" s="18">
        <f>'23'!H36</f>
        <v>26.818333333333332</v>
      </c>
      <c r="I31" s="18">
        <f>'23'!I36</f>
        <v>8.8424999999999994</v>
      </c>
      <c r="J31" s="18">
        <f>'23'!J36</f>
        <v>0.48041666666666671</v>
      </c>
      <c r="K31" s="18">
        <f>'23'!K36</f>
        <v>133.9095833333333</v>
      </c>
      <c r="L31" s="18">
        <f>'23'!L36</f>
        <v>21.397916666666664</v>
      </c>
      <c r="M31" s="18">
        <f>'23'!M36</f>
        <v>74.742499999999993</v>
      </c>
      <c r="N31" s="18">
        <f>'23'!N36</f>
        <v>113.73333333333335</v>
      </c>
      <c r="O31" s="18">
        <f>'23'!O36</f>
        <v>0</v>
      </c>
      <c r="P31" s="18">
        <f>'23'!P36</f>
        <v>0.81291666666666662</v>
      </c>
      <c r="Q31" s="18">
        <f>'23'!Q36</f>
        <v>10.030833333333332</v>
      </c>
      <c r="R31" s="36"/>
      <c r="S31" s="36"/>
      <c r="T31" s="36"/>
      <c r="U31" s="36"/>
    </row>
    <row r="32" spans="1:24" s="2" customFormat="1">
      <c r="A32" s="16">
        <f>'24'!$B$2</f>
        <v>45650.041666666664</v>
      </c>
      <c r="B32" s="18">
        <f>'24'!B36</f>
        <v>8.2212499999999995</v>
      </c>
      <c r="C32" s="18">
        <f>'24'!C36</f>
        <v>20.383749999999999</v>
      </c>
      <c r="D32" s="18">
        <f>'24'!D36</f>
        <v>18.522916666666671</v>
      </c>
      <c r="E32" s="18">
        <f>'24'!E36</f>
        <v>10.439583333333333</v>
      </c>
      <c r="F32" s="30" t="s">
        <v>8</v>
      </c>
      <c r="G32" s="18">
        <f>'24'!G36</f>
        <v>58.665714285714287</v>
      </c>
      <c r="H32" s="18">
        <f>'24'!H36</f>
        <v>21.238095238095234</v>
      </c>
      <c r="I32" s="18">
        <f>'24'!I36</f>
        <v>7.4174999999999995</v>
      </c>
      <c r="J32" s="18">
        <f>'24'!J36</f>
        <v>0.53500000000000003</v>
      </c>
      <c r="K32" s="18">
        <f>'24'!K36</f>
        <v>112.61291666666666</v>
      </c>
      <c r="L32" s="18">
        <f>'24'!L36</f>
        <v>22.530833333333334</v>
      </c>
      <c r="M32" s="18">
        <f>'24'!M36</f>
        <v>67.520833333333343</v>
      </c>
      <c r="N32" s="18">
        <f>'24'!N36</f>
        <v>69.666666666666671</v>
      </c>
      <c r="O32" s="18">
        <f>'24'!O36</f>
        <v>0</v>
      </c>
      <c r="P32" s="18">
        <f>'24'!P36</f>
        <v>0.66666666666666685</v>
      </c>
      <c r="Q32" s="18">
        <f>'24'!Q36</f>
        <v>10.043333333333335</v>
      </c>
      <c r="R32" s="36"/>
      <c r="S32" s="36"/>
      <c r="T32" s="36"/>
      <c r="U32" s="36"/>
    </row>
    <row r="33" spans="1:21" s="2" customFormat="1">
      <c r="A33" s="16">
        <f>'25'!$B$2</f>
        <v>45651.041666666664</v>
      </c>
      <c r="B33" s="18">
        <f>'25'!B36</f>
        <v>7.7579166666666666</v>
      </c>
      <c r="C33" s="18">
        <f>'25'!C36</f>
        <v>17.372916666666669</v>
      </c>
      <c r="D33" s="18">
        <f>'25'!D36</f>
        <v>16.585833333333337</v>
      </c>
      <c r="E33" s="18">
        <f>'25'!E36</f>
        <v>10.4825</v>
      </c>
      <c r="F33" s="30" t="s">
        <v>8</v>
      </c>
      <c r="G33" s="18">
        <f>'25'!G36</f>
        <v>42.64</v>
      </c>
      <c r="H33" s="18">
        <f>'25'!H36</f>
        <v>16.219999999999995</v>
      </c>
      <c r="I33" s="18">
        <f>'25'!I36</f>
        <v>6.534583333333333</v>
      </c>
      <c r="J33" s="18">
        <f>'25'!J36</f>
        <v>0.37166666666666665</v>
      </c>
      <c r="K33" s="18">
        <f>'25'!K36</f>
        <v>134.93041666666667</v>
      </c>
      <c r="L33" s="18">
        <f>'25'!L36</f>
        <v>22.185833333333335</v>
      </c>
      <c r="M33" s="18">
        <f>'25'!M36</f>
        <v>77.285416666666663</v>
      </c>
      <c r="N33" s="18">
        <f>'25'!N36</f>
        <v>62.762499999999996</v>
      </c>
      <c r="O33" s="18">
        <f>'25'!O36</f>
        <v>0</v>
      </c>
      <c r="P33" s="18">
        <f>'25'!P36</f>
        <v>0.58458333333333334</v>
      </c>
      <c r="Q33" s="18">
        <f>'25'!Q36</f>
        <v>10.030833333333332</v>
      </c>
      <c r="R33" s="36"/>
      <c r="S33" s="36"/>
      <c r="T33" s="36"/>
      <c r="U33" s="36"/>
    </row>
    <row r="34" spans="1:21" s="2" customFormat="1">
      <c r="A34" s="16">
        <f>'26'!$B$2</f>
        <v>45652.041666666664</v>
      </c>
      <c r="B34" s="18">
        <f>'26'!B36</f>
        <v>14.040476190476189</v>
      </c>
      <c r="C34" s="18">
        <f>'26'!C36</f>
        <v>17.01047619047619</v>
      </c>
      <c r="D34" s="18">
        <f>'26'!D36</f>
        <v>21.413809523809526</v>
      </c>
      <c r="E34" s="18">
        <f>'26'!E36</f>
        <v>9.6824999999999974</v>
      </c>
      <c r="F34" s="30" t="s">
        <v>8</v>
      </c>
      <c r="G34" s="18">
        <f>'26'!G36</f>
        <v>36.651363636363641</v>
      </c>
      <c r="H34" s="18">
        <f>'26'!H36</f>
        <v>11.188636363636364</v>
      </c>
      <c r="I34" s="18">
        <f>'26'!I36</f>
        <v>6.0177272727272735</v>
      </c>
      <c r="J34" s="18">
        <f>'26'!J36</f>
        <v>0.40772727272727283</v>
      </c>
      <c r="K34" s="18">
        <f>'26'!K36</f>
        <v>146.85090909090906</v>
      </c>
      <c r="L34" s="18">
        <f>'26'!L36</f>
        <v>22.212272727272723</v>
      </c>
      <c r="M34" s="18">
        <f>'26'!M36</f>
        <v>85.557727272727277</v>
      </c>
      <c r="N34" s="18">
        <f>'26'!N36</f>
        <v>71.300000000000011</v>
      </c>
      <c r="O34" s="18">
        <f>'26'!O36</f>
        <v>0</v>
      </c>
      <c r="P34" s="18">
        <f>'26'!P36</f>
        <v>0.3890909090909091</v>
      </c>
      <c r="Q34" s="18">
        <f>'26'!Q36</f>
        <v>10.044166666666667</v>
      </c>
      <c r="R34" s="36"/>
      <c r="S34" s="36"/>
      <c r="T34" s="36"/>
      <c r="U34" s="36"/>
    </row>
    <row r="35" spans="1:21" s="2" customFormat="1">
      <c r="A35" s="16">
        <f>'27'!$B$2</f>
        <v>45653.041666666664</v>
      </c>
      <c r="B35" s="18">
        <f>'27'!B36</f>
        <v>16.414999999999999</v>
      </c>
      <c r="C35" s="18">
        <f>'27'!C36</f>
        <v>19.25416666666667</v>
      </c>
      <c r="D35" s="18">
        <f>'27'!D36</f>
        <v>24.470000000000002</v>
      </c>
      <c r="E35" s="18">
        <f>'27'!E36</f>
        <v>9.8237500000000022</v>
      </c>
      <c r="F35" s="30" t="s">
        <v>8</v>
      </c>
      <c r="G35" s="18">
        <f>'27'!G36</f>
        <v>52.498333333333342</v>
      </c>
      <c r="H35" s="18">
        <f>'27'!H36</f>
        <v>18.542083333333331</v>
      </c>
      <c r="I35" s="18">
        <f>'27'!I36</f>
        <v>9.2012499999999999</v>
      </c>
      <c r="J35" s="18">
        <f>'27'!J36</f>
        <v>0.35208333333333336</v>
      </c>
      <c r="K35" s="18">
        <f>'27'!K36</f>
        <v>154.64041666666665</v>
      </c>
      <c r="L35" s="18">
        <f>'27'!L36</f>
        <v>24.010833333333334</v>
      </c>
      <c r="M35" s="18">
        <f>'27'!M36</f>
        <v>77.28125</v>
      </c>
      <c r="N35" s="18">
        <f>'27'!N36</f>
        <v>106.19583333333333</v>
      </c>
      <c r="O35" s="18">
        <f>'27'!O36</f>
        <v>0</v>
      </c>
      <c r="P35" s="18">
        <f>'27'!P36</f>
        <v>0.51583333333333337</v>
      </c>
      <c r="Q35" s="18" t="str">
        <f>'27'!Q36</f>
        <v>Data F</v>
      </c>
      <c r="R35" s="36"/>
      <c r="S35" s="36"/>
      <c r="T35" s="36"/>
      <c r="U35" s="36"/>
    </row>
    <row r="36" spans="1:21" s="2" customFormat="1">
      <c r="A36" s="16">
        <f>'28'!$B$2</f>
        <v>45654.041666666664</v>
      </c>
      <c r="B36" s="18">
        <f>'28'!B36</f>
        <v>6.5699999999999976</v>
      </c>
      <c r="C36" s="18">
        <f>'28'!C36</f>
        <v>18.85125</v>
      </c>
      <c r="D36" s="18">
        <f>'28'!D36</f>
        <v>16.369166666666665</v>
      </c>
      <c r="E36" s="18">
        <f>'28'!E36</f>
        <v>8.8149999999999995</v>
      </c>
      <c r="F36" s="30" t="s">
        <v>8</v>
      </c>
      <c r="G36" s="18">
        <f>'28'!G36</f>
        <v>54.233750000000015</v>
      </c>
      <c r="H36" s="18">
        <f>'28'!H36</f>
        <v>19.394583333333333</v>
      </c>
      <c r="I36" s="18">
        <f>'28'!I36</f>
        <v>7.7549999999999999</v>
      </c>
      <c r="J36" s="18">
        <f>'28'!J36</f>
        <v>0.67749999999999988</v>
      </c>
      <c r="K36" s="18">
        <f>'28'!K36</f>
        <v>197.75458333333336</v>
      </c>
      <c r="L36" s="18">
        <f>'28'!L36</f>
        <v>24.02666666666666</v>
      </c>
      <c r="M36" s="18">
        <f>'28'!M36</f>
        <v>73.590416666666655</v>
      </c>
      <c r="N36" s="18">
        <f>'28'!N36</f>
        <v>93.691666666666663</v>
      </c>
      <c r="O36" s="18">
        <f>'28'!O36</f>
        <v>0</v>
      </c>
      <c r="P36" s="18">
        <f>'28'!P36</f>
        <v>0.69750000000000012</v>
      </c>
      <c r="Q36" s="18" t="str">
        <f>'28'!Q36</f>
        <v>Data F</v>
      </c>
      <c r="R36" s="36"/>
      <c r="S36" s="36"/>
      <c r="T36" s="36"/>
      <c r="U36" s="36"/>
    </row>
    <row r="37" spans="1:21" s="2" customFormat="1">
      <c r="A37" s="16">
        <f>'29'!$B$2</f>
        <v>45655.041666666664</v>
      </c>
      <c r="B37" s="18">
        <f>'29'!B36</f>
        <v>14.634583333333333</v>
      </c>
      <c r="C37" s="18">
        <f>'29'!C36</f>
        <v>21.385416666666668</v>
      </c>
      <c r="D37" s="18">
        <f>'29'!D36</f>
        <v>23.998749999999998</v>
      </c>
      <c r="E37" s="18">
        <f>'29'!E36</f>
        <v>10.425833333333332</v>
      </c>
      <c r="F37" s="30" t="s">
        <v>8</v>
      </c>
      <c r="G37" s="18">
        <f>'29'!G36</f>
        <v>49.252500000000005</v>
      </c>
      <c r="H37" s="18">
        <f>'29'!H36</f>
        <v>12.85375</v>
      </c>
      <c r="I37" s="18">
        <f>'29'!I36</f>
        <v>7.5466666666666669</v>
      </c>
      <c r="J37" s="18">
        <f>'29'!J36</f>
        <v>0.45999999999999991</v>
      </c>
      <c r="K37" s="18">
        <f>'29'!K36</f>
        <v>171.875</v>
      </c>
      <c r="L37" s="18">
        <f>'29'!L36</f>
        <v>22.628333333333334</v>
      </c>
      <c r="M37" s="18">
        <f>'29'!M36</f>
        <v>79.165416666666673</v>
      </c>
      <c r="N37" s="18">
        <f>'29'!N36</f>
        <v>95.25416666666662</v>
      </c>
      <c r="O37" s="18">
        <f>'29'!O36</f>
        <v>0</v>
      </c>
      <c r="P37" s="18">
        <f>'29'!P36</f>
        <v>0.80374999999999996</v>
      </c>
      <c r="Q37" s="18" t="str">
        <f>'29'!Q36</f>
        <v>Data F</v>
      </c>
      <c r="R37" s="36"/>
      <c r="S37" s="36"/>
      <c r="T37" s="36"/>
      <c r="U37" s="36"/>
    </row>
    <row r="38" spans="1:21" s="2" customFormat="1">
      <c r="A38" s="16">
        <f>'30'!$B$2</f>
        <v>45656.041666666664</v>
      </c>
      <c r="B38" s="18">
        <f>'30'!B36</f>
        <v>19.875</v>
      </c>
      <c r="C38" s="18">
        <f>'30'!C36</f>
        <v>21.890833333333333</v>
      </c>
      <c r="D38" s="18">
        <f>'30'!D36</f>
        <v>28.577916666666667</v>
      </c>
      <c r="E38" s="18">
        <f>'30'!E36</f>
        <v>9.6870833333333355</v>
      </c>
      <c r="F38" s="30" t="s">
        <v>8</v>
      </c>
      <c r="G38" s="18">
        <f>'30'!G36</f>
        <v>66.737083333333331</v>
      </c>
      <c r="H38" s="18">
        <f>'30'!H36</f>
        <v>16.95</v>
      </c>
      <c r="I38" s="18">
        <f>'30'!I36</f>
        <v>9.2920833333333341</v>
      </c>
      <c r="J38" s="18">
        <f>'30'!J36</f>
        <v>0.43416666666666676</v>
      </c>
      <c r="K38" s="18">
        <f>'30'!K36</f>
        <v>190.07375000000002</v>
      </c>
      <c r="L38" s="18">
        <f>'30'!L36</f>
        <v>22.62833333333333</v>
      </c>
      <c r="M38" s="18">
        <f>'30'!M36</f>
        <v>78.508750000000006</v>
      </c>
      <c r="N38" s="18">
        <f>'30'!N36</f>
        <v>100.87083333333335</v>
      </c>
      <c r="O38" s="18">
        <f>'30'!O36</f>
        <v>0</v>
      </c>
      <c r="P38" s="18">
        <f>'30'!P36</f>
        <v>0.79375000000000018</v>
      </c>
      <c r="Q38" s="18">
        <f>'30'!Q36</f>
        <v>13.015833333333335</v>
      </c>
      <c r="R38" s="36"/>
      <c r="S38" s="36"/>
      <c r="T38" s="36"/>
      <c r="U38" s="36"/>
    </row>
    <row r="39" spans="1:21">
      <c r="A39" s="16">
        <f>'31'!$B$2</f>
        <v>45657.041666666664</v>
      </c>
      <c r="B39" s="18">
        <f>'31'!B36</f>
        <v>20.259583333333328</v>
      </c>
      <c r="C39" s="18">
        <f>'31'!C36</f>
        <v>23.747083333333332</v>
      </c>
      <c r="D39" s="18">
        <f>'31'!D36</f>
        <v>29.91833333333334</v>
      </c>
      <c r="E39" s="18">
        <f>'31'!E36</f>
        <v>9.4379166666666663</v>
      </c>
      <c r="F39" s="30" t="s">
        <v>8</v>
      </c>
      <c r="G39" s="18">
        <f>'31'!G36</f>
        <v>64.470416666666665</v>
      </c>
      <c r="H39" s="18">
        <f>'31'!H36</f>
        <v>18.086249999999996</v>
      </c>
      <c r="I39" s="18">
        <f>'31'!I36</f>
        <v>9.7066666666666688</v>
      </c>
      <c r="J39" s="18">
        <f>'31'!J36</f>
        <v>0.65333333333333332</v>
      </c>
      <c r="K39" s="18">
        <f>'31'!K36</f>
        <v>111.08416666666669</v>
      </c>
      <c r="L39" s="18">
        <f>'31'!L36</f>
        <v>21.404166666666669</v>
      </c>
      <c r="M39" s="18">
        <f>'31'!M36</f>
        <v>65.778749999999988</v>
      </c>
      <c r="N39" s="18">
        <f>'31'!N36</f>
        <v>109.70416666666667</v>
      </c>
      <c r="O39" s="18">
        <f>'31'!O36</f>
        <v>0</v>
      </c>
      <c r="P39" s="18">
        <f>'31'!P36</f>
        <v>0.76250000000000007</v>
      </c>
      <c r="Q39" s="18">
        <f>'31'!Q36</f>
        <v>13.034166666666666</v>
      </c>
      <c r="R39" s="39"/>
      <c r="S39" s="39"/>
      <c r="T39" s="39"/>
      <c r="U39" s="40"/>
    </row>
    <row r="40" spans="1:21" s="1" customFormat="1">
      <c r="A40"/>
      <c r="R40" s="41"/>
      <c r="S40" s="41"/>
      <c r="T40" s="41"/>
      <c r="U40" s="41"/>
    </row>
    <row r="41" spans="1:21" s="1" customFormat="1">
      <c r="A41" s="3" t="s">
        <v>48</v>
      </c>
      <c r="B41" s="20">
        <f t="shared" ref="B41:Q41" si="0">MIN(B9:B38)</f>
        <v>6.5699999999999976</v>
      </c>
      <c r="C41" s="20">
        <f t="shared" si="0"/>
        <v>16.219583333333329</v>
      </c>
      <c r="D41" s="20">
        <f t="shared" si="0"/>
        <v>16.369166666666665</v>
      </c>
      <c r="E41" s="20">
        <f t="shared" si="0"/>
        <v>8.8149999999999995</v>
      </c>
      <c r="F41" s="20">
        <f t="shared" si="0"/>
        <v>3.8299999999999996</v>
      </c>
      <c r="G41" s="20">
        <f t="shared" si="0"/>
        <v>36.075833333333335</v>
      </c>
      <c r="H41" s="20">
        <f t="shared" si="0"/>
        <v>11.188636363636364</v>
      </c>
      <c r="I41" s="20">
        <f t="shared" si="0"/>
        <v>6.0177272727272735</v>
      </c>
      <c r="J41" s="20">
        <f t="shared" si="0"/>
        <v>0.35208333333333336</v>
      </c>
      <c r="K41" s="20">
        <f t="shared" si="0"/>
        <v>61.127500000000005</v>
      </c>
      <c r="L41" s="20">
        <f t="shared" si="0"/>
        <v>17.710833333333333</v>
      </c>
      <c r="M41" s="20">
        <f t="shared" si="0"/>
        <v>54.697916666666664</v>
      </c>
      <c r="N41" s="20">
        <f t="shared" si="0"/>
        <v>24.933333333333334</v>
      </c>
      <c r="O41" s="20">
        <f t="shared" si="0"/>
        <v>0</v>
      </c>
      <c r="P41" s="20">
        <f t="shared" si="0"/>
        <v>0.3890909090909091</v>
      </c>
      <c r="Q41" s="20">
        <f t="shared" si="0"/>
        <v>10.030833333333332</v>
      </c>
      <c r="R41" s="41"/>
      <c r="S41" s="41"/>
      <c r="T41" s="41"/>
      <c r="U41" s="41"/>
    </row>
    <row r="42" spans="1:21" s="1" customFormat="1">
      <c r="A42" s="3" t="s">
        <v>49</v>
      </c>
      <c r="B42" s="20">
        <f t="shared" ref="B42:Q42" si="1">MAX(B9:B38)</f>
        <v>23.632916666666659</v>
      </c>
      <c r="C42" s="20">
        <f t="shared" si="1"/>
        <v>29.887499999999999</v>
      </c>
      <c r="D42" s="20">
        <f t="shared" si="1"/>
        <v>34.653749999999995</v>
      </c>
      <c r="E42" s="20">
        <f t="shared" si="1"/>
        <v>16.372916666666669</v>
      </c>
      <c r="F42" s="20">
        <f t="shared" si="1"/>
        <v>10.404583333333333</v>
      </c>
      <c r="G42" s="20">
        <f t="shared" si="1"/>
        <v>139.29666666666668</v>
      </c>
      <c r="H42" s="20">
        <f t="shared" si="1"/>
        <v>55.860833333333318</v>
      </c>
      <c r="I42" s="20">
        <f t="shared" si="1"/>
        <v>15.102083333333333</v>
      </c>
      <c r="J42" s="20">
        <f t="shared" si="1"/>
        <v>0.84624999999999995</v>
      </c>
      <c r="K42" s="20">
        <f t="shared" si="1"/>
        <v>237.70250000000007</v>
      </c>
      <c r="L42" s="20">
        <f t="shared" si="1"/>
        <v>25.541250000000005</v>
      </c>
      <c r="M42" s="20">
        <f t="shared" si="1"/>
        <v>97.230833333333337</v>
      </c>
      <c r="N42" s="20">
        <f t="shared" si="1"/>
        <v>139.95416666666668</v>
      </c>
      <c r="O42" s="20">
        <f t="shared" si="1"/>
        <v>7.4999999999999997E-2</v>
      </c>
      <c r="P42" s="20">
        <f t="shared" si="1"/>
        <v>1.2616666666666669</v>
      </c>
      <c r="Q42" s="20">
        <f t="shared" si="1"/>
        <v>13.015833333333335</v>
      </c>
      <c r="R42" s="41"/>
      <c r="S42" s="41"/>
      <c r="T42" s="41"/>
      <c r="U42" s="41"/>
    </row>
    <row r="43" spans="1:21" s="1" customFormat="1">
      <c r="A43" s="3" t="s">
        <v>50</v>
      </c>
      <c r="B43" s="20">
        <f t="shared" ref="B43:Q43" si="2">AVERAGE(B9:B38)</f>
        <v>12.517724206349207</v>
      </c>
      <c r="C43" s="20">
        <f t="shared" si="2"/>
        <v>21.202932539682543</v>
      </c>
      <c r="D43" s="20">
        <f t="shared" si="2"/>
        <v>22.331654761904758</v>
      </c>
      <c r="E43" s="20">
        <f t="shared" si="2"/>
        <v>10.026558479532165</v>
      </c>
      <c r="F43" s="20">
        <f t="shared" si="2"/>
        <v>6.4951944444444454</v>
      </c>
      <c r="G43" s="20">
        <f t="shared" si="2"/>
        <v>79.778013104648977</v>
      </c>
      <c r="H43" s="20">
        <f t="shared" si="2"/>
        <v>28.915404942279945</v>
      </c>
      <c r="I43" s="20">
        <f t="shared" si="2"/>
        <v>9.9052020202020188</v>
      </c>
      <c r="J43" s="20">
        <f t="shared" si="2"/>
        <v>0.48381313131313125</v>
      </c>
      <c r="K43" s="20">
        <f t="shared" si="2"/>
        <v>146.47140530303028</v>
      </c>
      <c r="L43" s="20">
        <f t="shared" si="2"/>
        <v>21.799617424242424</v>
      </c>
      <c r="M43" s="20">
        <f t="shared" si="2"/>
        <v>73.53011868686869</v>
      </c>
      <c r="N43" s="20">
        <f t="shared" si="2"/>
        <v>101.29583333333332</v>
      </c>
      <c r="O43" s="20">
        <f t="shared" si="2"/>
        <v>2.5000000000000001E-3</v>
      </c>
      <c r="P43" s="20">
        <f t="shared" si="2"/>
        <v>0.8494280303030306</v>
      </c>
      <c r="Q43" s="20">
        <f t="shared" si="2"/>
        <v>10.180663580246913</v>
      </c>
      <c r="R43" s="41"/>
      <c r="S43" s="41"/>
      <c r="T43" s="41"/>
      <c r="U43" s="41"/>
    </row>
    <row r="44" spans="1:21" s="1" customFormat="1">
      <c r="A44" s="3" t="s">
        <v>51</v>
      </c>
      <c r="B44" s="20">
        <f t="shared" ref="B44:Q44" si="3">STDEV(B9:B38)</f>
        <v>4.1974307971725899</v>
      </c>
      <c r="C44" s="20">
        <f t="shared" si="3"/>
        <v>3.7532065729534225</v>
      </c>
      <c r="D44" s="20">
        <f t="shared" si="3"/>
        <v>4.3489230770250922</v>
      </c>
      <c r="E44" s="20">
        <f t="shared" si="3"/>
        <v>1.3696379238055834</v>
      </c>
      <c r="F44" s="20">
        <f t="shared" si="3"/>
        <v>1.9350213719715776</v>
      </c>
      <c r="G44" s="20">
        <f t="shared" si="3"/>
        <v>29.851959583168725</v>
      </c>
      <c r="H44" s="20">
        <f t="shared" si="3"/>
        <v>12.567148136808676</v>
      </c>
      <c r="I44" s="20">
        <f t="shared" si="3"/>
        <v>2.4448527708271257</v>
      </c>
      <c r="J44" s="20">
        <f t="shared" si="3"/>
        <v>0.10595386306996124</v>
      </c>
      <c r="K44" s="20">
        <f t="shared" si="3"/>
        <v>38.098629015899775</v>
      </c>
      <c r="L44" s="20">
        <f t="shared" si="3"/>
        <v>2.3018381585334193</v>
      </c>
      <c r="M44" s="20">
        <f t="shared" si="3"/>
        <v>9.5747986990425407</v>
      </c>
      <c r="N44" s="20">
        <f t="shared" si="3"/>
        <v>28.728769022362126</v>
      </c>
      <c r="O44" s="20">
        <f t="shared" si="3"/>
        <v>1.3693063937629152E-2</v>
      </c>
      <c r="P44" s="20">
        <f t="shared" si="3"/>
        <v>0.20922187935412817</v>
      </c>
      <c r="Q44" s="20">
        <f t="shared" si="3"/>
        <v>0.56747436379910532</v>
      </c>
      <c r="R44" s="33"/>
      <c r="S44" s="33"/>
      <c r="T44" s="33"/>
      <c r="U44" s="33"/>
    </row>
    <row r="45" spans="1:21" s="1" customFormat="1">
      <c r="A45" s="3" t="s">
        <v>52</v>
      </c>
      <c r="B45" s="6">
        <f>COUNT(B9:B39)</f>
        <v>31</v>
      </c>
      <c r="C45" s="6">
        <f t="shared" ref="C45:Q45" si="4">COUNT(C9:C39)</f>
        <v>31</v>
      </c>
      <c r="D45" s="6">
        <f t="shared" si="4"/>
        <v>31</v>
      </c>
      <c r="E45" s="6">
        <f t="shared" si="4"/>
        <v>31</v>
      </c>
      <c r="F45" s="6">
        <v>31</v>
      </c>
      <c r="G45" s="6">
        <f t="shared" si="4"/>
        <v>31</v>
      </c>
      <c r="H45" s="6">
        <f t="shared" si="4"/>
        <v>31</v>
      </c>
      <c r="I45" s="6">
        <f t="shared" si="4"/>
        <v>31</v>
      </c>
      <c r="J45" s="6">
        <f t="shared" si="4"/>
        <v>31</v>
      </c>
      <c r="K45" s="6">
        <f t="shared" si="4"/>
        <v>31</v>
      </c>
      <c r="L45" s="6">
        <f t="shared" si="4"/>
        <v>31</v>
      </c>
      <c r="M45" s="6">
        <f t="shared" si="4"/>
        <v>31</v>
      </c>
      <c r="N45" s="6">
        <f t="shared" si="4"/>
        <v>31</v>
      </c>
      <c r="O45" s="6">
        <f t="shared" si="4"/>
        <v>31</v>
      </c>
      <c r="P45" s="6">
        <f t="shared" si="4"/>
        <v>31</v>
      </c>
      <c r="Q45" s="6">
        <v>31</v>
      </c>
      <c r="R45" s="33"/>
      <c r="S45" s="33"/>
      <c r="T45" s="33"/>
      <c r="U45" s="33"/>
    </row>
    <row r="46" spans="1:21" s="1" customFormat="1">
      <c r="A46" s="3" t="s">
        <v>53</v>
      </c>
      <c r="B46" s="6" t="str">
        <f>IF(B45&gt;=28,"&gt;90%",IF(B45&lt;=28,"&lt;90%"))</f>
        <v>&gt;90%</v>
      </c>
      <c r="C46" s="6" t="str">
        <f t="shared" ref="C46:Q46" si="5">IF(C45&gt;=28,"&gt;90%",IF(C45&lt;=28,"&lt;90%"))</f>
        <v>&gt;90%</v>
      </c>
      <c r="D46" s="6" t="str">
        <f t="shared" si="5"/>
        <v>&gt;90%</v>
      </c>
      <c r="E46" s="6" t="str">
        <f t="shared" si="5"/>
        <v>&gt;90%</v>
      </c>
      <c r="F46" s="6" t="str">
        <f t="shared" si="5"/>
        <v>&gt;90%</v>
      </c>
      <c r="G46" s="6" t="str">
        <f t="shared" si="5"/>
        <v>&gt;90%</v>
      </c>
      <c r="H46" s="6" t="str">
        <f t="shared" si="5"/>
        <v>&gt;90%</v>
      </c>
      <c r="I46" s="6" t="str">
        <f t="shared" si="5"/>
        <v>&gt;90%</v>
      </c>
      <c r="J46" s="6" t="str">
        <f t="shared" si="5"/>
        <v>&gt;90%</v>
      </c>
      <c r="K46" s="6" t="str">
        <f t="shared" si="5"/>
        <v>&gt;90%</v>
      </c>
      <c r="L46" s="6" t="str">
        <f t="shared" si="5"/>
        <v>&gt;90%</v>
      </c>
      <c r="M46" s="6" t="str">
        <f t="shared" si="5"/>
        <v>&gt;90%</v>
      </c>
      <c r="N46" s="6" t="str">
        <f t="shared" si="5"/>
        <v>&gt;90%</v>
      </c>
      <c r="O46" s="6" t="str">
        <f t="shared" si="5"/>
        <v>&gt;90%</v>
      </c>
      <c r="P46" s="6" t="str">
        <f t="shared" si="5"/>
        <v>&gt;90%</v>
      </c>
      <c r="Q46" s="6" t="str">
        <f t="shared" si="5"/>
        <v>&gt;90%</v>
      </c>
      <c r="R46" s="33"/>
      <c r="S46" s="33"/>
      <c r="T46" s="33"/>
      <c r="U46" s="33"/>
    </row>
    <row r="47" spans="1:21">
      <c r="A47" s="3" t="s">
        <v>54</v>
      </c>
      <c r="B47" s="6" t="str">
        <f>IF(B45&gt;=28,"OK",IF(B45&lt;=28,"LESS"))</f>
        <v>OK</v>
      </c>
      <c r="C47" s="6" t="str">
        <f t="shared" ref="C47:Q47" si="6">IF(C45&gt;=28,"OK",IF(C45&lt;=28,"LESS"))</f>
        <v>OK</v>
      </c>
      <c r="D47" s="6" t="str">
        <f t="shared" si="6"/>
        <v>OK</v>
      </c>
      <c r="E47" s="6" t="str">
        <f t="shared" si="6"/>
        <v>OK</v>
      </c>
      <c r="F47" s="6" t="str">
        <f t="shared" si="6"/>
        <v>OK</v>
      </c>
      <c r="G47" s="6" t="str">
        <f t="shared" si="6"/>
        <v>OK</v>
      </c>
      <c r="H47" s="6" t="str">
        <f t="shared" si="6"/>
        <v>OK</v>
      </c>
      <c r="I47" s="6" t="str">
        <f t="shared" si="6"/>
        <v>OK</v>
      </c>
      <c r="J47" s="6" t="str">
        <f t="shared" si="6"/>
        <v>OK</v>
      </c>
      <c r="K47" s="6" t="str">
        <f t="shared" si="6"/>
        <v>OK</v>
      </c>
      <c r="L47" s="6" t="str">
        <f t="shared" si="6"/>
        <v>OK</v>
      </c>
      <c r="M47" s="6" t="str">
        <f t="shared" si="6"/>
        <v>OK</v>
      </c>
      <c r="N47" s="6" t="str">
        <f t="shared" si="6"/>
        <v>OK</v>
      </c>
      <c r="O47" s="6" t="str">
        <f t="shared" si="6"/>
        <v>OK</v>
      </c>
      <c r="P47" s="6" t="str">
        <f t="shared" si="6"/>
        <v>OK</v>
      </c>
      <c r="Q47" s="6" t="str">
        <f t="shared" si="6"/>
        <v>OK</v>
      </c>
      <c r="R47" s="1"/>
      <c r="S47" s="1"/>
      <c r="T47" s="1"/>
    </row>
    <row r="48" spans="1:2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50" spans="1:16">
      <c r="A50" s="3" t="s">
        <v>55</v>
      </c>
      <c r="B50" s="21" t="s">
        <v>56</v>
      </c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22"/>
      <c r="B51" s="1"/>
      <c r="C51" s="1"/>
      <c r="D51" s="23"/>
      <c r="E51" s="23"/>
      <c r="F51" s="23"/>
      <c r="G51" s="23"/>
      <c r="H51" s="23"/>
      <c r="I51" s="23"/>
      <c r="J51" s="1"/>
      <c r="K51" s="1"/>
      <c r="L51" s="1"/>
      <c r="M51" s="1"/>
      <c r="N51" s="1"/>
      <c r="O51" s="1"/>
      <c r="P51" s="1"/>
    </row>
    <row r="52" spans="1:16" ht="15.75">
      <c r="A52" s="24" t="s">
        <v>57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</row>
    <row r="53" spans="1:16">
      <c r="A53" s="22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22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22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</row>
  </sheetData>
  <mergeCells count="1">
    <mergeCell ref="B52:P5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32</vt:i4>
      </vt:variant>
    </vt:vector>
  </HeadingPairs>
  <TitlesOfParts>
    <vt:vector size="32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MONTHLY 31</vt:lpstr>
    </vt:vector>
  </TitlesOfParts>
  <Company>wbpcb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IDEAL DCR</dc:title>
  <dc:subject>DCR FORMAT</dc:subject>
  <dc:creator>DEBLOHIT BOSE</dc:creator>
  <cp:keywords>DCR</cp:keywords>
  <dc:description>"IDEAL DCR"- by Deblohit Bose</dc:description>
  <cp:lastModifiedBy>Lenovo</cp:lastModifiedBy>
  <cp:lastPrinted>2018-07-30T12:51:00Z</cp:lastPrinted>
  <dcterms:created xsi:type="dcterms:W3CDTF">2013-08-23T16:44:00Z</dcterms:created>
  <dcterms:modified xsi:type="dcterms:W3CDTF">2025-01-13T13:35:29Z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7EA9ECEE773C45D5B6E24CE40B3C9EEF</vt:lpwstr>
  </property>
  <property fmtid="{D5CDD505-2E9C-101B-9397-08002B2CF9AE}" pid="3" name="KSOProductBuildVer">
    <vt:lpwstr>1033-11.2.0.11219</vt:lpwstr>
  </property>
</Properties>
</file>