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29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MONTHLY 31" sheetId="39" r:id="rId30"/>
  </sheets>
  <calcPr calcId="124519"/>
</workbook>
</file>

<file path=xl/calcChain.xml><?xml version="1.0" encoding="utf-8"?>
<calcChain xmlns="http://schemas.openxmlformats.org/spreadsheetml/2006/main">
  <c r="P37" i="39"/>
  <c r="O35"/>
  <c r="F32"/>
  <c r="F30"/>
  <c r="I29"/>
  <c r="M27"/>
  <c r="H27"/>
  <c r="E27"/>
  <c r="O26"/>
  <c r="N26"/>
  <c r="F26"/>
  <c r="C26"/>
  <c r="O25"/>
  <c r="N25"/>
  <c r="P24"/>
  <c r="O24"/>
  <c r="M24"/>
  <c r="L24"/>
  <c r="Q23"/>
  <c r="M23"/>
  <c r="L23"/>
  <c r="G23"/>
  <c r="E23"/>
  <c r="A23"/>
  <c r="Q22"/>
  <c r="P22"/>
  <c r="B22"/>
  <c r="A22"/>
  <c r="P21"/>
  <c r="K21"/>
  <c r="H21"/>
  <c r="G21"/>
  <c r="C21"/>
  <c r="O20"/>
  <c r="G20"/>
  <c r="D20"/>
  <c r="P19"/>
  <c r="M19"/>
  <c r="H19"/>
  <c r="E19"/>
  <c r="M17"/>
  <c r="G17"/>
  <c r="N16"/>
  <c r="L16"/>
  <c r="F16"/>
  <c r="I15"/>
  <c r="J14"/>
  <c r="L12"/>
  <c r="I12"/>
  <c r="M11"/>
  <c r="N10"/>
  <c r="M10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7" i="39" s="1"/>
  <c r="P36" i="43"/>
  <c r="O36"/>
  <c r="O37" i="39" s="1"/>
  <c r="N36" i="43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6" i="39" s="1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G36" i="39" s="1"/>
  <c r="F36" i="33"/>
  <c r="F36" i="39" s="1"/>
  <c r="E36" i="33"/>
  <c r="E36" i="39" s="1"/>
  <c r="D36" i="33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N36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F34" i="39" s="1"/>
  <c r="E36" i="31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J33" i="39" s="1"/>
  <c r="I36" i="30"/>
  <c r="I33" i="39" s="1"/>
  <c r="H36" i="30"/>
  <c r="H33" i="39" s="1"/>
  <c r="G36" i="30"/>
  <c r="G33" i="39" s="1"/>
  <c r="F36" i="30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G32" i="39" s="1"/>
  <c r="F36" i="29"/>
  <c r="E36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G31" i="39" s="1"/>
  <c r="F36" i="28"/>
  <c r="F31" i="39" s="1"/>
  <c r="E36" i="28"/>
  <c r="E31" i="39" s="1"/>
  <c r="D36" i="28"/>
  <c r="D31" i="39" s="1"/>
  <c r="C36" i="28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E36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H36"/>
  <c r="H29" i="39" s="1"/>
  <c r="G36" i="26"/>
  <c r="G29" i="39" s="1"/>
  <c r="F36" i="26"/>
  <c r="F29" i="39" s="1"/>
  <c r="E36" i="26"/>
  <c r="E29" i="39" s="1"/>
  <c r="D36" i="26"/>
  <c r="D29" i="39" s="1"/>
  <c r="C36" i="2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L36"/>
  <c r="L27" i="39" s="1"/>
  <c r="K36" i="24"/>
  <c r="K27" i="39" s="1"/>
  <c r="J36" i="24"/>
  <c r="J27" i="39" s="1"/>
  <c r="I36" i="24"/>
  <c r="I27" i="39" s="1"/>
  <c r="H36" i="24"/>
  <c r="G36"/>
  <c r="G27" i="39" s="1"/>
  <c r="F36" i="24"/>
  <c r="F27" i="39" s="1"/>
  <c r="E36" i="24"/>
  <c r="D36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N36"/>
  <c r="M36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F36" i="23"/>
  <c r="E36"/>
  <c r="E26" i="39" s="1"/>
  <c r="D36" i="23"/>
  <c r="D26" i="39" s="1"/>
  <c r="C36" i="23"/>
  <c r="B36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D40" i="22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N36"/>
  <c r="M36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O36"/>
  <c r="N36"/>
  <c r="N24" i="39" s="1"/>
  <c r="M36" i="21"/>
  <c r="L36"/>
  <c r="K36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B24" i="39" s="1"/>
  <c r="Q35" i="2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N39" i="2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3" i="39" s="1"/>
  <c r="O36" i="20"/>
  <c r="O23" i="39" s="1"/>
  <c r="N36" i="20"/>
  <c r="N23" i="39" s="1"/>
  <c r="M36" i="20"/>
  <c r="L36"/>
  <c r="K36"/>
  <c r="K23" i="39" s="1"/>
  <c r="J36" i="20"/>
  <c r="J23" i="39" s="1"/>
  <c r="I36" i="20"/>
  <c r="I23" i="39" s="1"/>
  <c r="H36" i="20"/>
  <c r="H23" i="39" s="1"/>
  <c r="G36" i="20"/>
  <c r="F36"/>
  <c r="F23" i="39" s="1"/>
  <c r="E36" i="20"/>
  <c r="D36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D39" i="18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O36"/>
  <c r="O21" i="39" s="1"/>
  <c r="N36" i="18"/>
  <c r="N21" i="39" s="1"/>
  <c r="M36" i="18"/>
  <c r="M21" i="39" s="1"/>
  <c r="L36" i="18"/>
  <c r="L21" i="39" s="1"/>
  <c r="K36" i="18"/>
  <c r="J36"/>
  <c r="J21" i="39" s="1"/>
  <c r="I36" i="18"/>
  <c r="I21" i="39" s="1"/>
  <c r="H36" i="18"/>
  <c r="G36"/>
  <c r="F36"/>
  <c r="F21" i="39" s="1"/>
  <c r="E36" i="18"/>
  <c r="E21" i="39" s="1"/>
  <c r="D36" i="18"/>
  <c r="D21" i="39" s="1"/>
  <c r="C36" i="18"/>
  <c r="B36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N36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F36"/>
  <c r="F20" i="39" s="1"/>
  <c r="E36" i="17"/>
  <c r="E20" i="39" s="1"/>
  <c r="D36" i="17"/>
  <c r="C36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O36"/>
  <c r="O19" i="39" s="1"/>
  <c r="N36" i="16"/>
  <c r="N19" i="39" s="1"/>
  <c r="M36" i="16"/>
  <c r="L36"/>
  <c r="L19" i="39" s="1"/>
  <c r="K36" i="16"/>
  <c r="K19" i="39" s="1"/>
  <c r="J36" i="16"/>
  <c r="J19" i="39" s="1"/>
  <c r="I36" i="16"/>
  <c r="I19" i="39" s="1"/>
  <c r="H36" i="16"/>
  <c r="G36"/>
  <c r="G19" i="39" s="1"/>
  <c r="F36" i="16"/>
  <c r="F19" i="39" s="1"/>
  <c r="E36" i="16"/>
  <c r="D3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H40" i="14"/>
  <c r="N39"/>
  <c r="H39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L36"/>
  <c r="L17" i="39" s="1"/>
  <c r="K36" i="14"/>
  <c r="K17" i="39" s="1"/>
  <c r="J36" i="14"/>
  <c r="J17" i="39" s="1"/>
  <c r="I36" i="14"/>
  <c r="I17" i="39" s="1"/>
  <c r="H36" i="14"/>
  <c r="H17" i="39" s="1"/>
  <c r="G36" i="14"/>
  <c r="F36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40"/>
  <c r="H40"/>
  <c r="G40"/>
  <c r="F40"/>
  <c r="E40"/>
  <c r="D40"/>
  <c r="C40"/>
  <c r="B39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M36"/>
  <c r="M16" i="39" s="1"/>
  <c r="L36" i="13"/>
  <c r="K36"/>
  <c r="K16" i="39" s="1"/>
  <c r="J36" i="13"/>
  <c r="J16" i="39" s="1"/>
  <c r="I36" i="13"/>
  <c r="I16" i="39" s="1"/>
  <c r="H36" i="13"/>
  <c r="H16" i="39" s="1"/>
  <c r="G36" i="13"/>
  <c r="G16" i="39" s="1"/>
  <c r="F36" i="13"/>
  <c r="E36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H36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I36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K36"/>
  <c r="K12" i="39" s="1"/>
  <c r="J36" i="9"/>
  <c r="J12" i="39" s="1"/>
  <c r="I36" i="9"/>
  <c r="H36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L36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39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M36"/>
  <c r="L36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O40" i="2"/>
  <c r="Q38"/>
  <c r="Q40" s="1"/>
  <c r="P38"/>
  <c r="P40" s="1"/>
  <c r="O38"/>
  <c r="O39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I40" i="33" l="1"/>
  <c r="L40" i="30"/>
  <c r="H39" i="43"/>
  <c r="N39" i="27"/>
  <c r="M39" i="28"/>
  <c r="L39" i="29"/>
  <c r="K39" i="30"/>
  <c r="J39" i="31"/>
  <c r="I39" i="32"/>
  <c r="H39" i="33"/>
  <c r="G39" i="43"/>
  <c r="M39" i="29"/>
  <c r="J39" i="32"/>
  <c r="M39" i="27"/>
  <c r="L39" i="28"/>
  <c r="K39" i="29"/>
  <c r="J39" i="30"/>
  <c r="I39" i="31"/>
  <c r="H39" i="32"/>
  <c r="G39" i="33"/>
  <c r="F39" i="43"/>
  <c r="O39" i="27"/>
  <c r="L39"/>
  <c r="K39" i="28"/>
  <c r="J39" i="29"/>
  <c r="I39" i="30"/>
  <c r="H39" i="31"/>
  <c r="G39" i="32"/>
  <c r="F39" i="33"/>
  <c r="E39" i="43"/>
  <c r="K40" i="31"/>
  <c r="K39" i="27"/>
  <c r="J39" i="28"/>
  <c r="I39" i="29"/>
  <c r="H39" i="30"/>
  <c r="G39" i="31"/>
  <c r="F39" i="32"/>
  <c r="E39" i="33"/>
  <c r="D39" i="43"/>
  <c r="N40" i="28"/>
  <c r="J39" i="27"/>
  <c r="I39" i="28"/>
  <c r="H39" i="29"/>
  <c r="G39" i="30"/>
  <c r="F39" i="31"/>
  <c r="E39" i="32"/>
  <c r="D39" i="33"/>
  <c r="C39" i="43"/>
  <c r="I39" i="27"/>
  <c r="H39" i="28"/>
  <c r="G39" i="29"/>
  <c r="F39" i="30"/>
  <c r="E39" i="31"/>
  <c r="D39" i="32"/>
  <c r="C39" i="33"/>
  <c r="B39" i="43"/>
  <c r="H39" i="27"/>
  <c r="G39" i="28"/>
  <c r="F39" i="29"/>
  <c r="E39" i="30"/>
  <c r="D39" i="31"/>
  <c r="C39" i="32"/>
  <c r="B39" i="33"/>
  <c r="Q39" i="43"/>
  <c r="G39" i="27"/>
  <c r="F39" i="28"/>
  <c r="E39" i="29"/>
  <c r="D39" i="30"/>
  <c r="C39" i="31"/>
  <c r="B39" i="32"/>
  <c r="Q39" i="33"/>
  <c r="P39" i="43"/>
  <c r="F39" i="27"/>
  <c r="E39" i="28"/>
  <c r="D39" i="29"/>
  <c r="C39" i="30"/>
  <c r="B39" i="31"/>
  <c r="Q39" i="32"/>
  <c r="P39" i="33"/>
  <c r="O39" i="43"/>
  <c r="E39" i="27"/>
  <c r="D39" i="28"/>
  <c r="C39" i="29"/>
  <c r="B39" i="30"/>
  <c r="Q39" i="31"/>
  <c r="P39" i="32"/>
  <c r="O39" i="33"/>
  <c r="N39" i="43"/>
  <c r="D39" i="27"/>
  <c r="C39" i="28"/>
  <c r="B39" i="29"/>
  <c r="Q39" i="30"/>
  <c r="P39" i="31"/>
  <c r="O39" i="32"/>
  <c r="N39" i="33"/>
  <c r="M39" i="43"/>
  <c r="C39" i="27"/>
  <c r="B39" i="28"/>
  <c r="Q39" i="29"/>
  <c r="P39" i="30"/>
  <c r="O39" i="31"/>
  <c r="N39" i="32"/>
  <c r="M39" i="33"/>
  <c r="L39" i="43"/>
  <c r="B39" i="27"/>
  <c r="Q39" i="28"/>
  <c r="P39" i="29"/>
  <c r="O39" i="30"/>
  <c r="N39" i="31"/>
  <c r="M39" i="32"/>
  <c r="L39" i="33"/>
  <c r="K39" i="43"/>
  <c r="Q39" i="27"/>
  <c r="P39" i="28"/>
  <c r="O39" i="29"/>
  <c r="N39" i="30"/>
  <c r="M39" i="31"/>
  <c r="L39" i="32"/>
  <c r="K39" i="33"/>
  <c r="J39" i="43"/>
  <c r="P39" i="27"/>
  <c r="O39" i="28"/>
  <c r="N39" i="29"/>
  <c r="M39" i="30"/>
  <c r="L39" i="31"/>
  <c r="K39" i="32"/>
  <c r="J39" i="33"/>
  <c r="I39" i="43"/>
  <c r="E39" i="26"/>
  <c r="D39"/>
  <c r="B39"/>
  <c r="Q39"/>
  <c r="P39"/>
  <c r="O39"/>
  <c r="C39"/>
  <c r="N39"/>
  <c r="M39"/>
  <c r="L39"/>
  <c r="K39"/>
  <c r="J39"/>
  <c r="I39"/>
  <c r="H39"/>
  <c r="G39"/>
  <c r="F39"/>
  <c r="F39" i="25"/>
  <c r="E39"/>
  <c r="D39"/>
  <c r="C39"/>
  <c r="B39"/>
  <c r="Q39"/>
  <c r="P39"/>
  <c r="G39"/>
  <c r="O39"/>
  <c r="N39"/>
  <c r="M39"/>
  <c r="L39"/>
  <c r="K39"/>
  <c r="J39"/>
  <c r="I39"/>
  <c r="H39"/>
  <c r="F39" i="24"/>
  <c r="E39"/>
  <c r="D39"/>
  <c r="C39"/>
  <c r="B39"/>
  <c r="Q39"/>
  <c r="P39"/>
  <c r="O39"/>
  <c r="N39"/>
  <c r="M39"/>
  <c r="L39"/>
  <c r="K39"/>
  <c r="J39"/>
  <c r="I39"/>
  <c r="H39"/>
  <c r="G39"/>
  <c r="D39" i="23"/>
  <c r="C39"/>
  <c r="B39"/>
  <c r="Q39"/>
  <c r="P39"/>
  <c r="O39"/>
  <c r="N39"/>
  <c r="M39"/>
  <c r="L39"/>
  <c r="K39"/>
  <c r="J39"/>
  <c r="I39"/>
  <c r="H39"/>
  <c r="G39"/>
  <c r="F39"/>
  <c r="E39"/>
  <c r="B39" i="22"/>
  <c r="Q39"/>
  <c r="P39"/>
  <c r="C39"/>
  <c r="O39"/>
  <c r="N39"/>
  <c r="M39"/>
  <c r="L39"/>
  <c r="K39"/>
  <c r="J39"/>
  <c r="I39"/>
  <c r="H39"/>
  <c r="G39"/>
  <c r="F39"/>
  <c r="E39"/>
  <c r="Q39" i="21"/>
  <c r="P39"/>
  <c r="O39"/>
  <c r="N39"/>
  <c r="M39"/>
  <c r="L39"/>
  <c r="K39"/>
  <c r="J39"/>
  <c r="I39"/>
  <c r="H39"/>
  <c r="B39"/>
  <c r="G39"/>
  <c r="F39"/>
  <c r="E39"/>
  <c r="D39"/>
  <c r="C39"/>
  <c r="M39" i="20"/>
  <c r="L39"/>
  <c r="K39"/>
  <c r="J39"/>
  <c r="I39"/>
  <c r="H39"/>
  <c r="G39"/>
  <c r="F39"/>
  <c r="E39"/>
  <c r="D39"/>
  <c r="C39"/>
  <c r="B39"/>
  <c r="Q39"/>
  <c r="P39"/>
  <c r="O39"/>
  <c r="I39" i="19"/>
  <c r="K39"/>
  <c r="H39"/>
  <c r="J39"/>
  <c r="G39"/>
  <c r="F39"/>
  <c r="E39"/>
  <c r="D39"/>
  <c r="L39"/>
  <c r="C39"/>
  <c r="B39"/>
  <c r="Q39"/>
  <c r="P39"/>
  <c r="O39"/>
  <c r="N39"/>
  <c r="M39"/>
  <c r="I39" i="18"/>
  <c r="H39"/>
  <c r="G39"/>
  <c r="F39"/>
  <c r="E39"/>
  <c r="C39"/>
  <c r="B39"/>
  <c r="Q39"/>
  <c r="P39"/>
  <c r="O39"/>
  <c r="N39"/>
  <c r="M39"/>
  <c r="L39"/>
  <c r="K39"/>
  <c r="J39"/>
  <c r="H39" i="17"/>
  <c r="G39"/>
  <c r="F39"/>
  <c r="E39"/>
  <c r="D39"/>
  <c r="B39"/>
  <c r="C39"/>
  <c r="Q39"/>
  <c r="P39"/>
  <c r="O39"/>
  <c r="N39"/>
  <c r="M39"/>
  <c r="L39"/>
  <c r="K39"/>
  <c r="J39"/>
  <c r="I39"/>
  <c r="E39" i="16"/>
  <c r="F39"/>
  <c r="D39"/>
  <c r="C39"/>
  <c r="B39"/>
  <c r="Q40"/>
  <c r="P39"/>
  <c r="O39"/>
  <c r="N39"/>
  <c r="M39"/>
  <c r="L39"/>
  <c r="K39"/>
  <c r="J39"/>
  <c r="I40"/>
  <c r="H39"/>
  <c r="G39"/>
  <c r="G39" i="15"/>
  <c r="F39"/>
  <c r="E39"/>
  <c r="D39"/>
  <c r="C39"/>
  <c r="B39"/>
  <c r="Q39"/>
  <c r="P39"/>
  <c r="H39"/>
  <c r="O39"/>
  <c r="N39"/>
  <c r="M39"/>
  <c r="L39"/>
  <c r="K39"/>
  <c r="J39"/>
  <c r="I39"/>
  <c r="G39" i="14"/>
  <c r="F39"/>
  <c r="E39"/>
  <c r="D39"/>
  <c r="C39"/>
  <c r="B39"/>
  <c r="Q39"/>
  <c r="P39"/>
  <c r="O39"/>
  <c r="M39"/>
  <c r="L39"/>
  <c r="K39"/>
  <c r="J39"/>
  <c r="I39"/>
  <c r="B40" i="13"/>
  <c r="G39"/>
  <c r="F39"/>
  <c r="E39"/>
  <c r="D39"/>
  <c r="C39"/>
  <c r="Q39"/>
  <c r="P39"/>
  <c r="O39"/>
  <c r="N39"/>
  <c r="M39"/>
  <c r="L39"/>
  <c r="K39"/>
  <c r="J39"/>
  <c r="I39"/>
  <c r="H39"/>
  <c r="G39" i="12"/>
  <c r="F39"/>
  <c r="E39"/>
  <c r="D39"/>
  <c r="C39"/>
  <c r="B39"/>
  <c r="Q39"/>
  <c r="P39"/>
  <c r="H39"/>
  <c r="O39"/>
  <c r="N39"/>
  <c r="M39"/>
  <c r="L39"/>
  <c r="K39"/>
  <c r="J39"/>
  <c r="I39"/>
  <c r="I40" i="11"/>
  <c r="H39"/>
  <c r="G39"/>
  <c r="F39"/>
  <c r="E39"/>
  <c r="D39"/>
  <c r="C39"/>
  <c r="B39"/>
  <c r="Q39"/>
  <c r="P39"/>
  <c r="O39"/>
  <c r="N39"/>
  <c r="M39"/>
  <c r="L39"/>
  <c r="K39"/>
  <c r="J39"/>
  <c r="K39" i="10"/>
  <c r="J39"/>
  <c r="I39"/>
  <c r="H39"/>
  <c r="G39"/>
  <c r="F39"/>
  <c r="E39"/>
  <c r="D39"/>
  <c r="C39"/>
  <c r="B39"/>
  <c r="Q39"/>
  <c r="P39"/>
  <c r="O39"/>
  <c r="N39"/>
  <c r="M39"/>
  <c r="L39"/>
  <c r="K39" i="9"/>
  <c r="J39"/>
  <c r="I39"/>
  <c r="H39"/>
  <c r="G39"/>
  <c r="F39"/>
  <c r="E39"/>
  <c r="D39"/>
  <c r="C39"/>
  <c r="B39"/>
  <c r="Q39"/>
  <c r="P39"/>
  <c r="O40"/>
  <c r="N39"/>
  <c r="M39"/>
  <c r="L39"/>
  <c r="L39" i="8"/>
  <c r="N43" i="39"/>
  <c r="N45" s="1"/>
  <c r="K39" i="8"/>
  <c r="M43" i="39"/>
  <c r="M44" s="1"/>
  <c r="J39" i="8"/>
  <c r="I39"/>
  <c r="H39"/>
  <c r="G39"/>
  <c r="F39"/>
  <c r="E39"/>
  <c r="D39"/>
  <c r="C39"/>
  <c r="B39"/>
  <c r="Q39"/>
  <c r="P39"/>
  <c r="O39"/>
  <c r="N39"/>
  <c r="M39"/>
  <c r="L43" i="39"/>
  <c r="L45" s="1"/>
  <c r="J39" i="3"/>
  <c r="K43" i="39"/>
  <c r="K44" s="1"/>
  <c r="I39" i="3"/>
  <c r="J43" i="39"/>
  <c r="J44" s="1"/>
  <c r="H39" i="3"/>
  <c r="I43" i="39"/>
  <c r="I44" s="1"/>
  <c r="G39" i="3"/>
  <c r="H43" i="39"/>
  <c r="H44" s="1"/>
  <c r="F39" i="3"/>
  <c r="G43" i="39"/>
  <c r="G45" s="1"/>
  <c r="E39" i="3"/>
  <c r="F43" i="39"/>
  <c r="F44" s="1"/>
  <c r="D39" i="3"/>
  <c r="L40"/>
  <c r="E43" i="39"/>
  <c r="E44" s="1"/>
  <c r="C39" i="3"/>
  <c r="D43" i="39"/>
  <c r="D44" s="1"/>
  <c r="B39" i="3"/>
  <c r="C43" i="39"/>
  <c r="C45" s="1"/>
  <c r="Q39" i="3"/>
  <c r="K40"/>
  <c r="B43" i="39"/>
  <c r="B45" s="1"/>
  <c r="P39" i="3"/>
  <c r="Q43" i="39"/>
  <c r="Q44" s="1"/>
  <c r="O39" i="3"/>
  <c r="P43" i="39"/>
  <c r="P44" s="1"/>
  <c r="N39" i="3"/>
  <c r="O43" i="39"/>
  <c r="O44" s="1"/>
  <c r="M39" i="3"/>
  <c r="M39" i="2"/>
  <c r="L39"/>
  <c r="K39"/>
  <c r="J39"/>
  <c r="I39"/>
  <c r="H39"/>
  <c r="G39"/>
  <c r="F39"/>
  <c r="E39"/>
  <c r="D39"/>
  <c r="C39"/>
  <c r="B39"/>
  <c r="N40"/>
  <c r="Q39"/>
  <c r="P39"/>
  <c r="Q39" i="39"/>
  <c r="Q40"/>
  <c r="Q41"/>
  <c r="Q42"/>
  <c r="P39"/>
  <c r="P40"/>
  <c r="P41"/>
  <c r="P42"/>
  <c r="O39"/>
  <c r="O40"/>
  <c r="O41"/>
  <c r="O42"/>
  <c r="N39"/>
  <c r="N40"/>
  <c r="N41"/>
  <c r="N42"/>
  <c r="M39"/>
  <c r="M40"/>
  <c r="M41"/>
  <c r="M42"/>
  <c r="L39"/>
  <c r="L40"/>
  <c r="L41"/>
  <c r="L42"/>
  <c r="K39"/>
  <c r="K40"/>
  <c r="K41"/>
  <c r="K42"/>
  <c r="J39"/>
  <c r="J40"/>
  <c r="J41"/>
  <c r="J42"/>
  <c r="I39"/>
  <c r="I40"/>
  <c r="I41"/>
  <c r="I42"/>
  <c r="H39"/>
  <c r="H40"/>
  <c r="H41"/>
  <c r="H42"/>
  <c r="G39"/>
  <c r="G40"/>
  <c r="G41"/>
  <c r="G42"/>
  <c r="F39"/>
  <c r="F40"/>
  <c r="F41"/>
  <c r="F42"/>
  <c r="E39"/>
  <c r="E40"/>
  <c r="E41"/>
  <c r="E42"/>
  <c r="D39"/>
  <c r="D40"/>
  <c r="D41"/>
  <c r="D42"/>
  <c r="C39"/>
  <c r="C40"/>
  <c r="C41"/>
  <c r="C42"/>
  <c r="B39"/>
  <c r="B40"/>
  <c r="B41"/>
  <c r="B42"/>
  <c r="O45" l="1"/>
  <c r="F45"/>
  <c r="G44"/>
  <c r="H45"/>
  <c r="I45"/>
  <c r="N44"/>
  <c r="B44"/>
  <c r="P45"/>
  <c r="M45"/>
  <c r="E45"/>
  <c r="Q45"/>
  <c r="J45"/>
  <c r="K45"/>
  <c r="D45"/>
  <c r="L44"/>
  <c r="C44"/>
</calcChain>
</file>

<file path=xl/sharedStrings.xml><?xml version="1.0" encoding="utf-8"?>
<sst xmlns="http://schemas.openxmlformats.org/spreadsheetml/2006/main" count="1989" uniqueCount="60">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</sst>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1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45323.041666666664</v>
      </c>
      <c r="B9" s="50">
        <v>7.68</v>
      </c>
      <c r="C9" s="50">
        <v>20.329999999999998</v>
      </c>
      <c r="D9" s="50">
        <v>18.13</v>
      </c>
      <c r="E9" s="50">
        <v>6.04</v>
      </c>
      <c r="F9" s="50">
        <v>3.86</v>
      </c>
      <c r="G9" s="50">
        <v>94.82</v>
      </c>
      <c r="H9" s="50">
        <v>39.64</v>
      </c>
      <c r="I9" s="50">
        <v>9.4499999999999993</v>
      </c>
      <c r="J9" s="50">
        <v>0.23</v>
      </c>
      <c r="K9" s="50">
        <v>212.69</v>
      </c>
      <c r="L9" s="50">
        <v>19.97</v>
      </c>
      <c r="M9" s="50">
        <v>83.03</v>
      </c>
      <c r="N9" s="50">
        <v>0</v>
      </c>
      <c r="O9" s="50">
        <v>0</v>
      </c>
      <c r="P9" s="50">
        <v>0.83</v>
      </c>
      <c r="Q9" s="50">
        <v>4.8</v>
      </c>
    </row>
    <row r="10" spans="1:21" customFormat="1">
      <c r="A10" s="49">
        <v>45323.083333333336</v>
      </c>
      <c r="B10" s="50">
        <v>7.69</v>
      </c>
      <c r="C10" s="50">
        <v>20.57</v>
      </c>
      <c r="D10" s="50">
        <v>18.21</v>
      </c>
      <c r="E10" s="50">
        <v>6.58</v>
      </c>
      <c r="F10" s="50">
        <v>3.74</v>
      </c>
      <c r="G10" s="50">
        <v>83.46</v>
      </c>
      <c r="H10" s="50">
        <v>37.03</v>
      </c>
      <c r="I10" s="50">
        <v>9.06</v>
      </c>
      <c r="J10" s="50">
        <v>0.12</v>
      </c>
      <c r="K10" s="50">
        <v>186.63</v>
      </c>
      <c r="L10" s="50">
        <v>19.600000000000001</v>
      </c>
      <c r="M10" s="50">
        <v>81.17</v>
      </c>
      <c r="N10" s="50">
        <v>0</v>
      </c>
      <c r="O10" s="50">
        <v>0</v>
      </c>
      <c r="P10" s="50">
        <v>0.82</v>
      </c>
      <c r="Q10" s="50">
        <v>4.78</v>
      </c>
    </row>
    <row r="11" spans="1:21" customFormat="1">
      <c r="A11" s="49">
        <v>45323.125</v>
      </c>
      <c r="B11" s="50">
        <v>7.78</v>
      </c>
      <c r="C11" s="50">
        <v>19.489999999999998</v>
      </c>
      <c r="D11" s="50">
        <v>17.690000000000001</v>
      </c>
      <c r="E11" s="50">
        <v>5.26</v>
      </c>
      <c r="F11" s="50">
        <v>3.62</v>
      </c>
      <c r="G11" s="50">
        <v>76.010000000000005</v>
      </c>
      <c r="H11" s="50">
        <v>35.79</v>
      </c>
      <c r="I11" s="50">
        <v>8.7200000000000006</v>
      </c>
      <c r="J11" s="50">
        <v>0.14000000000000001</v>
      </c>
      <c r="K11" s="50">
        <v>226.45</v>
      </c>
      <c r="L11" s="50">
        <v>19.239999999999998</v>
      </c>
      <c r="M11" s="50">
        <v>81.72</v>
      </c>
      <c r="N11" s="50">
        <v>0</v>
      </c>
      <c r="O11" s="50">
        <v>0</v>
      </c>
      <c r="P11" s="50">
        <v>0.78</v>
      </c>
      <c r="Q11" s="50">
        <v>4.79</v>
      </c>
    </row>
    <row r="12" spans="1:21" customFormat="1">
      <c r="A12" s="49">
        <v>45323.166666666664</v>
      </c>
      <c r="B12" s="50">
        <v>10.72</v>
      </c>
      <c r="C12" s="50">
        <v>20.43</v>
      </c>
      <c r="D12" s="50">
        <v>20.62</v>
      </c>
      <c r="E12" s="50">
        <v>5.33</v>
      </c>
      <c r="F12" s="50">
        <v>3.82</v>
      </c>
      <c r="G12" s="50">
        <v>71.739999999999995</v>
      </c>
      <c r="H12" s="50">
        <v>35.42</v>
      </c>
      <c r="I12" s="50">
        <v>8.36</v>
      </c>
      <c r="J12" s="50">
        <v>0.51</v>
      </c>
      <c r="K12" s="50">
        <v>344.33</v>
      </c>
      <c r="L12" s="50">
        <v>19.190000000000001</v>
      </c>
      <c r="M12" s="50">
        <v>81.459999999999994</v>
      </c>
      <c r="N12" s="50">
        <v>0</v>
      </c>
      <c r="O12" s="50">
        <v>0</v>
      </c>
      <c r="P12" s="50">
        <v>0.74</v>
      </c>
      <c r="Q12" s="50">
        <v>4.82</v>
      </c>
    </row>
    <row r="13" spans="1:21" customFormat="1">
      <c r="A13" s="49">
        <v>45323.208333333336</v>
      </c>
      <c r="B13" s="50">
        <v>12.5</v>
      </c>
      <c r="C13" s="50">
        <v>22.28</v>
      </c>
      <c r="D13" s="50">
        <v>23.02</v>
      </c>
      <c r="E13" s="50">
        <v>5.25</v>
      </c>
      <c r="F13" s="50">
        <v>3.47</v>
      </c>
      <c r="G13" s="50">
        <v>69.94</v>
      </c>
      <c r="H13" s="50">
        <v>35.729999999999997</v>
      </c>
      <c r="I13" s="50">
        <v>8.0399999999999991</v>
      </c>
      <c r="J13" s="50">
        <v>0.65</v>
      </c>
      <c r="K13" s="50">
        <v>48.5</v>
      </c>
      <c r="L13" s="50">
        <v>19.07</v>
      </c>
      <c r="M13" s="50">
        <v>82.14</v>
      </c>
      <c r="N13" s="50">
        <v>0</v>
      </c>
      <c r="O13" s="50">
        <v>0</v>
      </c>
      <c r="P13" s="50">
        <v>0.75</v>
      </c>
      <c r="Q13" s="50">
        <v>4.87</v>
      </c>
    </row>
    <row r="14" spans="1:21" customFormat="1">
      <c r="A14" s="49">
        <v>45323.25</v>
      </c>
      <c r="B14" s="50">
        <v>18.04</v>
      </c>
      <c r="C14" s="50">
        <v>25.02</v>
      </c>
      <c r="D14" s="50">
        <v>28.89</v>
      </c>
      <c r="E14" s="50">
        <v>5.46</v>
      </c>
      <c r="F14" s="50">
        <v>3.44</v>
      </c>
      <c r="G14" s="50">
        <v>78.709999999999994</v>
      </c>
      <c r="H14" s="50">
        <v>39.119999999999997</v>
      </c>
      <c r="I14" s="50">
        <v>8.41</v>
      </c>
      <c r="J14" s="50">
        <v>0.33</v>
      </c>
      <c r="K14" s="50">
        <v>187.22</v>
      </c>
      <c r="L14" s="50">
        <v>18.46</v>
      </c>
      <c r="M14" s="50">
        <v>87.18</v>
      </c>
      <c r="N14" s="50">
        <v>0</v>
      </c>
      <c r="O14" s="50">
        <v>0</v>
      </c>
      <c r="P14" s="50">
        <v>0.82</v>
      </c>
      <c r="Q14" s="50">
        <v>4.92</v>
      </c>
    </row>
    <row r="15" spans="1:21" customFormat="1">
      <c r="A15" s="49">
        <v>45323.291666666664</v>
      </c>
      <c r="B15" s="50">
        <v>20.78</v>
      </c>
      <c r="C15" s="50">
        <v>26.01</v>
      </c>
      <c r="D15" s="50">
        <v>31.6</v>
      </c>
      <c r="E15" s="50">
        <v>5.55</v>
      </c>
      <c r="F15" s="50">
        <v>3.32</v>
      </c>
      <c r="G15" s="50">
        <v>93.29</v>
      </c>
      <c r="H15" s="50">
        <v>39.74</v>
      </c>
      <c r="I15" s="50">
        <v>8.81</v>
      </c>
      <c r="J15" s="50">
        <v>0.23</v>
      </c>
      <c r="K15" s="50">
        <v>192.27</v>
      </c>
      <c r="L15" s="50">
        <v>18.059999999999999</v>
      </c>
      <c r="M15" s="50">
        <v>90.8</v>
      </c>
      <c r="N15" s="50">
        <v>6.1</v>
      </c>
      <c r="O15" s="50">
        <v>0</v>
      </c>
      <c r="P15" s="50">
        <v>0.88</v>
      </c>
      <c r="Q15" s="50">
        <v>4.93</v>
      </c>
    </row>
    <row r="16" spans="1:21" customFormat="1">
      <c r="A16" s="49">
        <v>45323.333333333336</v>
      </c>
      <c r="B16" s="50">
        <v>22.03</v>
      </c>
      <c r="C16" s="50">
        <v>26.5</v>
      </c>
      <c r="D16" s="50">
        <v>32.86</v>
      </c>
      <c r="E16" s="50">
        <v>5.98</v>
      </c>
      <c r="F16" s="50">
        <v>3.3</v>
      </c>
      <c r="G16" s="50">
        <v>93.46</v>
      </c>
      <c r="H16" s="50">
        <v>44.01</v>
      </c>
      <c r="I16" s="50">
        <v>9.14</v>
      </c>
      <c r="J16" s="50">
        <v>0.39</v>
      </c>
      <c r="K16" s="50">
        <v>183.59</v>
      </c>
      <c r="L16" s="50">
        <v>19.46</v>
      </c>
      <c r="M16" s="50">
        <v>90.98</v>
      </c>
      <c r="N16" s="50">
        <v>69.5</v>
      </c>
      <c r="O16" s="50">
        <v>0</v>
      </c>
      <c r="P16" s="50">
        <v>0.93</v>
      </c>
      <c r="Q16" s="50">
        <v>4.9400000000000004</v>
      </c>
    </row>
    <row r="17" spans="1:17" customFormat="1">
      <c r="A17" s="49">
        <v>45323.375</v>
      </c>
      <c r="B17" s="50">
        <v>22.14</v>
      </c>
      <c r="C17" s="50">
        <v>27.04</v>
      </c>
      <c r="D17" s="50">
        <v>32.89</v>
      </c>
      <c r="E17" s="50">
        <v>6.11</v>
      </c>
      <c r="F17" s="50">
        <v>3.34</v>
      </c>
      <c r="G17" s="50">
        <v>98.58</v>
      </c>
      <c r="H17" s="50">
        <v>44.62</v>
      </c>
      <c r="I17" s="50">
        <v>9.6999999999999993</v>
      </c>
      <c r="J17" s="50">
        <v>0.34</v>
      </c>
      <c r="K17" s="50">
        <v>152.27000000000001</v>
      </c>
      <c r="L17" s="50">
        <v>22.85</v>
      </c>
      <c r="M17" s="50">
        <v>78.75</v>
      </c>
      <c r="N17" s="50">
        <v>187.1</v>
      </c>
      <c r="O17" s="50">
        <v>0</v>
      </c>
      <c r="P17" s="50">
        <v>0.94</v>
      </c>
      <c r="Q17" s="50">
        <v>4.92</v>
      </c>
    </row>
    <row r="18" spans="1:17" customFormat="1">
      <c r="A18" s="49">
        <v>45323.416666666664</v>
      </c>
      <c r="B18" s="50">
        <v>18.52</v>
      </c>
      <c r="C18" s="50">
        <v>27.76</v>
      </c>
      <c r="D18" s="50">
        <v>30.42</v>
      </c>
      <c r="E18" s="50">
        <v>6.18</v>
      </c>
      <c r="F18" s="50">
        <v>3.8</v>
      </c>
      <c r="G18" s="50">
        <v>96.82</v>
      </c>
      <c r="H18" s="50">
        <v>44.35</v>
      </c>
      <c r="I18" s="50">
        <v>9.73</v>
      </c>
      <c r="J18" s="50">
        <v>0.39</v>
      </c>
      <c r="K18" s="50">
        <v>359.76</v>
      </c>
      <c r="L18" s="50">
        <v>25.35</v>
      </c>
      <c r="M18" s="50">
        <v>64.17</v>
      </c>
      <c r="N18" s="50">
        <v>270.2</v>
      </c>
      <c r="O18" s="50">
        <v>0</v>
      </c>
      <c r="P18" s="50">
        <v>0.94</v>
      </c>
      <c r="Q18" s="50">
        <v>4.88</v>
      </c>
    </row>
    <row r="19" spans="1:17" customFormat="1">
      <c r="A19" s="49">
        <v>45323.458333333336</v>
      </c>
      <c r="B19" s="50">
        <v>15.94</v>
      </c>
      <c r="C19" s="50">
        <v>21.35</v>
      </c>
      <c r="D19" s="50">
        <v>25.29</v>
      </c>
      <c r="E19" s="50">
        <v>7.28</v>
      </c>
      <c r="F19" s="50">
        <v>3.91</v>
      </c>
      <c r="G19" s="50">
        <v>93.59</v>
      </c>
      <c r="H19" s="50">
        <v>41.47</v>
      </c>
      <c r="I19" s="50">
        <v>9.75</v>
      </c>
      <c r="J19" s="50">
        <v>1.1000000000000001</v>
      </c>
      <c r="K19" s="50">
        <v>319.89</v>
      </c>
      <c r="L19" s="50">
        <v>26.37</v>
      </c>
      <c r="M19" s="50">
        <v>52.52</v>
      </c>
      <c r="N19" s="50">
        <v>377.1</v>
      </c>
      <c r="O19" s="50">
        <v>0</v>
      </c>
      <c r="P19" s="50">
        <v>0.96</v>
      </c>
      <c r="Q19" s="50">
        <v>4.82</v>
      </c>
    </row>
    <row r="20" spans="1:17" customFormat="1">
      <c r="A20" s="49">
        <v>45323.5</v>
      </c>
      <c r="B20" s="50">
        <v>13.3</v>
      </c>
      <c r="C20" s="50">
        <v>21.41</v>
      </c>
      <c r="D20" s="50">
        <v>23.21</v>
      </c>
      <c r="E20" s="50">
        <v>7.53</v>
      </c>
      <c r="F20" s="50">
        <v>4.03</v>
      </c>
      <c r="G20" s="50">
        <v>93.13</v>
      </c>
      <c r="H20" s="50">
        <v>40.57</v>
      </c>
      <c r="I20" s="50">
        <v>10.91</v>
      </c>
      <c r="J20" s="50">
        <v>0.93</v>
      </c>
      <c r="K20" s="50">
        <v>299</v>
      </c>
      <c r="L20" s="50">
        <v>27.25</v>
      </c>
      <c r="M20" s="50">
        <v>49.47</v>
      </c>
      <c r="N20" s="50">
        <v>436.7</v>
      </c>
      <c r="O20" s="50">
        <v>0</v>
      </c>
      <c r="P20" s="50">
        <v>0.98</v>
      </c>
      <c r="Q20" s="50">
        <v>4.83</v>
      </c>
    </row>
    <row r="21" spans="1:17" customFormat="1">
      <c r="A21" s="49">
        <v>45323.541666666664</v>
      </c>
      <c r="B21" s="50">
        <v>9.98</v>
      </c>
      <c r="C21" s="50">
        <v>20.9</v>
      </c>
      <c r="D21" s="50">
        <v>20.28</v>
      </c>
      <c r="E21" s="50">
        <v>7.21</v>
      </c>
      <c r="F21" s="50">
        <v>4.59</v>
      </c>
      <c r="G21" s="50">
        <v>92.77</v>
      </c>
      <c r="H21" s="50">
        <v>40.76</v>
      </c>
      <c r="I21" s="50">
        <v>11.46</v>
      </c>
      <c r="J21" s="50">
        <v>0.92</v>
      </c>
      <c r="K21" s="50">
        <v>306.86</v>
      </c>
      <c r="L21" s="50">
        <v>28.4</v>
      </c>
      <c r="M21" s="50">
        <v>46.13</v>
      </c>
      <c r="N21" s="50">
        <v>445.1</v>
      </c>
      <c r="O21" s="50">
        <v>0</v>
      </c>
      <c r="P21" s="50">
        <v>0.99</v>
      </c>
      <c r="Q21" s="50">
        <v>4.83</v>
      </c>
    </row>
    <row r="22" spans="1:17" customFormat="1">
      <c r="A22" s="49">
        <v>45323.583333333336</v>
      </c>
      <c r="B22" s="50">
        <v>7.29</v>
      </c>
      <c r="C22" s="50">
        <v>20.239999999999998</v>
      </c>
      <c r="D22" s="50">
        <v>17.77</v>
      </c>
      <c r="E22" s="50">
        <v>7.19</v>
      </c>
      <c r="F22" s="50">
        <v>5.67</v>
      </c>
      <c r="G22" s="50">
        <v>91.03</v>
      </c>
      <c r="H22" s="50">
        <v>40.36</v>
      </c>
      <c r="I22" s="50">
        <v>11.78</v>
      </c>
      <c r="J22" s="50">
        <v>0.99</v>
      </c>
      <c r="K22" s="50">
        <v>311.18</v>
      </c>
      <c r="L22" s="50">
        <v>28.44</v>
      </c>
      <c r="M22" s="50">
        <v>44.57</v>
      </c>
      <c r="N22" s="50">
        <v>406.5</v>
      </c>
      <c r="O22" s="50">
        <v>0</v>
      </c>
      <c r="P22" s="50">
        <v>0.99</v>
      </c>
      <c r="Q22" s="50">
        <v>4.8</v>
      </c>
    </row>
    <row r="23" spans="1:17" customFormat="1">
      <c r="A23" s="49">
        <v>45323.625</v>
      </c>
      <c r="B23" s="50">
        <v>5.46</v>
      </c>
      <c r="C23" s="50">
        <v>19.260000000000002</v>
      </c>
      <c r="D23" s="50">
        <v>15.42</v>
      </c>
      <c r="E23" s="50">
        <v>7.4</v>
      </c>
      <c r="F23" s="50">
        <v>6.34</v>
      </c>
      <c r="G23" s="50">
        <v>86.92</v>
      </c>
      <c r="H23" s="50">
        <v>38.04</v>
      </c>
      <c r="I23" s="50">
        <v>11.83</v>
      </c>
      <c r="J23" s="50">
        <v>1.02</v>
      </c>
      <c r="K23" s="50">
        <v>295.29000000000002</v>
      </c>
      <c r="L23" s="50">
        <v>28.8</v>
      </c>
      <c r="M23" s="50">
        <v>43.66</v>
      </c>
      <c r="N23" s="50">
        <v>349.6</v>
      </c>
      <c r="O23" s="50">
        <v>0</v>
      </c>
      <c r="P23" s="50">
        <v>0.92</v>
      </c>
      <c r="Q23" s="50">
        <v>4.79</v>
      </c>
    </row>
    <row r="24" spans="1:17" customFormat="1">
      <c r="A24" s="49">
        <v>45323.666666666664</v>
      </c>
      <c r="B24" s="50">
        <v>4.79</v>
      </c>
      <c r="C24" s="50">
        <v>19.39</v>
      </c>
      <c r="D24" s="50">
        <v>15.24</v>
      </c>
      <c r="E24" s="50">
        <v>7.59</v>
      </c>
      <c r="F24" s="50">
        <v>6.99</v>
      </c>
      <c r="G24" s="50">
        <v>74.67</v>
      </c>
      <c r="H24" s="50">
        <v>33.58</v>
      </c>
      <c r="I24" s="50">
        <v>11.42</v>
      </c>
      <c r="J24" s="50">
        <v>0.72</v>
      </c>
      <c r="K24" s="50">
        <v>298.39999999999998</v>
      </c>
      <c r="L24" s="50">
        <v>28.1</v>
      </c>
      <c r="M24" s="50">
        <v>45.75</v>
      </c>
      <c r="N24" s="50">
        <v>148.6</v>
      </c>
      <c r="O24" s="50">
        <v>0</v>
      </c>
      <c r="P24" s="50">
        <v>0.86</v>
      </c>
      <c r="Q24" s="50">
        <v>4.78</v>
      </c>
    </row>
    <row r="25" spans="1:17" customFormat="1">
      <c r="A25" s="49">
        <v>45323.708333333336</v>
      </c>
      <c r="B25" s="50">
        <v>5.81</v>
      </c>
      <c r="C25" s="50">
        <v>21.66</v>
      </c>
      <c r="D25" s="50">
        <v>17.329999999999998</v>
      </c>
      <c r="E25" s="50">
        <v>7.76</v>
      </c>
      <c r="F25" s="50">
        <v>5.79</v>
      </c>
      <c r="G25" s="50">
        <v>63.82</v>
      </c>
      <c r="H25" s="50">
        <v>30.38</v>
      </c>
      <c r="I25" s="50">
        <v>10.119999999999999</v>
      </c>
      <c r="J25" s="50">
        <v>0.61</v>
      </c>
      <c r="K25" s="50">
        <v>339.65</v>
      </c>
      <c r="L25" s="50">
        <v>28</v>
      </c>
      <c r="M25" s="50">
        <v>46.94</v>
      </c>
      <c r="N25" s="50">
        <v>81.8</v>
      </c>
      <c r="O25" s="50">
        <v>0</v>
      </c>
      <c r="P25" s="50">
        <v>0.79</v>
      </c>
      <c r="Q25" s="50">
        <v>4.7699999999999996</v>
      </c>
    </row>
    <row r="26" spans="1:17" customFormat="1">
      <c r="A26" s="49">
        <v>45323.75</v>
      </c>
      <c r="B26" s="50">
        <v>6.61</v>
      </c>
      <c r="C26" s="50">
        <v>24.23</v>
      </c>
      <c r="D26" s="50">
        <v>19.32</v>
      </c>
      <c r="E26" s="50">
        <v>7.56</v>
      </c>
      <c r="F26" s="50">
        <v>4.58</v>
      </c>
      <c r="G26" s="50">
        <v>64.75</v>
      </c>
      <c r="H26" s="50">
        <v>30.2</v>
      </c>
      <c r="I26" s="50">
        <v>9.09</v>
      </c>
      <c r="J26" s="50">
        <v>0.32</v>
      </c>
      <c r="K26" s="50">
        <v>178.15</v>
      </c>
      <c r="L26" s="50">
        <v>27.37</v>
      </c>
      <c r="M26" s="50">
        <v>58.04</v>
      </c>
      <c r="N26" s="50">
        <v>15.3</v>
      </c>
      <c r="O26" s="50">
        <v>0</v>
      </c>
      <c r="P26" s="50">
        <v>0.77</v>
      </c>
      <c r="Q26" s="50">
        <v>4.78</v>
      </c>
    </row>
    <row r="27" spans="1:17" customFormat="1">
      <c r="A27" s="49">
        <v>45323.791666666664</v>
      </c>
      <c r="B27" s="50">
        <v>9.68</v>
      </c>
      <c r="C27" s="50">
        <v>28.14</v>
      </c>
      <c r="D27" s="50">
        <v>23.82</v>
      </c>
      <c r="E27" s="50">
        <v>7.36</v>
      </c>
      <c r="F27" s="50">
        <v>3.49</v>
      </c>
      <c r="G27" s="50">
        <v>71.239999999999995</v>
      </c>
      <c r="H27" s="50">
        <v>29.5</v>
      </c>
      <c r="I27" s="50">
        <v>8.5299999999999994</v>
      </c>
      <c r="J27" s="50">
        <v>0.35</v>
      </c>
      <c r="K27" s="50">
        <v>174.04</v>
      </c>
      <c r="L27" s="50">
        <v>25.39</v>
      </c>
      <c r="M27" s="50">
        <v>66.89</v>
      </c>
      <c r="N27" s="50">
        <v>0</v>
      </c>
      <c r="O27" s="50">
        <v>0</v>
      </c>
      <c r="P27" s="50">
        <v>0.83</v>
      </c>
      <c r="Q27" s="50">
        <v>4.79</v>
      </c>
    </row>
    <row r="28" spans="1:17" customFormat="1">
      <c r="A28" s="49">
        <v>45323.833333333336</v>
      </c>
      <c r="B28" s="50">
        <v>11.47</v>
      </c>
      <c r="C28" s="50">
        <v>28.94</v>
      </c>
      <c r="D28" s="50">
        <v>24.87</v>
      </c>
      <c r="E28" s="50">
        <v>7.34</v>
      </c>
      <c r="F28" s="50">
        <v>3.72</v>
      </c>
      <c r="G28" s="50">
        <v>85.24</v>
      </c>
      <c r="H28" s="50">
        <v>29.87</v>
      </c>
      <c r="I28" s="50">
        <v>8.83</v>
      </c>
      <c r="J28" s="50">
        <v>0.22</v>
      </c>
      <c r="K28" s="50">
        <v>184.36</v>
      </c>
      <c r="L28" s="50">
        <v>23.15</v>
      </c>
      <c r="M28" s="50">
        <v>75.17</v>
      </c>
      <c r="N28" s="50">
        <v>0</v>
      </c>
      <c r="O28" s="50">
        <v>0</v>
      </c>
      <c r="P28" s="50">
        <v>0.89</v>
      </c>
      <c r="Q28" s="50">
        <v>4.76</v>
      </c>
    </row>
    <row r="29" spans="1:17" customFormat="1">
      <c r="A29" s="49">
        <v>45323.875</v>
      </c>
      <c r="B29" s="50">
        <v>19.39</v>
      </c>
      <c r="C29" s="50">
        <v>25.76</v>
      </c>
      <c r="D29" s="50">
        <v>30.36</v>
      </c>
      <c r="E29" s="50">
        <v>6.78</v>
      </c>
      <c r="F29" s="50">
        <v>3.51</v>
      </c>
      <c r="G29" s="50">
        <v>100.31</v>
      </c>
      <c r="H29" s="50">
        <v>34.6</v>
      </c>
      <c r="I29" s="50">
        <v>9.61</v>
      </c>
      <c r="J29" s="50">
        <v>0.41</v>
      </c>
      <c r="K29" s="50">
        <v>199.15</v>
      </c>
      <c r="L29" s="50">
        <v>22.81</v>
      </c>
      <c r="M29" s="50">
        <v>78.39</v>
      </c>
      <c r="N29" s="50">
        <v>0</v>
      </c>
      <c r="O29" s="50">
        <v>0</v>
      </c>
      <c r="P29" s="50">
        <v>1.02</v>
      </c>
      <c r="Q29" s="50">
        <v>4.84</v>
      </c>
    </row>
    <row r="30" spans="1:17" customFormat="1">
      <c r="A30" s="49">
        <v>45323.916666666664</v>
      </c>
      <c r="B30" s="50">
        <v>20.02</v>
      </c>
      <c r="C30" s="50">
        <v>25.05</v>
      </c>
      <c r="D30" s="50">
        <v>30.38</v>
      </c>
      <c r="E30" s="50">
        <v>7.07</v>
      </c>
      <c r="F30" s="50">
        <v>3.47</v>
      </c>
      <c r="G30" s="50">
        <v>102.4</v>
      </c>
      <c r="H30" s="50">
        <v>33.729999999999997</v>
      </c>
      <c r="I30" s="50">
        <v>10.039999999999999</v>
      </c>
      <c r="J30" s="50">
        <v>0.2</v>
      </c>
      <c r="K30" s="50">
        <v>233.69</v>
      </c>
      <c r="L30" s="50">
        <v>21.21</v>
      </c>
      <c r="M30" s="50">
        <v>79.7</v>
      </c>
      <c r="N30" s="50">
        <v>0</v>
      </c>
      <c r="O30" s="50">
        <v>0</v>
      </c>
      <c r="P30" s="50">
        <v>1.03</v>
      </c>
      <c r="Q30" s="50">
        <v>4.91</v>
      </c>
    </row>
    <row r="31" spans="1:17" customFormat="1">
      <c r="A31" s="49">
        <v>45323.958333333336</v>
      </c>
      <c r="B31" s="50">
        <v>19.53</v>
      </c>
      <c r="C31" s="50">
        <v>24.42</v>
      </c>
      <c r="D31" s="50">
        <v>29.77</v>
      </c>
      <c r="E31" s="50">
        <v>6.58</v>
      </c>
      <c r="F31" s="50">
        <v>3.53</v>
      </c>
      <c r="G31" s="50">
        <v>103.42</v>
      </c>
      <c r="H31" s="50">
        <v>34.53</v>
      </c>
      <c r="I31" s="50">
        <v>10.02</v>
      </c>
      <c r="J31" s="50">
        <v>0.2</v>
      </c>
      <c r="K31" s="50">
        <v>245.74</v>
      </c>
      <c r="L31" s="50">
        <v>20.47</v>
      </c>
      <c r="M31" s="50">
        <v>82.93</v>
      </c>
      <c r="N31" s="50">
        <v>0</v>
      </c>
      <c r="O31" s="50">
        <v>0</v>
      </c>
      <c r="P31" s="50">
        <v>1.03</v>
      </c>
      <c r="Q31" s="50">
        <v>4.93</v>
      </c>
    </row>
    <row r="32" spans="1:17" customFormat="1">
      <c r="A32" s="49">
        <v>45324</v>
      </c>
      <c r="B32" s="50">
        <v>19.07</v>
      </c>
      <c r="C32" s="50">
        <v>22.42</v>
      </c>
      <c r="D32" s="50">
        <v>28.16</v>
      </c>
      <c r="E32" s="50">
        <v>6.79</v>
      </c>
      <c r="F32" s="50">
        <v>3.48</v>
      </c>
      <c r="G32" s="50">
        <v>100.59</v>
      </c>
      <c r="H32" s="50">
        <v>34.43</v>
      </c>
      <c r="I32" s="50">
        <v>9.98</v>
      </c>
      <c r="J32" s="50">
        <v>0.19</v>
      </c>
      <c r="K32" s="50">
        <v>229.5</v>
      </c>
      <c r="L32" s="50">
        <v>20.010000000000002</v>
      </c>
      <c r="M32" s="50">
        <v>85.4</v>
      </c>
      <c r="N32" s="50">
        <v>0</v>
      </c>
      <c r="O32" s="50">
        <v>0</v>
      </c>
      <c r="P32" s="50">
        <v>1.02</v>
      </c>
      <c r="Q32" s="50">
        <v>4.92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4.79</v>
      </c>
      <c r="C34" s="40">
        <f t="shared" si="0"/>
        <v>19.260000000000002</v>
      </c>
      <c r="D34" s="40">
        <f t="shared" si="0"/>
        <v>15.24</v>
      </c>
      <c r="E34" s="40">
        <f t="shared" si="0"/>
        <v>5.25</v>
      </c>
      <c r="F34" s="40">
        <f t="shared" si="0"/>
        <v>3.3</v>
      </c>
      <c r="G34" s="40">
        <f t="shared" si="0"/>
        <v>63.82</v>
      </c>
      <c r="H34" s="40">
        <f t="shared" si="0"/>
        <v>29.5</v>
      </c>
      <c r="I34" s="40">
        <f t="shared" si="0"/>
        <v>8.0399999999999991</v>
      </c>
      <c r="J34" s="40">
        <f t="shared" si="0"/>
        <v>0.12</v>
      </c>
      <c r="K34" s="40">
        <f t="shared" si="0"/>
        <v>48.5</v>
      </c>
      <c r="L34" s="40">
        <f t="shared" si="0"/>
        <v>18.059999999999999</v>
      </c>
      <c r="M34" s="40">
        <f t="shared" si="0"/>
        <v>43.66</v>
      </c>
      <c r="N34" s="40">
        <f t="shared" si="0"/>
        <v>0</v>
      </c>
      <c r="O34" s="40">
        <f t="shared" si="0"/>
        <v>0</v>
      </c>
      <c r="P34" s="40">
        <f t="shared" si="0"/>
        <v>0.74</v>
      </c>
      <c r="Q34" s="40">
        <f t="shared" si="0"/>
        <v>4.76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22.14</v>
      </c>
      <c r="C35" s="33">
        <f t="shared" si="1"/>
        <v>28.94</v>
      </c>
      <c r="D35" s="33">
        <f t="shared" si="1"/>
        <v>32.89</v>
      </c>
      <c r="E35" s="33">
        <f t="shared" si="1"/>
        <v>7.76</v>
      </c>
      <c r="F35" s="33">
        <f t="shared" si="1"/>
        <v>6.99</v>
      </c>
      <c r="G35" s="33">
        <f t="shared" si="1"/>
        <v>103.42</v>
      </c>
      <c r="H35" s="33">
        <f t="shared" si="1"/>
        <v>44.62</v>
      </c>
      <c r="I35" s="33">
        <f t="shared" si="1"/>
        <v>11.83</v>
      </c>
      <c r="J35" s="33">
        <f t="shared" si="1"/>
        <v>1.1000000000000001</v>
      </c>
      <c r="K35" s="33">
        <f t="shared" si="1"/>
        <v>359.76</v>
      </c>
      <c r="L35" s="33">
        <f t="shared" si="1"/>
        <v>28.8</v>
      </c>
      <c r="M35" s="33">
        <f t="shared" si="1"/>
        <v>90.98</v>
      </c>
      <c r="N35" s="33">
        <f t="shared" si="1"/>
        <v>445.1</v>
      </c>
      <c r="O35" s="33">
        <f t="shared" si="1"/>
        <v>0</v>
      </c>
      <c r="P35" s="33">
        <f t="shared" si="1"/>
        <v>1.03</v>
      </c>
      <c r="Q35" s="33">
        <f t="shared" si="1"/>
        <v>4.9400000000000004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13.175833333333332</v>
      </c>
      <c r="C36" s="40">
        <f t="shared" si="2"/>
        <v>23.274999999999995</v>
      </c>
      <c r="D36" s="40">
        <f t="shared" si="2"/>
        <v>23.981249999999999</v>
      </c>
      <c r="E36" s="40">
        <f t="shared" si="2"/>
        <v>6.6325000000000003</v>
      </c>
      <c r="F36" s="40">
        <f t="shared" si="2"/>
        <v>4.1170833333333343</v>
      </c>
      <c r="G36" s="40">
        <f t="shared" si="2"/>
        <v>86.696250000000006</v>
      </c>
      <c r="H36" s="40">
        <f t="shared" si="2"/>
        <v>36.977916666666665</v>
      </c>
      <c r="I36" s="40">
        <f t="shared" si="2"/>
        <v>9.699583333333333</v>
      </c>
      <c r="J36" s="40">
        <f t="shared" si="2"/>
        <v>0.47958333333333325</v>
      </c>
      <c r="K36" s="40">
        <f t="shared" si="2"/>
        <v>237.8587499999999</v>
      </c>
      <c r="L36" s="40">
        <f t="shared" si="2"/>
        <v>23.209166666666665</v>
      </c>
      <c r="M36" s="40">
        <f t="shared" si="2"/>
        <v>69.873333333333349</v>
      </c>
      <c r="N36" s="40">
        <f t="shared" si="2"/>
        <v>116.40000000000002</v>
      </c>
      <c r="O36" s="40">
        <f t="shared" si="2"/>
        <v>0</v>
      </c>
      <c r="P36" s="40">
        <f t="shared" si="2"/>
        <v>0.8962500000000001</v>
      </c>
      <c r="Q36" s="40">
        <f t="shared" si="2"/>
        <v>4.8416666666666677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5.9714457623555175</v>
      </c>
      <c r="C37" s="40">
        <f t="shared" ref="C37:Q37" si="3">STDEV(C9:C32)</f>
        <v>3.0823085645270298</v>
      </c>
      <c r="D37" s="40">
        <f t="shared" si="3"/>
        <v>5.9154192857385217</v>
      </c>
      <c r="E37" s="40">
        <f t="shared" si="3"/>
        <v>0.83594388203577319</v>
      </c>
      <c r="F37" s="40">
        <f t="shared" si="3"/>
        <v>1.0302067296407516</v>
      </c>
      <c r="G37" s="40">
        <f t="shared" si="3"/>
        <v>12.391712452280373</v>
      </c>
      <c r="H37" s="40">
        <f t="shared" si="3"/>
        <v>4.582586111685635</v>
      </c>
      <c r="I37" s="40">
        <f t="shared" si="3"/>
        <v>1.1056985954852092</v>
      </c>
      <c r="J37" s="40">
        <f t="shared" si="3"/>
        <v>0.31074215743248806</v>
      </c>
      <c r="K37" s="40">
        <f t="shared" si="3"/>
        <v>75.30556768564044</v>
      </c>
      <c r="L37" s="40">
        <f t="shared" si="3"/>
        <v>3.8623994757333278</v>
      </c>
      <c r="M37" s="40">
        <f t="shared" si="3"/>
        <v>16.803367847383754</v>
      </c>
      <c r="N37" s="40">
        <f t="shared" si="3"/>
        <v>166.18505661905422</v>
      </c>
      <c r="O37" s="40">
        <f t="shared" si="3"/>
        <v>0</v>
      </c>
      <c r="P37" s="40">
        <f t="shared" si="3"/>
        <v>9.5362580392574267E-2</v>
      </c>
      <c r="Q37" s="40">
        <f t="shared" si="3"/>
        <v>6.1337744012799386E-2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45324.041666666664</v>
      </c>
      <c r="B9" s="50">
        <v>19.28</v>
      </c>
      <c r="C9" s="50">
        <v>22.62</v>
      </c>
      <c r="D9" s="50">
        <v>27.98</v>
      </c>
      <c r="E9" s="50">
        <v>7.2</v>
      </c>
      <c r="F9" s="50">
        <v>3.34</v>
      </c>
      <c r="G9" s="50">
        <v>96.05</v>
      </c>
      <c r="H9" s="50">
        <v>37.08</v>
      </c>
      <c r="I9" s="50">
        <v>10.32</v>
      </c>
      <c r="J9" s="50">
        <v>0.15</v>
      </c>
      <c r="K9" s="50">
        <v>189</v>
      </c>
      <c r="L9" s="50">
        <v>19.760000000000002</v>
      </c>
      <c r="M9" s="50">
        <v>85.41</v>
      </c>
      <c r="N9" s="50">
        <v>0</v>
      </c>
      <c r="O9" s="50">
        <v>0</v>
      </c>
      <c r="P9" s="50">
        <v>1.03</v>
      </c>
      <c r="Q9" s="50">
        <v>4.93</v>
      </c>
    </row>
    <row r="10" spans="1:21" customFormat="1">
      <c r="A10" s="49">
        <v>45324.083333333336</v>
      </c>
      <c r="B10" s="50">
        <v>23.98</v>
      </c>
      <c r="C10" s="50">
        <v>25.63</v>
      </c>
      <c r="D10" s="50">
        <v>33.97</v>
      </c>
      <c r="E10" s="50">
        <v>7.37</v>
      </c>
      <c r="F10" s="50">
        <v>3.36</v>
      </c>
      <c r="G10" s="50">
        <v>87.17</v>
      </c>
      <c r="H10" s="50">
        <v>35.43</v>
      </c>
      <c r="I10" s="50">
        <v>10.35</v>
      </c>
      <c r="J10" s="50">
        <v>0.53</v>
      </c>
      <c r="K10" s="50">
        <v>142.65</v>
      </c>
      <c r="L10" s="50">
        <v>20.16</v>
      </c>
      <c r="M10" s="50">
        <v>81.510000000000005</v>
      </c>
      <c r="N10" s="50">
        <v>0</v>
      </c>
      <c r="O10" s="50">
        <v>0</v>
      </c>
      <c r="P10" s="50">
        <v>1.05</v>
      </c>
      <c r="Q10" s="50">
        <v>4.95</v>
      </c>
    </row>
    <row r="11" spans="1:21" customFormat="1">
      <c r="A11" s="49">
        <v>45324.125</v>
      </c>
      <c r="B11" s="50">
        <v>25.19</v>
      </c>
      <c r="C11" s="50">
        <v>27.36</v>
      </c>
      <c r="D11" s="50">
        <v>35.85</v>
      </c>
      <c r="E11" s="50">
        <v>7.73</v>
      </c>
      <c r="F11" s="50">
        <v>3.31</v>
      </c>
      <c r="G11" s="50">
        <v>98.1</v>
      </c>
      <c r="H11" s="50">
        <v>38.61</v>
      </c>
      <c r="I11" s="50">
        <v>10.35</v>
      </c>
      <c r="J11" s="50">
        <v>0.23</v>
      </c>
      <c r="K11" s="50">
        <v>249.61</v>
      </c>
      <c r="L11" s="50">
        <v>20.09</v>
      </c>
      <c r="M11" s="50">
        <v>85.52</v>
      </c>
      <c r="N11" s="50">
        <v>0</v>
      </c>
      <c r="O11" s="50">
        <v>0</v>
      </c>
      <c r="P11" s="50">
        <v>1.05</v>
      </c>
      <c r="Q11" s="50">
        <v>4.9800000000000004</v>
      </c>
    </row>
    <row r="12" spans="1:21" customFormat="1">
      <c r="A12" s="49">
        <v>45324.166666666664</v>
      </c>
      <c r="B12" s="50">
        <v>26.23</v>
      </c>
      <c r="C12" s="50">
        <v>27.85</v>
      </c>
      <c r="D12" s="50">
        <v>36.94</v>
      </c>
      <c r="E12" s="50">
        <v>8.2899999999999991</v>
      </c>
      <c r="F12" s="50">
        <v>3.34</v>
      </c>
      <c r="G12" s="50">
        <v>100.27</v>
      </c>
      <c r="H12" s="50">
        <v>37.76</v>
      </c>
      <c r="I12" s="50">
        <v>0</v>
      </c>
      <c r="J12" s="50">
        <v>0.15</v>
      </c>
      <c r="K12" s="50">
        <v>310.32</v>
      </c>
      <c r="L12" s="50">
        <v>19.420000000000002</v>
      </c>
      <c r="M12" s="50">
        <v>86.83</v>
      </c>
      <c r="N12" s="50">
        <v>0</v>
      </c>
      <c r="O12" s="50">
        <v>0</v>
      </c>
      <c r="P12" s="50">
        <v>1.04</v>
      </c>
      <c r="Q12" s="50">
        <v>4.96</v>
      </c>
    </row>
    <row r="13" spans="1:21" customFormat="1">
      <c r="A13" s="49">
        <v>45324.208333333336</v>
      </c>
      <c r="B13" s="50">
        <v>31.21</v>
      </c>
      <c r="C13" s="50">
        <v>28.95</v>
      </c>
      <c r="D13" s="50">
        <v>41.51</v>
      </c>
      <c r="E13" s="50">
        <v>8.2200000000000006</v>
      </c>
      <c r="F13" s="50">
        <v>3.36</v>
      </c>
      <c r="G13" s="50">
        <v>105.8</v>
      </c>
      <c r="H13" s="50">
        <v>40.01</v>
      </c>
      <c r="I13" s="50">
        <v>0</v>
      </c>
      <c r="J13" s="50">
        <v>0.36</v>
      </c>
      <c r="K13" s="50">
        <v>77.42</v>
      </c>
      <c r="L13" s="50">
        <v>20.190000000000001</v>
      </c>
      <c r="M13" s="50">
        <v>82.05</v>
      </c>
      <c r="N13" s="50">
        <v>0</v>
      </c>
      <c r="O13" s="50">
        <v>0</v>
      </c>
      <c r="P13" s="50">
        <v>1.04</v>
      </c>
      <c r="Q13" s="50">
        <v>4.96</v>
      </c>
    </row>
    <row r="14" spans="1:21" customFormat="1">
      <c r="A14" s="49">
        <v>45324.25</v>
      </c>
      <c r="B14" s="50">
        <v>32.020000000000003</v>
      </c>
      <c r="C14" s="50">
        <v>29.27</v>
      </c>
      <c r="D14" s="50">
        <v>42.09</v>
      </c>
      <c r="E14" s="50">
        <v>8.64</v>
      </c>
      <c r="F14" s="50">
        <v>3.53</v>
      </c>
      <c r="G14" s="50">
        <v>113.46</v>
      </c>
      <c r="H14" s="50">
        <v>41.18</v>
      </c>
      <c r="I14" s="50">
        <v>0</v>
      </c>
      <c r="J14" s="50">
        <v>0.17</v>
      </c>
      <c r="K14" s="50">
        <v>211</v>
      </c>
      <c r="L14" s="50">
        <v>19.940000000000001</v>
      </c>
      <c r="M14" s="50">
        <v>86.9</v>
      </c>
      <c r="N14" s="50">
        <v>0</v>
      </c>
      <c r="O14" s="50">
        <v>0</v>
      </c>
      <c r="P14" s="50">
        <v>1.05</v>
      </c>
      <c r="Q14" s="50">
        <v>4.96</v>
      </c>
    </row>
    <row r="15" spans="1:21" customFormat="1">
      <c r="A15" s="49">
        <v>45324.291666666664</v>
      </c>
      <c r="B15" s="50">
        <v>31.24</v>
      </c>
      <c r="C15" s="50">
        <v>23.42</v>
      </c>
      <c r="D15" s="50">
        <v>37.369999999999997</v>
      </c>
      <c r="E15" s="50">
        <v>8.01</v>
      </c>
      <c r="F15" s="50">
        <v>3.56</v>
      </c>
      <c r="G15" s="50">
        <v>109.57</v>
      </c>
      <c r="H15" s="50">
        <v>40.51</v>
      </c>
      <c r="I15" s="50">
        <v>0</v>
      </c>
      <c r="J15" s="50">
        <v>0.35</v>
      </c>
      <c r="K15" s="50">
        <v>262.94</v>
      </c>
      <c r="L15" s="50">
        <v>20.14</v>
      </c>
      <c r="M15" s="50">
        <v>85.84</v>
      </c>
      <c r="N15" s="50">
        <v>0</v>
      </c>
      <c r="O15" s="50">
        <v>0</v>
      </c>
      <c r="P15" s="50">
        <v>1.01</v>
      </c>
      <c r="Q15" s="50">
        <v>4.96</v>
      </c>
    </row>
    <row r="16" spans="1:21" customFormat="1">
      <c r="A16" s="49">
        <v>45324.333333333336</v>
      </c>
      <c r="B16" s="50">
        <v>31.99</v>
      </c>
      <c r="C16" s="50">
        <v>23.96</v>
      </c>
      <c r="D16" s="50">
        <v>37.93</v>
      </c>
      <c r="E16" s="50">
        <v>8.36</v>
      </c>
      <c r="F16" s="50">
        <v>3.6</v>
      </c>
      <c r="G16" s="50">
        <v>105.78</v>
      </c>
      <c r="H16" s="50">
        <v>42.27</v>
      </c>
      <c r="I16" s="50">
        <v>0</v>
      </c>
      <c r="J16" s="50">
        <v>0.76</v>
      </c>
      <c r="K16" s="50">
        <v>342.39</v>
      </c>
      <c r="L16" s="50">
        <v>20.65</v>
      </c>
      <c r="M16" s="50">
        <v>80.39</v>
      </c>
      <c r="N16" s="50">
        <v>56.8</v>
      </c>
      <c r="O16" s="50">
        <v>0</v>
      </c>
      <c r="P16" s="50">
        <v>1.03</v>
      </c>
      <c r="Q16" s="50">
        <v>4.9800000000000004</v>
      </c>
    </row>
    <row r="17" spans="1:17" customFormat="1">
      <c r="A17" s="49">
        <v>45324.375</v>
      </c>
      <c r="B17" s="50">
        <v>33.369999999999997</v>
      </c>
      <c r="C17" s="50">
        <v>23.75</v>
      </c>
      <c r="D17" s="50">
        <v>40.520000000000003</v>
      </c>
      <c r="E17" s="50">
        <v>9.01</v>
      </c>
      <c r="F17" s="50">
        <v>3.57</v>
      </c>
      <c r="G17" s="50">
        <v>118.54</v>
      </c>
      <c r="H17" s="50">
        <v>46.29</v>
      </c>
      <c r="I17" s="50">
        <v>0</v>
      </c>
      <c r="J17" s="50">
        <v>1.3</v>
      </c>
      <c r="K17" s="50">
        <v>52.2</v>
      </c>
      <c r="L17" s="50">
        <v>22.19</v>
      </c>
      <c r="M17" s="50">
        <v>79.67</v>
      </c>
      <c r="N17" s="50">
        <v>218.6</v>
      </c>
      <c r="O17" s="50">
        <v>0</v>
      </c>
      <c r="P17" s="50">
        <v>1.0900000000000001</v>
      </c>
      <c r="Q17" s="50">
        <v>5.04</v>
      </c>
    </row>
    <row r="18" spans="1:17" customFormat="1">
      <c r="A18" s="49">
        <v>45324.416666666664</v>
      </c>
      <c r="B18" s="50">
        <v>32.79</v>
      </c>
      <c r="C18" s="50">
        <v>23.24</v>
      </c>
      <c r="D18" s="50">
        <v>38.93</v>
      </c>
      <c r="E18" s="50">
        <v>8.5500000000000007</v>
      </c>
      <c r="F18" s="50">
        <v>3.63</v>
      </c>
      <c r="G18" s="50">
        <v>127.73</v>
      </c>
      <c r="H18" s="50">
        <v>47.71</v>
      </c>
      <c r="I18" s="50">
        <v>0</v>
      </c>
      <c r="J18" s="50">
        <v>1.17</v>
      </c>
      <c r="K18" s="50">
        <v>63.5</v>
      </c>
      <c r="L18" s="50">
        <v>24.96</v>
      </c>
      <c r="M18" s="50">
        <v>67.47</v>
      </c>
      <c r="N18" s="50">
        <v>286</v>
      </c>
      <c r="O18" s="50">
        <v>0</v>
      </c>
      <c r="P18" s="50">
        <v>1.08</v>
      </c>
      <c r="Q18" s="50">
        <v>5.03</v>
      </c>
    </row>
    <row r="19" spans="1:17" customFormat="1">
      <c r="A19" s="49">
        <v>45324.458333333336</v>
      </c>
      <c r="B19" s="50">
        <v>27.72</v>
      </c>
      <c r="C19" s="50">
        <v>28.03</v>
      </c>
      <c r="D19" s="50">
        <v>36.700000000000003</v>
      </c>
      <c r="E19" s="50">
        <v>7.49</v>
      </c>
      <c r="F19" s="50">
        <v>3.75</v>
      </c>
      <c r="G19" s="50">
        <v>123.74</v>
      </c>
      <c r="H19" s="50">
        <v>49.22</v>
      </c>
      <c r="I19" s="50">
        <v>0</v>
      </c>
      <c r="J19" s="50">
        <v>0.74</v>
      </c>
      <c r="K19" s="50">
        <v>84.78</v>
      </c>
      <c r="L19" s="50">
        <v>26.72</v>
      </c>
      <c r="M19" s="50">
        <v>58.42</v>
      </c>
      <c r="N19" s="50">
        <v>420.1</v>
      </c>
      <c r="O19" s="50">
        <v>0</v>
      </c>
      <c r="P19" s="50">
        <v>1.07</v>
      </c>
      <c r="Q19" s="50">
        <v>5.04</v>
      </c>
    </row>
    <row r="20" spans="1:17" customFormat="1">
      <c r="A20" s="49">
        <v>45324.5</v>
      </c>
      <c r="B20" s="50">
        <v>17.32</v>
      </c>
      <c r="C20" s="50">
        <v>28.9</v>
      </c>
      <c r="D20" s="50">
        <v>30.29</v>
      </c>
      <c r="E20" s="50">
        <v>7.35</v>
      </c>
      <c r="F20" s="50">
        <v>4.5599999999999996</v>
      </c>
      <c r="G20" s="50">
        <v>117.77</v>
      </c>
      <c r="H20" s="50">
        <v>45.43</v>
      </c>
      <c r="I20" s="50">
        <v>0</v>
      </c>
      <c r="J20" s="50">
        <v>0.42</v>
      </c>
      <c r="K20" s="50">
        <v>346.55</v>
      </c>
      <c r="L20" s="50">
        <v>28.08</v>
      </c>
      <c r="M20" s="50">
        <v>50.96</v>
      </c>
      <c r="N20" s="50">
        <v>453.3</v>
      </c>
      <c r="O20" s="50">
        <v>0</v>
      </c>
      <c r="P20" s="50">
        <v>1.03</v>
      </c>
      <c r="Q20" s="50">
        <v>4.9400000000000004</v>
      </c>
    </row>
    <row r="21" spans="1:17" customFormat="1">
      <c r="A21" s="49">
        <v>45324.541666666664</v>
      </c>
      <c r="B21" s="50">
        <v>8.58</v>
      </c>
      <c r="C21" s="50">
        <v>28.37</v>
      </c>
      <c r="D21" s="50">
        <v>23.05</v>
      </c>
      <c r="E21" s="50">
        <v>7.66</v>
      </c>
      <c r="F21" s="50">
        <v>4.71</v>
      </c>
      <c r="G21" s="50">
        <v>109.53</v>
      </c>
      <c r="H21" s="50">
        <v>42.73</v>
      </c>
      <c r="I21" s="50">
        <v>0</v>
      </c>
      <c r="J21" s="50">
        <v>1.06</v>
      </c>
      <c r="K21" s="50">
        <v>146.62</v>
      </c>
      <c r="L21" s="50">
        <v>28.13</v>
      </c>
      <c r="M21" s="50">
        <v>47.76</v>
      </c>
      <c r="N21" s="50">
        <v>283</v>
      </c>
      <c r="O21" s="50">
        <v>0</v>
      </c>
      <c r="P21" s="50">
        <v>0.94</v>
      </c>
      <c r="Q21" s="50">
        <v>4.83</v>
      </c>
    </row>
    <row r="22" spans="1:17" customFormat="1">
      <c r="A22" s="49">
        <v>45324.583333333336</v>
      </c>
      <c r="B22" s="50">
        <v>5.82</v>
      </c>
      <c r="C22" s="50">
        <v>28.19</v>
      </c>
      <c r="D22" s="50">
        <v>20.72</v>
      </c>
      <c r="E22" s="50">
        <v>7.53</v>
      </c>
      <c r="F22" s="50">
        <v>5.24</v>
      </c>
      <c r="G22" s="50">
        <v>102.68</v>
      </c>
      <c r="H22" s="50">
        <v>41.3</v>
      </c>
      <c r="I22" s="50">
        <v>0</v>
      </c>
      <c r="J22" s="50">
        <v>0.62</v>
      </c>
      <c r="K22" s="50">
        <v>241.55</v>
      </c>
      <c r="L22" s="50">
        <v>28.14</v>
      </c>
      <c r="M22" s="50">
        <v>44.4</v>
      </c>
      <c r="N22" s="50">
        <v>277.89999999999998</v>
      </c>
      <c r="O22" s="50">
        <v>0</v>
      </c>
      <c r="P22" s="50">
        <v>0.89</v>
      </c>
      <c r="Q22" s="50">
        <v>4.78</v>
      </c>
    </row>
    <row r="23" spans="1:17" customFormat="1">
      <c r="A23" s="49">
        <v>45324.625</v>
      </c>
      <c r="B23" s="50">
        <v>5.25</v>
      </c>
      <c r="C23" s="50">
        <v>26.95</v>
      </c>
      <c r="D23" s="50">
        <v>19.64</v>
      </c>
      <c r="E23" s="50">
        <v>7.5</v>
      </c>
      <c r="F23" s="50">
        <v>5.85</v>
      </c>
      <c r="G23" s="50">
        <v>94.12</v>
      </c>
      <c r="H23" s="50">
        <v>38.22</v>
      </c>
      <c r="I23" s="50">
        <v>0</v>
      </c>
      <c r="J23" s="50">
        <v>0.61</v>
      </c>
      <c r="K23" s="50">
        <v>289.31</v>
      </c>
      <c r="L23" s="50">
        <v>28.14</v>
      </c>
      <c r="M23" s="50">
        <v>53.43</v>
      </c>
      <c r="N23" s="50">
        <v>143.1</v>
      </c>
      <c r="O23" s="50">
        <v>0</v>
      </c>
      <c r="P23" s="50">
        <v>0.82</v>
      </c>
      <c r="Q23" s="50">
        <v>4.75</v>
      </c>
    </row>
    <row r="24" spans="1:17" customFormat="1">
      <c r="A24" s="49">
        <v>45324.666666666664</v>
      </c>
      <c r="B24" s="50">
        <v>4.68</v>
      </c>
      <c r="C24" s="50">
        <v>24.71</v>
      </c>
      <c r="D24" s="50">
        <v>17.97</v>
      </c>
      <c r="E24" s="50">
        <v>6.98</v>
      </c>
      <c r="F24" s="50">
        <v>5.35</v>
      </c>
      <c r="G24" s="50">
        <v>88.01</v>
      </c>
      <c r="H24" s="50">
        <v>37.72</v>
      </c>
      <c r="I24" s="50">
        <v>0</v>
      </c>
      <c r="J24" s="50">
        <v>0.3</v>
      </c>
      <c r="K24" s="50">
        <v>271.44</v>
      </c>
      <c r="L24" s="50">
        <v>27.65</v>
      </c>
      <c r="M24" s="50">
        <v>54.7</v>
      </c>
      <c r="N24" s="50">
        <v>143.5</v>
      </c>
      <c r="O24" s="50">
        <v>0</v>
      </c>
      <c r="P24" s="50">
        <v>0.82</v>
      </c>
      <c r="Q24" s="50">
        <v>4.71</v>
      </c>
    </row>
    <row r="25" spans="1:17" customFormat="1">
      <c r="A25" s="49">
        <v>45324.708333333336</v>
      </c>
      <c r="B25" s="50">
        <v>4.58</v>
      </c>
      <c r="C25" s="50">
        <v>16.79</v>
      </c>
      <c r="D25" s="50">
        <v>13.8</v>
      </c>
      <c r="E25" s="50">
        <v>6.27</v>
      </c>
      <c r="F25" s="50">
        <v>4.7300000000000004</v>
      </c>
      <c r="G25" s="50">
        <v>84.36</v>
      </c>
      <c r="H25" s="50">
        <v>36.590000000000003</v>
      </c>
      <c r="I25" s="50">
        <v>0</v>
      </c>
      <c r="J25" s="50">
        <v>0.42</v>
      </c>
      <c r="K25" s="50">
        <v>267.58999999999997</v>
      </c>
      <c r="L25" s="50">
        <v>27.09</v>
      </c>
      <c r="M25" s="50">
        <v>62.51</v>
      </c>
      <c r="N25" s="50">
        <v>61.6</v>
      </c>
      <c r="O25" s="50">
        <v>0</v>
      </c>
      <c r="P25" s="50">
        <v>0.8</v>
      </c>
      <c r="Q25" s="50">
        <v>4.7300000000000004</v>
      </c>
    </row>
    <row r="26" spans="1:17" customFormat="1">
      <c r="A26" s="49">
        <v>45324.75</v>
      </c>
      <c r="B26" s="50">
        <v>4.8600000000000003</v>
      </c>
      <c r="C26" s="50">
        <v>15.79</v>
      </c>
      <c r="D26" s="50">
        <v>13.5</v>
      </c>
      <c r="E26" s="50">
        <v>5.83</v>
      </c>
      <c r="F26" s="50">
        <v>4.01</v>
      </c>
      <c r="G26" s="50">
        <v>79.78</v>
      </c>
      <c r="H26" s="50">
        <v>36.450000000000003</v>
      </c>
      <c r="I26" s="50">
        <v>0</v>
      </c>
      <c r="J26" s="50">
        <v>0.14000000000000001</v>
      </c>
      <c r="K26" s="50">
        <v>186.98</v>
      </c>
      <c r="L26" s="50">
        <v>25.24</v>
      </c>
      <c r="M26" s="50">
        <v>69.37</v>
      </c>
      <c r="N26" s="50">
        <v>13.6</v>
      </c>
      <c r="O26" s="50">
        <v>0</v>
      </c>
      <c r="P26" s="50">
        <v>0.81</v>
      </c>
      <c r="Q26" s="50">
        <v>4.82</v>
      </c>
    </row>
    <row r="27" spans="1:17" customFormat="1">
      <c r="A27" s="49">
        <v>45324.791666666664</v>
      </c>
      <c r="B27" s="50">
        <v>5.4</v>
      </c>
      <c r="C27" s="50">
        <v>17.13</v>
      </c>
      <c r="D27" s="50">
        <v>14.63</v>
      </c>
      <c r="E27" s="50">
        <v>8.06</v>
      </c>
      <c r="F27" s="50">
        <v>3.62</v>
      </c>
      <c r="G27" s="50">
        <v>79.11</v>
      </c>
      <c r="H27" s="50">
        <v>37.15</v>
      </c>
      <c r="I27" s="50">
        <v>0</v>
      </c>
      <c r="J27" s="50">
        <v>0.12</v>
      </c>
      <c r="K27" s="50">
        <v>181.7</v>
      </c>
      <c r="L27" s="50">
        <v>23.06</v>
      </c>
      <c r="M27" s="50">
        <v>77.11</v>
      </c>
      <c r="N27" s="50">
        <v>0</v>
      </c>
      <c r="O27" s="50">
        <v>0</v>
      </c>
      <c r="P27" s="50">
        <v>0.82</v>
      </c>
      <c r="Q27" s="50">
        <v>4.83</v>
      </c>
    </row>
    <row r="28" spans="1:17" customFormat="1">
      <c r="A28" s="49">
        <v>45324.833333333336</v>
      </c>
      <c r="B28" s="50">
        <v>6.11</v>
      </c>
      <c r="C28" s="50">
        <v>16.149999999999999</v>
      </c>
      <c r="D28" s="50">
        <v>14.32</v>
      </c>
      <c r="E28" s="50">
        <v>7.76</v>
      </c>
      <c r="F28" s="50">
        <v>3.71</v>
      </c>
      <c r="G28" s="50">
        <v>76.209999999999994</v>
      </c>
      <c r="H28" s="50">
        <v>34.82</v>
      </c>
      <c r="I28" s="50">
        <v>0</v>
      </c>
      <c r="J28" s="50">
        <v>0.16</v>
      </c>
      <c r="K28" s="50">
        <v>211.13</v>
      </c>
      <c r="L28" s="50">
        <v>21.51</v>
      </c>
      <c r="M28" s="50">
        <v>82.03</v>
      </c>
      <c r="N28" s="50">
        <v>0</v>
      </c>
      <c r="O28" s="50">
        <v>0</v>
      </c>
      <c r="P28" s="50">
        <v>0.82</v>
      </c>
      <c r="Q28" s="50">
        <v>4.83</v>
      </c>
    </row>
    <row r="29" spans="1:17" customFormat="1">
      <c r="A29" s="49">
        <v>45324.875</v>
      </c>
      <c r="B29" s="50">
        <v>6.11</v>
      </c>
      <c r="C29" s="50">
        <v>18.2</v>
      </c>
      <c r="D29" s="50">
        <v>15.62</v>
      </c>
      <c r="E29" s="50">
        <v>8.34</v>
      </c>
      <c r="F29" s="50">
        <v>3.57</v>
      </c>
      <c r="G29" s="50">
        <v>70.290000000000006</v>
      </c>
      <c r="H29" s="50">
        <v>33.869999999999997</v>
      </c>
      <c r="I29" s="50">
        <v>0</v>
      </c>
      <c r="J29" s="50">
        <v>0.19</v>
      </c>
      <c r="K29" s="50">
        <v>254.8</v>
      </c>
      <c r="L29" s="50">
        <v>20.78</v>
      </c>
      <c r="M29" s="50">
        <v>84.94</v>
      </c>
      <c r="N29" s="50">
        <v>0</v>
      </c>
      <c r="O29" s="50">
        <v>0</v>
      </c>
      <c r="P29" s="50">
        <v>0.83</v>
      </c>
      <c r="Q29" s="50">
        <v>4.82</v>
      </c>
    </row>
    <row r="30" spans="1:17" customFormat="1">
      <c r="A30" s="49">
        <v>45324.916666666664</v>
      </c>
      <c r="B30" s="50">
        <v>6.47</v>
      </c>
      <c r="C30" s="50">
        <v>19.54</v>
      </c>
      <c r="D30" s="50">
        <v>16.739999999999998</v>
      </c>
      <c r="E30" s="50">
        <v>8.3699999999999992</v>
      </c>
      <c r="F30" s="50">
        <v>3.46</v>
      </c>
      <c r="G30" s="50">
        <v>63.98</v>
      </c>
      <c r="H30" s="50">
        <v>35.619999999999997</v>
      </c>
      <c r="I30" s="50">
        <v>0</v>
      </c>
      <c r="J30" s="50">
        <v>0.18</v>
      </c>
      <c r="K30" s="50">
        <v>234.12</v>
      </c>
      <c r="L30" s="50">
        <v>20.5</v>
      </c>
      <c r="M30" s="50">
        <v>87.69</v>
      </c>
      <c r="N30" s="50">
        <v>0</v>
      </c>
      <c r="O30" s="50">
        <v>0</v>
      </c>
      <c r="P30" s="50">
        <v>0.87</v>
      </c>
      <c r="Q30" s="50">
        <v>4.83</v>
      </c>
    </row>
    <row r="31" spans="1:17" customFormat="1">
      <c r="A31" s="49">
        <v>45324.958333333336</v>
      </c>
      <c r="B31" s="50">
        <v>7.94</v>
      </c>
      <c r="C31" s="50">
        <v>21.43</v>
      </c>
      <c r="D31" s="50">
        <v>18.91</v>
      </c>
      <c r="E31" s="50">
        <v>8.94</v>
      </c>
      <c r="F31" s="50">
        <v>3.41</v>
      </c>
      <c r="G31" s="50">
        <v>67.77</v>
      </c>
      <c r="H31" s="50">
        <v>34.549999999999997</v>
      </c>
      <c r="I31" s="50">
        <v>0</v>
      </c>
      <c r="J31" s="50">
        <v>0.96</v>
      </c>
      <c r="K31" s="50">
        <v>210.63</v>
      </c>
      <c r="L31" s="50">
        <v>21</v>
      </c>
      <c r="M31" s="50">
        <v>88.91</v>
      </c>
      <c r="N31" s="50">
        <v>0</v>
      </c>
      <c r="O31" s="50">
        <v>0</v>
      </c>
      <c r="P31" s="50">
        <v>0.9</v>
      </c>
      <c r="Q31" s="50">
        <v>4.79</v>
      </c>
    </row>
    <row r="32" spans="1:17" customFormat="1">
      <c r="A32" s="49">
        <v>45325</v>
      </c>
      <c r="B32" s="50">
        <v>13.71</v>
      </c>
      <c r="C32" s="50">
        <v>25.87</v>
      </c>
      <c r="D32" s="50">
        <v>25.86</v>
      </c>
      <c r="E32" s="50">
        <v>9.06</v>
      </c>
      <c r="F32" s="50">
        <v>3.35</v>
      </c>
      <c r="G32" s="50">
        <v>66.680000000000007</v>
      </c>
      <c r="H32" s="50">
        <v>32.17</v>
      </c>
      <c r="I32" s="50">
        <v>0</v>
      </c>
      <c r="J32" s="50">
        <v>0.19</v>
      </c>
      <c r="K32" s="50">
        <v>212.94</v>
      </c>
      <c r="L32" s="50">
        <v>20.99</v>
      </c>
      <c r="M32" s="50">
        <v>86.79</v>
      </c>
      <c r="N32" s="50">
        <v>0</v>
      </c>
      <c r="O32" s="50">
        <v>0</v>
      </c>
      <c r="P32" s="50">
        <v>0.95</v>
      </c>
      <c r="Q32" s="50">
        <v>4.82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4.58</v>
      </c>
      <c r="C34" s="40">
        <f t="shared" si="0"/>
        <v>15.79</v>
      </c>
      <c r="D34" s="40">
        <f t="shared" si="0"/>
        <v>13.5</v>
      </c>
      <c r="E34" s="40">
        <f t="shared" si="0"/>
        <v>5.83</v>
      </c>
      <c r="F34" s="40">
        <f t="shared" si="0"/>
        <v>3.31</v>
      </c>
      <c r="G34" s="40">
        <f t="shared" si="0"/>
        <v>63.98</v>
      </c>
      <c r="H34" s="40">
        <f t="shared" si="0"/>
        <v>32.17</v>
      </c>
      <c r="I34" s="40">
        <f t="shared" si="0"/>
        <v>0</v>
      </c>
      <c r="J34" s="40">
        <f t="shared" si="0"/>
        <v>0.12</v>
      </c>
      <c r="K34" s="40">
        <f t="shared" si="0"/>
        <v>52.2</v>
      </c>
      <c r="L34" s="40">
        <f t="shared" si="0"/>
        <v>19.420000000000002</v>
      </c>
      <c r="M34" s="40">
        <f t="shared" si="0"/>
        <v>44.4</v>
      </c>
      <c r="N34" s="40">
        <f t="shared" si="0"/>
        <v>0</v>
      </c>
      <c r="O34" s="40">
        <f t="shared" si="0"/>
        <v>0</v>
      </c>
      <c r="P34" s="40">
        <f t="shared" si="0"/>
        <v>0.8</v>
      </c>
      <c r="Q34" s="40">
        <f t="shared" si="0"/>
        <v>4.71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33.369999999999997</v>
      </c>
      <c r="C35" s="33">
        <f t="shared" si="1"/>
        <v>29.27</v>
      </c>
      <c r="D35" s="33">
        <f t="shared" si="1"/>
        <v>42.09</v>
      </c>
      <c r="E35" s="33">
        <f t="shared" si="1"/>
        <v>9.06</v>
      </c>
      <c r="F35" s="33">
        <f t="shared" si="1"/>
        <v>5.85</v>
      </c>
      <c r="G35" s="33">
        <f t="shared" si="1"/>
        <v>127.73</v>
      </c>
      <c r="H35" s="33">
        <f t="shared" si="1"/>
        <v>49.22</v>
      </c>
      <c r="I35" s="33">
        <f t="shared" si="1"/>
        <v>10.35</v>
      </c>
      <c r="J35" s="33">
        <f t="shared" si="1"/>
        <v>1.3</v>
      </c>
      <c r="K35" s="33">
        <f t="shared" si="1"/>
        <v>346.55</v>
      </c>
      <c r="L35" s="33">
        <f t="shared" si="1"/>
        <v>28.14</v>
      </c>
      <c r="M35" s="33">
        <f t="shared" si="1"/>
        <v>88.91</v>
      </c>
      <c r="N35" s="33">
        <f t="shared" si="1"/>
        <v>453.3</v>
      </c>
      <c r="O35" s="33">
        <f t="shared" si="1"/>
        <v>0</v>
      </c>
      <c r="P35" s="33">
        <f t="shared" si="1"/>
        <v>1.0900000000000001</v>
      </c>
      <c r="Q35" s="33">
        <f t="shared" si="1"/>
        <v>5.04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17.16041666666667</v>
      </c>
      <c r="C36" s="40">
        <f t="shared" si="2"/>
        <v>23.837499999999995</v>
      </c>
      <c r="D36" s="40">
        <f t="shared" si="2"/>
        <v>27.285</v>
      </c>
      <c r="E36" s="40">
        <f t="shared" si="2"/>
        <v>7.8550000000000004</v>
      </c>
      <c r="F36" s="40">
        <f t="shared" si="2"/>
        <v>3.9133333333333327</v>
      </c>
      <c r="G36" s="40">
        <f t="shared" si="2"/>
        <v>95.270833333333314</v>
      </c>
      <c r="H36" s="40">
        <f t="shared" si="2"/>
        <v>39.278749999999995</v>
      </c>
      <c r="I36" s="40">
        <f t="shared" si="2"/>
        <v>1.2925000000000002</v>
      </c>
      <c r="J36" s="40">
        <f t="shared" si="2"/>
        <v>0.47</v>
      </c>
      <c r="K36" s="40">
        <f t="shared" si="2"/>
        <v>210.04875000000001</v>
      </c>
      <c r="L36" s="40">
        <f t="shared" si="2"/>
        <v>23.105416666666667</v>
      </c>
      <c r="M36" s="40">
        <f t="shared" si="2"/>
        <v>73.775416666666658</v>
      </c>
      <c r="N36" s="40">
        <f t="shared" si="2"/>
        <v>98.229166666666643</v>
      </c>
      <c r="O36" s="40">
        <f t="shared" si="2"/>
        <v>0</v>
      </c>
      <c r="P36" s="40">
        <f t="shared" si="2"/>
        <v>0.95166666666666655</v>
      </c>
      <c r="Q36" s="40">
        <f t="shared" si="2"/>
        <v>4.8862499999999995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11.526522715277013</v>
      </c>
      <c r="C37" s="40">
        <f t="shared" ref="C37:Q37" si="3">STDEV(C9:C32)</f>
        <v>4.4781821331195859</v>
      </c>
      <c r="D37" s="40">
        <f t="shared" si="3"/>
        <v>10.38928754304999</v>
      </c>
      <c r="E37" s="40">
        <f t="shared" si="3"/>
        <v>0.80573487925754883</v>
      </c>
      <c r="F37" s="40">
        <f t="shared" si="3"/>
        <v>0.73879847617994121</v>
      </c>
      <c r="G37" s="40">
        <f t="shared" si="3"/>
        <v>18.928073908458366</v>
      </c>
      <c r="H37" s="40">
        <f t="shared" si="3"/>
        <v>4.5139930385606437</v>
      </c>
      <c r="I37" s="40">
        <f t="shared" si="3"/>
        <v>3.4931862246379022</v>
      </c>
      <c r="J37" s="40">
        <f t="shared" si="3"/>
        <v>0.3581959628835687</v>
      </c>
      <c r="K37" s="40">
        <f t="shared" si="3"/>
        <v>82.759788561338041</v>
      </c>
      <c r="L37" s="40">
        <f t="shared" si="3"/>
        <v>3.3534654096357204</v>
      </c>
      <c r="M37" s="40">
        <f t="shared" si="3"/>
        <v>14.779847319081549</v>
      </c>
      <c r="N37" s="40">
        <f t="shared" si="3"/>
        <v>145.2979890915837</v>
      </c>
      <c r="O37" s="40">
        <f t="shared" si="3"/>
        <v>0</v>
      </c>
      <c r="P37" s="40">
        <f t="shared" si="3"/>
        <v>0.10561071531055034</v>
      </c>
      <c r="Q37" s="40">
        <f t="shared" si="3"/>
        <v>0.10141659670370066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45325.041666666664</v>
      </c>
      <c r="B9" s="50">
        <v>19.14</v>
      </c>
      <c r="C9" s="50">
        <v>28.37</v>
      </c>
      <c r="D9" s="50">
        <v>31.52</v>
      </c>
      <c r="E9" s="50">
        <v>9.2100000000000009</v>
      </c>
      <c r="F9" s="50">
        <v>3.27</v>
      </c>
      <c r="G9" s="50">
        <v>70.650000000000006</v>
      </c>
      <c r="H9" s="50">
        <v>33.46</v>
      </c>
      <c r="I9" s="50">
        <v>0</v>
      </c>
      <c r="J9" s="50">
        <v>0.21</v>
      </c>
      <c r="K9" s="50">
        <v>226.36</v>
      </c>
      <c r="L9" s="50">
        <v>20.34</v>
      </c>
      <c r="M9" s="50">
        <v>87.56</v>
      </c>
      <c r="N9" s="50">
        <v>0</v>
      </c>
      <c r="O9" s="50">
        <v>0</v>
      </c>
      <c r="P9" s="50">
        <v>1.04</v>
      </c>
      <c r="Q9" s="50">
        <v>4.84</v>
      </c>
    </row>
    <row r="10" spans="1:21" customFormat="1">
      <c r="A10" s="49">
        <v>45325.083333333336</v>
      </c>
      <c r="B10" s="50">
        <v>23.22</v>
      </c>
      <c r="C10" s="50">
        <v>27.51</v>
      </c>
      <c r="D10" s="50">
        <v>33.1</v>
      </c>
      <c r="E10" s="50">
        <v>9.0399999999999991</v>
      </c>
      <c r="F10" s="50">
        <v>3.57</v>
      </c>
      <c r="G10" s="50">
        <v>85.11</v>
      </c>
      <c r="H10" s="50">
        <v>35.99</v>
      </c>
      <c r="I10" s="50">
        <v>0</v>
      </c>
      <c r="J10" s="50">
        <v>0.79</v>
      </c>
      <c r="K10" s="50">
        <v>64.44</v>
      </c>
      <c r="L10" s="50">
        <v>20.99</v>
      </c>
      <c r="M10" s="50">
        <v>72.69</v>
      </c>
      <c r="N10" s="50">
        <v>0</v>
      </c>
      <c r="O10" s="50">
        <v>0</v>
      </c>
      <c r="P10" s="50">
        <v>1.06</v>
      </c>
      <c r="Q10" s="50">
        <v>4.87</v>
      </c>
    </row>
    <row r="11" spans="1:21" customFormat="1">
      <c r="A11" s="49">
        <v>45325.125</v>
      </c>
      <c r="B11" s="50">
        <v>22.5</v>
      </c>
      <c r="C11" s="50">
        <v>24.87</v>
      </c>
      <c r="D11" s="50">
        <v>31.95</v>
      </c>
      <c r="E11" s="50">
        <v>6.76</v>
      </c>
      <c r="F11" s="50">
        <v>3.33</v>
      </c>
      <c r="G11" s="50">
        <v>83.24</v>
      </c>
      <c r="H11" s="50">
        <v>35.43</v>
      </c>
      <c r="I11" s="50">
        <v>0</v>
      </c>
      <c r="J11" s="50">
        <v>0.65</v>
      </c>
      <c r="K11" s="50">
        <v>62.91</v>
      </c>
      <c r="L11" s="50">
        <v>20.22</v>
      </c>
      <c r="M11" s="50">
        <v>63.2</v>
      </c>
      <c r="N11" s="50">
        <v>0</v>
      </c>
      <c r="O11" s="50">
        <v>0</v>
      </c>
      <c r="P11" s="50">
        <v>1.02</v>
      </c>
      <c r="Q11" s="50">
        <v>4.8899999999999997</v>
      </c>
    </row>
    <row r="12" spans="1:21" customFormat="1">
      <c r="A12" s="49">
        <v>45325.166666666664</v>
      </c>
      <c r="B12" s="50">
        <v>21.59</v>
      </c>
      <c r="C12" s="50">
        <v>24.62</v>
      </c>
      <c r="D12" s="50">
        <v>31.53</v>
      </c>
      <c r="E12" s="50">
        <v>6.44</v>
      </c>
      <c r="F12" s="50">
        <v>3.52</v>
      </c>
      <c r="G12" s="50">
        <v>75.430000000000007</v>
      </c>
      <c r="H12" s="50">
        <v>31.56</v>
      </c>
      <c r="I12" s="50">
        <v>0</v>
      </c>
      <c r="J12" s="50">
        <v>0.41</v>
      </c>
      <c r="K12" s="50">
        <v>172.05</v>
      </c>
      <c r="L12" s="50">
        <v>19.28</v>
      </c>
      <c r="M12" s="50">
        <v>78.39</v>
      </c>
      <c r="N12" s="50">
        <v>0</v>
      </c>
      <c r="O12" s="50">
        <v>0</v>
      </c>
      <c r="P12" s="50">
        <v>0.97</v>
      </c>
      <c r="Q12" s="50">
        <v>4.91</v>
      </c>
    </row>
    <row r="13" spans="1:21" customFormat="1">
      <c r="A13" s="49">
        <v>45325.208333333336</v>
      </c>
      <c r="B13" s="50">
        <v>20.260000000000002</v>
      </c>
      <c r="C13" s="50">
        <v>23.44</v>
      </c>
      <c r="D13" s="50">
        <v>29.85</v>
      </c>
      <c r="E13" s="50">
        <v>6.36</v>
      </c>
      <c r="F13" s="50">
        <v>3.41</v>
      </c>
      <c r="G13" s="50">
        <v>63.77</v>
      </c>
      <c r="H13" s="50">
        <v>29.68</v>
      </c>
      <c r="I13" s="50">
        <v>0</v>
      </c>
      <c r="J13" s="50">
        <v>0.4</v>
      </c>
      <c r="K13" s="50">
        <v>173.95</v>
      </c>
      <c r="L13" s="50">
        <v>17.14</v>
      </c>
      <c r="M13" s="50">
        <v>81.12</v>
      </c>
      <c r="N13" s="50">
        <v>0</v>
      </c>
      <c r="O13" s="50">
        <v>0</v>
      </c>
      <c r="P13" s="50">
        <v>0.86</v>
      </c>
      <c r="Q13" s="50">
        <v>4.9400000000000004</v>
      </c>
    </row>
    <row r="14" spans="1:21" customFormat="1">
      <c r="A14" s="49">
        <v>45325.25</v>
      </c>
      <c r="B14" s="50">
        <v>27.73</v>
      </c>
      <c r="C14" s="50">
        <v>25.15</v>
      </c>
      <c r="D14" s="50">
        <v>36.729999999999997</v>
      </c>
      <c r="E14" s="50">
        <v>6.59</v>
      </c>
      <c r="F14" s="50">
        <v>3.32</v>
      </c>
      <c r="G14" s="50">
        <v>59.36</v>
      </c>
      <c r="H14" s="50">
        <v>27.5</v>
      </c>
      <c r="I14" s="50">
        <v>0</v>
      </c>
      <c r="J14" s="50">
        <v>0.44</v>
      </c>
      <c r="K14" s="50">
        <v>186.86</v>
      </c>
      <c r="L14" s="50">
        <v>17.48</v>
      </c>
      <c r="M14" s="50">
        <v>85.01</v>
      </c>
      <c r="N14" s="50">
        <v>0</v>
      </c>
      <c r="O14" s="50">
        <v>0</v>
      </c>
      <c r="P14" s="50">
        <v>0.81</v>
      </c>
      <c r="Q14" s="50">
        <v>5.03</v>
      </c>
    </row>
    <row r="15" spans="1:21" customFormat="1">
      <c r="A15" s="49">
        <v>45325.291666666664</v>
      </c>
      <c r="B15" s="50">
        <v>29.43</v>
      </c>
      <c r="C15" s="50">
        <v>25.94</v>
      </c>
      <c r="D15" s="50">
        <v>38.5</v>
      </c>
      <c r="E15" s="50">
        <v>6.88</v>
      </c>
      <c r="F15" s="50">
        <v>3.33</v>
      </c>
      <c r="G15" s="50">
        <v>62.32</v>
      </c>
      <c r="H15" s="50">
        <v>26.94</v>
      </c>
      <c r="I15" s="50">
        <v>0</v>
      </c>
      <c r="J15" s="50">
        <v>0.56999999999999995</v>
      </c>
      <c r="K15" s="50">
        <v>184.49</v>
      </c>
      <c r="L15" s="50">
        <v>16.7</v>
      </c>
      <c r="M15" s="50">
        <v>87.71</v>
      </c>
      <c r="N15" s="50">
        <v>5</v>
      </c>
      <c r="O15" s="50">
        <v>0</v>
      </c>
      <c r="P15" s="50">
        <v>0.76</v>
      </c>
      <c r="Q15" s="50">
        <v>5.05</v>
      </c>
    </row>
    <row r="16" spans="1:21" customFormat="1">
      <c r="A16" s="49">
        <v>45325.333333333336</v>
      </c>
      <c r="B16" s="50">
        <v>34.53</v>
      </c>
      <c r="C16" s="50">
        <v>29.35</v>
      </c>
      <c r="D16" s="50">
        <v>44.37</v>
      </c>
      <c r="E16" s="50">
        <v>6.53</v>
      </c>
      <c r="F16" s="50">
        <v>3.36</v>
      </c>
      <c r="G16" s="50">
        <v>66.73</v>
      </c>
      <c r="H16" s="50">
        <v>27.33</v>
      </c>
      <c r="I16" s="50">
        <v>0</v>
      </c>
      <c r="J16" s="50">
        <v>0.69</v>
      </c>
      <c r="K16" s="50">
        <v>56.46</v>
      </c>
      <c r="L16" s="50">
        <v>18.47</v>
      </c>
      <c r="M16" s="50">
        <v>75.94</v>
      </c>
      <c r="N16" s="50">
        <v>53.9</v>
      </c>
      <c r="O16" s="50">
        <v>0</v>
      </c>
      <c r="P16" s="50">
        <v>0.82</v>
      </c>
      <c r="Q16" s="50">
        <v>5.0599999999999996</v>
      </c>
    </row>
    <row r="17" spans="1:17" customFormat="1">
      <c r="A17" s="49">
        <v>45325.375</v>
      </c>
      <c r="B17" s="50">
        <v>34.99</v>
      </c>
      <c r="C17" s="50">
        <v>30.16</v>
      </c>
      <c r="D17" s="50">
        <v>45</v>
      </c>
      <c r="E17" s="50">
        <v>6.98</v>
      </c>
      <c r="F17" s="50">
        <v>3.39</v>
      </c>
      <c r="G17" s="50">
        <v>88.86</v>
      </c>
      <c r="H17" s="50">
        <v>32.17</v>
      </c>
      <c r="I17" s="50">
        <v>0</v>
      </c>
      <c r="J17" s="50">
        <v>1.08</v>
      </c>
      <c r="K17" s="50">
        <v>67.239999999999995</v>
      </c>
      <c r="L17" s="50">
        <v>21.76</v>
      </c>
      <c r="M17" s="50">
        <v>67.27</v>
      </c>
      <c r="N17" s="50">
        <v>286.39999999999998</v>
      </c>
      <c r="O17" s="50">
        <v>0</v>
      </c>
      <c r="P17" s="50">
        <v>0.84</v>
      </c>
      <c r="Q17" s="50">
        <v>5.08</v>
      </c>
    </row>
    <row r="18" spans="1:17" customFormat="1">
      <c r="A18" s="49">
        <v>45325.416666666664</v>
      </c>
      <c r="B18" s="50">
        <v>30.81</v>
      </c>
      <c r="C18" s="50">
        <v>30.95</v>
      </c>
      <c r="D18" s="50">
        <v>41.98</v>
      </c>
      <c r="E18" s="50">
        <v>7.08</v>
      </c>
      <c r="F18" s="50">
        <v>3.58</v>
      </c>
      <c r="G18" s="50">
        <v>87.29</v>
      </c>
      <c r="H18" s="50">
        <v>30.79</v>
      </c>
      <c r="I18" s="50">
        <v>0</v>
      </c>
      <c r="J18" s="50">
        <v>0.85</v>
      </c>
      <c r="K18" s="50">
        <v>81.180000000000007</v>
      </c>
      <c r="L18" s="50">
        <v>24.92</v>
      </c>
      <c r="M18" s="50">
        <v>45.52</v>
      </c>
      <c r="N18" s="50">
        <v>361.4</v>
      </c>
      <c r="O18" s="50">
        <v>0</v>
      </c>
      <c r="P18" s="50">
        <v>0.83</v>
      </c>
      <c r="Q18" s="50">
        <v>5.04</v>
      </c>
    </row>
    <row r="19" spans="1:17" customFormat="1">
      <c r="A19" s="49">
        <v>45325.458333333336</v>
      </c>
      <c r="B19" s="50">
        <v>23.53</v>
      </c>
      <c r="C19" s="50">
        <v>30.86</v>
      </c>
      <c r="D19" s="50">
        <v>36.340000000000003</v>
      </c>
      <c r="E19" s="50">
        <v>8.57</v>
      </c>
      <c r="F19" s="50">
        <v>3.86</v>
      </c>
      <c r="G19" s="50">
        <v>86.69</v>
      </c>
      <c r="H19" s="50">
        <v>31.45</v>
      </c>
      <c r="I19" s="50">
        <v>0</v>
      </c>
      <c r="J19" s="50">
        <v>0.97</v>
      </c>
      <c r="K19" s="50">
        <v>79.430000000000007</v>
      </c>
      <c r="L19" s="50">
        <v>26.76</v>
      </c>
      <c r="M19" s="50">
        <v>32.67</v>
      </c>
      <c r="N19" s="50">
        <v>563.70000000000005</v>
      </c>
      <c r="O19" s="50">
        <v>0</v>
      </c>
      <c r="P19" s="50">
        <v>0.78</v>
      </c>
      <c r="Q19" s="50">
        <v>4.95</v>
      </c>
    </row>
    <row r="20" spans="1:17" customFormat="1">
      <c r="A20" s="49">
        <v>45325.5</v>
      </c>
      <c r="B20" s="50">
        <v>17.14</v>
      </c>
      <c r="C20" s="50">
        <v>27.63</v>
      </c>
      <c r="D20" s="50">
        <v>29.53</v>
      </c>
      <c r="E20" s="50">
        <v>7.81</v>
      </c>
      <c r="F20" s="50">
        <v>4.32</v>
      </c>
      <c r="G20" s="50">
        <v>80.95</v>
      </c>
      <c r="H20" s="50">
        <v>28.2</v>
      </c>
      <c r="I20" s="50">
        <v>0</v>
      </c>
      <c r="J20" s="50">
        <v>1.05</v>
      </c>
      <c r="K20" s="50">
        <v>85.9</v>
      </c>
      <c r="L20" s="50">
        <v>27.84</v>
      </c>
      <c r="M20" s="50">
        <v>27.13</v>
      </c>
      <c r="N20" s="50">
        <v>612.70000000000005</v>
      </c>
      <c r="O20" s="50">
        <v>0</v>
      </c>
      <c r="P20" s="50">
        <v>0.74</v>
      </c>
      <c r="Q20" s="50">
        <v>4.8899999999999997</v>
      </c>
    </row>
    <row r="21" spans="1:17" customFormat="1">
      <c r="A21" s="49">
        <v>45325.541666666664</v>
      </c>
      <c r="B21" s="50">
        <v>14.69</v>
      </c>
      <c r="C21" s="50">
        <v>24.54</v>
      </c>
      <c r="D21" s="50">
        <v>25.96</v>
      </c>
      <c r="E21" s="50">
        <v>7.89</v>
      </c>
      <c r="F21" s="50">
        <v>4.8</v>
      </c>
      <c r="G21" s="50">
        <v>72.989999999999995</v>
      </c>
      <c r="H21" s="50">
        <v>28.78</v>
      </c>
      <c r="I21" s="50">
        <v>0</v>
      </c>
      <c r="J21" s="50">
        <v>0.92</v>
      </c>
      <c r="K21" s="50">
        <v>59.99</v>
      </c>
      <c r="L21" s="50">
        <v>28.69</v>
      </c>
      <c r="M21" s="50">
        <v>26.13</v>
      </c>
      <c r="N21" s="50">
        <v>639.4</v>
      </c>
      <c r="O21" s="50">
        <v>0</v>
      </c>
      <c r="P21" s="50">
        <v>0.7</v>
      </c>
      <c r="Q21" s="50">
        <v>4.8600000000000003</v>
      </c>
    </row>
    <row r="22" spans="1:17" customFormat="1">
      <c r="A22" s="49">
        <v>45325.583333333336</v>
      </c>
      <c r="B22" s="50">
        <v>11.27</v>
      </c>
      <c r="C22" s="50">
        <v>21.78</v>
      </c>
      <c r="D22" s="50">
        <v>21.77</v>
      </c>
      <c r="E22" s="50">
        <v>7.68</v>
      </c>
      <c r="F22" s="50">
        <v>4.82</v>
      </c>
      <c r="G22" s="50">
        <v>62.49</v>
      </c>
      <c r="H22" s="50">
        <v>24.87</v>
      </c>
      <c r="I22" s="50">
        <v>0</v>
      </c>
      <c r="J22" s="50">
        <v>0.77</v>
      </c>
      <c r="K22" s="50">
        <v>348.76</v>
      </c>
      <c r="L22" s="50">
        <v>29.85</v>
      </c>
      <c r="M22" s="50">
        <v>24.66</v>
      </c>
      <c r="N22" s="50">
        <v>588.29999999999995</v>
      </c>
      <c r="O22" s="50">
        <v>0</v>
      </c>
      <c r="P22" s="50">
        <v>0.65</v>
      </c>
      <c r="Q22" s="50">
        <v>4.84</v>
      </c>
    </row>
    <row r="23" spans="1:17" customFormat="1">
      <c r="A23" s="49">
        <v>45325.625</v>
      </c>
      <c r="B23" s="50">
        <v>8.66</v>
      </c>
      <c r="C23" s="50">
        <v>20.21</v>
      </c>
      <c r="D23" s="50">
        <v>18.850000000000001</v>
      </c>
      <c r="E23" s="50">
        <v>8.8000000000000007</v>
      </c>
      <c r="F23" s="50">
        <v>4.8099999999999996</v>
      </c>
      <c r="G23" s="50">
        <v>58.83</v>
      </c>
      <c r="H23" s="50">
        <v>23.07</v>
      </c>
      <c r="I23" s="50">
        <v>0</v>
      </c>
      <c r="J23" s="50">
        <v>0.72</v>
      </c>
      <c r="K23" s="50">
        <v>344.6</v>
      </c>
      <c r="L23" s="50">
        <v>29.39</v>
      </c>
      <c r="M23" s="50">
        <v>25.31</v>
      </c>
      <c r="N23" s="50">
        <v>484.8</v>
      </c>
      <c r="O23" s="50">
        <v>0</v>
      </c>
      <c r="P23" s="50">
        <v>0.61</v>
      </c>
      <c r="Q23" s="50">
        <v>4.83</v>
      </c>
    </row>
    <row r="24" spans="1:17" customFormat="1">
      <c r="A24" s="49">
        <v>45325.666666666664</v>
      </c>
      <c r="B24" s="50">
        <v>7.93</v>
      </c>
      <c r="C24" s="50">
        <v>20.36</v>
      </c>
      <c r="D24" s="50">
        <v>18.13</v>
      </c>
      <c r="E24" s="50">
        <v>9.02</v>
      </c>
      <c r="F24" s="50">
        <v>6.01</v>
      </c>
      <c r="G24" s="50">
        <v>58.27</v>
      </c>
      <c r="H24" s="50">
        <v>25.39</v>
      </c>
      <c r="I24" s="50">
        <v>0</v>
      </c>
      <c r="J24" s="50">
        <v>1.26</v>
      </c>
      <c r="K24" s="50">
        <v>357.06</v>
      </c>
      <c r="L24" s="50">
        <v>28.81</v>
      </c>
      <c r="M24" s="50">
        <v>25.15</v>
      </c>
      <c r="N24" s="50">
        <v>98.4</v>
      </c>
      <c r="O24" s="50">
        <v>0</v>
      </c>
      <c r="P24" s="50">
        <v>0.6</v>
      </c>
      <c r="Q24" s="50">
        <v>4.8600000000000003</v>
      </c>
    </row>
    <row r="25" spans="1:17" customFormat="1">
      <c r="A25" s="49">
        <v>45325.708333333336</v>
      </c>
      <c r="B25" s="50">
        <v>6.55</v>
      </c>
      <c r="C25" s="50">
        <v>22.08</v>
      </c>
      <c r="D25" s="50">
        <v>17.850000000000001</v>
      </c>
      <c r="E25" s="50">
        <v>6.87</v>
      </c>
      <c r="F25" s="50">
        <v>6.15</v>
      </c>
      <c r="G25" s="50">
        <v>57.28</v>
      </c>
      <c r="H25" s="50">
        <v>23.35</v>
      </c>
      <c r="I25" s="50">
        <v>0</v>
      </c>
      <c r="J25" s="50">
        <v>0.9</v>
      </c>
      <c r="K25" s="50">
        <v>354.55</v>
      </c>
      <c r="L25" s="50">
        <v>28.32</v>
      </c>
      <c r="M25" s="50">
        <v>25.59</v>
      </c>
      <c r="N25" s="50">
        <v>64.5</v>
      </c>
      <c r="O25" s="50">
        <v>0</v>
      </c>
      <c r="P25" s="50">
        <v>0.55000000000000004</v>
      </c>
      <c r="Q25" s="50">
        <v>4.8600000000000003</v>
      </c>
    </row>
    <row r="26" spans="1:17" customFormat="1">
      <c r="A26" s="49">
        <v>45325.75</v>
      </c>
      <c r="B26" s="50">
        <v>9.18</v>
      </c>
      <c r="C26" s="50">
        <v>25.98</v>
      </c>
      <c r="D26" s="50">
        <v>22.29</v>
      </c>
      <c r="E26" s="50">
        <v>6.77</v>
      </c>
      <c r="F26" s="50">
        <v>5.05</v>
      </c>
      <c r="G26" s="50">
        <v>60.59</v>
      </c>
      <c r="H26" s="50">
        <v>21.12</v>
      </c>
      <c r="I26" s="50">
        <v>0</v>
      </c>
      <c r="J26" s="50">
        <v>0.62</v>
      </c>
      <c r="K26" s="50">
        <v>104.31</v>
      </c>
      <c r="L26" s="50">
        <v>27.42</v>
      </c>
      <c r="M26" s="50">
        <v>34.21</v>
      </c>
      <c r="N26" s="50">
        <v>16.5</v>
      </c>
      <c r="O26" s="50">
        <v>0</v>
      </c>
      <c r="P26" s="50">
        <v>0.59</v>
      </c>
      <c r="Q26" s="50">
        <v>4.93</v>
      </c>
    </row>
    <row r="27" spans="1:17" customFormat="1">
      <c r="A27" s="49">
        <v>45325.791666666664</v>
      </c>
      <c r="B27" s="50">
        <v>11.17</v>
      </c>
      <c r="C27" s="50">
        <v>26.78</v>
      </c>
      <c r="D27" s="50">
        <v>24.19</v>
      </c>
      <c r="E27" s="50">
        <v>7.05</v>
      </c>
      <c r="F27" s="50">
        <v>3.51</v>
      </c>
      <c r="G27" s="50">
        <v>71.44</v>
      </c>
      <c r="H27" s="50">
        <v>22.34</v>
      </c>
      <c r="I27" s="50">
        <v>0</v>
      </c>
      <c r="J27" s="50">
        <v>0.3</v>
      </c>
      <c r="K27" s="50">
        <v>182.79</v>
      </c>
      <c r="L27" s="50">
        <v>24.07</v>
      </c>
      <c r="M27" s="50">
        <v>58.08</v>
      </c>
      <c r="N27" s="50">
        <v>0</v>
      </c>
      <c r="O27" s="50">
        <v>0</v>
      </c>
      <c r="P27" s="50">
        <v>0.68</v>
      </c>
      <c r="Q27" s="50">
        <v>4.92</v>
      </c>
    </row>
    <row r="28" spans="1:17" customFormat="1">
      <c r="A28" s="49">
        <v>45325.833333333336</v>
      </c>
      <c r="B28" s="50">
        <v>16.02</v>
      </c>
      <c r="C28" s="50">
        <v>27.98</v>
      </c>
      <c r="D28" s="50">
        <v>28.82</v>
      </c>
      <c r="E28" s="50">
        <v>7.23</v>
      </c>
      <c r="F28" s="50">
        <v>3.37</v>
      </c>
      <c r="G28" s="50">
        <v>93.01</v>
      </c>
      <c r="H28" s="50">
        <v>30.88</v>
      </c>
      <c r="I28" s="50">
        <v>0</v>
      </c>
      <c r="J28" s="50">
        <v>0.31</v>
      </c>
      <c r="K28" s="50">
        <v>188.5</v>
      </c>
      <c r="L28" s="50">
        <v>21.57</v>
      </c>
      <c r="M28" s="50">
        <v>66.44</v>
      </c>
      <c r="N28" s="50">
        <v>0</v>
      </c>
      <c r="O28" s="50">
        <v>0</v>
      </c>
      <c r="P28" s="50">
        <v>0.86</v>
      </c>
      <c r="Q28" s="50">
        <v>4.96</v>
      </c>
    </row>
    <row r="29" spans="1:17" customFormat="1">
      <c r="A29" s="49">
        <v>45325.875</v>
      </c>
      <c r="B29" s="50">
        <v>16.649999999999999</v>
      </c>
      <c r="C29" s="50">
        <v>28.17</v>
      </c>
      <c r="D29" s="50">
        <v>29.33</v>
      </c>
      <c r="E29" s="50">
        <v>7.32</v>
      </c>
      <c r="F29" s="50">
        <v>3.39</v>
      </c>
      <c r="G29" s="50">
        <v>101.34</v>
      </c>
      <c r="H29" s="50">
        <v>36.119999999999997</v>
      </c>
      <c r="I29" s="50">
        <v>0</v>
      </c>
      <c r="J29" s="50">
        <v>0.22</v>
      </c>
      <c r="K29" s="50">
        <v>186.97</v>
      </c>
      <c r="L29" s="50">
        <v>19.95</v>
      </c>
      <c r="M29" s="50">
        <v>69.91</v>
      </c>
      <c r="N29" s="50">
        <v>0</v>
      </c>
      <c r="O29" s="50">
        <v>0</v>
      </c>
      <c r="P29" s="50">
        <v>0.91</v>
      </c>
      <c r="Q29" s="50">
        <v>4.95</v>
      </c>
    </row>
    <row r="30" spans="1:17" customFormat="1">
      <c r="A30" s="49">
        <v>45325.916666666664</v>
      </c>
      <c r="B30" s="50">
        <v>16.78</v>
      </c>
      <c r="C30" s="50">
        <v>24.48</v>
      </c>
      <c r="D30" s="50">
        <v>27.59</v>
      </c>
      <c r="E30" s="50">
        <v>6.58</v>
      </c>
      <c r="F30" s="50">
        <v>3.69</v>
      </c>
      <c r="G30" s="50">
        <v>97.81</v>
      </c>
      <c r="H30" s="50">
        <v>35.08</v>
      </c>
      <c r="I30" s="50">
        <v>0</v>
      </c>
      <c r="J30" s="50">
        <v>0.21</v>
      </c>
      <c r="K30" s="50">
        <v>206.65</v>
      </c>
      <c r="L30" s="50">
        <v>18.489999999999998</v>
      </c>
      <c r="M30" s="50">
        <v>74.489999999999995</v>
      </c>
      <c r="N30" s="50">
        <v>0</v>
      </c>
      <c r="O30" s="50">
        <v>0</v>
      </c>
      <c r="P30" s="50">
        <v>0.9</v>
      </c>
      <c r="Q30" s="50">
        <v>4.92</v>
      </c>
    </row>
    <row r="31" spans="1:17" customFormat="1">
      <c r="A31" s="49">
        <v>45325.958333333336</v>
      </c>
      <c r="B31" s="50">
        <v>23.38</v>
      </c>
      <c r="C31" s="50">
        <v>25.63</v>
      </c>
      <c r="D31" s="50">
        <v>33.49</v>
      </c>
      <c r="E31" s="50">
        <v>7.15</v>
      </c>
      <c r="F31" s="50">
        <v>3.24</v>
      </c>
      <c r="G31" s="50">
        <v>103.16</v>
      </c>
      <c r="H31" s="50">
        <v>33.61</v>
      </c>
      <c r="I31" s="50">
        <v>0</v>
      </c>
      <c r="J31" s="50">
        <v>0.23</v>
      </c>
      <c r="K31" s="50">
        <v>194.62</v>
      </c>
      <c r="L31" s="50">
        <v>18.32</v>
      </c>
      <c r="M31" s="50">
        <v>76.3</v>
      </c>
      <c r="N31" s="50">
        <v>0</v>
      </c>
      <c r="O31" s="50">
        <v>0</v>
      </c>
      <c r="P31" s="50">
        <v>0.95</v>
      </c>
      <c r="Q31" s="50">
        <v>4.93</v>
      </c>
    </row>
    <row r="32" spans="1:17" customFormat="1">
      <c r="A32" s="49">
        <v>45326</v>
      </c>
      <c r="B32" s="50">
        <v>25.11</v>
      </c>
      <c r="C32" s="50">
        <v>24.77</v>
      </c>
      <c r="D32" s="50">
        <v>34.119999999999997</v>
      </c>
      <c r="E32" s="50">
        <v>7.18</v>
      </c>
      <c r="F32" s="50">
        <v>3.49</v>
      </c>
      <c r="G32" s="50">
        <v>112.68</v>
      </c>
      <c r="H32" s="50">
        <v>37.28</v>
      </c>
      <c r="I32" s="50">
        <v>0</v>
      </c>
      <c r="J32" s="50">
        <v>0.25</v>
      </c>
      <c r="K32" s="50">
        <v>226.81</v>
      </c>
      <c r="L32" s="50">
        <v>17.55</v>
      </c>
      <c r="M32" s="50">
        <v>79.83</v>
      </c>
      <c r="N32" s="50">
        <v>0</v>
      </c>
      <c r="O32" s="50">
        <v>0</v>
      </c>
      <c r="P32" s="50">
        <v>0.96</v>
      </c>
      <c r="Q32" s="50">
        <v>4.96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6.55</v>
      </c>
      <c r="C34" s="40">
        <f t="shared" si="0"/>
        <v>20.21</v>
      </c>
      <c r="D34" s="40">
        <f t="shared" si="0"/>
        <v>17.850000000000001</v>
      </c>
      <c r="E34" s="40">
        <f t="shared" si="0"/>
        <v>6.36</v>
      </c>
      <c r="F34" s="40">
        <f t="shared" si="0"/>
        <v>3.24</v>
      </c>
      <c r="G34" s="40">
        <f t="shared" si="0"/>
        <v>57.28</v>
      </c>
      <c r="H34" s="40">
        <f t="shared" si="0"/>
        <v>21.12</v>
      </c>
      <c r="I34" s="40">
        <f t="shared" si="0"/>
        <v>0</v>
      </c>
      <c r="J34" s="40">
        <f t="shared" si="0"/>
        <v>0.21</v>
      </c>
      <c r="K34" s="40">
        <f t="shared" si="0"/>
        <v>56.46</v>
      </c>
      <c r="L34" s="40">
        <f t="shared" si="0"/>
        <v>16.7</v>
      </c>
      <c r="M34" s="40">
        <f t="shared" si="0"/>
        <v>24.66</v>
      </c>
      <c r="N34" s="40">
        <f t="shared" si="0"/>
        <v>0</v>
      </c>
      <c r="O34" s="40">
        <f t="shared" si="0"/>
        <v>0</v>
      </c>
      <c r="P34" s="40">
        <f t="shared" si="0"/>
        <v>0.55000000000000004</v>
      </c>
      <c r="Q34" s="40">
        <f t="shared" si="0"/>
        <v>4.83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34.99</v>
      </c>
      <c r="C35" s="33">
        <f t="shared" si="1"/>
        <v>30.95</v>
      </c>
      <c r="D35" s="33">
        <f t="shared" si="1"/>
        <v>45</v>
      </c>
      <c r="E35" s="33">
        <f t="shared" si="1"/>
        <v>9.2100000000000009</v>
      </c>
      <c r="F35" s="33">
        <f t="shared" si="1"/>
        <v>6.15</v>
      </c>
      <c r="G35" s="33">
        <f t="shared" si="1"/>
        <v>112.68</v>
      </c>
      <c r="H35" s="33">
        <f t="shared" si="1"/>
        <v>37.28</v>
      </c>
      <c r="I35" s="33">
        <f t="shared" si="1"/>
        <v>0</v>
      </c>
      <c r="J35" s="33">
        <f t="shared" si="1"/>
        <v>1.26</v>
      </c>
      <c r="K35" s="33">
        <f t="shared" si="1"/>
        <v>357.06</v>
      </c>
      <c r="L35" s="33">
        <f t="shared" si="1"/>
        <v>29.85</v>
      </c>
      <c r="M35" s="33">
        <f t="shared" si="1"/>
        <v>87.71</v>
      </c>
      <c r="N35" s="33">
        <f t="shared" si="1"/>
        <v>639.4</v>
      </c>
      <c r="O35" s="33">
        <f t="shared" si="1"/>
        <v>0</v>
      </c>
      <c r="P35" s="33">
        <f t="shared" si="1"/>
        <v>1.06</v>
      </c>
      <c r="Q35" s="33">
        <f t="shared" si="1"/>
        <v>5.08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19.677499999999998</v>
      </c>
      <c r="C36" s="40">
        <f t="shared" si="2"/>
        <v>25.900416666666668</v>
      </c>
      <c r="D36" s="40">
        <f t="shared" si="2"/>
        <v>30.532916666666676</v>
      </c>
      <c r="E36" s="40">
        <f t="shared" si="2"/>
        <v>7.4079166666666678</v>
      </c>
      <c r="F36" s="40">
        <f t="shared" si="2"/>
        <v>3.9412499999999997</v>
      </c>
      <c r="G36" s="40">
        <f t="shared" si="2"/>
        <v>77.512083333333337</v>
      </c>
      <c r="H36" s="40">
        <f t="shared" si="2"/>
        <v>29.682916666666667</v>
      </c>
      <c r="I36" s="40">
        <f t="shared" si="2"/>
        <v>0</v>
      </c>
      <c r="J36" s="40">
        <f t="shared" si="2"/>
        <v>0.61750000000000005</v>
      </c>
      <c r="K36" s="40">
        <f t="shared" si="2"/>
        <v>174.87</v>
      </c>
      <c r="L36" s="40">
        <f t="shared" si="2"/>
        <v>22.68041666666667</v>
      </c>
      <c r="M36" s="40">
        <f t="shared" si="2"/>
        <v>57.929583333333319</v>
      </c>
      <c r="N36" s="40">
        <f t="shared" si="2"/>
        <v>157.29166666666669</v>
      </c>
      <c r="O36" s="40">
        <f t="shared" si="2"/>
        <v>0</v>
      </c>
      <c r="P36" s="40">
        <f t="shared" si="2"/>
        <v>0.81208333333333316</v>
      </c>
      <c r="Q36" s="40">
        <f t="shared" si="2"/>
        <v>4.9320833333333338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8.2595242783315168</v>
      </c>
      <c r="C37" s="40">
        <f t="shared" ref="C37:Q37" si="3">STDEV(C9:C32)</f>
        <v>3.030751778120357</v>
      </c>
      <c r="D37" s="40">
        <f t="shared" si="3"/>
        <v>7.72108208183879</v>
      </c>
      <c r="E37" s="40">
        <f t="shared" si="3"/>
        <v>0.89437847822877803</v>
      </c>
      <c r="F37" s="40">
        <f t="shared" si="3"/>
        <v>0.86803782977071253</v>
      </c>
      <c r="G37" s="40">
        <f t="shared" si="3"/>
        <v>16.339210767796992</v>
      </c>
      <c r="H37" s="40">
        <f t="shared" si="3"/>
        <v>4.7538455638490671</v>
      </c>
      <c r="I37" s="40">
        <f t="shared" si="3"/>
        <v>0</v>
      </c>
      <c r="J37" s="40">
        <f t="shared" si="3"/>
        <v>0.31815022429253637</v>
      </c>
      <c r="K37" s="40">
        <f t="shared" si="3"/>
        <v>99.176282403124731</v>
      </c>
      <c r="L37" s="40">
        <f t="shared" si="3"/>
        <v>4.5882756817658841</v>
      </c>
      <c r="M37" s="40">
        <f t="shared" si="3"/>
        <v>23.79709928964979</v>
      </c>
      <c r="N37" s="40">
        <f t="shared" si="3"/>
        <v>239.47618728249856</v>
      </c>
      <c r="O37" s="40">
        <f t="shared" si="3"/>
        <v>0</v>
      </c>
      <c r="P37" s="40">
        <f t="shared" si="3"/>
        <v>0.14957851411234924</v>
      </c>
      <c r="Q37" s="40">
        <f t="shared" si="3"/>
        <v>7.4248651966408161E-2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6.85546875" style="41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45326.041666666664</v>
      </c>
      <c r="B9" s="50">
        <v>27.07</v>
      </c>
      <c r="C9" s="50">
        <v>25.08</v>
      </c>
      <c r="D9" s="50">
        <v>36.159999999999997</v>
      </c>
      <c r="E9" s="50">
        <v>7.31</v>
      </c>
      <c r="F9" s="50">
        <v>3.34</v>
      </c>
      <c r="G9" s="50">
        <v>112.88</v>
      </c>
      <c r="H9" s="50">
        <v>36.840000000000003</v>
      </c>
      <c r="I9" s="50">
        <v>0</v>
      </c>
      <c r="J9" s="50">
        <v>0.17</v>
      </c>
      <c r="K9" s="50">
        <v>193.48</v>
      </c>
      <c r="L9" s="50">
        <v>17.14</v>
      </c>
      <c r="M9" s="50">
        <v>81.55</v>
      </c>
      <c r="N9" s="50">
        <v>0</v>
      </c>
      <c r="O9" s="50">
        <v>0</v>
      </c>
      <c r="P9" s="50">
        <v>0.97</v>
      </c>
      <c r="Q9" s="50">
        <v>4.97</v>
      </c>
    </row>
    <row r="10" spans="1:21" customFormat="1">
      <c r="A10" s="49">
        <v>45326.083333333336</v>
      </c>
      <c r="B10" s="50">
        <v>36.869999999999997</v>
      </c>
      <c r="C10" s="50">
        <v>27.44</v>
      </c>
      <c r="D10" s="50">
        <v>45.26</v>
      </c>
      <c r="E10" s="50">
        <v>7.47</v>
      </c>
      <c r="F10" s="50">
        <v>3.32</v>
      </c>
      <c r="G10" s="50">
        <v>109.56</v>
      </c>
      <c r="H10" s="50">
        <v>35.85</v>
      </c>
      <c r="I10" s="50">
        <v>0</v>
      </c>
      <c r="J10" s="50">
        <v>0.22</v>
      </c>
      <c r="K10" s="50">
        <v>191.84</v>
      </c>
      <c r="L10" s="50">
        <v>16.920000000000002</v>
      </c>
      <c r="M10" s="50">
        <v>84.13</v>
      </c>
      <c r="N10" s="50">
        <v>0</v>
      </c>
      <c r="O10" s="50">
        <v>0</v>
      </c>
      <c r="P10" s="50">
        <v>0.99</v>
      </c>
      <c r="Q10" s="50">
        <v>5.0999999999999996</v>
      </c>
    </row>
    <row r="11" spans="1:21" customFormat="1">
      <c r="A11" s="49">
        <v>45326.125</v>
      </c>
      <c r="B11" s="50">
        <v>40.4</v>
      </c>
      <c r="C11" s="50">
        <v>27.63</v>
      </c>
      <c r="D11" s="50">
        <v>48.19</v>
      </c>
      <c r="E11" s="50">
        <v>7.92</v>
      </c>
      <c r="F11" s="50">
        <v>3.42</v>
      </c>
      <c r="G11" s="50">
        <v>104.07</v>
      </c>
      <c r="H11" s="50">
        <v>36.1</v>
      </c>
      <c r="I11" s="50">
        <v>0</v>
      </c>
      <c r="J11" s="50">
        <v>0.18</v>
      </c>
      <c r="K11" s="50">
        <v>197.37</v>
      </c>
      <c r="L11" s="50">
        <v>16.079999999999998</v>
      </c>
      <c r="M11" s="50">
        <v>82.44</v>
      </c>
      <c r="N11" s="50">
        <v>0</v>
      </c>
      <c r="O11" s="50">
        <v>0</v>
      </c>
      <c r="P11" s="50">
        <v>1</v>
      </c>
      <c r="Q11" s="50">
        <v>5.1100000000000003</v>
      </c>
    </row>
    <row r="12" spans="1:21" customFormat="1">
      <c r="A12" s="49">
        <v>45326.166666666664</v>
      </c>
      <c r="B12" s="50">
        <v>56.21</v>
      </c>
      <c r="C12" s="50">
        <v>29</v>
      </c>
      <c r="D12" s="50">
        <v>61.52</v>
      </c>
      <c r="E12" s="50">
        <v>8.43</v>
      </c>
      <c r="F12" s="50">
        <v>3.42</v>
      </c>
      <c r="G12" s="50">
        <v>101.79</v>
      </c>
      <c r="H12" s="50">
        <v>35.630000000000003</v>
      </c>
      <c r="I12" s="50">
        <v>0</v>
      </c>
      <c r="J12" s="50">
        <v>0.2</v>
      </c>
      <c r="K12" s="50">
        <v>207.91</v>
      </c>
      <c r="L12" s="50">
        <v>16.21</v>
      </c>
      <c r="M12" s="50">
        <v>88.18</v>
      </c>
      <c r="N12" s="50">
        <v>0</v>
      </c>
      <c r="O12" s="50">
        <v>0</v>
      </c>
      <c r="P12" s="50">
        <v>1.03</v>
      </c>
      <c r="Q12" s="50">
        <v>5.22</v>
      </c>
    </row>
    <row r="13" spans="1:21" customFormat="1">
      <c r="A13" s="49">
        <v>45326.208333333336</v>
      </c>
      <c r="B13" s="50">
        <v>57.04</v>
      </c>
      <c r="C13" s="50">
        <v>28.66</v>
      </c>
      <c r="D13" s="50">
        <v>62.06</v>
      </c>
      <c r="E13" s="50">
        <v>8.17</v>
      </c>
      <c r="F13" s="50">
        <v>3.33</v>
      </c>
      <c r="G13" s="50">
        <v>101.5</v>
      </c>
      <c r="H13" s="50">
        <v>38.630000000000003</v>
      </c>
      <c r="I13" s="50">
        <v>0</v>
      </c>
      <c r="J13" s="50">
        <v>0.22</v>
      </c>
      <c r="K13" s="50">
        <v>255.29</v>
      </c>
      <c r="L13" s="50">
        <v>15.39</v>
      </c>
      <c r="M13" s="50">
        <v>87.35</v>
      </c>
      <c r="N13" s="50">
        <v>0</v>
      </c>
      <c r="O13" s="50">
        <v>0</v>
      </c>
      <c r="P13" s="50">
        <v>1.05</v>
      </c>
      <c r="Q13" s="50">
        <v>5.26</v>
      </c>
    </row>
    <row r="14" spans="1:21" customFormat="1">
      <c r="A14" s="49">
        <v>45326.25</v>
      </c>
      <c r="B14" s="50">
        <v>55.5</v>
      </c>
      <c r="C14" s="50">
        <v>28.54</v>
      </c>
      <c r="D14" s="50">
        <v>60.76</v>
      </c>
      <c r="E14" s="50">
        <v>8.31</v>
      </c>
      <c r="F14" s="50">
        <v>3.26</v>
      </c>
      <c r="G14" s="50">
        <v>98.73</v>
      </c>
      <c r="H14" s="50">
        <v>37.03</v>
      </c>
      <c r="I14" s="50">
        <v>0</v>
      </c>
      <c r="J14" s="50">
        <v>0.18</v>
      </c>
      <c r="K14" s="50">
        <v>255.72</v>
      </c>
      <c r="L14" s="50">
        <v>14.96</v>
      </c>
      <c r="M14" s="50">
        <v>87.65</v>
      </c>
      <c r="N14" s="50">
        <v>0</v>
      </c>
      <c r="O14" s="50">
        <v>0</v>
      </c>
      <c r="P14" s="50">
        <v>1.04</v>
      </c>
      <c r="Q14" s="50">
        <v>5.21</v>
      </c>
    </row>
    <row r="15" spans="1:21" customFormat="1">
      <c r="A15" s="49">
        <v>45326.291666666664</v>
      </c>
      <c r="B15" s="50">
        <v>51.21</v>
      </c>
      <c r="C15" s="50">
        <v>27.2</v>
      </c>
      <c r="D15" s="50">
        <v>56.63</v>
      </c>
      <c r="E15" s="50">
        <v>8.44</v>
      </c>
      <c r="F15" s="50">
        <v>3.43</v>
      </c>
      <c r="G15" s="50">
        <v>94.07</v>
      </c>
      <c r="H15" s="50">
        <v>34.85</v>
      </c>
      <c r="I15" s="50">
        <v>0</v>
      </c>
      <c r="J15" s="50">
        <v>0.2</v>
      </c>
      <c r="K15" s="50">
        <v>216.2</v>
      </c>
      <c r="L15" s="50">
        <v>14.96</v>
      </c>
      <c r="M15" s="50">
        <v>91.49</v>
      </c>
      <c r="N15" s="50">
        <v>5.4</v>
      </c>
      <c r="O15" s="50">
        <v>0</v>
      </c>
      <c r="P15" s="50">
        <v>1.04</v>
      </c>
      <c r="Q15" s="50">
        <v>5.2</v>
      </c>
    </row>
    <row r="16" spans="1:21" customFormat="1">
      <c r="A16" s="49">
        <v>45326.333333333336</v>
      </c>
      <c r="B16" s="50">
        <v>49.19</v>
      </c>
      <c r="C16" s="50">
        <v>25.85</v>
      </c>
      <c r="D16" s="50">
        <v>54.3</v>
      </c>
      <c r="E16" s="50">
        <v>8.0399999999999991</v>
      </c>
      <c r="F16" s="50">
        <v>3.52</v>
      </c>
      <c r="G16" s="50">
        <v>91.49</v>
      </c>
      <c r="H16" s="50">
        <v>34.25</v>
      </c>
      <c r="I16" s="50">
        <v>0</v>
      </c>
      <c r="J16" s="50">
        <v>0.7</v>
      </c>
      <c r="K16" s="50">
        <v>268.77</v>
      </c>
      <c r="L16" s="50">
        <v>17.43</v>
      </c>
      <c r="M16" s="50">
        <v>91.4</v>
      </c>
      <c r="N16" s="50">
        <v>46.6</v>
      </c>
      <c r="O16" s="50">
        <v>0</v>
      </c>
      <c r="P16" s="50">
        <v>1.03</v>
      </c>
      <c r="Q16" s="50">
        <v>5.16</v>
      </c>
    </row>
    <row r="17" spans="1:17" customFormat="1">
      <c r="A17" s="49">
        <v>45326.375</v>
      </c>
      <c r="B17" s="50">
        <v>51.05</v>
      </c>
      <c r="C17" s="50">
        <v>28.8</v>
      </c>
      <c r="D17" s="50">
        <v>57.34</v>
      </c>
      <c r="E17" s="50">
        <v>8.61</v>
      </c>
      <c r="F17" s="50">
        <v>3.44</v>
      </c>
      <c r="G17" s="50">
        <v>105.91</v>
      </c>
      <c r="H17" s="50">
        <v>41.33</v>
      </c>
      <c r="I17" s="50">
        <v>0</v>
      </c>
      <c r="J17" s="50">
        <v>0.63</v>
      </c>
      <c r="K17" s="50">
        <v>87.76</v>
      </c>
      <c r="L17" s="50">
        <v>22.45</v>
      </c>
      <c r="M17" s="50">
        <v>68.67</v>
      </c>
      <c r="N17" s="50">
        <v>295.5</v>
      </c>
      <c r="O17" s="50">
        <v>0</v>
      </c>
      <c r="P17" s="50">
        <v>1.1100000000000001</v>
      </c>
      <c r="Q17" s="50">
        <v>5.15</v>
      </c>
    </row>
    <row r="18" spans="1:17" customFormat="1">
      <c r="A18" s="49">
        <v>45326.416666666664</v>
      </c>
      <c r="B18" s="50">
        <v>47.14</v>
      </c>
      <c r="C18" s="50">
        <v>26.24</v>
      </c>
      <c r="D18" s="50">
        <v>52.86</v>
      </c>
      <c r="E18" s="50">
        <v>8.4499999999999993</v>
      </c>
      <c r="F18" s="50">
        <v>3.56</v>
      </c>
      <c r="G18" s="50">
        <v>110.4</v>
      </c>
      <c r="H18" s="50">
        <v>42.12</v>
      </c>
      <c r="I18" s="50">
        <v>0</v>
      </c>
      <c r="J18" s="50">
        <v>0.41</v>
      </c>
      <c r="K18" s="50">
        <v>291.02999999999997</v>
      </c>
      <c r="L18" s="50">
        <v>25.68</v>
      </c>
      <c r="M18" s="50">
        <v>43.46</v>
      </c>
      <c r="N18" s="50">
        <v>375.8</v>
      </c>
      <c r="O18" s="50">
        <v>0</v>
      </c>
      <c r="P18" s="50">
        <v>1.1100000000000001</v>
      </c>
      <c r="Q18" s="50">
        <v>5.15</v>
      </c>
    </row>
    <row r="19" spans="1:17" customFormat="1">
      <c r="A19" s="49">
        <v>45326.458333333336</v>
      </c>
      <c r="B19" s="50">
        <v>38.43</v>
      </c>
      <c r="C19" s="50">
        <v>26.81</v>
      </c>
      <c r="D19" s="50">
        <v>46.18</v>
      </c>
      <c r="E19" s="50">
        <v>7.76</v>
      </c>
      <c r="F19" s="50">
        <v>3.69</v>
      </c>
      <c r="G19" s="50">
        <v>102.07</v>
      </c>
      <c r="H19" s="50">
        <v>40.67</v>
      </c>
      <c r="I19" s="50">
        <v>0</v>
      </c>
      <c r="J19" s="50">
        <v>0.67</v>
      </c>
      <c r="K19" s="50">
        <v>184.83</v>
      </c>
      <c r="L19" s="50">
        <v>27.67</v>
      </c>
      <c r="M19" s="50">
        <v>36.380000000000003</v>
      </c>
      <c r="N19" s="50">
        <v>565.79999999999995</v>
      </c>
      <c r="O19" s="50">
        <v>0</v>
      </c>
      <c r="P19" s="50">
        <v>1.07</v>
      </c>
      <c r="Q19" s="50">
        <v>5.08</v>
      </c>
    </row>
    <row r="20" spans="1:17" customFormat="1">
      <c r="A20" s="49">
        <v>45326.5</v>
      </c>
      <c r="B20" s="50">
        <v>28.17</v>
      </c>
      <c r="C20" s="50">
        <v>27.06</v>
      </c>
      <c r="D20" s="50">
        <v>36.81</v>
      </c>
      <c r="E20" s="50">
        <v>7.63</v>
      </c>
      <c r="F20" s="50">
        <v>4.87</v>
      </c>
      <c r="G20" s="50">
        <v>87.5</v>
      </c>
      <c r="H20" s="50">
        <v>36.9</v>
      </c>
      <c r="I20" s="50">
        <v>0</v>
      </c>
      <c r="J20" s="50">
        <v>0.46</v>
      </c>
      <c r="K20" s="50">
        <v>131.13999999999999</v>
      </c>
      <c r="L20" s="50">
        <v>29.28</v>
      </c>
      <c r="M20" s="50">
        <v>28.74</v>
      </c>
      <c r="N20" s="50">
        <v>623.9</v>
      </c>
      <c r="O20" s="50">
        <v>0</v>
      </c>
      <c r="P20" s="50">
        <v>0.97</v>
      </c>
      <c r="Q20" s="50">
        <v>5.01</v>
      </c>
    </row>
    <row r="21" spans="1:17" customFormat="1">
      <c r="A21" s="49">
        <v>45326.541666666664</v>
      </c>
      <c r="B21" s="50">
        <v>14.54</v>
      </c>
      <c r="C21" s="50">
        <v>27.18</v>
      </c>
      <c r="D21" s="50">
        <v>27.21</v>
      </c>
      <c r="E21" s="50">
        <v>7.3</v>
      </c>
      <c r="F21" s="50">
        <v>6.24</v>
      </c>
      <c r="G21" s="50">
        <v>69.040000000000006</v>
      </c>
      <c r="H21" s="50">
        <v>28.57</v>
      </c>
      <c r="I21" s="50">
        <v>0</v>
      </c>
      <c r="J21" s="50">
        <v>0.67</v>
      </c>
      <c r="K21" s="50">
        <v>329.51</v>
      </c>
      <c r="L21" s="50">
        <v>30.52</v>
      </c>
      <c r="M21" s="50">
        <v>24.42</v>
      </c>
      <c r="N21" s="50">
        <v>630.29999999999995</v>
      </c>
      <c r="O21" s="50">
        <v>0</v>
      </c>
      <c r="P21" s="50">
        <v>0.84</v>
      </c>
      <c r="Q21" s="50">
        <v>4.91</v>
      </c>
    </row>
    <row r="22" spans="1:17" customFormat="1">
      <c r="A22" s="49">
        <v>45326.583333333336</v>
      </c>
      <c r="B22" s="50">
        <v>6.69</v>
      </c>
      <c r="C22" s="50">
        <v>25.55</v>
      </c>
      <c r="D22" s="50">
        <v>20.059999999999999</v>
      </c>
      <c r="E22" s="50">
        <v>7.21</v>
      </c>
      <c r="F22" s="50">
        <v>5.94</v>
      </c>
      <c r="G22" s="50">
        <v>52.25</v>
      </c>
      <c r="H22" s="50">
        <v>24.35</v>
      </c>
      <c r="I22" s="50">
        <v>0</v>
      </c>
      <c r="J22" s="50">
        <v>0.57999999999999996</v>
      </c>
      <c r="K22" s="50">
        <v>320.04000000000002</v>
      </c>
      <c r="L22" s="50">
        <v>31</v>
      </c>
      <c r="M22" s="50">
        <v>23.42</v>
      </c>
      <c r="N22" s="50">
        <v>581.1</v>
      </c>
      <c r="O22" s="50">
        <v>0</v>
      </c>
      <c r="P22" s="50">
        <v>0.74</v>
      </c>
      <c r="Q22" s="50">
        <v>4.82</v>
      </c>
    </row>
    <row r="23" spans="1:17" customFormat="1">
      <c r="A23" s="49">
        <v>45326.625</v>
      </c>
      <c r="B23" s="50">
        <v>4.1399999999999997</v>
      </c>
      <c r="C23" s="50">
        <v>22.03</v>
      </c>
      <c r="D23" s="50">
        <v>16.18</v>
      </c>
      <c r="E23" s="50">
        <v>7.02</v>
      </c>
      <c r="F23" s="50">
        <v>7.58</v>
      </c>
      <c r="G23" s="50">
        <v>41</v>
      </c>
      <c r="H23" s="50">
        <v>21.79</v>
      </c>
      <c r="I23" s="50">
        <v>0</v>
      </c>
      <c r="J23" s="50">
        <v>0.41</v>
      </c>
      <c r="K23" s="50">
        <v>331.83</v>
      </c>
      <c r="L23" s="50">
        <v>30.95</v>
      </c>
      <c r="M23" s="50">
        <v>23.21</v>
      </c>
      <c r="N23" s="50">
        <v>505.2</v>
      </c>
      <c r="O23" s="50">
        <v>0</v>
      </c>
      <c r="P23" s="50">
        <v>0.65</v>
      </c>
      <c r="Q23" s="50">
        <v>4.7699999999999996</v>
      </c>
    </row>
    <row r="24" spans="1:17" customFormat="1">
      <c r="A24" s="49">
        <v>45326.666666666664</v>
      </c>
      <c r="B24" s="50">
        <v>3.86</v>
      </c>
      <c r="C24" s="50">
        <v>19.53</v>
      </c>
      <c r="D24" s="50">
        <v>14.62</v>
      </c>
      <c r="E24" s="50">
        <v>6.81</v>
      </c>
      <c r="F24" s="50">
        <v>8.32</v>
      </c>
      <c r="G24" s="50">
        <v>32.119999999999997</v>
      </c>
      <c r="H24" s="50">
        <v>18.739999999999998</v>
      </c>
      <c r="I24" s="50">
        <v>0</v>
      </c>
      <c r="J24" s="50">
        <v>0.56999999999999995</v>
      </c>
      <c r="K24" s="50">
        <v>286.45</v>
      </c>
      <c r="L24" s="50">
        <v>30.14</v>
      </c>
      <c r="M24" s="50">
        <v>25.27</v>
      </c>
      <c r="N24" s="50">
        <v>113.5</v>
      </c>
      <c r="O24" s="50">
        <v>0</v>
      </c>
      <c r="P24" s="50">
        <v>0.61</v>
      </c>
      <c r="Q24" s="50">
        <v>4.76</v>
      </c>
    </row>
    <row r="25" spans="1:17" customFormat="1">
      <c r="A25" s="49">
        <v>45326.708333333336</v>
      </c>
      <c r="B25" s="50">
        <v>3.96</v>
      </c>
      <c r="C25" s="50">
        <v>18.52</v>
      </c>
      <c r="D25" s="50">
        <v>14.17</v>
      </c>
      <c r="E25" s="50">
        <v>6.79</v>
      </c>
      <c r="F25" s="50">
        <v>8.52</v>
      </c>
      <c r="G25" s="50">
        <v>26.84</v>
      </c>
      <c r="H25" s="50">
        <v>15.85</v>
      </c>
      <c r="I25" s="50">
        <v>0</v>
      </c>
      <c r="J25" s="50">
        <v>0.46</v>
      </c>
      <c r="K25" s="50">
        <v>304.17</v>
      </c>
      <c r="L25" s="50">
        <v>29.24</v>
      </c>
      <c r="M25" s="50">
        <v>29.79</v>
      </c>
      <c r="N25" s="50">
        <v>69.599999999999994</v>
      </c>
      <c r="O25" s="50">
        <v>0</v>
      </c>
      <c r="P25" s="50">
        <v>0.56000000000000005</v>
      </c>
      <c r="Q25" s="50">
        <v>4.75</v>
      </c>
    </row>
    <row r="26" spans="1:17" customFormat="1">
      <c r="A26" s="49">
        <v>45326.75</v>
      </c>
      <c r="B26" s="50">
        <v>4.37</v>
      </c>
      <c r="C26" s="50">
        <v>16.04</v>
      </c>
      <c r="D26" s="50">
        <v>12.97</v>
      </c>
      <c r="E26" s="50">
        <v>6.49</v>
      </c>
      <c r="F26" s="50">
        <v>4.12</v>
      </c>
      <c r="G26" s="50">
        <v>26.66</v>
      </c>
      <c r="H26" s="50">
        <v>13.72</v>
      </c>
      <c r="I26" s="50">
        <v>0</v>
      </c>
      <c r="J26" s="50">
        <v>0.3</v>
      </c>
      <c r="K26" s="50">
        <v>195.28</v>
      </c>
      <c r="L26" s="50">
        <v>27.31</v>
      </c>
      <c r="M26" s="50">
        <v>45.71</v>
      </c>
      <c r="N26" s="50">
        <v>14.7</v>
      </c>
      <c r="O26" s="50">
        <v>0</v>
      </c>
      <c r="P26" s="50">
        <v>0.55000000000000004</v>
      </c>
      <c r="Q26" s="50">
        <v>4.7300000000000004</v>
      </c>
    </row>
    <row r="27" spans="1:17" customFormat="1">
      <c r="A27" s="49">
        <v>45326.791666666664</v>
      </c>
      <c r="B27" s="50">
        <v>5.14</v>
      </c>
      <c r="C27" s="50">
        <v>15.15</v>
      </c>
      <c r="D27" s="50">
        <v>13.39</v>
      </c>
      <c r="E27" s="50">
        <v>9.4600000000000009</v>
      </c>
      <c r="F27" s="50">
        <v>3.73</v>
      </c>
      <c r="G27" s="50">
        <v>28.01</v>
      </c>
      <c r="H27" s="50">
        <v>14.42</v>
      </c>
      <c r="I27" s="50">
        <v>0</v>
      </c>
      <c r="J27" s="50">
        <v>0.27</v>
      </c>
      <c r="K27" s="50">
        <v>178.6</v>
      </c>
      <c r="L27" s="50">
        <v>24.31</v>
      </c>
      <c r="M27" s="50">
        <v>63.26</v>
      </c>
      <c r="N27" s="50">
        <v>0</v>
      </c>
      <c r="O27" s="50">
        <v>0</v>
      </c>
      <c r="P27" s="50">
        <v>0.54</v>
      </c>
      <c r="Q27" s="50">
        <v>4.75</v>
      </c>
    </row>
    <row r="28" spans="1:17" customFormat="1">
      <c r="A28" s="49">
        <v>45326.833333333336</v>
      </c>
      <c r="B28" s="50">
        <v>5.91</v>
      </c>
      <c r="C28" s="50">
        <v>17.09</v>
      </c>
      <c r="D28" s="50">
        <v>14.85</v>
      </c>
      <c r="E28" s="50">
        <v>9.41</v>
      </c>
      <c r="F28" s="50">
        <v>3.66</v>
      </c>
      <c r="G28" s="50">
        <v>40.200000000000003</v>
      </c>
      <c r="H28" s="50">
        <v>17.54</v>
      </c>
      <c r="I28" s="50">
        <v>0</v>
      </c>
      <c r="J28" s="50">
        <v>0.16</v>
      </c>
      <c r="K28" s="50">
        <v>195.5</v>
      </c>
      <c r="L28" s="50">
        <v>22.08</v>
      </c>
      <c r="M28" s="50">
        <v>58.43</v>
      </c>
      <c r="N28" s="50">
        <v>0</v>
      </c>
      <c r="O28" s="50">
        <v>0</v>
      </c>
      <c r="P28" s="50">
        <v>0.56999999999999995</v>
      </c>
      <c r="Q28" s="50">
        <v>4.76</v>
      </c>
    </row>
    <row r="29" spans="1:17" customFormat="1">
      <c r="A29" s="49">
        <v>45326.875</v>
      </c>
      <c r="B29" s="50">
        <v>6.57</v>
      </c>
      <c r="C29" s="50">
        <v>17.899999999999999</v>
      </c>
      <c r="D29" s="50">
        <v>15.97</v>
      </c>
      <c r="E29" s="50">
        <v>9.66</v>
      </c>
      <c r="F29" s="50">
        <v>3.75</v>
      </c>
      <c r="G29" s="50">
        <v>43.28</v>
      </c>
      <c r="H29" s="50">
        <v>16.78</v>
      </c>
      <c r="I29" s="50">
        <v>0</v>
      </c>
      <c r="J29" s="50">
        <v>0.22</v>
      </c>
      <c r="K29" s="50">
        <v>203.84</v>
      </c>
      <c r="L29" s="50">
        <v>21.63</v>
      </c>
      <c r="M29" s="50">
        <v>64.459999999999994</v>
      </c>
      <c r="N29" s="50">
        <v>0</v>
      </c>
      <c r="O29" s="50">
        <v>0</v>
      </c>
      <c r="P29" s="50">
        <v>0.59</v>
      </c>
      <c r="Q29" s="50">
        <v>4.78</v>
      </c>
    </row>
    <row r="30" spans="1:17" customFormat="1">
      <c r="A30" s="49">
        <v>45326.916666666664</v>
      </c>
      <c r="B30" s="50">
        <v>6.85</v>
      </c>
      <c r="C30" s="50">
        <v>19.559999999999999</v>
      </c>
      <c r="D30" s="50">
        <v>16.96</v>
      </c>
      <c r="E30" s="50">
        <v>9.86</v>
      </c>
      <c r="F30" s="50">
        <v>3.49</v>
      </c>
      <c r="G30" s="50">
        <v>48.69</v>
      </c>
      <c r="H30" s="50">
        <v>15.85</v>
      </c>
      <c r="I30" s="50">
        <v>0</v>
      </c>
      <c r="J30" s="50">
        <v>0.25</v>
      </c>
      <c r="K30" s="50">
        <v>222.43</v>
      </c>
      <c r="L30" s="50">
        <v>20.48</v>
      </c>
      <c r="M30" s="50">
        <v>69.98</v>
      </c>
      <c r="N30" s="50">
        <v>0</v>
      </c>
      <c r="O30" s="50">
        <v>0</v>
      </c>
      <c r="P30" s="50">
        <v>0.62</v>
      </c>
      <c r="Q30" s="50">
        <v>4.79</v>
      </c>
    </row>
    <row r="31" spans="1:17" customFormat="1">
      <c r="A31" s="49">
        <v>45326.958333333336</v>
      </c>
      <c r="B31" s="50">
        <v>6.95</v>
      </c>
      <c r="C31" s="50">
        <v>20.64</v>
      </c>
      <c r="D31" s="50">
        <v>17.71</v>
      </c>
      <c r="E31" s="50">
        <v>10.09</v>
      </c>
      <c r="F31" s="50">
        <v>3.52</v>
      </c>
      <c r="G31" s="50">
        <v>48.15</v>
      </c>
      <c r="H31" s="50">
        <v>17.72</v>
      </c>
      <c r="I31" s="50">
        <v>0</v>
      </c>
      <c r="J31" s="50">
        <v>0.23</v>
      </c>
      <c r="K31" s="50">
        <v>210.04</v>
      </c>
      <c r="L31" s="50">
        <v>19.739999999999998</v>
      </c>
      <c r="M31" s="50">
        <v>71.48</v>
      </c>
      <c r="N31" s="50">
        <v>0</v>
      </c>
      <c r="O31" s="50">
        <v>0</v>
      </c>
      <c r="P31" s="50">
        <v>0.69</v>
      </c>
      <c r="Q31" s="50">
        <v>4.8</v>
      </c>
    </row>
    <row r="32" spans="1:17" customFormat="1">
      <c r="A32" s="49">
        <v>45327</v>
      </c>
      <c r="B32" s="50">
        <v>7.08</v>
      </c>
      <c r="C32" s="50">
        <v>21.22</v>
      </c>
      <c r="D32" s="50">
        <v>18.12</v>
      </c>
      <c r="E32" s="50">
        <v>10.33</v>
      </c>
      <c r="F32" s="50">
        <v>3.5</v>
      </c>
      <c r="G32" s="50">
        <v>51.27</v>
      </c>
      <c r="H32" s="50">
        <v>20.8</v>
      </c>
      <c r="I32" s="50">
        <v>0</v>
      </c>
      <c r="J32" s="50">
        <v>0.17</v>
      </c>
      <c r="K32" s="50">
        <v>222.91</v>
      </c>
      <c r="L32" s="50">
        <v>19.04</v>
      </c>
      <c r="M32" s="50">
        <v>73.89</v>
      </c>
      <c r="N32" s="50">
        <v>0</v>
      </c>
      <c r="O32" s="50">
        <v>0</v>
      </c>
      <c r="P32" s="50">
        <v>0.74</v>
      </c>
      <c r="Q32" s="50">
        <v>4.8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3.86</v>
      </c>
      <c r="C34" s="40">
        <f t="shared" si="0"/>
        <v>15.15</v>
      </c>
      <c r="D34" s="40">
        <f t="shared" si="0"/>
        <v>12.97</v>
      </c>
      <c r="E34" s="40">
        <f t="shared" si="0"/>
        <v>6.49</v>
      </c>
      <c r="F34" s="40">
        <f t="shared" si="0"/>
        <v>3.26</v>
      </c>
      <c r="G34" s="40">
        <f t="shared" si="0"/>
        <v>26.66</v>
      </c>
      <c r="H34" s="40">
        <f t="shared" si="0"/>
        <v>13.72</v>
      </c>
      <c r="I34" s="40">
        <f t="shared" si="0"/>
        <v>0</v>
      </c>
      <c r="J34" s="40">
        <f t="shared" si="0"/>
        <v>0.16</v>
      </c>
      <c r="K34" s="40">
        <f t="shared" si="0"/>
        <v>87.76</v>
      </c>
      <c r="L34" s="40">
        <f t="shared" si="0"/>
        <v>14.96</v>
      </c>
      <c r="M34" s="40">
        <f t="shared" si="0"/>
        <v>23.21</v>
      </c>
      <c r="N34" s="40">
        <f t="shared" si="0"/>
        <v>0</v>
      </c>
      <c r="O34" s="40">
        <f t="shared" si="0"/>
        <v>0</v>
      </c>
      <c r="P34" s="40">
        <f t="shared" si="0"/>
        <v>0.54</v>
      </c>
      <c r="Q34" s="40">
        <f t="shared" si="0"/>
        <v>4.7300000000000004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57.04</v>
      </c>
      <c r="C35" s="33">
        <f t="shared" si="1"/>
        <v>29</v>
      </c>
      <c r="D35" s="33">
        <f t="shared" si="1"/>
        <v>62.06</v>
      </c>
      <c r="E35" s="33">
        <f t="shared" si="1"/>
        <v>10.33</v>
      </c>
      <c r="F35" s="33">
        <f t="shared" si="1"/>
        <v>8.52</v>
      </c>
      <c r="G35" s="33">
        <f t="shared" si="1"/>
        <v>112.88</v>
      </c>
      <c r="H35" s="33">
        <f t="shared" si="1"/>
        <v>42.12</v>
      </c>
      <c r="I35" s="33">
        <f t="shared" si="1"/>
        <v>0</v>
      </c>
      <c r="J35" s="33">
        <f t="shared" si="1"/>
        <v>0.7</v>
      </c>
      <c r="K35" s="33">
        <f t="shared" si="1"/>
        <v>331.83</v>
      </c>
      <c r="L35" s="33">
        <f t="shared" si="1"/>
        <v>31</v>
      </c>
      <c r="M35" s="33">
        <f t="shared" si="1"/>
        <v>91.49</v>
      </c>
      <c r="N35" s="33">
        <f t="shared" si="1"/>
        <v>630.29999999999995</v>
      </c>
      <c r="O35" s="33">
        <f t="shared" si="1"/>
        <v>0</v>
      </c>
      <c r="P35" s="33">
        <f t="shared" si="1"/>
        <v>1.1100000000000001</v>
      </c>
      <c r="Q35" s="33">
        <f t="shared" si="1"/>
        <v>5.26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25.597500000000007</v>
      </c>
      <c r="C36" s="40">
        <f t="shared" si="2"/>
        <v>23.696666666666662</v>
      </c>
      <c r="D36" s="40">
        <f t="shared" si="2"/>
        <v>34.178333333333335</v>
      </c>
      <c r="E36" s="40">
        <f t="shared" si="2"/>
        <v>8.2070833333333351</v>
      </c>
      <c r="F36" s="40">
        <f t="shared" si="2"/>
        <v>4.3737499999999994</v>
      </c>
      <c r="G36" s="40">
        <f t="shared" si="2"/>
        <v>71.978333333333325</v>
      </c>
      <c r="H36" s="40">
        <f t="shared" si="2"/>
        <v>28.180416666666662</v>
      </c>
      <c r="I36" s="40">
        <f t="shared" si="2"/>
        <v>0</v>
      </c>
      <c r="J36" s="40">
        <f t="shared" si="2"/>
        <v>0.35541666666666666</v>
      </c>
      <c r="K36" s="40">
        <f t="shared" si="2"/>
        <v>228.41416666666666</v>
      </c>
      <c r="L36" s="40">
        <f t="shared" si="2"/>
        <v>22.525416666666661</v>
      </c>
      <c r="M36" s="40">
        <f t="shared" si="2"/>
        <v>60.198333333333331</v>
      </c>
      <c r="N36" s="40">
        <f t="shared" si="2"/>
        <v>159.47499999999999</v>
      </c>
      <c r="O36" s="40">
        <f t="shared" si="2"/>
        <v>0</v>
      </c>
      <c r="P36" s="40">
        <f t="shared" si="2"/>
        <v>0.83791666666666664</v>
      </c>
      <c r="Q36" s="40">
        <f t="shared" si="2"/>
        <v>4.96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21.064925360294598</v>
      </c>
      <c r="C37" s="40">
        <f t="shared" ref="C37:Q37" si="3">STDEV(C9:C32)</f>
        <v>4.5780978266246004</v>
      </c>
      <c r="D37" s="40">
        <f t="shared" si="3"/>
        <v>18.95910717643466</v>
      </c>
      <c r="E37" s="40">
        <f t="shared" si="3"/>
        <v>1.1107204053408521</v>
      </c>
      <c r="F37" s="40">
        <f t="shared" si="3"/>
        <v>1.6527521513866037</v>
      </c>
      <c r="G37" s="40">
        <f t="shared" si="3"/>
        <v>32.016929172286197</v>
      </c>
      <c r="H37" s="40">
        <f t="shared" si="3"/>
        <v>10.160657492918764</v>
      </c>
      <c r="I37" s="40">
        <f t="shared" si="3"/>
        <v>0</v>
      </c>
      <c r="J37" s="40">
        <f t="shared" si="3"/>
        <v>0.18943805151636994</v>
      </c>
      <c r="K37" s="40">
        <f t="shared" si="3"/>
        <v>61.26988663259494</v>
      </c>
      <c r="L37" s="40">
        <f t="shared" si="3"/>
        <v>5.8092452395834888</v>
      </c>
      <c r="M37" s="40">
        <f t="shared" si="3"/>
        <v>25.069645540697834</v>
      </c>
      <c r="N37" s="40">
        <f t="shared" si="3"/>
        <v>241.18166389673988</v>
      </c>
      <c r="O37" s="40">
        <f t="shared" si="3"/>
        <v>0</v>
      </c>
      <c r="P37" s="40">
        <f t="shared" si="3"/>
        <v>0.21311313930616171</v>
      </c>
      <c r="Q37" s="40">
        <f t="shared" si="3"/>
        <v>0.19119759867509606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45327.041666666664</v>
      </c>
      <c r="B9" s="50">
        <v>7.41</v>
      </c>
      <c r="C9" s="50">
        <v>21.55</v>
      </c>
      <c r="D9" s="50">
        <v>18.55</v>
      </c>
      <c r="E9" s="50">
        <v>10.35</v>
      </c>
      <c r="F9" s="50">
        <v>3.39</v>
      </c>
      <c r="G9" s="50">
        <v>50.51</v>
      </c>
      <c r="H9" s="50">
        <v>22.16</v>
      </c>
      <c r="I9" s="50">
        <v>0</v>
      </c>
      <c r="J9" s="50">
        <v>0.17</v>
      </c>
      <c r="K9" s="50">
        <v>198.94</v>
      </c>
      <c r="L9" s="50">
        <v>18.57</v>
      </c>
      <c r="M9" s="50">
        <v>76.66</v>
      </c>
      <c r="N9" s="50">
        <v>0</v>
      </c>
      <c r="O9" s="50">
        <v>0</v>
      </c>
      <c r="P9" s="50">
        <v>0.76</v>
      </c>
      <c r="Q9" s="50">
        <v>4.79</v>
      </c>
    </row>
    <row r="10" spans="1:21" customFormat="1">
      <c r="A10" s="49">
        <v>45327.083333333336</v>
      </c>
      <c r="B10" s="50">
        <v>7.43</v>
      </c>
      <c r="C10" s="50">
        <v>21.64</v>
      </c>
      <c r="D10" s="50">
        <v>18.579999999999998</v>
      </c>
      <c r="E10" s="50">
        <v>10.69</v>
      </c>
      <c r="F10" s="50">
        <v>3.46</v>
      </c>
      <c r="G10" s="50">
        <v>48.24</v>
      </c>
      <c r="H10" s="50">
        <v>22.4</v>
      </c>
      <c r="I10" s="50">
        <v>0</v>
      </c>
      <c r="J10" s="50">
        <v>0.09</v>
      </c>
      <c r="K10" s="50">
        <v>216.46</v>
      </c>
      <c r="L10" s="50">
        <v>18.420000000000002</v>
      </c>
      <c r="M10" s="50">
        <v>71.040000000000006</v>
      </c>
      <c r="N10" s="50">
        <v>0</v>
      </c>
      <c r="O10" s="50">
        <v>0</v>
      </c>
      <c r="P10" s="50">
        <v>0.77</v>
      </c>
      <c r="Q10" s="50">
        <v>4.79</v>
      </c>
    </row>
    <row r="11" spans="1:21" customFormat="1">
      <c r="A11" s="49">
        <v>45327.125</v>
      </c>
      <c r="B11" s="50">
        <v>7.04</v>
      </c>
      <c r="C11" s="50">
        <v>21.45</v>
      </c>
      <c r="D11" s="50">
        <v>18.11</v>
      </c>
      <c r="E11" s="50">
        <v>6.2</v>
      </c>
      <c r="F11" s="50">
        <v>3.75</v>
      </c>
      <c r="G11" s="50">
        <v>48.33</v>
      </c>
      <c r="H11" s="50">
        <v>22.06</v>
      </c>
      <c r="I11" s="50">
        <v>0</v>
      </c>
      <c r="J11" s="50">
        <v>0.19</v>
      </c>
      <c r="K11" s="50">
        <v>234.4</v>
      </c>
      <c r="L11" s="50">
        <v>18.18</v>
      </c>
      <c r="M11" s="50">
        <v>76.66</v>
      </c>
      <c r="N11" s="50">
        <v>0</v>
      </c>
      <c r="O11" s="50">
        <v>0</v>
      </c>
      <c r="P11" s="50">
        <v>0.75</v>
      </c>
      <c r="Q11" s="50">
        <v>4.7699999999999996</v>
      </c>
    </row>
    <row r="12" spans="1:21" customFormat="1">
      <c r="A12" s="49">
        <v>45327.166666666664</v>
      </c>
      <c r="B12" s="50">
        <v>8.44</v>
      </c>
      <c r="C12" s="50">
        <v>19.16</v>
      </c>
      <c r="D12" s="50">
        <v>18.13</v>
      </c>
      <c r="E12" s="50">
        <v>5.8</v>
      </c>
      <c r="F12" s="50">
        <v>3.52</v>
      </c>
      <c r="G12" s="50">
        <v>44.74</v>
      </c>
      <c r="H12" s="50">
        <v>18.440000000000001</v>
      </c>
      <c r="I12" s="50">
        <v>0</v>
      </c>
      <c r="J12" s="50">
        <v>0.16</v>
      </c>
      <c r="K12" s="50">
        <v>164.64</v>
      </c>
      <c r="L12" s="50">
        <v>17.59</v>
      </c>
      <c r="M12" s="50">
        <v>79.459999999999994</v>
      </c>
      <c r="N12" s="50">
        <v>0</v>
      </c>
      <c r="O12" s="50">
        <v>0</v>
      </c>
      <c r="P12" s="50">
        <v>0.72</v>
      </c>
      <c r="Q12" s="50">
        <v>4.76</v>
      </c>
    </row>
    <row r="13" spans="1:21" customFormat="1">
      <c r="A13" s="49">
        <v>45327.208333333336</v>
      </c>
      <c r="B13" s="50">
        <v>14.29</v>
      </c>
      <c r="C13" s="50">
        <v>21.54</v>
      </c>
      <c r="D13" s="50">
        <v>24.06</v>
      </c>
      <c r="E13" s="50">
        <v>6.1</v>
      </c>
      <c r="F13" s="50">
        <v>3.37</v>
      </c>
      <c r="G13" s="50">
        <v>45.51</v>
      </c>
      <c r="H13" s="50">
        <v>21.4</v>
      </c>
      <c r="I13" s="50">
        <v>0</v>
      </c>
      <c r="J13" s="50">
        <v>0.18</v>
      </c>
      <c r="K13" s="50">
        <v>195.35</v>
      </c>
      <c r="L13" s="50">
        <v>17.47</v>
      </c>
      <c r="M13" s="50">
        <v>82.91</v>
      </c>
      <c r="N13" s="50">
        <v>0</v>
      </c>
      <c r="O13" s="50">
        <v>0</v>
      </c>
      <c r="P13" s="50">
        <v>0.72</v>
      </c>
      <c r="Q13" s="50">
        <v>4.82</v>
      </c>
    </row>
    <row r="14" spans="1:21" customFormat="1">
      <c r="A14" s="49">
        <v>45327.25</v>
      </c>
      <c r="B14" s="50">
        <v>16.12</v>
      </c>
      <c r="C14" s="50">
        <v>21.51</v>
      </c>
      <c r="D14" s="50">
        <v>25.29</v>
      </c>
      <c r="E14" s="50">
        <v>6.14</v>
      </c>
      <c r="F14" s="50">
        <v>3.4</v>
      </c>
      <c r="G14" s="50">
        <v>54.57</v>
      </c>
      <c r="H14" s="50">
        <v>22.24</v>
      </c>
      <c r="I14" s="50">
        <v>0</v>
      </c>
      <c r="J14" s="50">
        <v>0.43</v>
      </c>
      <c r="K14" s="50">
        <v>188.69</v>
      </c>
      <c r="L14" s="50">
        <v>16.68</v>
      </c>
      <c r="M14" s="50">
        <v>87.48</v>
      </c>
      <c r="N14" s="50">
        <v>0</v>
      </c>
      <c r="O14" s="50">
        <v>0</v>
      </c>
      <c r="P14" s="50">
        <v>0.72</v>
      </c>
      <c r="Q14" s="50">
        <v>4.8600000000000003</v>
      </c>
    </row>
    <row r="15" spans="1:21" customFormat="1">
      <c r="A15" s="49">
        <v>45327.291666666664</v>
      </c>
      <c r="B15" s="50">
        <v>16.22</v>
      </c>
      <c r="C15" s="50">
        <v>21.36</v>
      </c>
      <c r="D15" s="50">
        <v>25.48</v>
      </c>
      <c r="E15" s="50">
        <v>5.92</v>
      </c>
      <c r="F15" s="50">
        <v>3.43</v>
      </c>
      <c r="G15" s="50">
        <v>52.2</v>
      </c>
      <c r="H15" s="50">
        <v>20.78</v>
      </c>
      <c r="I15" s="50">
        <v>0</v>
      </c>
      <c r="J15" s="50">
        <v>0.22</v>
      </c>
      <c r="K15" s="50">
        <v>253.13</v>
      </c>
      <c r="L15" s="50">
        <v>16.14</v>
      </c>
      <c r="M15" s="50">
        <v>88.23</v>
      </c>
      <c r="N15" s="50">
        <v>5.9</v>
      </c>
      <c r="O15" s="50">
        <v>0</v>
      </c>
      <c r="P15" s="50">
        <v>0.71</v>
      </c>
      <c r="Q15" s="50">
        <v>4.8600000000000003</v>
      </c>
    </row>
    <row r="16" spans="1:21" customFormat="1">
      <c r="A16" s="49">
        <v>45327.333333333336</v>
      </c>
      <c r="B16" s="50">
        <v>15.66</v>
      </c>
      <c r="C16" s="50">
        <v>21.61</v>
      </c>
      <c r="D16" s="50">
        <v>24.65</v>
      </c>
      <c r="E16" s="50">
        <v>6.47</v>
      </c>
      <c r="F16" s="50">
        <v>3.5</v>
      </c>
      <c r="G16" s="50">
        <v>57.6</v>
      </c>
      <c r="H16" s="50">
        <v>23.95</v>
      </c>
      <c r="I16" s="50">
        <v>0</v>
      </c>
      <c r="J16" s="50">
        <v>0.19</v>
      </c>
      <c r="K16" s="50">
        <v>290.83</v>
      </c>
      <c r="L16" s="50">
        <v>19.079999999999998</v>
      </c>
      <c r="M16" s="50">
        <v>86.38</v>
      </c>
      <c r="N16" s="50">
        <v>49.8</v>
      </c>
      <c r="O16" s="50">
        <v>0</v>
      </c>
      <c r="P16" s="50">
        <v>0.71</v>
      </c>
      <c r="Q16" s="50">
        <v>4.8600000000000003</v>
      </c>
    </row>
    <row r="17" spans="1:17" customFormat="1">
      <c r="A17" s="49">
        <v>45327.375</v>
      </c>
      <c r="B17" s="50">
        <v>13.61</v>
      </c>
      <c r="C17" s="50">
        <v>22.25</v>
      </c>
      <c r="D17" s="50">
        <v>23.7</v>
      </c>
      <c r="E17" s="50">
        <v>6.41</v>
      </c>
      <c r="F17" s="50">
        <v>3.5</v>
      </c>
      <c r="G17" s="50">
        <v>58.39</v>
      </c>
      <c r="H17" s="50">
        <v>25.36</v>
      </c>
      <c r="I17" s="50">
        <v>0</v>
      </c>
      <c r="J17" s="50">
        <v>0.47</v>
      </c>
      <c r="K17" s="50">
        <v>290.22000000000003</v>
      </c>
      <c r="L17" s="50">
        <v>23.29</v>
      </c>
      <c r="M17" s="50">
        <v>68.23</v>
      </c>
      <c r="N17" s="50">
        <v>292.89999999999998</v>
      </c>
      <c r="O17" s="50">
        <v>0</v>
      </c>
      <c r="P17" s="50">
        <v>0.73</v>
      </c>
      <c r="Q17" s="50">
        <v>4.83</v>
      </c>
    </row>
    <row r="18" spans="1:17" customFormat="1">
      <c r="A18" s="49">
        <v>45327.416666666664</v>
      </c>
      <c r="B18" s="50">
        <v>10</v>
      </c>
      <c r="C18" s="50">
        <v>22.44</v>
      </c>
      <c r="D18" s="50">
        <v>21.1</v>
      </c>
      <c r="E18" s="50">
        <v>6.84</v>
      </c>
      <c r="F18" s="50">
        <v>4.0199999999999996</v>
      </c>
      <c r="G18" s="50">
        <v>52.65</v>
      </c>
      <c r="H18" s="50">
        <v>22.27</v>
      </c>
      <c r="I18" s="50">
        <v>0</v>
      </c>
      <c r="J18" s="50">
        <v>0.72</v>
      </c>
      <c r="K18" s="50">
        <v>284.08</v>
      </c>
      <c r="L18" s="50">
        <v>26.27</v>
      </c>
      <c r="M18" s="50">
        <v>50.98</v>
      </c>
      <c r="N18" s="50">
        <v>368.1</v>
      </c>
      <c r="O18" s="50">
        <v>0</v>
      </c>
      <c r="P18" s="50">
        <v>0.69</v>
      </c>
      <c r="Q18" s="50">
        <v>4.8099999999999996</v>
      </c>
    </row>
    <row r="19" spans="1:17" customFormat="1">
      <c r="A19" s="49">
        <v>45327.458333333336</v>
      </c>
      <c r="B19" s="50">
        <v>6.79</v>
      </c>
      <c r="C19" s="50">
        <v>23.02</v>
      </c>
      <c r="D19" s="50">
        <v>18.39</v>
      </c>
      <c r="E19" s="50">
        <v>7.38</v>
      </c>
      <c r="F19" s="50">
        <v>4.3899999999999997</v>
      </c>
      <c r="G19" s="50">
        <v>46.92</v>
      </c>
      <c r="H19" s="50">
        <v>20.83</v>
      </c>
      <c r="I19" s="50">
        <v>0</v>
      </c>
      <c r="J19" s="50">
        <v>1.08</v>
      </c>
      <c r="K19" s="50">
        <v>304.67</v>
      </c>
      <c r="L19" s="50">
        <v>28.23</v>
      </c>
      <c r="M19" s="50">
        <v>48.92</v>
      </c>
      <c r="N19" s="50">
        <v>528</v>
      </c>
      <c r="O19" s="50">
        <v>0</v>
      </c>
      <c r="P19" s="50">
        <v>0.66</v>
      </c>
      <c r="Q19" s="50">
        <v>4.7699999999999996</v>
      </c>
    </row>
    <row r="20" spans="1:17" customFormat="1">
      <c r="A20" s="49">
        <v>45327.5</v>
      </c>
      <c r="B20" s="50">
        <v>5.18</v>
      </c>
      <c r="C20" s="50">
        <v>22.96</v>
      </c>
      <c r="D20" s="50">
        <v>17.5</v>
      </c>
      <c r="E20" s="50">
        <v>8.0299999999999994</v>
      </c>
      <c r="F20" s="50">
        <v>6.25</v>
      </c>
      <c r="G20" s="50">
        <v>49.89</v>
      </c>
      <c r="H20" s="50">
        <v>22.51</v>
      </c>
      <c r="I20" s="50">
        <v>0</v>
      </c>
      <c r="J20" s="50">
        <v>1.18</v>
      </c>
      <c r="K20" s="50">
        <v>290.45999999999998</v>
      </c>
      <c r="L20" s="50">
        <v>29.83</v>
      </c>
      <c r="M20" s="50">
        <v>45.69</v>
      </c>
      <c r="N20" s="50">
        <v>583.70000000000005</v>
      </c>
      <c r="O20" s="50">
        <v>0</v>
      </c>
      <c r="P20" s="50">
        <v>0.68</v>
      </c>
      <c r="Q20" s="50">
        <v>4.76</v>
      </c>
    </row>
    <row r="21" spans="1:17" customFormat="1">
      <c r="A21" s="49">
        <v>45327.541666666664</v>
      </c>
      <c r="B21" s="50">
        <v>4.3899999999999997</v>
      </c>
      <c r="C21" s="50">
        <v>21.84</v>
      </c>
      <c r="D21" s="50">
        <v>16.23</v>
      </c>
      <c r="E21" s="50">
        <v>8.2100000000000009</v>
      </c>
      <c r="F21" s="50">
        <v>6.65</v>
      </c>
      <c r="G21" s="50">
        <v>50.31</v>
      </c>
      <c r="H21" s="50">
        <v>23.27</v>
      </c>
      <c r="I21" s="50">
        <v>0</v>
      </c>
      <c r="J21" s="50">
        <v>1.51</v>
      </c>
      <c r="K21" s="50">
        <v>302.38</v>
      </c>
      <c r="L21" s="50">
        <v>31.32</v>
      </c>
      <c r="M21" s="50">
        <v>38.97</v>
      </c>
      <c r="N21" s="50">
        <v>589.79999999999995</v>
      </c>
      <c r="O21" s="50">
        <v>0</v>
      </c>
      <c r="P21" s="50">
        <v>0.7</v>
      </c>
      <c r="Q21" s="50">
        <v>4.71</v>
      </c>
    </row>
    <row r="22" spans="1:17" customFormat="1">
      <c r="A22" s="49">
        <v>45327.583333333336</v>
      </c>
      <c r="B22" s="50">
        <v>4.18</v>
      </c>
      <c r="C22" s="50">
        <v>17.440000000000001</v>
      </c>
      <c r="D22" s="50">
        <v>13.81</v>
      </c>
      <c r="E22" s="50">
        <v>7.71</v>
      </c>
      <c r="F22" s="50">
        <v>5.78</v>
      </c>
      <c r="G22" s="50">
        <v>49.81</v>
      </c>
      <c r="H22" s="50">
        <v>22.01</v>
      </c>
      <c r="I22" s="50">
        <v>0</v>
      </c>
      <c r="J22" s="50">
        <v>1.08</v>
      </c>
      <c r="K22" s="50">
        <v>301.44</v>
      </c>
      <c r="L22" s="50">
        <v>31.71</v>
      </c>
      <c r="M22" s="50">
        <v>37.97</v>
      </c>
      <c r="N22" s="50">
        <v>526.1</v>
      </c>
      <c r="O22" s="50">
        <v>0</v>
      </c>
      <c r="P22" s="50">
        <v>0.74</v>
      </c>
      <c r="Q22" s="50">
        <v>4.71</v>
      </c>
    </row>
    <row r="23" spans="1:17" customFormat="1">
      <c r="A23" s="49">
        <v>45327.625</v>
      </c>
      <c r="B23" s="50">
        <v>4.01</v>
      </c>
      <c r="C23" s="50">
        <v>16.07</v>
      </c>
      <c r="D23" s="50">
        <v>12.93</v>
      </c>
      <c r="E23" s="50">
        <v>7.52</v>
      </c>
      <c r="F23" s="50">
        <v>6.28</v>
      </c>
      <c r="G23" s="50">
        <v>53.6</v>
      </c>
      <c r="H23" s="50">
        <v>21.83</v>
      </c>
      <c r="I23" s="50">
        <v>0</v>
      </c>
      <c r="J23" s="50">
        <v>1.25</v>
      </c>
      <c r="K23" s="50">
        <v>296.81</v>
      </c>
      <c r="L23" s="50">
        <v>31.62</v>
      </c>
      <c r="M23" s="50">
        <v>36.74</v>
      </c>
      <c r="N23" s="50">
        <v>466.4</v>
      </c>
      <c r="O23" s="50">
        <v>0</v>
      </c>
      <c r="P23" s="50">
        <v>0.75</v>
      </c>
      <c r="Q23" s="50">
        <v>4.7</v>
      </c>
    </row>
    <row r="24" spans="1:17" customFormat="1">
      <c r="A24" s="49">
        <v>45327.666666666664</v>
      </c>
      <c r="B24" s="50">
        <v>4.0199999999999996</v>
      </c>
      <c r="C24" s="50">
        <v>14.86</v>
      </c>
      <c r="D24" s="50">
        <v>12.34</v>
      </c>
      <c r="E24" s="50">
        <v>7.99</v>
      </c>
      <c r="F24" s="50">
        <v>8.34</v>
      </c>
      <c r="G24" s="50">
        <v>52.43</v>
      </c>
      <c r="H24" s="50">
        <v>17.8</v>
      </c>
      <c r="I24" s="50">
        <v>0</v>
      </c>
      <c r="J24" s="50">
        <v>0.74</v>
      </c>
      <c r="K24" s="50">
        <v>282.02999999999997</v>
      </c>
      <c r="L24" s="50">
        <v>31.01</v>
      </c>
      <c r="M24" s="50">
        <v>40.94</v>
      </c>
      <c r="N24" s="50">
        <v>112</v>
      </c>
      <c r="O24" s="50">
        <v>0</v>
      </c>
      <c r="P24" s="50">
        <v>0.74</v>
      </c>
      <c r="Q24" s="50">
        <v>4.71</v>
      </c>
    </row>
    <row r="25" spans="1:17" customFormat="1">
      <c r="A25" s="49">
        <v>45327.708333333336</v>
      </c>
      <c r="B25" s="50">
        <v>3.82</v>
      </c>
      <c r="C25" s="50">
        <v>13.06</v>
      </c>
      <c r="D25" s="50">
        <v>11.24</v>
      </c>
      <c r="E25" s="50">
        <v>10.76</v>
      </c>
      <c r="F25" s="50">
        <v>13.45</v>
      </c>
      <c r="G25" s="50">
        <v>51.37</v>
      </c>
      <c r="H25" s="50">
        <v>19.600000000000001</v>
      </c>
      <c r="I25" s="50">
        <v>0</v>
      </c>
      <c r="J25" s="50">
        <v>0.55000000000000004</v>
      </c>
      <c r="K25" s="50">
        <v>277.62</v>
      </c>
      <c r="L25" s="50">
        <v>30.42</v>
      </c>
      <c r="M25" s="50">
        <v>43.31</v>
      </c>
      <c r="N25" s="50">
        <v>78.5</v>
      </c>
      <c r="O25" s="50">
        <v>0</v>
      </c>
      <c r="P25" s="50">
        <v>0.72</v>
      </c>
      <c r="Q25" s="50">
        <v>4.72</v>
      </c>
    </row>
    <row r="26" spans="1:17" customFormat="1">
      <c r="A26" s="49">
        <v>45327.75</v>
      </c>
      <c r="B26" s="50">
        <v>3.79</v>
      </c>
      <c r="C26" s="50">
        <v>15.4</v>
      </c>
      <c r="D26" s="50">
        <v>12.44</v>
      </c>
      <c r="E26" s="50">
        <v>9.06</v>
      </c>
      <c r="F26" s="50">
        <v>9.75</v>
      </c>
      <c r="G26" s="50">
        <v>48.36</v>
      </c>
      <c r="H26" s="50">
        <v>19.71</v>
      </c>
      <c r="I26" s="50">
        <v>0</v>
      </c>
      <c r="J26" s="50">
        <v>0.55000000000000004</v>
      </c>
      <c r="K26" s="50">
        <v>278.38</v>
      </c>
      <c r="L26" s="50">
        <v>29.33</v>
      </c>
      <c r="M26" s="50">
        <v>48.43</v>
      </c>
      <c r="N26" s="50">
        <v>16.600000000000001</v>
      </c>
      <c r="O26" s="50">
        <v>0</v>
      </c>
      <c r="P26" s="50">
        <v>0.71</v>
      </c>
      <c r="Q26" s="50">
        <v>4.75</v>
      </c>
    </row>
    <row r="27" spans="1:17" customFormat="1">
      <c r="A27" s="49">
        <v>45327.791666666664</v>
      </c>
      <c r="B27" s="50">
        <v>4.63</v>
      </c>
      <c r="C27" s="50">
        <v>18.54</v>
      </c>
      <c r="D27" s="50">
        <v>14.75</v>
      </c>
      <c r="E27" s="50">
        <v>6.67</v>
      </c>
      <c r="F27" s="50">
        <v>6.73</v>
      </c>
      <c r="G27" s="50">
        <v>52.07</v>
      </c>
      <c r="H27" s="50">
        <v>23.45</v>
      </c>
      <c r="I27" s="50">
        <v>0</v>
      </c>
      <c r="J27" s="50">
        <v>0.34</v>
      </c>
      <c r="K27" s="50">
        <v>255.35</v>
      </c>
      <c r="L27" s="50">
        <v>27.75</v>
      </c>
      <c r="M27" s="50">
        <v>57.67</v>
      </c>
      <c r="N27" s="50">
        <v>0</v>
      </c>
      <c r="O27" s="50">
        <v>0</v>
      </c>
      <c r="P27" s="50">
        <v>0.74</v>
      </c>
      <c r="Q27" s="50">
        <v>4.7699999999999996</v>
      </c>
    </row>
    <row r="28" spans="1:17" customFormat="1">
      <c r="A28" s="49">
        <v>45327.833333333336</v>
      </c>
      <c r="B28" s="50">
        <v>5.28</v>
      </c>
      <c r="C28" s="50">
        <v>19.420000000000002</v>
      </c>
      <c r="D28" s="50">
        <v>15.73</v>
      </c>
      <c r="E28" s="50">
        <v>6.46</v>
      </c>
      <c r="F28" s="50">
        <v>5.04</v>
      </c>
      <c r="G28" s="50">
        <v>63.15</v>
      </c>
      <c r="H28" s="50">
        <v>27.18</v>
      </c>
      <c r="I28" s="50">
        <v>0</v>
      </c>
      <c r="J28" s="50">
        <v>0.32</v>
      </c>
      <c r="K28" s="50">
        <v>197.09</v>
      </c>
      <c r="L28" s="50">
        <v>25.83</v>
      </c>
      <c r="M28" s="50">
        <v>69.849999999999994</v>
      </c>
      <c r="N28" s="50">
        <v>0</v>
      </c>
      <c r="O28" s="50">
        <v>0</v>
      </c>
      <c r="P28" s="50">
        <v>0.79</v>
      </c>
      <c r="Q28" s="50">
        <v>4.78</v>
      </c>
    </row>
    <row r="29" spans="1:17" customFormat="1">
      <c r="A29" s="49">
        <v>45327.875</v>
      </c>
      <c r="B29" s="50">
        <v>5.88</v>
      </c>
      <c r="C29" s="50">
        <v>20.45</v>
      </c>
      <c r="D29" s="50">
        <v>16.75</v>
      </c>
      <c r="E29" s="50">
        <v>6.43</v>
      </c>
      <c r="F29" s="50">
        <v>3.57</v>
      </c>
      <c r="G29" s="50">
        <v>77.400000000000006</v>
      </c>
      <c r="H29" s="50">
        <v>28.25</v>
      </c>
      <c r="I29" s="50">
        <v>0</v>
      </c>
      <c r="J29" s="50">
        <v>0.22</v>
      </c>
      <c r="K29" s="50">
        <v>186.99</v>
      </c>
      <c r="L29" s="50">
        <v>24.11</v>
      </c>
      <c r="M29" s="50">
        <v>73.459999999999994</v>
      </c>
      <c r="N29" s="50">
        <v>0</v>
      </c>
      <c r="O29" s="50">
        <v>0</v>
      </c>
      <c r="P29" s="50">
        <v>0.83</v>
      </c>
      <c r="Q29" s="50">
        <v>4.76</v>
      </c>
    </row>
    <row r="30" spans="1:17" customFormat="1">
      <c r="A30" s="49">
        <v>45327.916666666664</v>
      </c>
      <c r="B30" s="50">
        <v>6.18</v>
      </c>
      <c r="C30" s="50">
        <v>21.13</v>
      </c>
      <c r="D30" s="50">
        <v>17.350000000000001</v>
      </c>
      <c r="E30" s="50">
        <v>6.41</v>
      </c>
      <c r="F30" s="50">
        <v>3.48</v>
      </c>
      <c r="G30" s="50">
        <v>77.650000000000006</v>
      </c>
      <c r="H30" s="50">
        <v>28.16</v>
      </c>
      <c r="I30" s="50">
        <v>0</v>
      </c>
      <c r="J30" s="50">
        <v>0.21</v>
      </c>
      <c r="K30" s="50">
        <v>174.88</v>
      </c>
      <c r="L30" s="50">
        <v>23.27</v>
      </c>
      <c r="M30" s="50">
        <v>81.25</v>
      </c>
      <c r="N30" s="50">
        <v>0</v>
      </c>
      <c r="O30" s="50">
        <v>0</v>
      </c>
      <c r="P30" s="50">
        <v>0.85</v>
      </c>
      <c r="Q30" s="50">
        <v>4.75</v>
      </c>
    </row>
    <row r="31" spans="1:17" customFormat="1">
      <c r="A31" s="49">
        <v>45327.958333333336</v>
      </c>
      <c r="B31" s="50">
        <v>7.16</v>
      </c>
      <c r="C31" s="50">
        <v>21.74</v>
      </c>
      <c r="D31" s="50">
        <v>17.809999999999999</v>
      </c>
      <c r="E31" s="50">
        <v>6.5</v>
      </c>
      <c r="F31" s="50">
        <v>3.71</v>
      </c>
      <c r="G31" s="50">
        <v>77.19</v>
      </c>
      <c r="H31" s="50">
        <v>29.69</v>
      </c>
      <c r="I31" s="50">
        <v>0</v>
      </c>
      <c r="J31" s="50">
        <v>0.18</v>
      </c>
      <c r="K31" s="50">
        <v>223.26</v>
      </c>
      <c r="L31" s="50">
        <v>22.23</v>
      </c>
      <c r="M31" s="50">
        <v>80</v>
      </c>
      <c r="N31" s="50">
        <v>0</v>
      </c>
      <c r="O31" s="50">
        <v>0</v>
      </c>
      <c r="P31" s="50">
        <v>0.87</v>
      </c>
      <c r="Q31" s="50">
        <v>4.71</v>
      </c>
    </row>
    <row r="32" spans="1:17" customFormat="1">
      <c r="A32" s="49">
        <v>45328</v>
      </c>
      <c r="B32" s="50">
        <v>7.92</v>
      </c>
      <c r="C32" s="50">
        <v>16.86</v>
      </c>
      <c r="D32" s="50">
        <v>16.510000000000002</v>
      </c>
      <c r="E32" s="50">
        <v>6.14</v>
      </c>
      <c r="F32" s="50">
        <v>3.71</v>
      </c>
      <c r="G32" s="50">
        <v>78.05</v>
      </c>
      <c r="H32" s="50">
        <v>31.31</v>
      </c>
      <c r="I32" s="50">
        <v>0</v>
      </c>
      <c r="J32" s="50">
        <v>0.16</v>
      </c>
      <c r="K32" s="50">
        <v>174.85</v>
      </c>
      <c r="L32" s="50">
        <v>21.75</v>
      </c>
      <c r="M32" s="50">
        <v>80.63</v>
      </c>
      <c r="N32" s="50">
        <v>0</v>
      </c>
      <c r="O32" s="50">
        <v>0</v>
      </c>
      <c r="P32" s="50">
        <v>0.87</v>
      </c>
      <c r="Q32" s="50">
        <v>4.71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3.79</v>
      </c>
      <c r="C34" s="40">
        <f t="shared" si="0"/>
        <v>13.06</v>
      </c>
      <c r="D34" s="40">
        <f t="shared" si="0"/>
        <v>11.24</v>
      </c>
      <c r="E34" s="40">
        <f t="shared" si="0"/>
        <v>5.8</v>
      </c>
      <c r="F34" s="40">
        <f t="shared" si="0"/>
        <v>3.37</v>
      </c>
      <c r="G34" s="40">
        <f t="shared" si="0"/>
        <v>44.74</v>
      </c>
      <c r="H34" s="40">
        <f t="shared" si="0"/>
        <v>17.8</v>
      </c>
      <c r="I34" s="40">
        <f t="shared" si="0"/>
        <v>0</v>
      </c>
      <c r="J34" s="40">
        <f t="shared" si="0"/>
        <v>0.09</v>
      </c>
      <c r="K34" s="40">
        <f t="shared" si="0"/>
        <v>164.64</v>
      </c>
      <c r="L34" s="40">
        <f t="shared" si="0"/>
        <v>16.14</v>
      </c>
      <c r="M34" s="40">
        <f t="shared" si="0"/>
        <v>36.74</v>
      </c>
      <c r="N34" s="40">
        <f t="shared" si="0"/>
        <v>0</v>
      </c>
      <c r="O34" s="40">
        <f t="shared" si="0"/>
        <v>0</v>
      </c>
      <c r="P34" s="40">
        <f t="shared" si="0"/>
        <v>0.66</v>
      </c>
      <c r="Q34" s="40">
        <f t="shared" si="0"/>
        <v>4.7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16.22</v>
      </c>
      <c r="C35" s="33">
        <f t="shared" si="1"/>
        <v>23.02</v>
      </c>
      <c r="D35" s="33">
        <f t="shared" si="1"/>
        <v>25.48</v>
      </c>
      <c r="E35" s="33">
        <f t="shared" si="1"/>
        <v>10.76</v>
      </c>
      <c r="F35" s="33">
        <f t="shared" si="1"/>
        <v>13.45</v>
      </c>
      <c r="G35" s="33">
        <f t="shared" si="1"/>
        <v>78.05</v>
      </c>
      <c r="H35" s="33">
        <f t="shared" si="1"/>
        <v>31.31</v>
      </c>
      <c r="I35" s="33">
        <f t="shared" si="1"/>
        <v>0</v>
      </c>
      <c r="J35" s="33">
        <f t="shared" si="1"/>
        <v>1.51</v>
      </c>
      <c r="K35" s="33">
        <f t="shared" si="1"/>
        <v>304.67</v>
      </c>
      <c r="L35" s="33">
        <f t="shared" si="1"/>
        <v>31.71</v>
      </c>
      <c r="M35" s="33">
        <f t="shared" si="1"/>
        <v>88.23</v>
      </c>
      <c r="N35" s="33">
        <f t="shared" si="1"/>
        <v>589.79999999999995</v>
      </c>
      <c r="O35" s="33">
        <f t="shared" si="1"/>
        <v>0</v>
      </c>
      <c r="P35" s="33">
        <f t="shared" si="1"/>
        <v>0.87</v>
      </c>
      <c r="Q35" s="33">
        <f t="shared" si="1"/>
        <v>4.8600000000000003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7.893749999999998</v>
      </c>
      <c r="C36" s="40">
        <f t="shared" si="2"/>
        <v>19.887499999999999</v>
      </c>
      <c r="D36" s="40">
        <f t="shared" si="2"/>
        <v>17.97625</v>
      </c>
      <c r="E36" s="40">
        <f t="shared" si="2"/>
        <v>7.3412499999999987</v>
      </c>
      <c r="F36" s="40">
        <f t="shared" si="2"/>
        <v>5.1029166666666663</v>
      </c>
      <c r="G36" s="40">
        <f t="shared" si="2"/>
        <v>55.872500000000002</v>
      </c>
      <c r="H36" s="40">
        <f t="shared" si="2"/>
        <v>23.194166666666664</v>
      </c>
      <c r="I36" s="40">
        <f t="shared" si="2"/>
        <v>0</v>
      </c>
      <c r="J36" s="40">
        <f t="shared" si="2"/>
        <v>0.50791666666666668</v>
      </c>
      <c r="K36" s="40">
        <f t="shared" si="2"/>
        <v>244.28958333333341</v>
      </c>
      <c r="L36" s="40">
        <f t="shared" si="2"/>
        <v>24.170833333333331</v>
      </c>
      <c r="M36" s="40">
        <f t="shared" si="2"/>
        <v>64.660833333333343</v>
      </c>
      <c r="N36" s="40">
        <f t="shared" si="2"/>
        <v>150.74166666666665</v>
      </c>
      <c r="O36" s="40">
        <f t="shared" si="2"/>
        <v>0</v>
      </c>
      <c r="P36" s="40">
        <f t="shared" si="2"/>
        <v>0.74708333333333343</v>
      </c>
      <c r="Q36" s="40">
        <f t="shared" si="2"/>
        <v>4.7691666666666661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4.1703089370494846</v>
      </c>
      <c r="C37" s="40">
        <f t="shared" ref="C37:Q37" si="3">STDEV(C9:C32)</f>
        <v>2.8249651787003431</v>
      </c>
      <c r="D37" s="40">
        <f t="shared" si="3"/>
        <v>4.2127877917432404</v>
      </c>
      <c r="E37" s="40">
        <f t="shared" si="3"/>
        <v>1.5088530412203891</v>
      </c>
      <c r="F37" s="40">
        <f t="shared" si="3"/>
        <v>2.5048396271959232</v>
      </c>
      <c r="G37" s="40">
        <f t="shared" si="3"/>
        <v>10.711339481048158</v>
      </c>
      <c r="H37" s="40">
        <f t="shared" si="3"/>
        <v>3.4852433221358989</v>
      </c>
      <c r="I37" s="40">
        <f t="shared" si="3"/>
        <v>0</v>
      </c>
      <c r="J37" s="40">
        <f t="shared" si="3"/>
        <v>0.41896330820632544</v>
      </c>
      <c r="K37" s="40">
        <f t="shared" si="3"/>
        <v>49.027725472799609</v>
      </c>
      <c r="L37" s="40">
        <f t="shared" si="3"/>
        <v>5.4797555615641125</v>
      </c>
      <c r="M37" s="40">
        <f t="shared" si="3"/>
        <v>18.164599569939089</v>
      </c>
      <c r="N37" s="40">
        <f t="shared" si="3"/>
        <v>224.48931206604038</v>
      </c>
      <c r="O37" s="40">
        <f t="shared" si="3"/>
        <v>0</v>
      </c>
      <c r="P37" s="40">
        <f t="shared" si="3"/>
        <v>5.7216535058125219E-2</v>
      </c>
      <c r="Q37" s="40">
        <f t="shared" si="3"/>
        <v>5.0812243189717811E-2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45328.041666666664</v>
      </c>
      <c r="B9" s="50">
        <v>9.51</v>
      </c>
      <c r="C9" s="50">
        <v>18.510000000000002</v>
      </c>
      <c r="D9" s="50">
        <v>18.010000000000002</v>
      </c>
      <c r="E9" s="50">
        <v>6.51</v>
      </c>
      <c r="F9" s="50">
        <v>3.5</v>
      </c>
      <c r="G9" s="50">
        <v>74.89</v>
      </c>
      <c r="H9" s="50">
        <v>31.34</v>
      </c>
      <c r="I9" s="50">
        <v>0</v>
      </c>
      <c r="J9" s="50">
        <v>0.13</v>
      </c>
      <c r="K9" s="50">
        <v>179.39</v>
      </c>
      <c r="L9" s="50">
        <v>21.51</v>
      </c>
      <c r="M9" s="50">
        <v>83.01</v>
      </c>
      <c r="N9" s="50">
        <v>0</v>
      </c>
      <c r="O9" s="50">
        <v>0</v>
      </c>
      <c r="P9" s="50">
        <v>0.86</v>
      </c>
      <c r="Q9" s="50">
        <v>4.75</v>
      </c>
    </row>
    <row r="10" spans="1:21" customFormat="1">
      <c r="A10" s="49">
        <v>45328.083333333336</v>
      </c>
      <c r="B10" s="50">
        <v>9.9700000000000006</v>
      </c>
      <c r="C10" s="50">
        <v>17.170000000000002</v>
      </c>
      <c r="D10" s="50">
        <v>18.14</v>
      </c>
      <c r="E10" s="50">
        <v>6.24</v>
      </c>
      <c r="F10" s="50">
        <v>3.65</v>
      </c>
      <c r="G10" s="50">
        <v>67.510000000000005</v>
      </c>
      <c r="H10" s="50">
        <v>29.88</v>
      </c>
      <c r="I10" s="50">
        <v>0</v>
      </c>
      <c r="J10" s="50">
        <v>0.11</v>
      </c>
      <c r="K10" s="50">
        <v>200.41</v>
      </c>
      <c r="L10" s="50">
        <v>21.29</v>
      </c>
      <c r="M10" s="50">
        <v>81.849999999999994</v>
      </c>
      <c r="N10" s="50">
        <v>0</v>
      </c>
      <c r="O10" s="50">
        <v>0</v>
      </c>
      <c r="P10" s="50">
        <v>0.84</v>
      </c>
      <c r="Q10" s="50">
        <v>4.76</v>
      </c>
    </row>
    <row r="11" spans="1:21" customFormat="1">
      <c r="A11" s="49">
        <v>45328.125</v>
      </c>
      <c r="B11" s="50">
        <v>10.130000000000001</v>
      </c>
      <c r="C11" s="50">
        <v>16.940000000000001</v>
      </c>
      <c r="D11" s="50">
        <v>18.329999999999998</v>
      </c>
      <c r="E11" s="50">
        <v>7.7</v>
      </c>
      <c r="F11" s="50">
        <v>3.43</v>
      </c>
      <c r="G11" s="50">
        <v>54.9</v>
      </c>
      <c r="H11" s="50">
        <v>28.43</v>
      </c>
      <c r="I11" s="50">
        <v>0</v>
      </c>
      <c r="J11" s="50">
        <v>0.14000000000000001</v>
      </c>
      <c r="K11" s="50">
        <v>168.65</v>
      </c>
      <c r="L11" s="50">
        <v>21.16</v>
      </c>
      <c r="M11" s="50">
        <v>83.99</v>
      </c>
      <c r="N11" s="50">
        <v>0</v>
      </c>
      <c r="O11" s="50">
        <v>0</v>
      </c>
      <c r="P11" s="50">
        <v>0.81</v>
      </c>
      <c r="Q11" s="50">
        <v>4.76</v>
      </c>
    </row>
    <row r="12" spans="1:21" customFormat="1">
      <c r="A12" s="49">
        <v>45328.166666666664</v>
      </c>
      <c r="B12" s="50">
        <v>9.9700000000000006</v>
      </c>
      <c r="C12" s="50">
        <v>18.010000000000002</v>
      </c>
      <c r="D12" s="50">
        <v>18.420000000000002</v>
      </c>
      <c r="E12" s="50">
        <v>8.09</v>
      </c>
      <c r="F12" s="50">
        <v>3.42</v>
      </c>
      <c r="G12" s="50">
        <v>45.96</v>
      </c>
      <c r="H12" s="50">
        <v>25.27</v>
      </c>
      <c r="I12" s="50">
        <v>0</v>
      </c>
      <c r="J12" s="50">
        <v>0.15</v>
      </c>
      <c r="K12" s="50">
        <v>181.8</v>
      </c>
      <c r="L12" s="50">
        <v>20.78</v>
      </c>
      <c r="M12" s="50">
        <v>84.64</v>
      </c>
      <c r="N12" s="50">
        <v>0</v>
      </c>
      <c r="O12" s="50">
        <v>0</v>
      </c>
      <c r="P12" s="50">
        <v>0.78</v>
      </c>
      <c r="Q12" s="50">
        <v>4.7699999999999996</v>
      </c>
    </row>
    <row r="13" spans="1:21" customFormat="1">
      <c r="A13" s="49">
        <v>45328.208333333336</v>
      </c>
      <c r="B13" s="50">
        <v>11.07</v>
      </c>
      <c r="C13" s="50">
        <v>20.58</v>
      </c>
      <c r="D13" s="50">
        <v>20.98</v>
      </c>
      <c r="E13" s="50">
        <v>8.4700000000000006</v>
      </c>
      <c r="F13" s="50">
        <v>3.33</v>
      </c>
      <c r="G13" s="50">
        <v>42.53</v>
      </c>
      <c r="H13" s="50">
        <v>24.2</v>
      </c>
      <c r="I13" s="50">
        <v>0</v>
      </c>
      <c r="J13" s="50">
        <v>0.22</v>
      </c>
      <c r="K13" s="50">
        <v>163.49</v>
      </c>
      <c r="L13" s="50">
        <v>20.66</v>
      </c>
      <c r="M13" s="50">
        <v>83.6</v>
      </c>
      <c r="N13" s="50">
        <v>0</v>
      </c>
      <c r="O13" s="50">
        <v>0</v>
      </c>
      <c r="P13" s="50">
        <v>0.76</v>
      </c>
      <c r="Q13" s="50">
        <v>4.75</v>
      </c>
    </row>
    <row r="14" spans="1:21" customFormat="1">
      <c r="A14" s="49">
        <v>45328.25</v>
      </c>
      <c r="B14" s="50">
        <v>16.420000000000002</v>
      </c>
      <c r="C14" s="50">
        <v>23.81</v>
      </c>
      <c r="D14" s="50">
        <v>26.96</v>
      </c>
      <c r="E14" s="50">
        <v>8.48</v>
      </c>
      <c r="F14" s="50">
        <v>3.23</v>
      </c>
      <c r="G14" s="50">
        <v>45.41</v>
      </c>
      <c r="H14" s="50">
        <v>23.27</v>
      </c>
      <c r="I14" s="50">
        <v>0</v>
      </c>
      <c r="J14" s="50">
        <v>0.35</v>
      </c>
      <c r="K14" s="50">
        <v>175.51</v>
      </c>
      <c r="L14" s="50">
        <v>20.65</v>
      </c>
      <c r="M14" s="50">
        <v>85.27</v>
      </c>
      <c r="N14" s="50">
        <v>0</v>
      </c>
      <c r="O14" s="50">
        <v>0</v>
      </c>
      <c r="P14" s="50">
        <v>0.74</v>
      </c>
      <c r="Q14" s="50">
        <v>4.8</v>
      </c>
    </row>
    <row r="15" spans="1:21" customFormat="1">
      <c r="A15" s="49">
        <v>45328.291666666664</v>
      </c>
      <c r="B15" s="50">
        <v>17.350000000000001</v>
      </c>
      <c r="C15" s="50">
        <v>24.14</v>
      </c>
      <c r="D15" s="50">
        <v>27.83</v>
      </c>
      <c r="E15" s="50">
        <v>9</v>
      </c>
      <c r="F15" s="50">
        <v>3.23</v>
      </c>
      <c r="G15" s="50">
        <v>49.31</v>
      </c>
      <c r="H15" s="50">
        <v>25.98</v>
      </c>
      <c r="I15" s="50">
        <v>0</v>
      </c>
      <c r="J15" s="50">
        <v>0.25</v>
      </c>
      <c r="K15" s="50">
        <v>208.01</v>
      </c>
      <c r="L15" s="50">
        <v>20.02</v>
      </c>
      <c r="M15" s="50">
        <v>91.3</v>
      </c>
      <c r="N15" s="50">
        <v>5.5</v>
      </c>
      <c r="O15" s="50">
        <v>0</v>
      </c>
      <c r="P15" s="50">
        <v>0.73</v>
      </c>
      <c r="Q15" s="50">
        <v>4.82</v>
      </c>
    </row>
    <row r="16" spans="1:21" customFormat="1">
      <c r="A16" s="49">
        <v>45328.333333333336</v>
      </c>
      <c r="B16" s="50">
        <v>17.260000000000002</v>
      </c>
      <c r="C16" s="50">
        <v>24.11</v>
      </c>
      <c r="D16" s="50">
        <v>27.76</v>
      </c>
      <c r="E16" s="50">
        <v>8.89</v>
      </c>
      <c r="F16" s="50">
        <v>3.43</v>
      </c>
      <c r="G16" s="50">
        <v>55.08</v>
      </c>
      <c r="H16" s="50">
        <v>26.28</v>
      </c>
      <c r="I16" s="50">
        <v>0</v>
      </c>
      <c r="J16" s="50">
        <v>0.39</v>
      </c>
      <c r="K16" s="50">
        <v>178.69</v>
      </c>
      <c r="L16" s="50">
        <v>21.29</v>
      </c>
      <c r="M16" s="50">
        <v>90.1</v>
      </c>
      <c r="N16" s="50">
        <v>59.3</v>
      </c>
      <c r="O16" s="50">
        <v>0</v>
      </c>
      <c r="P16" s="50">
        <v>0.73</v>
      </c>
      <c r="Q16" s="50">
        <v>4.82</v>
      </c>
    </row>
    <row r="17" spans="1:17" customFormat="1">
      <c r="A17" s="49">
        <v>45328.375</v>
      </c>
      <c r="B17" s="50">
        <v>17.27</v>
      </c>
      <c r="C17" s="50">
        <v>23.13</v>
      </c>
      <c r="D17" s="50">
        <v>27.03</v>
      </c>
      <c r="E17" s="50">
        <v>8.64</v>
      </c>
      <c r="F17" s="50">
        <v>3.78</v>
      </c>
      <c r="G17" s="50">
        <v>59.07</v>
      </c>
      <c r="H17" s="50">
        <v>28.43</v>
      </c>
      <c r="I17" s="50">
        <v>0</v>
      </c>
      <c r="J17" s="50">
        <v>0.82</v>
      </c>
      <c r="K17" s="50">
        <v>286.05</v>
      </c>
      <c r="L17" s="50">
        <v>25.36</v>
      </c>
      <c r="M17" s="50">
        <v>80.39</v>
      </c>
      <c r="N17" s="50">
        <v>219.3</v>
      </c>
      <c r="O17" s="50">
        <v>0</v>
      </c>
      <c r="P17" s="50">
        <v>0.77</v>
      </c>
      <c r="Q17" s="50">
        <v>4.78</v>
      </c>
    </row>
    <row r="18" spans="1:17" customFormat="1">
      <c r="A18" s="49">
        <v>45328.416666666664</v>
      </c>
      <c r="B18" s="50">
        <v>16.559999999999999</v>
      </c>
      <c r="C18" s="50">
        <v>18.670000000000002</v>
      </c>
      <c r="D18" s="50">
        <v>24.34</v>
      </c>
      <c r="E18" s="50">
        <v>8.3699999999999992</v>
      </c>
      <c r="F18" s="50">
        <v>3.8</v>
      </c>
      <c r="G18" s="50">
        <v>68.55</v>
      </c>
      <c r="H18" s="50">
        <v>28.08</v>
      </c>
      <c r="I18" s="50">
        <v>0</v>
      </c>
      <c r="J18" s="50">
        <v>1.01</v>
      </c>
      <c r="K18" s="50">
        <v>281.43</v>
      </c>
      <c r="L18" s="50">
        <v>27.02</v>
      </c>
      <c r="M18" s="50">
        <v>63.96</v>
      </c>
      <c r="N18" s="50">
        <v>293.89999999999998</v>
      </c>
      <c r="O18" s="50">
        <v>0</v>
      </c>
      <c r="P18" s="50">
        <v>0.78</v>
      </c>
      <c r="Q18" s="50">
        <v>4.79</v>
      </c>
    </row>
    <row r="19" spans="1:17" customFormat="1">
      <c r="A19" s="49">
        <v>45328.458333333336</v>
      </c>
      <c r="B19" s="50">
        <v>13.57</v>
      </c>
      <c r="C19" s="50">
        <v>16.78</v>
      </c>
      <c r="D19" s="50">
        <v>21</v>
      </c>
      <c r="E19" s="50">
        <v>7.65</v>
      </c>
      <c r="F19" s="50">
        <v>4.6399999999999997</v>
      </c>
      <c r="G19" s="50">
        <v>61.38</v>
      </c>
      <c r="H19" s="50">
        <v>27.82</v>
      </c>
      <c r="I19" s="50">
        <v>0</v>
      </c>
      <c r="J19" s="50">
        <v>1.07</v>
      </c>
      <c r="K19" s="50">
        <v>275.19</v>
      </c>
      <c r="L19" s="50">
        <v>29.17</v>
      </c>
      <c r="M19" s="50">
        <v>60.22</v>
      </c>
      <c r="N19" s="50">
        <v>482.2</v>
      </c>
      <c r="O19" s="50">
        <v>0</v>
      </c>
      <c r="P19" s="50">
        <v>0.75</v>
      </c>
      <c r="Q19" s="50">
        <v>4.7699999999999996</v>
      </c>
    </row>
    <row r="20" spans="1:17" customFormat="1">
      <c r="A20" s="49">
        <v>45328.5</v>
      </c>
      <c r="B20" s="50">
        <v>9.81</v>
      </c>
      <c r="C20" s="50">
        <v>15.64</v>
      </c>
      <c r="D20" s="50">
        <v>17.39</v>
      </c>
      <c r="E20" s="50">
        <v>8.09</v>
      </c>
      <c r="F20" s="50">
        <v>6.02</v>
      </c>
      <c r="G20" s="50">
        <v>54.3</v>
      </c>
      <c r="H20" s="50">
        <v>26.31</v>
      </c>
      <c r="I20" s="50">
        <v>0</v>
      </c>
      <c r="J20" s="50">
        <v>1.34</v>
      </c>
      <c r="K20" s="50">
        <v>279.14</v>
      </c>
      <c r="L20" s="50">
        <v>30.44</v>
      </c>
      <c r="M20" s="50">
        <v>55.52</v>
      </c>
      <c r="N20" s="50">
        <v>529.4</v>
      </c>
      <c r="O20" s="50">
        <v>0</v>
      </c>
      <c r="P20" s="50">
        <v>0.69</v>
      </c>
      <c r="Q20" s="50">
        <v>4.74</v>
      </c>
    </row>
    <row r="21" spans="1:17" customFormat="1">
      <c r="A21" s="49">
        <v>45328.541666666664</v>
      </c>
      <c r="B21" s="50">
        <v>6.82</v>
      </c>
      <c r="C21" s="50">
        <v>14.88</v>
      </c>
      <c r="D21" s="50">
        <v>14.6</v>
      </c>
      <c r="E21" s="50">
        <v>8.07</v>
      </c>
      <c r="F21" s="50">
        <v>6.98</v>
      </c>
      <c r="G21" s="50">
        <v>56.66</v>
      </c>
      <c r="H21" s="50">
        <v>24.95</v>
      </c>
      <c r="I21" s="50">
        <v>0</v>
      </c>
      <c r="J21" s="50">
        <v>1.78</v>
      </c>
      <c r="K21" s="50">
        <v>298.58</v>
      </c>
      <c r="L21" s="50">
        <v>31.47</v>
      </c>
      <c r="M21" s="50">
        <v>47.51</v>
      </c>
      <c r="N21" s="50">
        <v>554.9</v>
      </c>
      <c r="O21" s="50">
        <v>0</v>
      </c>
      <c r="P21" s="50">
        <v>0.65</v>
      </c>
      <c r="Q21" s="50">
        <v>4.78</v>
      </c>
    </row>
    <row r="22" spans="1:17" customFormat="1">
      <c r="A22" s="49">
        <v>45328.583333333336</v>
      </c>
      <c r="B22" s="50">
        <v>5.32</v>
      </c>
      <c r="C22" s="50">
        <v>16.41</v>
      </c>
      <c r="D22" s="50">
        <v>13.82</v>
      </c>
      <c r="E22" s="50">
        <v>9.66</v>
      </c>
      <c r="F22" s="50">
        <v>9.5500000000000007</v>
      </c>
      <c r="G22" s="50">
        <v>59.39</v>
      </c>
      <c r="H22" s="50">
        <v>24.05</v>
      </c>
      <c r="I22" s="50">
        <v>0</v>
      </c>
      <c r="J22" s="50">
        <v>1.75</v>
      </c>
      <c r="K22" s="50">
        <v>282.58</v>
      </c>
      <c r="L22" s="50">
        <v>31.67</v>
      </c>
      <c r="M22" s="50">
        <v>41.51</v>
      </c>
      <c r="N22" s="50">
        <v>509.9</v>
      </c>
      <c r="O22" s="50">
        <v>0</v>
      </c>
      <c r="P22" s="50">
        <v>0.57999999999999996</v>
      </c>
      <c r="Q22" s="50">
        <v>4.76</v>
      </c>
    </row>
    <row r="23" spans="1:17" customFormat="1">
      <c r="A23" s="49">
        <v>45328.625</v>
      </c>
      <c r="B23" s="50">
        <v>5.1100000000000003</v>
      </c>
      <c r="C23" s="50">
        <v>16.73</v>
      </c>
      <c r="D23" s="50">
        <v>14.19</v>
      </c>
      <c r="E23" s="50">
        <v>9.92</v>
      </c>
      <c r="F23" s="50">
        <v>9.98</v>
      </c>
      <c r="G23" s="50">
        <v>56.48</v>
      </c>
      <c r="H23" s="50">
        <v>23.87</v>
      </c>
      <c r="I23" s="50">
        <v>0</v>
      </c>
      <c r="J23" s="50">
        <v>1.37</v>
      </c>
      <c r="K23" s="50">
        <v>287.41000000000003</v>
      </c>
      <c r="L23" s="50">
        <v>31.79</v>
      </c>
      <c r="M23" s="50">
        <v>39.86</v>
      </c>
      <c r="N23" s="50">
        <v>434</v>
      </c>
      <c r="O23" s="50">
        <v>0</v>
      </c>
      <c r="P23" s="50">
        <v>0.55000000000000004</v>
      </c>
      <c r="Q23" s="50">
        <v>4.72</v>
      </c>
    </row>
    <row r="24" spans="1:17" customFormat="1">
      <c r="A24" s="49">
        <v>45328.666666666664</v>
      </c>
      <c r="B24" s="50">
        <v>5.31</v>
      </c>
      <c r="C24" s="50">
        <v>17.12</v>
      </c>
      <c r="D24" s="50">
        <v>14.44</v>
      </c>
      <c r="E24" s="50">
        <v>10.1</v>
      </c>
      <c r="F24" s="50">
        <v>10.66</v>
      </c>
      <c r="G24" s="50">
        <v>52.78</v>
      </c>
      <c r="H24" s="50">
        <v>25.89</v>
      </c>
      <c r="I24" s="50">
        <v>0</v>
      </c>
      <c r="J24" s="50">
        <v>1.33</v>
      </c>
      <c r="K24" s="50">
        <v>288.98</v>
      </c>
      <c r="L24" s="50">
        <v>31.38</v>
      </c>
      <c r="M24" s="50">
        <v>40.82</v>
      </c>
      <c r="N24" s="50">
        <v>114.6</v>
      </c>
      <c r="O24" s="50">
        <v>0</v>
      </c>
      <c r="P24" s="50">
        <v>0.55000000000000004</v>
      </c>
      <c r="Q24" s="50">
        <v>4.7300000000000004</v>
      </c>
    </row>
    <row r="25" spans="1:17" customFormat="1">
      <c r="A25" s="49">
        <v>45328.708333333336</v>
      </c>
      <c r="B25" s="50">
        <v>5.3</v>
      </c>
      <c r="C25" s="50">
        <v>17.2</v>
      </c>
      <c r="D25" s="50">
        <v>14.54</v>
      </c>
      <c r="E25" s="50">
        <v>10.86</v>
      </c>
      <c r="F25" s="50">
        <v>12.06</v>
      </c>
      <c r="G25" s="50">
        <v>50.34</v>
      </c>
      <c r="H25" s="50">
        <v>20.78</v>
      </c>
      <c r="I25" s="50">
        <v>0</v>
      </c>
      <c r="J25" s="50">
        <v>0.86</v>
      </c>
      <c r="K25" s="50">
        <v>278.94</v>
      </c>
      <c r="L25" s="50">
        <v>30.86</v>
      </c>
      <c r="M25" s="50">
        <v>42.38</v>
      </c>
      <c r="N25" s="50">
        <v>72.3</v>
      </c>
      <c r="O25" s="50">
        <v>0</v>
      </c>
      <c r="P25" s="50">
        <v>0.55000000000000004</v>
      </c>
      <c r="Q25" s="50">
        <v>4.71</v>
      </c>
    </row>
    <row r="26" spans="1:17" customFormat="1">
      <c r="A26" s="49">
        <v>45328.75</v>
      </c>
      <c r="B26" s="50">
        <v>5.42</v>
      </c>
      <c r="C26" s="50">
        <v>18.28</v>
      </c>
      <c r="D26" s="50">
        <v>15.25</v>
      </c>
      <c r="E26" s="50">
        <v>10.35</v>
      </c>
      <c r="F26" s="50">
        <v>10.25</v>
      </c>
      <c r="G26" s="50">
        <v>47.7</v>
      </c>
      <c r="H26" s="50">
        <v>21.79</v>
      </c>
      <c r="I26" s="50">
        <v>0</v>
      </c>
      <c r="J26" s="50">
        <v>0.66</v>
      </c>
      <c r="K26" s="50">
        <v>276.25</v>
      </c>
      <c r="L26" s="50">
        <v>29.84</v>
      </c>
      <c r="M26" s="50">
        <v>49.3</v>
      </c>
      <c r="N26" s="50">
        <v>15</v>
      </c>
      <c r="O26" s="50">
        <v>0</v>
      </c>
      <c r="P26" s="50">
        <v>0.56000000000000005</v>
      </c>
      <c r="Q26" s="50">
        <v>4.7</v>
      </c>
    </row>
    <row r="27" spans="1:17" customFormat="1">
      <c r="A27" s="49">
        <v>45328.791666666664</v>
      </c>
      <c r="B27" s="50">
        <v>7.79</v>
      </c>
      <c r="C27" s="50">
        <v>22.75</v>
      </c>
      <c r="D27" s="50">
        <v>19.489999999999998</v>
      </c>
      <c r="E27" s="50">
        <v>7.12</v>
      </c>
      <c r="F27" s="50">
        <v>5.52</v>
      </c>
      <c r="G27" s="50">
        <v>50.3</v>
      </c>
      <c r="H27" s="50">
        <v>24.98</v>
      </c>
      <c r="I27" s="50">
        <v>0</v>
      </c>
      <c r="J27" s="50">
        <v>0.27</v>
      </c>
      <c r="K27" s="50">
        <v>187.9</v>
      </c>
      <c r="L27" s="50">
        <v>27.9</v>
      </c>
      <c r="M27" s="50">
        <v>63.89</v>
      </c>
      <c r="N27" s="50">
        <v>0</v>
      </c>
      <c r="O27" s="50">
        <v>0</v>
      </c>
      <c r="P27" s="50">
        <v>0.61</v>
      </c>
      <c r="Q27" s="50">
        <v>4.68</v>
      </c>
    </row>
    <row r="28" spans="1:17" customFormat="1">
      <c r="A28" s="49">
        <v>45328.833333333336</v>
      </c>
      <c r="B28" s="50">
        <v>11.53</v>
      </c>
      <c r="C28" s="50">
        <v>16.100000000000001</v>
      </c>
      <c r="D28" s="50">
        <v>19.010000000000002</v>
      </c>
      <c r="E28" s="50">
        <v>5.97</v>
      </c>
      <c r="F28" s="50">
        <v>3.84</v>
      </c>
      <c r="G28" s="50">
        <v>67.39</v>
      </c>
      <c r="H28" s="50">
        <v>24.72</v>
      </c>
      <c r="I28" s="50">
        <v>0</v>
      </c>
      <c r="J28" s="50">
        <v>0.25</v>
      </c>
      <c r="K28" s="50">
        <v>177.42</v>
      </c>
      <c r="L28" s="50">
        <v>25.81</v>
      </c>
      <c r="M28" s="50">
        <v>63.97</v>
      </c>
      <c r="N28" s="50">
        <v>0</v>
      </c>
      <c r="O28" s="50">
        <v>0</v>
      </c>
      <c r="P28" s="50">
        <v>0.73</v>
      </c>
      <c r="Q28" s="50">
        <v>4.74</v>
      </c>
    </row>
    <row r="29" spans="1:17" customFormat="1">
      <c r="A29" s="49">
        <v>45328.875</v>
      </c>
      <c r="B29" s="50">
        <v>15.18</v>
      </c>
      <c r="C29" s="50">
        <v>19.45</v>
      </c>
      <c r="D29" s="50">
        <v>23.69</v>
      </c>
      <c r="E29" s="50">
        <v>6.27</v>
      </c>
      <c r="F29" s="50">
        <v>3.47</v>
      </c>
      <c r="G29" s="50">
        <v>94.23</v>
      </c>
      <c r="H29" s="50">
        <v>33.74</v>
      </c>
      <c r="I29" s="50">
        <v>0</v>
      </c>
      <c r="J29" s="50">
        <v>0.32</v>
      </c>
      <c r="K29" s="50">
        <v>191.87</v>
      </c>
      <c r="L29" s="50">
        <v>24.83</v>
      </c>
      <c r="M29" s="50">
        <v>72.84</v>
      </c>
      <c r="N29" s="50">
        <v>0</v>
      </c>
      <c r="O29" s="50">
        <v>0</v>
      </c>
      <c r="P29" s="50">
        <v>0.84</v>
      </c>
      <c r="Q29" s="50">
        <v>4.83</v>
      </c>
    </row>
    <row r="30" spans="1:17" customFormat="1">
      <c r="A30" s="49">
        <v>45328.916666666664</v>
      </c>
      <c r="B30" s="50">
        <v>18.7</v>
      </c>
      <c r="C30" s="50">
        <v>19.22</v>
      </c>
      <c r="D30" s="50">
        <v>25.83</v>
      </c>
      <c r="E30" s="50">
        <v>6.12</v>
      </c>
      <c r="F30" s="50">
        <v>3.51</v>
      </c>
      <c r="G30" s="50">
        <v>97.35</v>
      </c>
      <c r="H30" s="50">
        <v>34.56</v>
      </c>
      <c r="I30" s="50">
        <v>0</v>
      </c>
      <c r="J30" s="50">
        <v>0.83</v>
      </c>
      <c r="K30" s="50">
        <v>151.19999999999999</v>
      </c>
      <c r="L30" s="50">
        <v>24.83</v>
      </c>
      <c r="M30" s="50">
        <v>70.349999999999994</v>
      </c>
      <c r="N30" s="50">
        <v>0</v>
      </c>
      <c r="O30" s="50">
        <v>0</v>
      </c>
      <c r="P30" s="50">
        <v>0.92</v>
      </c>
      <c r="Q30" s="50">
        <v>4.87</v>
      </c>
    </row>
    <row r="31" spans="1:17" customFormat="1">
      <c r="A31" s="49">
        <v>45328.958333333336</v>
      </c>
      <c r="B31" s="50">
        <v>21.2</v>
      </c>
      <c r="C31" s="50">
        <v>19.89</v>
      </c>
      <c r="D31" s="50">
        <v>28.74</v>
      </c>
      <c r="E31" s="50">
        <v>7.28</v>
      </c>
      <c r="F31" s="50">
        <v>3.46</v>
      </c>
      <c r="G31" s="50">
        <v>111.73</v>
      </c>
      <c r="H31" s="50">
        <v>37.22</v>
      </c>
      <c r="I31" s="50">
        <v>0</v>
      </c>
      <c r="J31" s="50">
        <v>1.18</v>
      </c>
      <c r="K31" s="50">
        <v>60.96</v>
      </c>
      <c r="L31" s="50">
        <v>24.88</v>
      </c>
      <c r="M31" s="50">
        <v>58.34</v>
      </c>
      <c r="N31" s="50">
        <v>0</v>
      </c>
      <c r="O31" s="50">
        <v>0</v>
      </c>
      <c r="P31" s="50">
        <v>0.93</v>
      </c>
      <c r="Q31" s="50">
        <v>4.9400000000000004</v>
      </c>
    </row>
    <row r="32" spans="1:17" customFormat="1">
      <c r="A32" s="49">
        <v>45329</v>
      </c>
      <c r="B32" s="50">
        <v>21.14</v>
      </c>
      <c r="C32" s="50">
        <v>22.9</v>
      </c>
      <c r="D32" s="50">
        <v>29.54</v>
      </c>
      <c r="E32" s="50">
        <v>6.58</v>
      </c>
      <c r="F32" s="50">
        <v>3.52</v>
      </c>
      <c r="G32" s="50">
        <v>105.74</v>
      </c>
      <c r="H32" s="50">
        <v>36.54</v>
      </c>
      <c r="I32" s="50">
        <v>0</v>
      </c>
      <c r="J32" s="50">
        <v>1.05</v>
      </c>
      <c r="K32" s="50">
        <v>56.7</v>
      </c>
      <c r="L32" s="50">
        <v>23.25</v>
      </c>
      <c r="M32" s="50">
        <v>67.55</v>
      </c>
      <c r="N32" s="50">
        <v>0</v>
      </c>
      <c r="O32" s="50">
        <v>0</v>
      </c>
      <c r="P32" s="50">
        <v>0.89</v>
      </c>
      <c r="Q32" s="50">
        <v>4.9400000000000004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5.1100000000000003</v>
      </c>
      <c r="C34" s="40">
        <f t="shared" si="0"/>
        <v>14.88</v>
      </c>
      <c r="D34" s="40">
        <f t="shared" si="0"/>
        <v>13.82</v>
      </c>
      <c r="E34" s="40">
        <f t="shared" si="0"/>
        <v>5.97</v>
      </c>
      <c r="F34" s="40">
        <f t="shared" si="0"/>
        <v>3.23</v>
      </c>
      <c r="G34" s="40">
        <f t="shared" si="0"/>
        <v>42.53</v>
      </c>
      <c r="H34" s="40">
        <f t="shared" si="0"/>
        <v>20.78</v>
      </c>
      <c r="I34" s="40">
        <f t="shared" si="0"/>
        <v>0</v>
      </c>
      <c r="J34" s="40">
        <f t="shared" si="0"/>
        <v>0.11</v>
      </c>
      <c r="K34" s="40">
        <f t="shared" si="0"/>
        <v>56.7</v>
      </c>
      <c r="L34" s="40">
        <f t="shared" si="0"/>
        <v>20.02</v>
      </c>
      <c r="M34" s="40">
        <f t="shared" si="0"/>
        <v>39.86</v>
      </c>
      <c r="N34" s="40">
        <f t="shared" si="0"/>
        <v>0</v>
      </c>
      <c r="O34" s="40">
        <f t="shared" si="0"/>
        <v>0</v>
      </c>
      <c r="P34" s="40">
        <f t="shared" si="0"/>
        <v>0.55000000000000004</v>
      </c>
      <c r="Q34" s="40">
        <f t="shared" si="0"/>
        <v>4.68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21.2</v>
      </c>
      <c r="C35" s="33">
        <f t="shared" si="1"/>
        <v>24.14</v>
      </c>
      <c r="D35" s="33">
        <f t="shared" si="1"/>
        <v>29.54</v>
      </c>
      <c r="E35" s="33">
        <f t="shared" si="1"/>
        <v>10.86</v>
      </c>
      <c r="F35" s="33">
        <f t="shared" si="1"/>
        <v>12.06</v>
      </c>
      <c r="G35" s="33">
        <f t="shared" si="1"/>
        <v>111.73</v>
      </c>
      <c r="H35" s="33">
        <f t="shared" si="1"/>
        <v>37.22</v>
      </c>
      <c r="I35" s="33">
        <f t="shared" si="1"/>
        <v>0</v>
      </c>
      <c r="J35" s="33">
        <f t="shared" si="1"/>
        <v>1.78</v>
      </c>
      <c r="K35" s="33">
        <f t="shared" si="1"/>
        <v>298.58</v>
      </c>
      <c r="L35" s="33">
        <f t="shared" si="1"/>
        <v>31.79</v>
      </c>
      <c r="M35" s="33">
        <f t="shared" si="1"/>
        <v>91.3</v>
      </c>
      <c r="N35" s="33">
        <f t="shared" si="1"/>
        <v>554.9</v>
      </c>
      <c r="O35" s="33">
        <f t="shared" si="1"/>
        <v>0</v>
      </c>
      <c r="P35" s="33">
        <f t="shared" si="1"/>
        <v>0.93</v>
      </c>
      <c r="Q35" s="33">
        <f t="shared" si="1"/>
        <v>4.9400000000000004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11.987916666666665</v>
      </c>
      <c r="C36" s="40">
        <f t="shared" si="2"/>
        <v>19.100833333333338</v>
      </c>
      <c r="D36" s="40">
        <f t="shared" si="2"/>
        <v>20.80541666666667</v>
      </c>
      <c r="E36" s="40">
        <f t="shared" si="2"/>
        <v>8.1012500000000021</v>
      </c>
      <c r="F36" s="40">
        <f t="shared" si="2"/>
        <v>5.3441666666666663</v>
      </c>
      <c r="G36" s="40">
        <f t="shared" si="2"/>
        <v>63.707500000000003</v>
      </c>
      <c r="H36" s="40">
        <f t="shared" si="2"/>
        <v>27.432500000000005</v>
      </c>
      <c r="I36" s="40">
        <f t="shared" si="2"/>
        <v>0</v>
      </c>
      <c r="J36" s="40">
        <f t="shared" si="2"/>
        <v>0.73458333333333348</v>
      </c>
      <c r="K36" s="40">
        <f t="shared" si="2"/>
        <v>213.1895833333333</v>
      </c>
      <c r="L36" s="40">
        <f t="shared" si="2"/>
        <v>25.744166666666668</v>
      </c>
      <c r="M36" s="40">
        <f t="shared" si="2"/>
        <v>66.757083333333327</v>
      </c>
      <c r="N36" s="40">
        <f t="shared" si="2"/>
        <v>137.09583333333333</v>
      </c>
      <c r="O36" s="40">
        <f t="shared" si="2"/>
        <v>0</v>
      </c>
      <c r="P36" s="40">
        <f t="shared" si="2"/>
        <v>0.7333333333333335</v>
      </c>
      <c r="Q36" s="40">
        <f t="shared" si="2"/>
        <v>4.7795833333333322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5.2892450181778212</v>
      </c>
      <c r="C37" s="40">
        <f t="shared" ref="C37:Q37" si="3">STDEV(C9:C32)</f>
        <v>2.9115242036441527</v>
      </c>
      <c r="D37" s="40">
        <f t="shared" si="3"/>
        <v>5.2946814817091328</v>
      </c>
      <c r="E37" s="40">
        <f t="shared" si="3"/>
        <v>1.4235085635270224</v>
      </c>
      <c r="F37" s="40">
        <f t="shared" si="3"/>
        <v>2.8848403115577139</v>
      </c>
      <c r="G37" s="40">
        <f t="shared" si="3"/>
        <v>19.494117117066715</v>
      </c>
      <c r="H37" s="40">
        <f t="shared" si="3"/>
        <v>4.4352170183656048</v>
      </c>
      <c r="I37" s="40">
        <f t="shared" si="3"/>
        <v>0</v>
      </c>
      <c r="J37" s="40">
        <f t="shared" si="3"/>
        <v>0.53618604142078574</v>
      </c>
      <c r="K37" s="40">
        <f t="shared" si="3"/>
        <v>70.117541654317279</v>
      </c>
      <c r="L37" s="40">
        <f t="shared" si="3"/>
        <v>4.2520930055134256</v>
      </c>
      <c r="M37" s="40">
        <f t="shared" si="3"/>
        <v>17.04914545331842</v>
      </c>
      <c r="N37" s="40">
        <f t="shared" si="3"/>
        <v>205.84551928077281</v>
      </c>
      <c r="O37" s="40">
        <f t="shared" si="3"/>
        <v>0</v>
      </c>
      <c r="P37" s="40">
        <f t="shared" si="3"/>
        <v>0.11940674610126714</v>
      </c>
      <c r="Q37" s="40">
        <f t="shared" si="3"/>
        <v>6.5705480326435112E-2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45329.041666666664</v>
      </c>
      <c r="B9" s="50">
        <v>17.2</v>
      </c>
      <c r="C9" s="50">
        <v>24.15</v>
      </c>
      <c r="D9" s="50">
        <v>27.47</v>
      </c>
      <c r="E9" s="50">
        <v>6.92</v>
      </c>
      <c r="F9" s="50">
        <v>3.53</v>
      </c>
      <c r="G9" s="50">
        <v>91.55</v>
      </c>
      <c r="H9" s="50">
        <v>33.06</v>
      </c>
      <c r="I9" s="50">
        <v>0</v>
      </c>
      <c r="J9" s="50">
        <v>1.26</v>
      </c>
      <c r="K9" s="50">
        <v>56.95</v>
      </c>
      <c r="L9" s="50">
        <v>22.22</v>
      </c>
      <c r="M9" s="50">
        <v>71.709999999999994</v>
      </c>
      <c r="N9" s="50">
        <v>0</v>
      </c>
      <c r="O9" s="50">
        <v>0</v>
      </c>
      <c r="P9" s="50">
        <v>0.83</v>
      </c>
      <c r="Q9" s="50">
        <v>4.91</v>
      </c>
    </row>
    <row r="10" spans="1:21" customFormat="1">
      <c r="A10" s="49">
        <v>45329.083333333336</v>
      </c>
      <c r="B10" s="50">
        <v>15.1</v>
      </c>
      <c r="C10" s="50">
        <v>24.29</v>
      </c>
      <c r="D10" s="50">
        <v>26.15</v>
      </c>
      <c r="E10" s="50">
        <v>6.32</v>
      </c>
      <c r="F10" s="50">
        <v>3.39</v>
      </c>
      <c r="G10" s="50">
        <v>74.86</v>
      </c>
      <c r="H10" s="50">
        <v>30.84</v>
      </c>
      <c r="I10" s="50">
        <v>0</v>
      </c>
      <c r="J10" s="50">
        <v>1.29</v>
      </c>
      <c r="K10" s="50">
        <v>59.74</v>
      </c>
      <c r="L10" s="50">
        <v>21.38</v>
      </c>
      <c r="M10" s="50">
        <v>74.58</v>
      </c>
      <c r="N10" s="50">
        <v>0</v>
      </c>
      <c r="O10" s="50">
        <v>0</v>
      </c>
      <c r="P10" s="50">
        <v>0.76</v>
      </c>
      <c r="Q10" s="50">
        <v>4.8899999999999997</v>
      </c>
    </row>
    <row r="11" spans="1:21" customFormat="1">
      <c r="A11" s="49">
        <v>45329.125</v>
      </c>
      <c r="B11" s="50">
        <v>12.7</v>
      </c>
      <c r="C11" s="50">
        <v>24.34</v>
      </c>
      <c r="D11" s="50">
        <v>24.25</v>
      </c>
      <c r="E11" s="50">
        <v>6.55</v>
      </c>
      <c r="F11" s="50">
        <v>3.45</v>
      </c>
      <c r="G11" s="50">
        <v>62.47</v>
      </c>
      <c r="H11" s="50">
        <v>30.75</v>
      </c>
      <c r="I11" s="50">
        <v>0</v>
      </c>
      <c r="J11" s="50">
        <v>0.43</v>
      </c>
      <c r="K11" s="50">
        <v>161.94999999999999</v>
      </c>
      <c r="L11" s="50">
        <v>20.79</v>
      </c>
      <c r="M11" s="50">
        <v>77.23</v>
      </c>
      <c r="N11" s="50">
        <v>0</v>
      </c>
      <c r="O11" s="50">
        <v>0</v>
      </c>
      <c r="P11" s="50">
        <v>0.71</v>
      </c>
      <c r="Q11" s="50">
        <v>4.82</v>
      </c>
    </row>
    <row r="12" spans="1:21" customFormat="1">
      <c r="A12" s="49">
        <v>45329.166666666664</v>
      </c>
      <c r="B12" s="50">
        <v>12.26</v>
      </c>
      <c r="C12" s="50">
        <v>24.62</v>
      </c>
      <c r="D12" s="50">
        <v>24.04</v>
      </c>
      <c r="E12" s="50">
        <v>6.8</v>
      </c>
      <c r="F12" s="50">
        <v>3.4</v>
      </c>
      <c r="G12" s="50">
        <v>60.75</v>
      </c>
      <c r="H12" s="50">
        <v>28.9</v>
      </c>
      <c r="I12" s="50">
        <v>0</v>
      </c>
      <c r="J12" s="50">
        <v>1.04</v>
      </c>
      <c r="K12" s="50">
        <v>70.430000000000007</v>
      </c>
      <c r="L12" s="50">
        <v>20.38</v>
      </c>
      <c r="M12" s="50">
        <v>79.2</v>
      </c>
      <c r="N12" s="50">
        <v>0</v>
      </c>
      <c r="O12" s="50">
        <v>0</v>
      </c>
      <c r="P12" s="50">
        <v>0.67</v>
      </c>
      <c r="Q12" s="50">
        <v>4.79</v>
      </c>
    </row>
    <row r="13" spans="1:21" customFormat="1">
      <c r="A13" s="49">
        <v>45329.208333333336</v>
      </c>
      <c r="B13" s="50">
        <v>13.6</v>
      </c>
      <c r="C13" s="50">
        <v>22.96</v>
      </c>
      <c r="D13" s="50">
        <v>23.39</v>
      </c>
      <c r="E13" s="50">
        <v>6.52</v>
      </c>
      <c r="F13" s="50">
        <v>3.63</v>
      </c>
      <c r="G13" s="50">
        <v>63.92</v>
      </c>
      <c r="H13" s="50">
        <v>29.24</v>
      </c>
      <c r="I13" s="50">
        <v>0</v>
      </c>
      <c r="J13" s="50">
        <v>1.29</v>
      </c>
      <c r="K13" s="50">
        <v>63.67</v>
      </c>
      <c r="L13" s="50">
        <v>20.260000000000002</v>
      </c>
      <c r="M13" s="50">
        <v>78.66</v>
      </c>
      <c r="N13" s="50">
        <v>0</v>
      </c>
      <c r="O13" s="50">
        <v>0</v>
      </c>
      <c r="P13" s="50">
        <v>0.65</v>
      </c>
      <c r="Q13" s="50">
        <v>4.7699999999999996</v>
      </c>
    </row>
    <row r="14" spans="1:21" customFormat="1">
      <c r="A14" s="49">
        <v>45329.25</v>
      </c>
      <c r="B14" s="50">
        <v>14.75</v>
      </c>
      <c r="C14" s="50">
        <v>20.059999999999999</v>
      </c>
      <c r="D14" s="50">
        <v>23.32</v>
      </c>
      <c r="E14" s="50">
        <v>6.27</v>
      </c>
      <c r="F14" s="50">
        <v>3.51</v>
      </c>
      <c r="G14" s="50">
        <v>62.2</v>
      </c>
      <c r="H14" s="50">
        <v>29.56</v>
      </c>
      <c r="I14" s="50">
        <v>0</v>
      </c>
      <c r="J14" s="50">
        <v>1.23</v>
      </c>
      <c r="K14" s="50">
        <v>62.12</v>
      </c>
      <c r="L14" s="50">
        <v>19.71</v>
      </c>
      <c r="M14" s="50">
        <v>81.77</v>
      </c>
      <c r="N14" s="50">
        <v>0</v>
      </c>
      <c r="O14" s="50">
        <v>0</v>
      </c>
      <c r="P14" s="50">
        <v>0.61</v>
      </c>
      <c r="Q14" s="50">
        <v>4.79</v>
      </c>
    </row>
    <row r="15" spans="1:21" customFormat="1">
      <c r="A15" s="49">
        <v>45329.291666666664</v>
      </c>
      <c r="B15" s="50">
        <v>16.25</v>
      </c>
      <c r="C15" s="50">
        <v>19.12</v>
      </c>
      <c r="D15" s="50">
        <v>24.37</v>
      </c>
      <c r="E15" s="50">
        <v>6.17</v>
      </c>
      <c r="F15" s="50">
        <v>3.62</v>
      </c>
      <c r="G15" s="50">
        <v>60.4</v>
      </c>
      <c r="H15" s="50">
        <v>29.29</v>
      </c>
      <c r="I15" s="50">
        <v>0</v>
      </c>
      <c r="J15" s="50">
        <v>1.1299999999999999</v>
      </c>
      <c r="K15" s="50">
        <v>64.959999999999994</v>
      </c>
      <c r="L15" s="50">
        <v>19.38</v>
      </c>
      <c r="M15" s="50">
        <v>81.64</v>
      </c>
      <c r="N15" s="50">
        <v>3.7</v>
      </c>
      <c r="O15" s="50">
        <v>0</v>
      </c>
      <c r="P15" s="50">
        <v>0.57999999999999996</v>
      </c>
      <c r="Q15" s="50">
        <v>4.8499999999999996</v>
      </c>
    </row>
    <row r="16" spans="1:21" customFormat="1">
      <c r="A16" s="49">
        <v>45329.333333333336</v>
      </c>
      <c r="B16" s="50">
        <v>18.68</v>
      </c>
      <c r="C16" s="50">
        <v>19.28</v>
      </c>
      <c r="D16" s="50">
        <v>25.72</v>
      </c>
      <c r="E16" s="50">
        <v>6.09</v>
      </c>
      <c r="F16" s="50">
        <v>3.39</v>
      </c>
      <c r="G16" s="50">
        <v>66.599999999999994</v>
      </c>
      <c r="H16" s="50">
        <v>28.29</v>
      </c>
      <c r="I16" s="50">
        <v>0</v>
      </c>
      <c r="J16" s="50">
        <v>1.18</v>
      </c>
      <c r="K16" s="50">
        <v>83.78</v>
      </c>
      <c r="L16" s="50">
        <v>20.25</v>
      </c>
      <c r="M16" s="50">
        <v>81.72</v>
      </c>
      <c r="N16" s="50">
        <v>67.7</v>
      </c>
      <c r="O16" s="50">
        <v>0</v>
      </c>
      <c r="P16" s="50">
        <v>0.59</v>
      </c>
      <c r="Q16" s="50">
        <v>4.9000000000000004</v>
      </c>
    </row>
    <row r="17" spans="1:17" customFormat="1">
      <c r="A17" s="49">
        <v>45329.375</v>
      </c>
      <c r="B17" s="50">
        <v>19.38</v>
      </c>
      <c r="C17" s="50">
        <v>20.77</v>
      </c>
      <c r="D17" s="50">
        <v>27.73</v>
      </c>
      <c r="E17" s="50">
        <v>6.35</v>
      </c>
      <c r="F17" s="50">
        <v>3.35</v>
      </c>
      <c r="G17" s="50">
        <v>66.95</v>
      </c>
      <c r="H17" s="50">
        <v>28.26</v>
      </c>
      <c r="I17" s="50">
        <v>0</v>
      </c>
      <c r="J17" s="50">
        <v>1.05</v>
      </c>
      <c r="K17" s="50">
        <v>82.19</v>
      </c>
      <c r="L17" s="50">
        <v>22.08</v>
      </c>
      <c r="M17" s="50">
        <v>76.23</v>
      </c>
      <c r="N17" s="50">
        <v>218.3</v>
      </c>
      <c r="O17" s="50">
        <v>0</v>
      </c>
      <c r="P17" s="50">
        <v>0.6</v>
      </c>
      <c r="Q17" s="50">
        <v>4.92</v>
      </c>
    </row>
    <row r="18" spans="1:17" customFormat="1">
      <c r="A18" s="49">
        <v>45329.416666666664</v>
      </c>
      <c r="B18" s="50">
        <v>19.489999999999998</v>
      </c>
      <c r="C18" s="50">
        <v>23.04</v>
      </c>
      <c r="D18" s="50">
        <v>28.93</v>
      </c>
      <c r="E18" s="50">
        <v>7.22</v>
      </c>
      <c r="F18" s="50">
        <v>3.45</v>
      </c>
      <c r="G18" s="50">
        <v>64.59</v>
      </c>
      <c r="H18" s="50">
        <v>29.11</v>
      </c>
      <c r="I18" s="50">
        <v>0</v>
      </c>
      <c r="J18" s="50">
        <v>0.94</v>
      </c>
      <c r="K18" s="50">
        <v>74</v>
      </c>
      <c r="L18" s="50">
        <v>24.25</v>
      </c>
      <c r="M18" s="50">
        <v>67.98</v>
      </c>
      <c r="N18" s="50">
        <v>303.10000000000002</v>
      </c>
      <c r="O18" s="50">
        <v>0</v>
      </c>
      <c r="P18" s="50">
        <v>0.6</v>
      </c>
      <c r="Q18" s="50">
        <v>4.91</v>
      </c>
    </row>
    <row r="19" spans="1:17" customFormat="1">
      <c r="A19" s="49">
        <v>45329.458333333336</v>
      </c>
      <c r="B19" s="50">
        <v>19.12</v>
      </c>
      <c r="C19" s="50">
        <v>24.39</v>
      </c>
      <c r="D19" s="50">
        <v>28.98</v>
      </c>
      <c r="E19" s="50">
        <v>8.7200000000000006</v>
      </c>
      <c r="F19" s="50">
        <v>3.59</v>
      </c>
      <c r="G19" s="50">
        <v>71.209999999999994</v>
      </c>
      <c r="H19" s="50">
        <v>30.06</v>
      </c>
      <c r="I19" s="50">
        <v>0</v>
      </c>
      <c r="J19" s="50">
        <v>0.68</v>
      </c>
      <c r="K19" s="50">
        <v>61.81</v>
      </c>
      <c r="L19" s="50">
        <v>25.83</v>
      </c>
      <c r="M19" s="50">
        <v>59.88</v>
      </c>
      <c r="N19" s="50">
        <v>402.7</v>
      </c>
      <c r="O19" s="50">
        <v>0</v>
      </c>
      <c r="P19" s="50">
        <v>0.62</v>
      </c>
      <c r="Q19" s="50">
        <v>4.91</v>
      </c>
    </row>
    <row r="20" spans="1:17" customFormat="1">
      <c r="A20" s="49">
        <v>45329.5</v>
      </c>
      <c r="B20" s="50">
        <v>17.559999999999999</v>
      </c>
      <c r="C20" s="50">
        <v>25.41</v>
      </c>
      <c r="D20" s="50">
        <v>28.35</v>
      </c>
      <c r="E20" s="50">
        <v>8.75</v>
      </c>
      <c r="F20" s="50">
        <v>4.25</v>
      </c>
      <c r="G20" s="50">
        <v>72.44</v>
      </c>
      <c r="H20" s="50">
        <v>30.97</v>
      </c>
      <c r="I20" s="50">
        <v>0</v>
      </c>
      <c r="J20" s="50">
        <v>1.02</v>
      </c>
      <c r="K20" s="50">
        <v>358.21</v>
      </c>
      <c r="L20" s="50">
        <v>27.28</v>
      </c>
      <c r="M20" s="50">
        <v>52.22</v>
      </c>
      <c r="N20" s="50">
        <v>526.29999999999995</v>
      </c>
      <c r="O20" s="50">
        <v>0</v>
      </c>
      <c r="P20" s="50">
        <v>0.61</v>
      </c>
      <c r="Q20" s="50">
        <v>4.8499999999999996</v>
      </c>
    </row>
    <row r="21" spans="1:17" customFormat="1">
      <c r="A21" s="49">
        <v>45329.541666666664</v>
      </c>
      <c r="B21" s="50">
        <v>13.66</v>
      </c>
      <c r="C21" s="50">
        <v>25.59</v>
      </c>
      <c r="D21" s="50">
        <v>25.64</v>
      </c>
      <c r="E21" s="50">
        <v>9.2200000000000006</v>
      </c>
      <c r="F21" s="50">
        <v>4.7</v>
      </c>
      <c r="G21" s="50">
        <v>70.33</v>
      </c>
      <c r="H21" s="50">
        <v>30.11</v>
      </c>
      <c r="I21" s="50">
        <v>0</v>
      </c>
      <c r="J21" s="50">
        <v>0.91</v>
      </c>
      <c r="K21" s="50">
        <v>305.77999999999997</v>
      </c>
      <c r="L21" s="50">
        <v>28.39</v>
      </c>
      <c r="M21" s="50">
        <v>45.78</v>
      </c>
      <c r="N21" s="50">
        <v>571.1</v>
      </c>
      <c r="O21" s="50">
        <v>0</v>
      </c>
      <c r="P21" s="50">
        <v>0.61</v>
      </c>
      <c r="Q21" s="50">
        <v>4.8</v>
      </c>
    </row>
    <row r="22" spans="1:17" customFormat="1">
      <c r="A22" s="49">
        <v>45329.583333333336</v>
      </c>
      <c r="B22" s="50">
        <v>9.9</v>
      </c>
      <c r="C22" s="50">
        <v>25.24</v>
      </c>
      <c r="D22" s="50">
        <v>22.47</v>
      </c>
      <c r="E22" s="50">
        <v>10.18</v>
      </c>
      <c r="F22" s="50">
        <v>6.16</v>
      </c>
      <c r="G22" s="50">
        <v>70.88</v>
      </c>
      <c r="H22" s="50">
        <v>29.42</v>
      </c>
      <c r="I22" s="50">
        <v>0</v>
      </c>
      <c r="J22" s="50">
        <v>0.87</v>
      </c>
      <c r="K22" s="50">
        <v>358.85</v>
      </c>
      <c r="L22" s="50">
        <v>28.86</v>
      </c>
      <c r="M22" s="50">
        <v>45.37</v>
      </c>
      <c r="N22" s="50">
        <v>535.1</v>
      </c>
      <c r="O22" s="50">
        <v>0</v>
      </c>
      <c r="P22" s="50">
        <v>0.64</v>
      </c>
      <c r="Q22" s="50">
        <v>4.79</v>
      </c>
    </row>
    <row r="23" spans="1:17" customFormat="1">
      <c r="A23" s="49">
        <v>45329.625</v>
      </c>
      <c r="B23" s="50">
        <v>7.3</v>
      </c>
      <c r="C23" s="50">
        <v>22.17</v>
      </c>
      <c r="D23" s="50">
        <v>18.79</v>
      </c>
      <c r="E23" s="50">
        <v>9.15</v>
      </c>
      <c r="F23" s="50">
        <v>5.62</v>
      </c>
      <c r="G23" s="50">
        <v>71.3</v>
      </c>
      <c r="H23" s="50">
        <v>31.32</v>
      </c>
      <c r="I23" s="50">
        <v>0</v>
      </c>
      <c r="J23" s="50">
        <v>0.7</v>
      </c>
      <c r="K23" s="50">
        <v>285.79000000000002</v>
      </c>
      <c r="L23" s="50">
        <v>29.85</v>
      </c>
      <c r="M23" s="50">
        <v>44.65</v>
      </c>
      <c r="N23" s="50">
        <v>401.5</v>
      </c>
      <c r="O23" s="50">
        <v>0</v>
      </c>
      <c r="P23" s="50">
        <v>0.64</v>
      </c>
      <c r="Q23" s="50">
        <v>4.7300000000000004</v>
      </c>
    </row>
    <row r="24" spans="1:17" customFormat="1">
      <c r="A24" s="49">
        <v>45329.666666666664</v>
      </c>
      <c r="B24" s="50">
        <v>5.99</v>
      </c>
      <c r="C24" s="50">
        <v>16.989999999999998</v>
      </c>
      <c r="D24" s="50">
        <v>15.03</v>
      </c>
      <c r="E24" s="50">
        <v>7.52</v>
      </c>
      <c r="F24" s="50">
        <v>6.81</v>
      </c>
      <c r="G24" s="50">
        <v>71.099999999999994</v>
      </c>
      <c r="H24" s="50">
        <v>31.54</v>
      </c>
      <c r="I24" s="50">
        <v>0</v>
      </c>
      <c r="J24" s="50">
        <v>0.79</v>
      </c>
      <c r="K24" s="50">
        <v>311.81</v>
      </c>
      <c r="L24" s="50">
        <v>29.27</v>
      </c>
      <c r="M24" s="50">
        <v>46.61</v>
      </c>
      <c r="N24" s="50">
        <v>122.2</v>
      </c>
      <c r="O24" s="50">
        <v>0</v>
      </c>
      <c r="P24" s="50">
        <v>0.62</v>
      </c>
      <c r="Q24" s="50">
        <v>4.74</v>
      </c>
    </row>
    <row r="25" spans="1:17" customFormat="1">
      <c r="A25" s="49">
        <v>45329.708333333336</v>
      </c>
      <c r="B25" s="50">
        <v>4.97</v>
      </c>
      <c r="C25" s="50">
        <v>14.68</v>
      </c>
      <c r="D25" s="50">
        <v>12.98</v>
      </c>
      <c r="E25" s="50">
        <v>7.12</v>
      </c>
      <c r="F25" s="50">
        <v>8.67</v>
      </c>
      <c r="G25" s="50">
        <v>67.75</v>
      </c>
      <c r="H25" s="50">
        <v>28.53</v>
      </c>
      <c r="I25" s="50">
        <v>0</v>
      </c>
      <c r="J25" s="50">
        <v>0.63</v>
      </c>
      <c r="K25" s="50">
        <v>294.3</v>
      </c>
      <c r="L25" s="50">
        <v>28.86</v>
      </c>
      <c r="M25" s="50">
        <v>51.17</v>
      </c>
      <c r="N25" s="50">
        <v>72.5</v>
      </c>
      <c r="O25" s="50">
        <v>0</v>
      </c>
      <c r="P25" s="50">
        <v>0.62</v>
      </c>
      <c r="Q25" s="50">
        <v>4.78</v>
      </c>
    </row>
    <row r="26" spans="1:17" customFormat="1">
      <c r="A26" s="49">
        <v>45329.75</v>
      </c>
      <c r="B26" s="50">
        <v>4.3600000000000003</v>
      </c>
      <c r="C26" s="50">
        <v>13.44</v>
      </c>
      <c r="D26" s="50">
        <v>11.81</v>
      </c>
      <c r="E26" s="50">
        <v>8.3699999999999992</v>
      </c>
      <c r="F26" s="50">
        <v>9.19</v>
      </c>
      <c r="G26" s="50">
        <v>62.91</v>
      </c>
      <c r="H26" s="50">
        <v>28.49</v>
      </c>
      <c r="I26" s="50">
        <v>0</v>
      </c>
      <c r="J26" s="50">
        <v>0.22</v>
      </c>
      <c r="K26" s="50">
        <v>207.27</v>
      </c>
      <c r="L26" s="50">
        <v>27.75</v>
      </c>
      <c r="M26" s="50">
        <v>60.96</v>
      </c>
      <c r="N26" s="50">
        <v>18.899999999999999</v>
      </c>
      <c r="O26" s="50">
        <v>0</v>
      </c>
      <c r="P26" s="50">
        <v>0.65</v>
      </c>
      <c r="Q26" s="50">
        <v>4.78</v>
      </c>
    </row>
    <row r="27" spans="1:17" customFormat="1">
      <c r="A27" s="49">
        <v>45329.791666666664</v>
      </c>
      <c r="B27" s="50">
        <v>4.49</v>
      </c>
      <c r="C27" s="50">
        <v>14.73</v>
      </c>
      <c r="D27" s="50">
        <v>12.52</v>
      </c>
      <c r="E27" s="50">
        <v>9.5399999999999991</v>
      </c>
      <c r="F27" s="50">
        <v>5.36</v>
      </c>
      <c r="G27" s="50">
        <v>66.34</v>
      </c>
      <c r="H27" s="50">
        <v>30.29</v>
      </c>
      <c r="I27" s="50">
        <v>0</v>
      </c>
      <c r="J27" s="50">
        <v>0.16</v>
      </c>
      <c r="K27" s="50">
        <v>193.92</v>
      </c>
      <c r="L27" s="50">
        <v>25.19</v>
      </c>
      <c r="M27" s="50">
        <v>70.02</v>
      </c>
      <c r="N27" s="50">
        <v>0</v>
      </c>
      <c r="O27" s="50">
        <v>0</v>
      </c>
      <c r="P27" s="50">
        <v>0.7</v>
      </c>
      <c r="Q27" s="50">
        <v>4.78</v>
      </c>
    </row>
    <row r="28" spans="1:17" customFormat="1">
      <c r="A28" s="49">
        <v>45329.833333333336</v>
      </c>
      <c r="B28" s="50">
        <v>4.42</v>
      </c>
      <c r="C28" s="50">
        <v>17.05</v>
      </c>
      <c r="D28" s="50">
        <v>13.8</v>
      </c>
      <c r="E28" s="50">
        <v>9.8800000000000008</v>
      </c>
      <c r="F28" s="50">
        <v>4.49</v>
      </c>
      <c r="G28" s="50">
        <v>72.73</v>
      </c>
      <c r="H28" s="50">
        <v>31.49</v>
      </c>
      <c r="I28" s="50">
        <v>0</v>
      </c>
      <c r="J28" s="50">
        <v>0.2</v>
      </c>
      <c r="K28" s="50">
        <v>207.26</v>
      </c>
      <c r="L28" s="50">
        <v>23.7</v>
      </c>
      <c r="M28" s="50">
        <v>75.599999999999994</v>
      </c>
      <c r="N28" s="50">
        <v>0</v>
      </c>
      <c r="O28" s="50">
        <v>0</v>
      </c>
      <c r="P28" s="50">
        <v>0.81</v>
      </c>
      <c r="Q28" s="50">
        <v>4.8</v>
      </c>
    </row>
    <row r="29" spans="1:17" customFormat="1">
      <c r="A29" s="49">
        <v>45329.875</v>
      </c>
      <c r="B29" s="50">
        <v>4.57</v>
      </c>
      <c r="C29" s="50">
        <v>18.940000000000001</v>
      </c>
      <c r="D29" s="50">
        <v>14.9</v>
      </c>
      <c r="E29" s="50">
        <v>9.74</v>
      </c>
      <c r="F29" s="50">
        <v>3.91</v>
      </c>
      <c r="G29" s="50">
        <v>77.64</v>
      </c>
      <c r="H29" s="50">
        <v>35.49</v>
      </c>
      <c r="I29" s="50">
        <v>0</v>
      </c>
      <c r="J29" s="50">
        <v>0.27</v>
      </c>
      <c r="K29" s="50">
        <v>178.46</v>
      </c>
      <c r="L29" s="50">
        <v>22.91</v>
      </c>
      <c r="M29" s="50">
        <v>78.39</v>
      </c>
      <c r="N29" s="50">
        <v>0</v>
      </c>
      <c r="O29" s="50">
        <v>0</v>
      </c>
      <c r="P29" s="50">
        <v>0.9</v>
      </c>
      <c r="Q29" s="50">
        <v>4.79</v>
      </c>
    </row>
    <row r="30" spans="1:17" customFormat="1">
      <c r="A30" s="49">
        <v>45329.916666666664</v>
      </c>
      <c r="B30" s="50">
        <v>5.54</v>
      </c>
      <c r="C30" s="50">
        <v>20.45</v>
      </c>
      <c r="D30" s="50">
        <v>16.47</v>
      </c>
      <c r="E30" s="50">
        <v>9.89</v>
      </c>
      <c r="F30" s="50">
        <v>3.75</v>
      </c>
      <c r="G30" s="50">
        <v>82.23</v>
      </c>
      <c r="H30" s="50">
        <v>35.96</v>
      </c>
      <c r="I30" s="50">
        <v>0</v>
      </c>
      <c r="J30" s="50">
        <v>0.25</v>
      </c>
      <c r="K30" s="50">
        <v>176.4</v>
      </c>
      <c r="L30" s="50">
        <v>22.41</v>
      </c>
      <c r="M30" s="50">
        <v>80.540000000000006</v>
      </c>
      <c r="N30" s="50">
        <v>0</v>
      </c>
      <c r="O30" s="50">
        <v>0</v>
      </c>
      <c r="P30" s="50">
        <v>0.99</v>
      </c>
      <c r="Q30" s="50">
        <v>4.76</v>
      </c>
    </row>
    <row r="31" spans="1:17" customFormat="1">
      <c r="A31" s="49">
        <v>45329.958333333336</v>
      </c>
      <c r="B31" s="50">
        <v>13.66</v>
      </c>
      <c r="C31" s="50">
        <v>26.94</v>
      </c>
      <c r="D31" s="50">
        <v>26.38</v>
      </c>
      <c r="E31" s="50">
        <v>10.26</v>
      </c>
      <c r="F31" s="50">
        <v>3.48</v>
      </c>
      <c r="G31" s="50">
        <v>92.66</v>
      </c>
      <c r="H31" s="50">
        <v>39.590000000000003</v>
      </c>
      <c r="I31" s="50">
        <v>0</v>
      </c>
      <c r="J31" s="50">
        <v>1.9</v>
      </c>
      <c r="K31" s="50">
        <v>60.11</v>
      </c>
      <c r="L31" s="50">
        <v>22.77</v>
      </c>
      <c r="M31" s="50">
        <v>73.41</v>
      </c>
      <c r="N31" s="50">
        <v>0</v>
      </c>
      <c r="O31" s="50">
        <v>0</v>
      </c>
      <c r="P31" s="50">
        <v>1.1200000000000001</v>
      </c>
      <c r="Q31" s="50">
        <v>4.82</v>
      </c>
    </row>
    <row r="32" spans="1:17" customFormat="1">
      <c r="A32" s="49">
        <v>45330</v>
      </c>
      <c r="B32" s="50">
        <v>12.84</v>
      </c>
      <c r="C32" s="50">
        <v>26.7</v>
      </c>
      <c r="D32" s="50">
        <v>25.6</v>
      </c>
      <c r="E32" s="50">
        <v>10.36</v>
      </c>
      <c r="F32" s="50">
        <v>3.7</v>
      </c>
      <c r="G32" s="50">
        <v>100.58</v>
      </c>
      <c r="H32" s="50">
        <v>39.54</v>
      </c>
      <c r="I32" s="50">
        <v>0</v>
      </c>
      <c r="J32" s="50">
        <v>1.75</v>
      </c>
      <c r="K32" s="50">
        <v>52.71</v>
      </c>
      <c r="L32" s="50">
        <v>22.61</v>
      </c>
      <c r="M32" s="50">
        <v>55.31</v>
      </c>
      <c r="N32" s="50">
        <v>0</v>
      </c>
      <c r="O32" s="50">
        <v>0</v>
      </c>
      <c r="P32" s="50">
        <v>1.07</v>
      </c>
      <c r="Q32" s="50">
        <v>4.8099999999999996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4.3600000000000003</v>
      </c>
      <c r="C34" s="40">
        <f t="shared" si="0"/>
        <v>13.44</v>
      </c>
      <c r="D34" s="40">
        <f t="shared" si="0"/>
        <v>11.81</v>
      </c>
      <c r="E34" s="40">
        <f t="shared" si="0"/>
        <v>6.09</v>
      </c>
      <c r="F34" s="40">
        <f t="shared" si="0"/>
        <v>3.35</v>
      </c>
      <c r="G34" s="40">
        <f t="shared" si="0"/>
        <v>60.4</v>
      </c>
      <c r="H34" s="40">
        <f t="shared" si="0"/>
        <v>28.26</v>
      </c>
      <c r="I34" s="40">
        <f t="shared" si="0"/>
        <v>0</v>
      </c>
      <c r="J34" s="40">
        <f t="shared" si="0"/>
        <v>0.16</v>
      </c>
      <c r="K34" s="40">
        <f t="shared" si="0"/>
        <v>52.71</v>
      </c>
      <c r="L34" s="40">
        <f t="shared" si="0"/>
        <v>19.38</v>
      </c>
      <c r="M34" s="40">
        <f t="shared" si="0"/>
        <v>44.65</v>
      </c>
      <c r="N34" s="40">
        <f t="shared" si="0"/>
        <v>0</v>
      </c>
      <c r="O34" s="40">
        <f t="shared" si="0"/>
        <v>0</v>
      </c>
      <c r="P34" s="40">
        <f t="shared" si="0"/>
        <v>0.57999999999999996</v>
      </c>
      <c r="Q34" s="40">
        <f t="shared" si="0"/>
        <v>4.7300000000000004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19.489999999999998</v>
      </c>
      <c r="C35" s="33">
        <f t="shared" si="1"/>
        <v>26.94</v>
      </c>
      <c r="D35" s="33">
        <f t="shared" si="1"/>
        <v>28.98</v>
      </c>
      <c r="E35" s="33">
        <f t="shared" si="1"/>
        <v>10.36</v>
      </c>
      <c r="F35" s="33">
        <f t="shared" si="1"/>
        <v>9.19</v>
      </c>
      <c r="G35" s="33">
        <f t="shared" si="1"/>
        <v>100.58</v>
      </c>
      <c r="H35" s="33">
        <f t="shared" si="1"/>
        <v>39.590000000000003</v>
      </c>
      <c r="I35" s="33">
        <f t="shared" si="1"/>
        <v>0</v>
      </c>
      <c r="J35" s="33">
        <f t="shared" si="1"/>
        <v>1.9</v>
      </c>
      <c r="K35" s="33">
        <f t="shared" si="1"/>
        <v>358.85</v>
      </c>
      <c r="L35" s="33">
        <f t="shared" si="1"/>
        <v>29.85</v>
      </c>
      <c r="M35" s="33">
        <f t="shared" si="1"/>
        <v>81.77</v>
      </c>
      <c r="N35" s="33">
        <f t="shared" si="1"/>
        <v>571.1</v>
      </c>
      <c r="O35" s="33">
        <f t="shared" si="1"/>
        <v>0</v>
      </c>
      <c r="P35" s="33">
        <f t="shared" si="1"/>
        <v>1.1200000000000001</v>
      </c>
      <c r="Q35" s="33">
        <f t="shared" si="1"/>
        <v>4.92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11.991250000000001</v>
      </c>
      <c r="C36" s="40">
        <f t="shared" si="2"/>
        <v>21.472916666666674</v>
      </c>
      <c r="D36" s="40">
        <f t="shared" si="2"/>
        <v>22.045416666666668</v>
      </c>
      <c r="E36" s="40">
        <f t="shared" si="2"/>
        <v>8.0795833333333338</v>
      </c>
      <c r="F36" s="40">
        <f t="shared" si="2"/>
        <v>4.5166666666666666</v>
      </c>
      <c r="G36" s="40">
        <f t="shared" si="2"/>
        <v>71.849583333333342</v>
      </c>
      <c r="H36" s="40">
        <f t="shared" si="2"/>
        <v>31.254166666666674</v>
      </c>
      <c r="I36" s="40">
        <f t="shared" si="2"/>
        <v>0</v>
      </c>
      <c r="J36" s="40">
        <f t="shared" si="2"/>
        <v>0.88291666666666646</v>
      </c>
      <c r="K36" s="40">
        <f t="shared" si="2"/>
        <v>159.68625</v>
      </c>
      <c r="L36" s="40">
        <f t="shared" si="2"/>
        <v>24.015833333333333</v>
      </c>
      <c r="M36" s="40">
        <f t="shared" si="2"/>
        <v>67.109583333333333</v>
      </c>
      <c r="N36" s="40">
        <f t="shared" si="2"/>
        <v>135.12916666666666</v>
      </c>
      <c r="O36" s="40">
        <f t="shared" si="2"/>
        <v>0</v>
      </c>
      <c r="P36" s="40">
        <f t="shared" si="2"/>
        <v>0.71666666666666667</v>
      </c>
      <c r="Q36" s="40">
        <f t="shared" si="2"/>
        <v>4.8204166666666666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5.4756618122934357</v>
      </c>
      <c r="C37" s="40">
        <f t="shared" ref="C37:Q37" si="3">STDEV(C9:C32)</f>
        <v>3.9936770451025851</v>
      </c>
      <c r="D37" s="40">
        <f t="shared" si="3"/>
        <v>5.8128276282917621</v>
      </c>
      <c r="E37" s="40">
        <f t="shared" si="3"/>
        <v>1.5584174781591342</v>
      </c>
      <c r="F37" s="40">
        <f t="shared" si="3"/>
        <v>1.663413636933472</v>
      </c>
      <c r="G37" s="40">
        <f t="shared" si="3"/>
        <v>10.492676733619023</v>
      </c>
      <c r="H37" s="40">
        <f t="shared" si="3"/>
        <v>3.2497758005165105</v>
      </c>
      <c r="I37" s="40">
        <f t="shared" si="3"/>
        <v>0</v>
      </c>
      <c r="J37" s="40">
        <f t="shared" si="3"/>
        <v>0.47375905788442374</v>
      </c>
      <c r="K37" s="40">
        <f t="shared" si="3"/>
        <v>108.38597702544769</v>
      </c>
      <c r="L37" s="40">
        <f t="shared" si="3"/>
        <v>3.4283129539388515</v>
      </c>
      <c r="M37" s="40">
        <f t="shared" si="3"/>
        <v>13.46111387572968</v>
      </c>
      <c r="N37" s="40">
        <f t="shared" si="3"/>
        <v>202.08466043191913</v>
      </c>
      <c r="O37" s="40">
        <f t="shared" si="3"/>
        <v>0</v>
      </c>
      <c r="P37" s="40">
        <f t="shared" si="3"/>
        <v>0.15694548116454682</v>
      </c>
      <c r="Q37" s="40">
        <f t="shared" si="3"/>
        <v>5.7971444744780158E-2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G19" sqref="G19"/>
      <selection pane="topRight" activeCell="G19" sqref="G19"/>
      <selection pane="bottomLeft" activeCell="G19" sqref="G19"/>
      <selection pane="bottomRight" activeCell="I26" sqref="I26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45330.041666666664</v>
      </c>
      <c r="B9" s="50">
        <v>11.7</v>
      </c>
      <c r="C9" s="50">
        <v>20.67</v>
      </c>
      <c r="D9" s="50">
        <v>21.48</v>
      </c>
      <c r="E9" s="50">
        <v>9.2899999999999991</v>
      </c>
      <c r="F9" s="50">
        <v>3.82</v>
      </c>
      <c r="G9" s="50">
        <v>90.4</v>
      </c>
      <c r="H9" s="50">
        <v>32.04</v>
      </c>
      <c r="I9" s="50">
        <v>0</v>
      </c>
      <c r="J9" s="50">
        <v>1.41</v>
      </c>
      <c r="K9" s="50">
        <v>55.38</v>
      </c>
      <c r="L9" s="50">
        <v>21.44</v>
      </c>
      <c r="M9" s="50">
        <v>47.78</v>
      </c>
      <c r="N9" s="50">
        <v>0</v>
      </c>
      <c r="O9" s="50">
        <v>0</v>
      </c>
      <c r="P9" s="50">
        <v>0.95</v>
      </c>
      <c r="Q9" s="50">
        <v>4.76</v>
      </c>
    </row>
    <row r="10" spans="1:21" customFormat="1">
      <c r="A10" s="49">
        <v>45330.083333333336</v>
      </c>
      <c r="B10" s="50">
        <v>11.61</v>
      </c>
      <c r="C10" s="50">
        <v>21.27</v>
      </c>
      <c r="D10" s="50">
        <v>21.6</v>
      </c>
      <c r="E10" s="50">
        <v>9.15</v>
      </c>
      <c r="F10" s="50">
        <v>3.5</v>
      </c>
      <c r="G10" s="50">
        <v>71.400000000000006</v>
      </c>
      <c r="H10" s="50">
        <v>25.87</v>
      </c>
      <c r="I10" s="50">
        <v>0</v>
      </c>
      <c r="J10" s="50">
        <v>0.97</v>
      </c>
      <c r="K10" s="50">
        <v>49.22</v>
      </c>
      <c r="L10" s="50">
        <v>20.6</v>
      </c>
      <c r="M10" s="50">
        <v>48.08</v>
      </c>
      <c r="N10" s="50">
        <v>0</v>
      </c>
      <c r="O10" s="50">
        <v>0</v>
      </c>
      <c r="P10" s="50">
        <v>0.87</v>
      </c>
      <c r="Q10" s="50">
        <v>4.79</v>
      </c>
    </row>
    <row r="11" spans="1:21" customFormat="1">
      <c r="A11" s="49">
        <v>45330.125</v>
      </c>
      <c r="B11" s="50">
        <v>11.99</v>
      </c>
      <c r="C11" s="50">
        <v>20.13</v>
      </c>
      <c r="D11" s="50">
        <v>21.49</v>
      </c>
      <c r="E11" s="50">
        <v>6.36</v>
      </c>
      <c r="F11" s="50">
        <v>3.46</v>
      </c>
      <c r="G11" s="50">
        <v>57.93</v>
      </c>
      <c r="H11" s="50">
        <v>23.68</v>
      </c>
      <c r="I11" s="50">
        <v>0</v>
      </c>
      <c r="J11" s="50">
        <v>0.56999999999999995</v>
      </c>
      <c r="K11" s="50">
        <v>41.91</v>
      </c>
      <c r="L11" s="50">
        <v>19.79</v>
      </c>
      <c r="M11" s="50">
        <v>48.96</v>
      </c>
      <c r="N11" s="50">
        <v>0</v>
      </c>
      <c r="O11" s="50">
        <v>0</v>
      </c>
      <c r="P11" s="50">
        <v>0.77</v>
      </c>
      <c r="Q11" s="50">
        <v>4.84</v>
      </c>
    </row>
    <row r="12" spans="1:21" customFormat="1">
      <c r="A12" s="49">
        <v>45330.166666666664</v>
      </c>
      <c r="B12" s="50">
        <v>12.04</v>
      </c>
      <c r="C12" s="50">
        <v>20.85</v>
      </c>
      <c r="D12" s="50">
        <v>21.9</v>
      </c>
      <c r="E12" s="50">
        <v>6.06</v>
      </c>
      <c r="F12" s="50">
        <v>3.48</v>
      </c>
      <c r="G12" s="50">
        <v>47.62</v>
      </c>
      <c r="H12" s="50">
        <v>17.12</v>
      </c>
      <c r="I12" s="50">
        <v>0</v>
      </c>
      <c r="J12" s="50">
        <v>1.1599999999999999</v>
      </c>
      <c r="K12" s="50">
        <v>62.66</v>
      </c>
      <c r="L12" s="50">
        <v>19.28</v>
      </c>
      <c r="M12" s="50">
        <v>49.38</v>
      </c>
      <c r="N12" s="50">
        <v>0</v>
      </c>
      <c r="O12" s="50">
        <v>0</v>
      </c>
      <c r="P12" s="50">
        <v>0.73</v>
      </c>
      <c r="Q12" s="50">
        <v>4.8499999999999996</v>
      </c>
    </row>
    <row r="13" spans="1:21" customFormat="1">
      <c r="A13" s="49">
        <v>45330.208333333336</v>
      </c>
      <c r="B13" s="50">
        <v>11.97</v>
      </c>
      <c r="C13" s="50">
        <v>19.97</v>
      </c>
      <c r="D13" s="50">
        <v>20.76</v>
      </c>
      <c r="E13" s="50">
        <v>5.71</v>
      </c>
      <c r="F13" s="50">
        <v>3.66</v>
      </c>
      <c r="G13" s="50">
        <v>42.7</v>
      </c>
      <c r="H13" s="50">
        <v>17.350000000000001</v>
      </c>
      <c r="I13" s="50">
        <v>0</v>
      </c>
      <c r="J13" s="50">
        <v>1.44</v>
      </c>
      <c r="K13" s="50">
        <v>58.52</v>
      </c>
      <c r="L13" s="50">
        <v>19</v>
      </c>
      <c r="M13" s="50">
        <v>46.99</v>
      </c>
      <c r="N13" s="50">
        <v>0</v>
      </c>
      <c r="O13" s="50">
        <v>0</v>
      </c>
      <c r="P13" s="50">
        <v>0.65</v>
      </c>
      <c r="Q13" s="50">
        <v>4.8600000000000003</v>
      </c>
    </row>
    <row r="14" spans="1:21" customFormat="1">
      <c r="A14" s="49">
        <v>45330.25</v>
      </c>
      <c r="B14" s="50">
        <v>10.01</v>
      </c>
      <c r="C14" s="50">
        <v>20.9</v>
      </c>
      <c r="D14" s="50">
        <v>20</v>
      </c>
      <c r="E14" s="50">
        <v>5.73</v>
      </c>
      <c r="F14" s="50">
        <v>3.93</v>
      </c>
      <c r="G14" s="50">
        <v>39.659999999999997</v>
      </c>
      <c r="H14" s="50">
        <v>16.57</v>
      </c>
      <c r="I14" s="50">
        <v>0</v>
      </c>
      <c r="J14" s="50">
        <v>1.34</v>
      </c>
      <c r="K14" s="50">
        <v>56.27</v>
      </c>
      <c r="L14" s="50">
        <v>18.75</v>
      </c>
      <c r="M14" s="50">
        <v>48.78</v>
      </c>
      <c r="N14" s="50">
        <v>0</v>
      </c>
      <c r="O14" s="50">
        <v>0</v>
      </c>
      <c r="P14" s="50">
        <v>0.59</v>
      </c>
      <c r="Q14" s="50">
        <v>4.84</v>
      </c>
    </row>
    <row r="15" spans="1:21" customFormat="1">
      <c r="A15" s="49">
        <v>45330.291666666664</v>
      </c>
      <c r="B15" s="50">
        <v>8.8699999999999992</v>
      </c>
      <c r="C15" s="50">
        <v>21.53</v>
      </c>
      <c r="D15" s="50">
        <v>19.53</v>
      </c>
      <c r="E15" s="50">
        <v>5.21</v>
      </c>
      <c r="F15" s="50">
        <v>3.9</v>
      </c>
      <c r="G15" s="50">
        <v>36.49</v>
      </c>
      <c r="H15" s="50">
        <v>14.36</v>
      </c>
      <c r="I15" s="50">
        <v>0</v>
      </c>
      <c r="J15" s="50">
        <v>1.7</v>
      </c>
      <c r="K15" s="50">
        <v>50.48</v>
      </c>
      <c r="L15" s="50">
        <v>18.190000000000001</v>
      </c>
      <c r="M15" s="50">
        <v>49.21</v>
      </c>
      <c r="N15" s="50">
        <v>7.2</v>
      </c>
      <c r="O15" s="50">
        <v>0</v>
      </c>
      <c r="P15" s="50">
        <v>0.56000000000000005</v>
      </c>
      <c r="Q15" s="50">
        <v>4.83</v>
      </c>
    </row>
    <row r="16" spans="1:21" customFormat="1">
      <c r="A16" s="49">
        <v>45330.333333333336</v>
      </c>
      <c r="B16" s="50">
        <v>8.92</v>
      </c>
      <c r="C16" s="50">
        <v>22.54</v>
      </c>
      <c r="D16" s="50">
        <v>20.28</v>
      </c>
      <c r="E16" s="50">
        <v>5.51</v>
      </c>
      <c r="F16" s="50">
        <v>3.98</v>
      </c>
      <c r="G16" s="50">
        <v>42.89</v>
      </c>
      <c r="H16" s="50">
        <v>12.98</v>
      </c>
      <c r="I16" s="50">
        <v>0</v>
      </c>
      <c r="J16" s="50">
        <v>1.48</v>
      </c>
      <c r="K16" s="50">
        <v>43.76</v>
      </c>
      <c r="L16" s="50">
        <v>18.690000000000001</v>
      </c>
      <c r="M16" s="50">
        <v>49.84</v>
      </c>
      <c r="N16" s="50">
        <v>61.6</v>
      </c>
      <c r="O16" s="50">
        <v>0</v>
      </c>
      <c r="P16" s="50">
        <v>0.55000000000000004</v>
      </c>
      <c r="Q16" s="50">
        <v>4.82</v>
      </c>
    </row>
    <row r="17" spans="1:17" customFormat="1">
      <c r="A17" s="49">
        <v>45330.375</v>
      </c>
      <c r="B17" s="50">
        <v>8.3800000000000008</v>
      </c>
      <c r="C17" s="50">
        <v>22.62</v>
      </c>
      <c r="D17" s="50">
        <v>19.89</v>
      </c>
      <c r="E17" s="50">
        <v>5.54</v>
      </c>
      <c r="F17" s="50">
        <v>4.2699999999999996</v>
      </c>
      <c r="G17" s="50">
        <v>46.38</v>
      </c>
      <c r="H17" s="50">
        <v>16.579999999999998</v>
      </c>
      <c r="I17" s="50">
        <v>0</v>
      </c>
      <c r="J17" s="50">
        <v>1.75</v>
      </c>
      <c r="K17" s="50">
        <v>49.16</v>
      </c>
      <c r="L17" s="50">
        <v>21.09</v>
      </c>
      <c r="M17" s="50">
        <v>40.15</v>
      </c>
      <c r="N17" s="50">
        <v>286.3</v>
      </c>
      <c r="O17" s="50">
        <v>0</v>
      </c>
      <c r="P17" s="50">
        <v>0.55000000000000004</v>
      </c>
      <c r="Q17" s="50">
        <v>4.83</v>
      </c>
    </row>
    <row r="18" spans="1:17" customFormat="1">
      <c r="A18" s="49">
        <v>45330.416666666664</v>
      </c>
      <c r="B18" s="50">
        <v>7.48</v>
      </c>
      <c r="C18" s="50">
        <v>22.69</v>
      </c>
      <c r="D18" s="50">
        <v>19.2</v>
      </c>
      <c r="E18" s="50">
        <v>5.3</v>
      </c>
      <c r="F18" s="50">
        <v>4.55</v>
      </c>
      <c r="G18" s="50">
        <v>44.95</v>
      </c>
      <c r="H18" s="50">
        <v>15.25</v>
      </c>
      <c r="I18" s="50">
        <v>0</v>
      </c>
      <c r="J18" s="50">
        <v>2.29</v>
      </c>
      <c r="K18" s="50">
        <v>57.92</v>
      </c>
      <c r="L18" s="50">
        <v>22.81</v>
      </c>
      <c r="M18" s="50">
        <v>26.39</v>
      </c>
      <c r="N18" s="50">
        <v>368.9</v>
      </c>
      <c r="O18" s="50">
        <v>0</v>
      </c>
      <c r="P18" s="50">
        <v>0.54</v>
      </c>
      <c r="Q18" s="50">
        <v>4.8</v>
      </c>
    </row>
    <row r="19" spans="1:17" customFormat="1">
      <c r="A19" s="49">
        <v>45330.458333333336</v>
      </c>
      <c r="B19" s="50">
        <v>6.65</v>
      </c>
      <c r="C19" s="50">
        <v>20.010000000000002</v>
      </c>
      <c r="D19" s="50">
        <v>17.13</v>
      </c>
      <c r="E19" s="50">
        <v>7.09</v>
      </c>
      <c r="F19" s="50">
        <v>5.08</v>
      </c>
      <c r="G19" s="50">
        <v>44.64</v>
      </c>
      <c r="H19" s="50">
        <v>14.06</v>
      </c>
      <c r="I19" s="50">
        <v>0</v>
      </c>
      <c r="J19" s="50">
        <v>1.9</v>
      </c>
      <c r="K19" s="50">
        <v>46.05</v>
      </c>
      <c r="L19" s="50">
        <v>23.87</v>
      </c>
      <c r="M19" s="50">
        <v>21</v>
      </c>
      <c r="N19" s="50">
        <v>552.29999999999995</v>
      </c>
      <c r="O19" s="50">
        <v>0</v>
      </c>
      <c r="P19" s="50">
        <v>0.53</v>
      </c>
      <c r="Q19" s="50">
        <v>4.7699999999999996</v>
      </c>
    </row>
    <row r="20" spans="1:17" customFormat="1">
      <c r="A20" s="49">
        <v>45330.5</v>
      </c>
      <c r="B20" s="50">
        <v>6.7</v>
      </c>
      <c r="C20" s="50">
        <v>19.04</v>
      </c>
      <c r="D20" s="50">
        <v>16.55</v>
      </c>
      <c r="E20" s="50">
        <v>7.53</v>
      </c>
      <c r="F20" s="50">
        <v>4.8600000000000003</v>
      </c>
      <c r="G20" s="50">
        <v>43.77</v>
      </c>
      <c r="H20" s="50">
        <v>14.45</v>
      </c>
      <c r="I20" s="50">
        <v>0</v>
      </c>
      <c r="J20" s="50">
        <v>1.66</v>
      </c>
      <c r="K20" s="50">
        <v>54.39</v>
      </c>
      <c r="L20" s="50">
        <v>25.2</v>
      </c>
      <c r="M20" s="50">
        <v>24.33</v>
      </c>
      <c r="N20" s="50">
        <v>619.9</v>
      </c>
      <c r="O20" s="50">
        <v>0</v>
      </c>
      <c r="P20" s="50">
        <v>0.51</v>
      </c>
      <c r="Q20" s="50">
        <v>4.79</v>
      </c>
    </row>
    <row r="21" spans="1:17" customFormat="1">
      <c r="A21" s="49">
        <v>45330.541666666664</v>
      </c>
      <c r="B21" s="50">
        <v>6.57</v>
      </c>
      <c r="C21" s="50">
        <v>18.559999999999999</v>
      </c>
      <c r="D21" s="50">
        <v>16.309999999999999</v>
      </c>
      <c r="E21" s="50">
        <v>8.14</v>
      </c>
      <c r="F21" s="50">
        <v>5.47</v>
      </c>
      <c r="G21" s="50">
        <v>54.17</v>
      </c>
      <c r="H21" s="50">
        <v>17.420000000000002</v>
      </c>
      <c r="I21" s="50">
        <v>0</v>
      </c>
      <c r="J21" s="50">
        <v>1.49</v>
      </c>
      <c r="K21" s="50">
        <v>45.87</v>
      </c>
      <c r="L21" s="50">
        <v>26.28</v>
      </c>
      <c r="M21" s="50">
        <v>25.62</v>
      </c>
      <c r="N21" s="50">
        <v>622.4</v>
      </c>
      <c r="O21" s="50">
        <v>0</v>
      </c>
      <c r="P21" s="50">
        <v>0.5</v>
      </c>
      <c r="Q21" s="50">
        <v>4.8</v>
      </c>
    </row>
    <row r="22" spans="1:17" customFormat="1">
      <c r="A22" s="49">
        <v>45330.583333333336</v>
      </c>
      <c r="B22" s="50">
        <v>5.78</v>
      </c>
      <c r="C22" s="50">
        <v>18.29</v>
      </c>
      <c r="D22" s="50">
        <v>15.54</v>
      </c>
      <c r="E22" s="50">
        <v>10.62</v>
      </c>
      <c r="F22" s="50">
        <v>10.07</v>
      </c>
      <c r="G22" s="50">
        <v>52.76</v>
      </c>
      <c r="H22" s="50">
        <v>15.06</v>
      </c>
      <c r="I22" s="50">
        <v>8.49</v>
      </c>
      <c r="J22" s="50">
        <v>1.64</v>
      </c>
      <c r="K22" s="50">
        <v>53.05</v>
      </c>
      <c r="L22" s="50">
        <v>26.48</v>
      </c>
      <c r="M22" s="50">
        <v>24.48</v>
      </c>
      <c r="N22" s="50">
        <v>561.79999999999995</v>
      </c>
      <c r="O22" s="50">
        <v>0</v>
      </c>
      <c r="P22" s="50">
        <v>0.49</v>
      </c>
      <c r="Q22" s="50">
        <v>4.8099999999999996</v>
      </c>
    </row>
    <row r="23" spans="1:17" customFormat="1">
      <c r="A23" s="49">
        <v>45330.625</v>
      </c>
      <c r="B23" s="11" t="s">
        <v>12</v>
      </c>
      <c r="C23" s="11" t="s">
        <v>12</v>
      </c>
      <c r="D23" s="11" t="s">
        <v>12</v>
      </c>
      <c r="E23" s="11" t="s">
        <v>12</v>
      </c>
      <c r="F23" s="50">
        <v>10.1</v>
      </c>
      <c r="G23" s="11" t="s">
        <v>12</v>
      </c>
      <c r="H23" s="11" t="s">
        <v>12</v>
      </c>
      <c r="I23" s="50">
        <v>8.49</v>
      </c>
      <c r="J23" s="50">
        <v>1.21</v>
      </c>
      <c r="K23" s="50">
        <v>346.48</v>
      </c>
      <c r="L23" s="50">
        <v>26.64</v>
      </c>
      <c r="M23" s="50">
        <v>25.53</v>
      </c>
      <c r="N23" s="50">
        <v>489.4</v>
      </c>
      <c r="O23" s="50">
        <v>0</v>
      </c>
      <c r="P23" s="50">
        <v>0.44</v>
      </c>
      <c r="Q23" s="50">
        <v>4.8</v>
      </c>
    </row>
    <row r="24" spans="1:17" customFormat="1">
      <c r="A24" s="49">
        <v>45330.666666666664</v>
      </c>
      <c r="B24" s="50">
        <v>6.73</v>
      </c>
      <c r="C24" s="50">
        <v>22.92</v>
      </c>
      <c r="D24" s="50">
        <v>18.36</v>
      </c>
      <c r="E24" s="50">
        <v>16.25</v>
      </c>
      <c r="F24" s="50">
        <v>10.26</v>
      </c>
      <c r="G24" s="50">
        <v>27.9</v>
      </c>
      <c r="H24" s="50">
        <v>1.1299999999999999</v>
      </c>
      <c r="I24" s="50">
        <v>71</v>
      </c>
      <c r="J24" s="50">
        <v>0.98</v>
      </c>
      <c r="K24" s="50">
        <v>344.64</v>
      </c>
      <c r="L24" s="50">
        <v>26.01</v>
      </c>
      <c r="M24" s="50">
        <v>27.25</v>
      </c>
      <c r="N24" s="50">
        <v>93.3</v>
      </c>
      <c r="O24" s="50">
        <v>0</v>
      </c>
      <c r="P24" s="50">
        <v>0.43</v>
      </c>
      <c r="Q24" s="50">
        <v>4.82</v>
      </c>
    </row>
    <row r="25" spans="1:17" customFormat="1">
      <c r="A25" s="49">
        <v>45330.708333333336</v>
      </c>
      <c r="B25" s="50">
        <v>8.83</v>
      </c>
      <c r="C25" s="50">
        <v>34.020000000000003</v>
      </c>
      <c r="D25" s="50">
        <v>26.21</v>
      </c>
      <c r="E25" s="50">
        <v>14.5</v>
      </c>
      <c r="F25" s="50">
        <v>14.56</v>
      </c>
      <c r="G25" s="50">
        <v>41.35</v>
      </c>
      <c r="H25" s="50">
        <v>3.24</v>
      </c>
      <c r="I25" s="50">
        <v>41.98</v>
      </c>
      <c r="J25" s="50">
        <v>1.1100000000000001</v>
      </c>
      <c r="K25" s="50">
        <v>52.04</v>
      </c>
      <c r="L25" s="50">
        <v>25.69</v>
      </c>
      <c r="M25" s="50">
        <v>28.99</v>
      </c>
      <c r="N25" s="50">
        <v>66.099999999999994</v>
      </c>
      <c r="O25" s="50">
        <v>0</v>
      </c>
      <c r="P25" s="50">
        <v>0.45</v>
      </c>
      <c r="Q25" s="50">
        <v>4.82</v>
      </c>
    </row>
    <row r="26" spans="1:17" customFormat="1">
      <c r="A26" s="49">
        <v>45330.75</v>
      </c>
      <c r="B26" s="50">
        <v>8.81</v>
      </c>
      <c r="C26" s="50">
        <v>33.36</v>
      </c>
      <c r="D26" s="50">
        <v>25.27</v>
      </c>
      <c r="E26" s="50">
        <v>9.0299999999999994</v>
      </c>
      <c r="F26" s="50">
        <v>6.52</v>
      </c>
      <c r="G26" s="50">
        <v>61.07</v>
      </c>
      <c r="H26" s="50">
        <v>11.23</v>
      </c>
      <c r="I26" s="50">
        <v>26.46</v>
      </c>
      <c r="J26" s="50">
        <v>0.64</v>
      </c>
      <c r="K26" s="50">
        <v>73.150000000000006</v>
      </c>
      <c r="L26" s="50">
        <v>25.24</v>
      </c>
      <c r="M26" s="50">
        <v>34.19</v>
      </c>
      <c r="N26" s="50">
        <v>19.7</v>
      </c>
      <c r="O26" s="50">
        <v>0</v>
      </c>
      <c r="P26" s="50">
        <v>0.53</v>
      </c>
      <c r="Q26" s="50">
        <v>4.84</v>
      </c>
    </row>
    <row r="27" spans="1:17" customFormat="1">
      <c r="A27" s="49">
        <v>45330.791666666664</v>
      </c>
      <c r="B27" s="50">
        <v>10.01</v>
      </c>
      <c r="C27" s="50">
        <v>31.61</v>
      </c>
      <c r="D27" s="50">
        <v>25.45</v>
      </c>
      <c r="E27" s="50">
        <v>5.61</v>
      </c>
      <c r="F27" s="50">
        <v>3.86</v>
      </c>
      <c r="G27" s="50">
        <v>73.290000000000006</v>
      </c>
      <c r="H27" s="50">
        <v>18.690000000000001</v>
      </c>
      <c r="I27" s="50">
        <v>20.45</v>
      </c>
      <c r="J27" s="50">
        <v>0.32</v>
      </c>
      <c r="K27" s="50">
        <v>183.27</v>
      </c>
      <c r="L27" s="50">
        <v>22.9</v>
      </c>
      <c r="M27" s="50">
        <v>54.29</v>
      </c>
      <c r="N27" s="50">
        <v>0</v>
      </c>
      <c r="O27" s="50">
        <v>0</v>
      </c>
      <c r="P27" s="50">
        <v>0.59</v>
      </c>
      <c r="Q27" s="50">
        <v>4.83</v>
      </c>
    </row>
    <row r="28" spans="1:17" customFormat="1">
      <c r="A28" s="49">
        <v>45330.833333333336</v>
      </c>
      <c r="B28" s="50">
        <v>10.7</v>
      </c>
      <c r="C28" s="50">
        <v>28.38</v>
      </c>
      <c r="D28" s="50">
        <v>24.25</v>
      </c>
      <c r="E28" s="50">
        <v>4.88</v>
      </c>
      <c r="F28" s="50">
        <v>3.74</v>
      </c>
      <c r="G28" s="50">
        <v>80.319999999999993</v>
      </c>
      <c r="H28" s="50">
        <v>24.46</v>
      </c>
      <c r="I28" s="50">
        <v>17.829999999999998</v>
      </c>
      <c r="J28" s="50">
        <v>0.22</v>
      </c>
      <c r="K28" s="50">
        <v>177.7</v>
      </c>
      <c r="L28" s="50">
        <v>20.9</v>
      </c>
      <c r="M28" s="50">
        <v>60.45</v>
      </c>
      <c r="N28" s="50">
        <v>0</v>
      </c>
      <c r="O28" s="50">
        <v>0</v>
      </c>
      <c r="P28" s="50">
        <v>0.64</v>
      </c>
      <c r="Q28" s="50">
        <v>4.82</v>
      </c>
    </row>
    <row r="29" spans="1:17" customFormat="1">
      <c r="A29" s="49">
        <v>45330.875</v>
      </c>
      <c r="B29" s="50">
        <v>12.86</v>
      </c>
      <c r="C29" s="50">
        <v>24.37</v>
      </c>
      <c r="D29" s="50">
        <v>24.4</v>
      </c>
      <c r="E29" s="50">
        <v>4.5999999999999996</v>
      </c>
      <c r="F29" s="50">
        <v>3.7</v>
      </c>
      <c r="G29" s="50">
        <v>88.27</v>
      </c>
      <c r="H29" s="50">
        <v>25.81</v>
      </c>
      <c r="I29" s="50">
        <v>16.48</v>
      </c>
      <c r="J29" s="50">
        <v>0.26</v>
      </c>
      <c r="K29" s="50">
        <v>198.77</v>
      </c>
      <c r="L29" s="50">
        <v>19.649999999999999</v>
      </c>
      <c r="M29" s="50">
        <v>67.260000000000005</v>
      </c>
      <c r="N29" s="50">
        <v>0</v>
      </c>
      <c r="O29" s="50">
        <v>0</v>
      </c>
      <c r="P29" s="50">
        <v>0.7</v>
      </c>
      <c r="Q29" s="50">
        <v>4.78</v>
      </c>
    </row>
    <row r="30" spans="1:17" customFormat="1">
      <c r="A30" s="49">
        <v>45330.916666666664</v>
      </c>
      <c r="B30" s="50">
        <v>13.41</v>
      </c>
      <c r="C30" s="50">
        <v>24.75</v>
      </c>
      <c r="D30" s="50">
        <v>24.74</v>
      </c>
      <c r="E30" s="50">
        <v>4.6500000000000004</v>
      </c>
      <c r="F30" s="50">
        <v>3.53</v>
      </c>
      <c r="G30" s="50">
        <v>91.13</v>
      </c>
      <c r="H30" s="50">
        <v>27.54</v>
      </c>
      <c r="I30" s="50">
        <v>15.45</v>
      </c>
      <c r="J30" s="50">
        <v>0.22</v>
      </c>
      <c r="K30" s="50">
        <v>235.58</v>
      </c>
      <c r="L30" s="50">
        <v>18.11</v>
      </c>
      <c r="M30" s="50">
        <v>72.489999999999995</v>
      </c>
      <c r="N30" s="50">
        <v>0</v>
      </c>
      <c r="O30" s="50">
        <v>0</v>
      </c>
      <c r="P30" s="50">
        <v>0.73</v>
      </c>
      <c r="Q30" s="50">
        <v>4.82</v>
      </c>
    </row>
    <row r="31" spans="1:17" customFormat="1">
      <c r="A31" s="49">
        <v>45330.958333333336</v>
      </c>
      <c r="B31" s="50">
        <v>14.35</v>
      </c>
      <c r="C31" s="50">
        <v>22.72</v>
      </c>
      <c r="D31" s="50">
        <v>24.73</v>
      </c>
      <c r="E31" s="50">
        <v>5.35</v>
      </c>
      <c r="F31" s="50">
        <v>3.31</v>
      </c>
      <c r="G31" s="50">
        <v>92.28</v>
      </c>
      <c r="H31" s="50">
        <v>28.31</v>
      </c>
      <c r="I31" s="50">
        <v>14.35</v>
      </c>
      <c r="J31" s="50">
        <v>0.23</v>
      </c>
      <c r="K31" s="50">
        <v>182.67</v>
      </c>
      <c r="L31" s="50">
        <v>17.59</v>
      </c>
      <c r="M31" s="50">
        <v>70.98</v>
      </c>
      <c r="N31" s="50">
        <v>0</v>
      </c>
      <c r="O31" s="50">
        <v>0</v>
      </c>
      <c r="P31" s="50">
        <v>0.79</v>
      </c>
      <c r="Q31" s="50">
        <v>4.8099999999999996</v>
      </c>
    </row>
    <row r="32" spans="1:17" customFormat="1">
      <c r="A32" s="49">
        <v>45331</v>
      </c>
      <c r="B32" s="50">
        <v>27.76</v>
      </c>
      <c r="C32" s="50">
        <v>24.44</v>
      </c>
      <c r="D32" s="50">
        <v>36.380000000000003</v>
      </c>
      <c r="E32" s="50">
        <v>5.65</v>
      </c>
      <c r="F32" s="50">
        <v>3.61</v>
      </c>
      <c r="G32" s="50">
        <v>113.16</v>
      </c>
      <c r="H32" s="50">
        <v>38.270000000000003</v>
      </c>
      <c r="I32" s="50">
        <v>13.53</v>
      </c>
      <c r="J32" s="50">
        <v>0.6</v>
      </c>
      <c r="K32" s="50">
        <v>103.91</v>
      </c>
      <c r="L32" s="50">
        <v>18.52</v>
      </c>
      <c r="M32" s="50">
        <v>63.71</v>
      </c>
      <c r="N32" s="50">
        <v>0</v>
      </c>
      <c r="O32" s="50">
        <v>0</v>
      </c>
      <c r="P32" s="50">
        <v>0.88</v>
      </c>
      <c r="Q32" s="50">
        <v>4.8899999999999997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5.78</v>
      </c>
      <c r="C34" s="40">
        <f t="shared" si="0"/>
        <v>18.29</v>
      </c>
      <c r="D34" s="40">
        <f t="shared" si="0"/>
        <v>15.54</v>
      </c>
      <c r="E34" s="40">
        <f t="shared" si="0"/>
        <v>4.5999999999999996</v>
      </c>
      <c r="F34" s="40">
        <f t="shared" si="0"/>
        <v>3.31</v>
      </c>
      <c r="G34" s="40">
        <f t="shared" si="0"/>
        <v>27.9</v>
      </c>
      <c r="H34" s="40">
        <f t="shared" si="0"/>
        <v>1.1299999999999999</v>
      </c>
      <c r="I34" s="40">
        <f t="shared" si="0"/>
        <v>0</v>
      </c>
      <c r="J34" s="40">
        <f t="shared" si="0"/>
        <v>0.22</v>
      </c>
      <c r="K34" s="40">
        <f t="shared" si="0"/>
        <v>41.91</v>
      </c>
      <c r="L34" s="40">
        <f t="shared" si="0"/>
        <v>17.59</v>
      </c>
      <c r="M34" s="40">
        <f t="shared" si="0"/>
        <v>21</v>
      </c>
      <c r="N34" s="40">
        <f t="shared" si="0"/>
        <v>0</v>
      </c>
      <c r="O34" s="40">
        <f t="shared" si="0"/>
        <v>0</v>
      </c>
      <c r="P34" s="40">
        <f t="shared" si="0"/>
        <v>0.43</v>
      </c>
      <c r="Q34" s="40">
        <f t="shared" si="0"/>
        <v>4.76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27.76</v>
      </c>
      <c r="C35" s="33">
        <f t="shared" si="1"/>
        <v>34.020000000000003</v>
      </c>
      <c r="D35" s="33">
        <f t="shared" si="1"/>
        <v>36.380000000000003</v>
      </c>
      <c r="E35" s="33">
        <f t="shared" si="1"/>
        <v>16.25</v>
      </c>
      <c r="F35" s="33">
        <f t="shared" si="1"/>
        <v>14.56</v>
      </c>
      <c r="G35" s="33">
        <f t="shared" si="1"/>
        <v>113.16</v>
      </c>
      <c r="H35" s="33">
        <f t="shared" si="1"/>
        <v>38.270000000000003</v>
      </c>
      <c r="I35" s="33">
        <f t="shared" si="1"/>
        <v>71</v>
      </c>
      <c r="J35" s="33">
        <f t="shared" si="1"/>
        <v>2.29</v>
      </c>
      <c r="K35" s="33">
        <f t="shared" si="1"/>
        <v>346.48</v>
      </c>
      <c r="L35" s="33">
        <f t="shared" si="1"/>
        <v>26.64</v>
      </c>
      <c r="M35" s="33">
        <f t="shared" si="1"/>
        <v>72.489999999999995</v>
      </c>
      <c r="N35" s="33">
        <f t="shared" si="1"/>
        <v>622.4</v>
      </c>
      <c r="O35" s="33">
        <f t="shared" si="1"/>
        <v>0</v>
      </c>
      <c r="P35" s="33">
        <f t="shared" si="1"/>
        <v>0.95</v>
      </c>
      <c r="Q35" s="33">
        <f t="shared" si="1"/>
        <v>4.8899999999999997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10.527391304347827</v>
      </c>
      <c r="C36" s="40">
        <f t="shared" si="2"/>
        <v>23.288695652173917</v>
      </c>
      <c r="D36" s="40">
        <f t="shared" si="2"/>
        <v>21.802173913043479</v>
      </c>
      <c r="E36" s="40">
        <f t="shared" si="2"/>
        <v>7.2939130434782609</v>
      </c>
      <c r="F36" s="40">
        <f t="shared" si="2"/>
        <v>5.3008333333333333</v>
      </c>
      <c r="G36" s="40">
        <f t="shared" si="2"/>
        <v>60.196956521739139</v>
      </c>
      <c r="H36" s="40">
        <f t="shared" si="2"/>
        <v>18.759565217391305</v>
      </c>
      <c r="I36" s="40">
        <f t="shared" si="2"/>
        <v>10.604583333333332</v>
      </c>
      <c r="J36" s="40">
        <f t="shared" si="2"/>
        <v>1.1079166666666667</v>
      </c>
      <c r="K36" s="40">
        <f t="shared" si="2"/>
        <v>109.28541666666666</v>
      </c>
      <c r="L36" s="40">
        <f t="shared" si="2"/>
        <v>21.779999999999998</v>
      </c>
      <c r="M36" s="40">
        <f t="shared" si="2"/>
        <v>44.005416666666662</v>
      </c>
      <c r="N36" s="40">
        <f t="shared" si="2"/>
        <v>156.20416666666665</v>
      </c>
      <c r="O36" s="40">
        <f t="shared" si="2"/>
        <v>0</v>
      </c>
      <c r="P36" s="40">
        <f t="shared" si="2"/>
        <v>0.62374999999999992</v>
      </c>
      <c r="Q36" s="40">
        <f t="shared" si="2"/>
        <v>4.8174999999999999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4.4838459723274759</v>
      </c>
      <c r="C37" s="40">
        <f t="shared" ref="C37:Q37" si="3">STDEV(C9:C32)</f>
        <v>4.4773767729328036</v>
      </c>
      <c r="D37" s="40">
        <f t="shared" si="3"/>
        <v>4.4739294875186184</v>
      </c>
      <c r="E37" s="40">
        <f t="shared" si="3"/>
        <v>3.0583428952329914</v>
      </c>
      <c r="F37" s="40">
        <f t="shared" si="3"/>
        <v>2.9261815401299196</v>
      </c>
      <c r="G37" s="40">
        <f t="shared" si="3"/>
        <v>22.735803249656989</v>
      </c>
      <c r="H37" s="40">
        <f t="shared" si="3"/>
        <v>8.5973037413222322</v>
      </c>
      <c r="I37" s="40">
        <f t="shared" si="3"/>
        <v>16.919280737915717</v>
      </c>
      <c r="J37" s="40">
        <f t="shared" si="3"/>
        <v>0.60495762817246823</v>
      </c>
      <c r="K37" s="40">
        <f t="shared" si="3"/>
        <v>93.84960494133648</v>
      </c>
      <c r="L37" s="40">
        <f t="shared" si="3"/>
        <v>3.1484682266005373</v>
      </c>
      <c r="M37" s="40">
        <f t="shared" si="3"/>
        <v>16.051621881798496</v>
      </c>
      <c r="N37" s="40">
        <f t="shared" si="3"/>
        <v>236.05400538890444</v>
      </c>
      <c r="O37" s="40">
        <f t="shared" si="3"/>
        <v>0</v>
      </c>
      <c r="P37" s="40">
        <f t="shared" si="3"/>
        <v>0.14752486894256822</v>
      </c>
      <c r="Q37" s="40">
        <f t="shared" si="3"/>
        <v>2.9229228968396647E-2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v>24</v>
      </c>
      <c r="C38" s="45">
        <v>24</v>
      </c>
      <c r="D38" s="45">
        <v>24</v>
      </c>
      <c r="E38" s="45">
        <v>24</v>
      </c>
      <c r="F38" s="45">
        <v>24</v>
      </c>
      <c r="G38" s="45">
        <v>24</v>
      </c>
      <c r="H38" s="45">
        <v>24</v>
      </c>
      <c r="I38" s="45">
        <v>24</v>
      </c>
      <c r="J38" s="45">
        <f t="shared" ref="J38:Q38" si="4">COUNT(J9:J32)</f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45331.041666666664</v>
      </c>
      <c r="B9" s="50">
        <v>30.16</v>
      </c>
      <c r="C9" s="50">
        <v>27.64</v>
      </c>
      <c r="D9" s="50">
        <v>39.979999999999997</v>
      </c>
      <c r="E9" s="50">
        <v>6.68</v>
      </c>
      <c r="F9" s="50">
        <v>3.4</v>
      </c>
      <c r="G9" s="50">
        <v>126.74</v>
      </c>
      <c r="H9" s="50">
        <v>39.94</v>
      </c>
      <c r="I9" s="50">
        <v>13.44</v>
      </c>
      <c r="J9" s="50">
        <v>0.66</v>
      </c>
      <c r="K9" s="50">
        <v>54.65</v>
      </c>
      <c r="L9" s="50">
        <v>18.32</v>
      </c>
      <c r="M9" s="50">
        <v>61.05</v>
      </c>
      <c r="N9" s="50">
        <v>0</v>
      </c>
      <c r="O9" s="50">
        <v>0</v>
      </c>
      <c r="P9" s="50">
        <v>0.93</v>
      </c>
      <c r="Q9" s="50">
        <v>4.99</v>
      </c>
    </row>
    <row r="10" spans="1:21" customFormat="1">
      <c r="A10" s="49">
        <v>45331.083333333336</v>
      </c>
      <c r="B10" s="50">
        <v>30.06</v>
      </c>
      <c r="C10" s="50">
        <v>28.11</v>
      </c>
      <c r="D10" s="50">
        <v>40.03</v>
      </c>
      <c r="E10" s="50">
        <v>6.48</v>
      </c>
      <c r="F10" s="50">
        <v>3.49</v>
      </c>
      <c r="G10" s="50">
        <v>126.74</v>
      </c>
      <c r="H10" s="50">
        <v>39.94</v>
      </c>
      <c r="I10" s="50">
        <v>13.16</v>
      </c>
      <c r="J10" s="50">
        <v>0.78</v>
      </c>
      <c r="K10" s="50">
        <v>57.83</v>
      </c>
      <c r="L10" s="50">
        <v>17.88</v>
      </c>
      <c r="M10" s="50">
        <v>61.37</v>
      </c>
      <c r="N10" s="50">
        <v>0</v>
      </c>
      <c r="O10" s="50">
        <v>0</v>
      </c>
      <c r="P10" s="50">
        <v>0.9</v>
      </c>
      <c r="Q10" s="50">
        <v>4.9800000000000004</v>
      </c>
    </row>
    <row r="11" spans="1:21" customFormat="1">
      <c r="A11" s="49">
        <v>45331.125</v>
      </c>
      <c r="B11" s="50">
        <v>27.45</v>
      </c>
      <c r="C11" s="50">
        <v>28.14</v>
      </c>
      <c r="D11" s="50">
        <v>38.06</v>
      </c>
      <c r="E11" s="50">
        <v>9.86</v>
      </c>
      <c r="F11" s="50">
        <v>3.57</v>
      </c>
      <c r="G11" s="50">
        <v>107.04</v>
      </c>
      <c r="H11" s="50">
        <v>36.840000000000003</v>
      </c>
      <c r="I11" s="50">
        <v>11.99</v>
      </c>
      <c r="J11" s="50">
        <v>0.63</v>
      </c>
      <c r="K11" s="50">
        <v>50.65</v>
      </c>
      <c r="L11" s="50">
        <v>17.170000000000002</v>
      </c>
      <c r="M11" s="50">
        <v>59.73</v>
      </c>
      <c r="N11" s="50">
        <v>0</v>
      </c>
      <c r="O11" s="50">
        <v>0</v>
      </c>
      <c r="P11" s="50">
        <v>0.85</v>
      </c>
      <c r="Q11" s="50">
        <v>4.97</v>
      </c>
    </row>
    <row r="12" spans="1:21" customFormat="1">
      <c r="A12" s="49">
        <v>45331.166666666664</v>
      </c>
      <c r="B12" s="50">
        <v>24.41</v>
      </c>
      <c r="C12" s="50">
        <v>28.05</v>
      </c>
      <c r="D12" s="50">
        <v>35.58</v>
      </c>
      <c r="E12" s="50">
        <v>8.52</v>
      </c>
      <c r="F12" s="50">
        <v>3.56</v>
      </c>
      <c r="G12" s="50">
        <v>88.55</v>
      </c>
      <c r="H12" s="50">
        <v>34.130000000000003</v>
      </c>
      <c r="I12" s="50">
        <v>10.77</v>
      </c>
      <c r="J12" s="50">
        <v>0.56000000000000005</v>
      </c>
      <c r="K12" s="50">
        <v>66.260000000000005</v>
      </c>
      <c r="L12" s="50">
        <v>16.5</v>
      </c>
      <c r="M12" s="50">
        <v>63.39</v>
      </c>
      <c r="N12" s="50">
        <v>0</v>
      </c>
      <c r="O12" s="50">
        <v>0</v>
      </c>
      <c r="P12" s="50">
        <v>0.79</v>
      </c>
      <c r="Q12" s="50">
        <v>4.93</v>
      </c>
    </row>
    <row r="13" spans="1:21" customFormat="1">
      <c r="A13" s="49">
        <v>45331.208333333336</v>
      </c>
      <c r="B13" s="50">
        <v>22.86</v>
      </c>
      <c r="C13" s="50">
        <v>27.18</v>
      </c>
      <c r="D13" s="50">
        <v>33.880000000000003</v>
      </c>
      <c r="E13" s="50">
        <v>8.51</v>
      </c>
      <c r="F13" s="50">
        <v>3.5</v>
      </c>
      <c r="G13" s="50">
        <v>69.69</v>
      </c>
      <c r="H13" s="50">
        <v>31</v>
      </c>
      <c r="I13" s="50">
        <v>9.91</v>
      </c>
      <c r="J13" s="50">
        <v>0.64</v>
      </c>
      <c r="K13" s="50">
        <v>65.27</v>
      </c>
      <c r="L13" s="50">
        <v>15.52</v>
      </c>
      <c r="M13" s="50">
        <v>64.42</v>
      </c>
      <c r="N13" s="50">
        <v>0</v>
      </c>
      <c r="O13" s="50">
        <v>0</v>
      </c>
      <c r="P13" s="50">
        <v>0.74</v>
      </c>
      <c r="Q13" s="50">
        <v>4.91</v>
      </c>
    </row>
    <row r="14" spans="1:21" customFormat="1">
      <c r="A14" s="49">
        <v>45331.25</v>
      </c>
      <c r="B14" s="50">
        <v>22.74</v>
      </c>
      <c r="C14" s="50">
        <v>26.86</v>
      </c>
      <c r="D14" s="50">
        <v>33.520000000000003</v>
      </c>
      <c r="E14" s="50">
        <v>8.59</v>
      </c>
      <c r="F14" s="50">
        <v>3.56</v>
      </c>
      <c r="G14" s="50">
        <v>65.5</v>
      </c>
      <c r="H14" s="50">
        <v>28.69</v>
      </c>
      <c r="I14" s="50">
        <v>9.35</v>
      </c>
      <c r="J14" s="50">
        <v>0.54</v>
      </c>
      <c r="K14" s="50">
        <v>125.52</v>
      </c>
      <c r="L14" s="50">
        <v>15.07</v>
      </c>
      <c r="M14" s="50">
        <v>66.349999999999994</v>
      </c>
      <c r="N14" s="50">
        <v>0</v>
      </c>
      <c r="O14" s="50">
        <v>0</v>
      </c>
      <c r="P14" s="50">
        <v>0.71</v>
      </c>
      <c r="Q14" s="50">
        <v>4.9000000000000004</v>
      </c>
    </row>
    <row r="15" spans="1:21" customFormat="1">
      <c r="A15" s="49">
        <v>45331.291666666664</v>
      </c>
      <c r="B15" s="50">
        <v>23.12</v>
      </c>
      <c r="C15" s="50">
        <v>26.77</v>
      </c>
      <c r="D15" s="50">
        <v>33.880000000000003</v>
      </c>
      <c r="E15" s="50">
        <v>8.57</v>
      </c>
      <c r="F15" s="50">
        <v>3.33</v>
      </c>
      <c r="G15" s="50">
        <v>65.5</v>
      </c>
      <c r="H15" s="50">
        <v>27.4</v>
      </c>
      <c r="I15" s="50">
        <v>8.8800000000000008</v>
      </c>
      <c r="J15" s="50">
        <v>0.77</v>
      </c>
      <c r="K15" s="50">
        <v>63.92</v>
      </c>
      <c r="L15" s="50">
        <v>14.55</v>
      </c>
      <c r="M15" s="50">
        <v>62.46</v>
      </c>
      <c r="N15" s="50">
        <v>7.4</v>
      </c>
      <c r="O15" s="50">
        <v>0</v>
      </c>
      <c r="P15" s="50">
        <v>0.68</v>
      </c>
      <c r="Q15" s="50">
        <v>4.8899999999999997</v>
      </c>
    </row>
    <row r="16" spans="1:21" customFormat="1">
      <c r="A16" s="49">
        <v>45331.333333333336</v>
      </c>
      <c r="B16" s="50">
        <v>23.42</v>
      </c>
      <c r="C16" s="50">
        <v>27.33</v>
      </c>
      <c r="D16" s="50">
        <v>34.31</v>
      </c>
      <c r="E16" s="50">
        <v>8.77</v>
      </c>
      <c r="F16" s="50">
        <v>3.52</v>
      </c>
      <c r="G16" s="50">
        <v>72.22</v>
      </c>
      <c r="H16" s="50">
        <v>26.2</v>
      </c>
      <c r="I16" s="50">
        <v>8.58</v>
      </c>
      <c r="J16" s="50">
        <v>1</v>
      </c>
      <c r="K16" s="50">
        <v>75.25</v>
      </c>
      <c r="L16" s="50">
        <v>16.25</v>
      </c>
      <c r="M16" s="50">
        <v>57.32</v>
      </c>
      <c r="N16" s="50">
        <v>47.8</v>
      </c>
      <c r="O16" s="50">
        <v>0</v>
      </c>
      <c r="P16" s="50">
        <v>0.67</v>
      </c>
      <c r="Q16" s="50">
        <v>4.92</v>
      </c>
    </row>
    <row r="17" spans="1:17" customFormat="1">
      <c r="A17" s="49">
        <v>45331.375</v>
      </c>
      <c r="B17" s="50">
        <v>20.87</v>
      </c>
      <c r="C17" s="50">
        <v>27.21</v>
      </c>
      <c r="D17" s="50">
        <v>31.49</v>
      </c>
      <c r="E17" s="50">
        <v>8.6</v>
      </c>
      <c r="F17" s="50">
        <v>3.61</v>
      </c>
      <c r="G17" s="50">
        <v>72.22</v>
      </c>
      <c r="H17" s="50">
        <v>26.2</v>
      </c>
      <c r="I17" s="50">
        <v>8.5</v>
      </c>
      <c r="J17" s="50">
        <v>0.96</v>
      </c>
      <c r="K17" s="50">
        <v>89.51</v>
      </c>
      <c r="L17" s="50">
        <v>19.64</v>
      </c>
      <c r="M17" s="50">
        <v>44.64</v>
      </c>
      <c r="N17" s="50">
        <v>340.1</v>
      </c>
      <c r="O17" s="50">
        <v>0</v>
      </c>
      <c r="P17" s="50">
        <v>0.66</v>
      </c>
      <c r="Q17" s="50">
        <v>4.88</v>
      </c>
    </row>
    <row r="18" spans="1:17" customFormat="1">
      <c r="A18" s="49">
        <v>45331.416666666664</v>
      </c>
      <c r="B18" s="50">
        <v>18.760000000000002</v>
      </c>
      <c r="C18" s="50">
        <v>26.97</v>
      </c>
      <c r="D18" s="50">
        <v>30.1</v>
      </c>
      <c r="E18" s="50">
        <v>8.1999999999999993</v>
      </c>
      <c r="F18" s="50">
        <v>3.74</v>
      </c>
      <c r="G18" s="50">
        <v>71.16</v>
      </c>
      <c r="H18" s="50">
        <v>24.35</v>
      </c>
      <c r="I18" s="50">
        <v>8.11</v>
      </c>
      <c r="J18" s="50">
        <v>2.0099999999999998</v>
      </c>
      <c r="K18" s="50">
        <v>73.37</v>
      </c>
      <c r="L18" s="50">
        <v>21.9</v>
      </c>
      <c r="M18" s="50">
        <v>31.53</v>
      </c>
      <c r="N18" s="50">
        <v>419.9</v>
      </c>
      <c r="O18" s="50">
        <v>0</v>
      </c>
      <c r="P18" s="50">
        <v>0.62</v>
      </c>
      <c r="Q18" s="50">
        <v>4.88</v>
      </c>
    </row>
    <row r="19" spans="1:17" customFormat="1">
      <c r="A19" s="49">
        <v>45331.458333333336</v>
      </c>
      <c r="B19" s="50">
        <v>15.37</v>
      </c>
      <c r="C19" s="50">
        <v>25.91</v>
      </c>
      <c r="D19" s="50">
        <v>27.12</v>
      </c>
      <c r="E19" s="50">
        <v>9.5</v>
      </c>
      <c r="F19" s="50">
        <v>4.57</v>
      </c>
      <c r="G19" s="50">
        <v>74.319999999999993</v>
      </c>
      <c r="H19" s="50">
        <v>22.83</v>
      </c>
      <c r="I19" s="50">
        <v>7.51</v>
      </c>
      <c r="J19" s="50">
        <v>2.38</v>
      </c>
      <c r="K19" s="50">
        <v>64.13</v>
      </c>
      <c r="L19" s="50">
        <v>23.48</v>
      </c>
      <c r="M19" s="50">
        <v>24.93</v>
      </c>
      <c r="N19" s="50">
        <v>590.20000000000005</v>
      </c>
      <c r="O19" s="50">
        <v>0</v>
      </c>
      <c r="P19" s="50">
        <v>0.6</v>
      </c>
      <c r="Q19" s="50">
        <v>4.87</v>
      </c>
    </row>
    <row r="20" spans="1:17" customFormat="1">
      <c r="A20" s="49">
        <v>45331.5</v>
      </c>
      <c r="B20" s="50">
        <v>10.76</v>
      </c>
      <c r="C20" s="50">
        <v>25.82</v>
      </c>
      <c r="D20" s="50">
        <v>23.47</v>
      </c>
      <c r="E20" s="50">
        <v>9.98</v>
      </c>
      <c r="F20" s="50">
        <v>4.8099999999999996</v>
      </c>
      <c r="G20" s="50">
        <v>76.03</v>
      </c>
      <c r="H20" s="50">
        <v>23.31</v>
      </c>
      <c r="I20" s="50">
        <v>6.83</v>
      </c>
      <c r="J20" s="50">
        <v>2.13</v>
      </c>
      <c r="K20" s="50">
        <v>64.28</v>
      </c>
      <c r="L20" s="50">
        <v>25.8</v>
      </c>
      <c r="M20" s="50">
        <v>22.55</v>
      </c>
      <c r="N20" s="50">
        <v>641.5</v>
      </c>
      <c r="O20" s="50">
        <v>0</v>
      </c>
      <c r="P20" s="50">
        <v>0.56999999999999995</v>
      </c>
      <c r="Q20" s="50">
        <v>4.8099999999999996</v>
      </c>
    </row>
    <row r="21" spans="1:17" customFormat="1">
      <c r="A21" s="49">
        <v>45331.541666666664</v>
      </c>
      <c r="B21" s="50">
        <v>8.6999999999999993</v>
      </c>
      <c r="C21" s="50">
        <v>25.15</v>
      </c>
      <c r="D21" s="50">
        <v>21.46</v>
      </c>
      <c r="E21" s="50">
        <v>10.32</v>
      </c>
      <c r="F21" s="50">
        <v>4.72</v>
      </c>
      <c r="G21" s="50">
        <v>76.03</v>
      </c>
      <c r="H21" s="50">
        <v>23.31</v>
      </c>
      <c r="I21" s="50">
        <v>0</v>
      </c>
      <c r="J21" s="50">
        <v>0.86</v>
      </c>
      <c r="K21" s="50">
        <v>89.37</v>
      </c>
      <c r="L21" s="50">
        <v>26.77</v>
      </c>
      <c r="M21" s="50">
        <v>19.84</v>
      </c>
      <c r="N21" s="50">
        <v>649.1</v>
      </c>
      <c r="O21" s="50">
        <v>0</v>
      </c>
      <c r="P21" s="50">
        <v>0.54</v>
      </c>
      <c r="Q21" s="50">
        <v>4.78</v>
      </c>
    </row>
    <row r="22" spans="1:17" customFormat="1">
      <c r="A22" s="49">
        <v>45331.583333333336</v>
      </c>
      <c r="B22" s="50">
        <v>7.36</v>
      </c>
      <c r="C22" s="50">
        <v>23.15</v>
      </c>
      <c r="D22" s="50">
        <v>19.350000000000001</v>
      </c>
      <c r="E22" s="50">
        <v>10.81</v>
      </c>
      <c r="F22" s="50">
        <v>6.54</v>
      </c>
      <c r="G22" s="50">
        <v>64.86</v>
      </c>
      <c r="H22" s="50">
        <v>19.28</v>
      </c>
      <c r="I22" s="50">
        <v>0</v>
      </c>
      <c r="J22" s="50">
        <v>0.91</v>
      </c>
      <c r="K22" s="50">
        <v>183.6</v>
      </c>
      <c r="L22" s="50">
        <v>27.71</v>
      </c>
      <c r="M22" s="50">
        <v>18.989999999999998</v>
      </c>
      <c r="N22" s="50">
        <v>612.70000000000005</v>
      </c>
      <c r="O22" s="50">
        <v>0</v>
      </c>
      <c r="P22" s="50">
        <v>0.51</v>
      </c>
      <c r="Q22" s="50">
        <v>4.76</v>
      </c>
    </row>
    <row r="23" spans="1:17" customFormat="1">
      <c r="A23" s="49">
        <v>45331.625</v>
      </c>
      <c r="B23" s="50">
        <v>6.57</v>
      </c>
      <c r="C23" s="50">
        <v>20.96</v>
      </c>
      <c r="D23" s="50">
        <v>17.57</v>
      </c>
      <c r="E23" s="50">
        <v>9.65</v>
      </c>
      <c r="F23" s="50">
        <v>6.2</v>
      </c>
      <c r="G23" s="50">
        <v>58.32</v>
      </c>
      <c r="H23" s="50">
        <v>19.28</v>
      </c>
      <c r="I23" s="50">
        <v>0</v>
      </c>
      <c r="J23" s="50">
        <v>1.05</v>
      </c>
      <c r="K23" s="50">
        <v>66.95</v>
      </c>
      <c r="L23" s="50">
        <v>27.99</v>
      </c>
      <c r="M23" s="50">
        <v>19.25</v>
      </c>
      <c r="N23" s="50">
        <v>542.20000000000005</v>
      </c>
      <c r="O23" s="50">
        <v>0</v>
      </c>
      <c r="P23" s="50">
        <v>0.48</v>
      </c>
      <c r="Q23" s="50">
        <v>4.75</v>
      </c>
    </row>
    <row r="24" spans="1:17" customFormat="1">
      <c r="A24" s="49">
        <v>45331.666666666664</v>
      </c>
      <c r="B24" s="50">
        <v>6.33</v>
      </c>
      <c r="C24" s="50">
        <v>19.59</v>
      </c>
      <c r="D24" s="50">
        <v>16.46</v>
      </c>
      <c r="E24" s="50">
        <v>8.94</v>
      </c>
      <c r="F24" s="50">
        <v>6.6</v>
      </c>
      <c r="G24" s="50">
        <v>51.18</v>
      </c>
      <c r="H24" s="50">
        <v>17.649999999999999</v>
      </c>
      <c r="I24" s="50">
        <v>0</v>
      </c>
      <c r="J24" s="50">
        <v>1.01</v>
      </c>
      <c r="K24" s="50">
        <v>51.42</v>
      </c>
      <c r="L24" s="50">
        <v>27.13</v>
      </c>
      <c r="M24" s="50">
        <v>20.68</v>
      </c>
      <c r="N24" s="50">
        <v>80.400000000000006</v>
      </c>
      <c r="O24" s="50">
        <v>0</v>
      </c>
      <c r="P24" s="50">
        <v>0.48</v>
      </c>
      <c r="Q24" s="50">
        <v>4.74</v>
      </c>
    </row>
    <row r="25" spans="1:17" customFormat="1">
      <c r="A25" s="49">
        <v>45331.708333333336</v>
      </c>
      <c r="B25" s="50">
        <v>6.54</v>
      </c>
      <c r="C25" s="50">
        <v>19.22</v>
      </c>
      <c r="D25" s="50">
        <v>16.63</v>
      </c>
      <c r="E25" s="50">
        <v>7.2</v>
      </c>
      <c r="F25" s="50">
        <v>6.09</v>
      </c>
      <c r="G25" s="50">
        <v>44.9</v>
      </c>
      <c r="H25" s="50">
        <v>20.5</v>
      </c>
      <c r="I25" s="50">
        <v>0</v>
      </c>
      <c r="J25" s="50">
        <v>1.19</v>
      </c>
      <c r="K25" s="50">
        <v>55.72</v>
      </c>
      <c r="L25" s="50">
        <v>26.93</v>
      </c>
      <c r="M25" s="50">
        <v>22.53</v>
      </c>
      <c r="N25" s="50">
        <v>64.099999999999994</v>
      </c>
      <c r="O25" s="50">
        <v>0</v>
      </c>
      <c r="P25" s="50">
        <v>0.47</v>
      </c>
      <c r="Q25" s="50">
        <v>4.7300000000000004</v>
      </c>
    </row>
    <row r="26" spans="1:17" customFormat="1">
      <c r="A26" s="49">
        <v>45331.75</v>
      </c>
      <c r="B26" s="50">
        <v>7.82</v>
      </c>
      <c r="C26" s="50">
        <v>19.82</v>
      </c>
      <c r="D26" s="50">
        <v>17.98</v>
      </c>
      <c r="E26" s="50">
        <v>7.45</v>
      </c>
      <c r="F26" s="50">
        <v>4.38</v>
      </c>
      <c r="G26" s="50">
        <v>59.37</v>
      </c>
      <c r="H26" s="50">
        <v>20.92</v>
      </c>
      <c r="I26" s="50">
        <v>0</v>
      </c>
      <c r="J26" s="50">
        <v>0.83</v>
      </c>
      <c r="K26" s="50">
        <v>53.68</v>
      </c>
      <c r="L26" s="50">
        <v>25.99</v>
      </c>
      <c r="M26" s="50">
        <v>27.29</v>
      </c>
      <c r="N26" s="50">
        <v>20</v>
      </c>
      <c r="O26" s="50">
        <v>0</v>
      </c>
      <c r="P26" s="50">
        <v>0.5</v>
      </c>
      <c r="Q26" s="50">
        <v>4.76</v>
      </c>
    </row>
    <row r="27" spans="1:17" customFormat="1">
      <c r="A27" s="49">
        <v>45331.791666666664</v>
      </c>
      <c r="B27" s="50">
        <v>10.72</v>
      </c>
      <c r="C27" s="50">
        <v>23.22</v>
      </c>
      <c r="D27" s="50">
        <v>22.08</v>
      </c>
      <c r="E27" s="50">
        <v>8.14</v>
      </c>
      <c r="F27" s="50">
        <v>3.5</v>
      </c>
      <c r="G27" s="50">
        <v>76.34</v>
      </c>
      <c r="H27" s="50">
        <v>23.97</v>
      </c>
      <c r="I27" s="50">
        <v>0</v>
      </c>
      <c r="J27" s="50">
        <v>0.88</v>
      </c>
      <c r="K27" s="50">
        <v>57.87</v>
      </c>
      <c r="L27" s="50">
        <v>24</v>
      </c>
      <c r="M27" s="50">
        <v>36.92</v>
      </c>
      <c r="N27" s="50">
        <v>0</v>
      </c>
      <c r="O27" s="50">
        <v>0</v>
      </c>
      <c r="P27" s="50">
        <v>0.56000000000000005</v>
      </c>
      <c r="Q27" s="50">
        <v>4.78</v>
      </c>
    </row>
    <row r="28" spans="1:17" customFormat="1">
      <c r="A28" s="49">
        <v>45331.833333333336</v>
      </c>
      <c r="B28" s="50">
        <v>13.54</v>
      </c>
      <c r="C28" s="50">
        <v>24.52</v>
      </c>
      <c r="D28" s="50">
        <v>24.7</v>
      </c>
      <c r="E28" s="50">
        <v>8.51</v>
      </c>
      <c r="F28" s="50">
        <v>3.54</v>
      </c>
      <c r="G28" s="50">
        <v>83.56</v>
      </c>
      <c r="H28" s="50">
        <v>26.41</v>
      </c>
      <c r="I28" s="50">
        <v>0</v>
      </c>
      <c r="J28" s="50">
        <v>0.76</v>
      </c>
      <c r="K28" s="50">
        <v>62.29</v>
      </c>
      <c r="L28" s="50">
        <v>22.27</v>
      </c>
      <c r="M28" s="50">
        <v>41.51</v>
      </c>
      <c r="N28" s="50">
        <v>0</v>
      </c>
      <c r="O28" s="50">
        <v>0</v>
      </c>
      <c r="P28" s="50">
        <v>0.62</v>
      </c>
      <c r="Q28" s="50">
        <v>4.82</v>
      </c>
    </row>
    <row r="29" spans="1:17" customFormat="1">
      <c r="A29" s="49">
        <v>45331.875</v>
      </c>
      <c r="B29" s="50">
        <v>15.78</v>
      </c>
      <c r="C29" s="50">
        <v>27.76</v>
      </c>
      <c r="D29" s="50">
        <v>28.51</v>
      </c>
      <c r="E29" s="50">
        <v>9.0500000000000007</v>
      </c>
      <c r="F29" s="50">
        <v>3.5</v>
      </c>
      <c r="G29" s="50">
        <v>102.96</v>
      </c>
      <c r="H29" s="50">
        <v>33.200000000000003</v>
      </c>
      <c r="I29" s="50">
        <v>0</v>
      </c>
      <c r="J29" s="50">
        <v>0.35</v>
      </c>
      <c r="K29" s="50">
        <v>185.12</v>
      </c>
      <c r="L29" s="50">
        <v>20.6</v>
      </c>
      <c r="M29" s="50">
        <v>51.8</v>
      </c>
      <c r="N29" s="50">
        <v>0</v>
      </c>
      <c r="O29" s="50">
        <v>0</v>
      </c>
      <c r="P29" s="50">
        <v>0.74</v>
      </c>
      <c r="Q29" s="50">
        <v>4.8499999999999996</v>
      </c>
    </row>
    <row r="30" spans="1:17" customFormat="1">
      <c r="A30" s="49">
        <v>45331.916666666664</v>
      </c>
      <c r="B30" s="50">
        <v>16.36</v>
      </c>
      <c r="C30" s="50">
        <v>28.86</v>
      </c>
      <c r="D30" s="50">
        <v>29.41</v>
      </c>
      <c r="E30" s="50">
        <v>8.4600000000000009</v>
      </c>
      <c r="F30" s="50">
        <v>3.56</v>
      </c>
      <c r="G30" s="50">
        <v>109.92</v>
      </c>
      <c r="H30" s="50">
        <v>33.24</v>
      </c>
      <c r="I30" s="50">
        <v>0</v>
      </c>
      <c r="J30" s="50">
        <v>0.27</v>
      </c>
      <c r="K30" s="50">
        <v>219.61</v>
      </c>
      <c r="L30" s="50">
        <v>19.37</v>
      </c>
      <c r="M30" s="50">
        <v>58.46</v>
      </c>
      <c r="N30" s="50">
        <v>0</v>
      </c>
      <c r="O30" s="50">
        <v>0</v>
      </c>
      <c r="P30" s="50">
        <v>0.78</v>
      </c>
      <c r="Q30" s="50">
        <v>4.88</v>
      </c>
    </row>
    <row r="31" spans="1:17" customFormat="1">
      <c r="A31" s="49">
        <v>45331.958333333336</v>
      </c>
      <c r="B31" s="50">
        <v>17.28</v>
      </c>
      <c r="C31" s="50">
        <v>29.77</v>
      </c>
      <c r="D31" s="50">
        <v>30.76</v>
      </c>
      <c r="E31" s="50">
        <v>8.0500000000000007</v>
      </c>
      <c r="F31" s="50">
        <v>3.41</v>
      </c>
      <c r="G31" s="50">
        <v>109.92</v>
      </c>
      <c r="H31" s="50">
        <v>33.24</v>
      </c>
      <c r="I31" s="50">
        <v>0</v>
      </c>
      <c r="J31" s="50">
        <v>0.21</v>
      </c>
      <c r="K31" s="50">
        <v>209.45</v>
      </c>
      <c r="L31" s="50">
        <v>18.04</v>
      </c>
      <c r="M31" s="50">
        <v>63.21</v>
      </c>
      <c r="N31" s="50">
        <v>0</v>
      </c>
      <c r="O31" s="50">
        <v>0</v>
      </c>
      <c r="P31" s="50">
        <v>0.79</v>
      </c>
      <c r="Q31" s="50">
        <v>4.8899999999999997</v>
      </c>
    </row>
    <row r="32" spans="1:17" customFormat="1">
      <c r="A32" s="49">
        <v>45332</v>
      </c>
      <c r="B32" s="50">
        <v>23.52</v>
      </c>
      <c r="C32" s="50">
        <v>32.43</v>
      </c>
      <c r="D32" s="50">
        <v>37.159999999999997</v>
      </c>
      <c r="E32" s="50">
        <v>8.6999999999999993</v>
      </c>
      <c r="F32" s="50">
        <v>3.4</v>
      </c>
      <c r="G32" s="50">
        <v>104.9</v>
      </c>
      <c r="H32" s="50">
        <v>34.58</v>
      </c>
      <c r="I32" s="50">
        <v>0</v>
      </c>
      <c r="J32" s="50">
        <v>0.31</v>
      </c>
      <c r="K32" s="50">
        <v>258.39999999999998</v>
      </c>
      <c r="L32" s="50">
        <v>17.579999999999998</v>
      </c>
      <c r="M32" s="50">
        <v>65.52</v>
      </c>
      <c r="N32" s="50">
        <v>0</v>
      </c>
      <c r="O32" s="50">
        <v>0</v>
      </c>
      <c r="P32" s="50">
        <v>0.8</v>
      </c>
      <c r="Q32" s="50">
        <v>4.9400000000000004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6.33</v>
      </c>
      <c r="C34" s="40">
        <f t="shared" si="0"/>
        <v>19.22</v>
      </c>
      <c r="D34" s="40">
        <f t="shared" si="0"/>
        <v>16.46</v>
      </c>
      <c r="E34" s="40">
        <f t="shared" si="0"/>
        <v>6.48</v>
      </c>
      <c r="F34" s="40">
        <f t="shared" si="0"/>
        <v>3.33</v>
      </c>
      <c r="G34" s="40">
        <f t="shared" si="0"/>
        <v>44.9</v>
      </c>
      <c r="H34" s="40">
        <f t="shared" si="0"/>
        <v>17.649999999999999</v>
      </c>
      <c r="I34" s="40">
        <f t="shared" si="0"/>
        <v>0</v>
      </c>
      <c r="J34" s="40">
        <f t="shared" si="0"/>
        <v>0.21</v>
      </c>
      <c r="K34" s="40">
        <f t="shared" si="0"/>
        <v>50.65</v>
      </c>
      <c r="L34" s="40">
        <f t="shared" si="0"/>
        <v>14.55</v>
      </c>
      <c r="M34" s="40">
        <f t="shared" si="0"/>
        <v>18.989999999999998</v>
      </c>
      <c r="N34" s="40">
        <f t="shared" si="0"/>
        <v>0</v>
      </c>
      <c r="O34" s="40">
        <f t="shared" si="0"/>
        <v>0</v>
      </c>
      <c r="P34" s="40">
        <f t="shared" si="0"/>
        <v>0.47</v>
      </c>
      <c r="Q34" s="40">
        <f t="shared" si="0"/>
        <v>4.7300000000000004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30.16</v>
      </c>
      <c r="C35" s="33">
        <f t="shared" si="1"/>
        <v>32.43</v>
      </c>
      <c r="D35" s="33">
        <f t="shared" si="1"/>
        <v>40.03</v>
      </c>
      <c r="E35" s="33">
        <f t="shared" si="1"/>
        <v>10.81</v>
      </c>
      <c r="F35" s="33">
        <f t="shared" si="1"/>
        <v>6.6</v>
      </c>
      <c r="G35" s="33">
        <f t="shared" si="1"/>
        <v>126.74</v>
      </c>
      <c r="H35" s="33">
        <f t="shared" si="1"/>
        <v>39.94</v>
      </c>
      <c r="I35" s="33">
        <f t="shared" si="1"/>
        <v>13.44</v>
      </c>
      <c r="J35" s="33">
        <f t="shared" si="1"/>
        <v>2.38</v>
      </c>
      <c r="K35" s="33">
        <f t="shared" si="1"/>
        <v>258.39999999999998</v>
      </c>
      <c r="L35" s="33">
        <f t="shared" si="1"/>
        <v>27.99</v>
      </c>
      <c r="M35" s="33">
        <f t="shared" si="1"/>
        <v>66.349999999999994</v>
      </c>
      <c r="N35" s="33">
        <f t="shared" si="1"/>
        <v>649.1</v>
      </c>
      <c r="O35" s="33">
        <f t="shared" si="1"/>
        <v>0</v>
      </c>
      <c r="P35" s="33">
        <f t="shared" si="1"/>
        <v>0.93</v>
      </c>
      <c r="Q35" s="33">
        <f t="shared" si="1"/>
        <v>4.99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17.104166666666668</v>
      </c>
      <c r="C36" s="40">
        <f t="shared" si="2"/>
        <v>25.851666666666659</v>
      </c>
      <c r="D36" s="40">
        <f t="shared" si="2"/>
        <v>28.478750000000002</v>
      </c>
      <c r="E36" s="40">
        <f t="shared" si="2"/>
        <v>8.6474999999999991</v>
      </c>
      <c r="F36" s="40">
        <f t="shared" si="2"/>
        <v>4.1708333333333334</v>
      </c>
      <c r="G36" s="40">
        <f t="shared" si="2"/>
        <v>81.58208333333333</v>
      </c>
      <c r="H36" s="40">
        <f t="shared" si="2"/>
        <v>27.767083333333332</v>
      </c>
      <c r="I36" s="40">
        <f t="shared" si="2"/>
        <v>4.8762499999999998</v>
      </c>
      <c r="J36" s="40">
        <f t="shared" si="2"/>
        <v>0.90375000000000005</v>
      </c>
      <c r="K36" s="40">
        <f t="shared" si="2"/>
        <v>97.671666666666667</v>
      </c>
      <c r="L36" s="40">
        <f t="shared" si="2"/>
        <v>21.102500000000003</v>
      </c>
      <c r="M36" s="40">
        <f t="shared" si="2"/>
        <v>44.405833333333327</v>
      </c>
      <c r="N36" s="40">
        <f t="shared" si="2"/>
        <v>167.30833333333331</v>
      </c>
      <c r="O36" s="40">
        <f t="shared" si="2"/>
        <v>0</v>
      </c>
      <c r="P36" s="40">
        <f t="shared" si="2"/>
        <v>0.66625000000000012</v>
      </c>
      <c r="Q36" s="40">
        <f t="shared" si="2"/>
        <v>4.8587499999999997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7.7663168578311188</v>
      </c>
      <c r="C37" s="40">
        <f t="shared" ref="C37:Q37" si="3">STDEV(C9:C32)</f>
        <v>3.3530280496067353</v>
      </c>
      <c r="D37" s="40">
        <f t="shared" si="3"/>
        <v>7.6546571856899499</v>
      </c>
      <c r="E37" s="40">
        <f t="shared" si="3"/>
        <v>1.0576933475215371</v>
      </c>
      <c r="F37" s="40">
        <f t="shared" si="3"/>
        <v>1.0898261395712399</v>
      </c>
      <c r="G37" s="40">
        <f t="shared" si="3"/>
        <v>22.893254366101271</v>
      </c>
      <c r="H37" s="40">
        <f t="shared" si="3"/>
        <v>6.62506339865757</v>
      </c>
      <c r="I37" s="40">
        <f t="shared" si="3"/>
        <v>5.2006569923591304</v>
      </c>
      <c r="J37" s="40">
        <f t="shared" si="3"/>
        <v>0.55529711984157415</v>
      </c>
      <c r="K37" s="40">
        <f t="shared" si="3"/>
        <v>62.870303120732252</v>
      </c>
      <c r="L37" s="40">
        <f t="shared" si="3"/>
        <v>4.5276956899585867</v>
      </c>
      <c r="M37" s="40">
        <f t="shared" si="3"/>
        <v>18.521914849986373</v>
      </c>
      <c r="N37" s="40">
        <f t="shared" si="3"/>
        <v>254.01625575621301</v>
      </c>
      <c r="O37" s="40">
        <f t="shared" si="3"/>
        <v>0</v>
      </c>
      <c r="P37" s="40">
        <f t="shared" si="3"/>
        <v>0.13792917212011049</v>
      </c>
      <c r="Q37" s="40">
        <f t="shared" si="3"/>
        <v>7.9635719536479466E-2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45332.041666666664</v>
      </c>
      <c r="B9" s="50">
        <v>31.92</v>
      </c>
      <c r="C9" s="50">
        <v>33.9</v>
      </c>
      <c r="D9" s="50">
        <v>44.66</v>
      </c>
      <c r="E9" s="50">
        <v>8.61</v>
      </c>
      <c r="F9" s="50">
        <v>3.52</v>
      </c>
      <c r="G9" s="50">
        <v>95.22</v>
      </c>
      <c r="H9" s="50">
        <v>34.58</v>
      </c>
      <c r="I9" s="50">
        <v>0</v>
      </c>
      <c r="J9" s="50">
        <v>0.17</v>
      </c>
      <c r="K9" s="50">
        <v>222.56</v>
      </c>
      <c r="L9" s="50">
        <v>16.71</v>
      </c>
      <c r="M9" s="50">
        <v>68.7</v>
      </c>
      <c r="N9" s="50">
        <v>0</v>
      </c>
      <c r="O9" s="50">
        <v>0</v>
      </c>
      <c r="P9" s="50">
        <v>0.83</v>
      </c>
      <c r="Q9" s="50">
        <v>4.99</v>
      </c>
    </row>
    <row r="10" spans="1:21" customFormat="1">
      <c r="A10" s="49">
        <v>45332.083333333336</v>
      </c>
      <c r="B10" s="50">
        <v>36.65</v>
      </c>
      <c r="C10" s="50">
        <v>34.200000000000003</v>
      </c>
      <c r="D10" s="50">
        <v>47.59</v>
      </c>
      <c r="E10" s="50">
        <v>7.74</v>
      </c>
      <c r="F10" s="50">
        <v>3.59</v>
      </c>
      <c r="G10" s="50">
        <v>93.53</v>
      </c>
      <c r="H10" s="50">
        <v>35.1</v>
      </c>
      <c r="I10" s="50">
        <v>0</v>
      </c>
      <c r="J10" s="50">
        <v>0.59</v>
      </c>
      <c r="K10" s="50">
        <v>165.16</v>
      </c>
      <c r="L10" s="50">
        <v>17.059999999999999</v>
      </c>
      <c r="M10" s="50">
        <v>68.92</v>
      </c>
      <c r="N10" s="50">
        <v>0</v>
      </c>
      <c r="O10" s="50">
        <v>0</v>
      </c>
      <c r="P10" s="50">
        <v>0.84</v>
      </c>
      <c r="Q10" s="50">
        <v>5.04</v>
      </c>
    </row>
    <row r="11" spans="1:21" customFormat="1">
      <c r="A11" s="49">
        <v>45332.125</v>
      </c>
      <c r="B11" s="50">
        <v>34.090000000000003</v>
      </c>
      <c r="C11" s="50">
        <v>31.02</v>
      </c>
      <c r="D11" s="50">
        <v>44.79</v>
      </c>
      <c r="E11" s="50">
        <v>7.05</v>
      </c>
      <c r="F11" s="50">
        <v>3.32</v>
      </c>
      <c r="G11" s="50">
        <v>93.53</v>
      </c>
      <c r="H11" s="50">
        <v>35.85</v>
      </c>
      <c r="I11" s="50">
        <v>0</v>
      </c>
      <c r="J11" s="50">
        <v>0.23</v>
      </c>
      <c r="K11" s="50">
        <v>179.95</v>
      </c>
      <c r="L11" s="50">
        <v>16.7</v>
      </c>
      <c r="M11" s="50">
        <v>65.87</v>
      </c>
      <c r="N11" s="50">
        <v>0</v>
      </c>
      <c r="O11" s="50">
        <v>0</v>
      </c>
      <c r="P11" s="50">
        <v>0.83</v>
      </c>
      <c r="Q11" s="50">
        <v>5.0199999999999996</v>
      </c>
    </row>
    <row r="12" spans="1:21" customFormat="1">
      <c r="A12" s="49">
        <v>45332.166666666664</v>
      </c>
      <c r="B12" s="50">
        <v>30.33</v>
      </c>
      <c r="C12" s="50">
        <v>31.05</v>
      </c>
      <c r="D12" s="50">
        <v>41.9</v>
      </c>
      <c r="E12" s="50">
        <v>6.94</v>
      </c>
      <c r="F12" s="50">
        <v>3.35</v>
      </c>
      <c r="G12" s="50">
        <v>91.6</v>
      </c>
      <c r="H12" s="50">
        <v>36.380000000000003</v>
      </c>
      <c r="I12" s="50">
        <v>0</v>
      </c>
      <c r="J12" s="50">
        <v>0.34</v>
      </c>
      <c r="K12" s="50">
        <v>104.19</v>
      </c>
      <c r="L12" s="50">
        <v>16.329999999999998</v>
      </c>
      <c r="M12" s="50">
        <v>65.28</v>
      </c>
      <c r="N12" s="50">
        <v>0</v>
      </c>
      <c r="O12" s="50">
        <v>0</v>
      </c>
      <c r="P12" s="50">
        <v>0.84</v>
      </c>
      <c r="Q12" s="50">
        <v>5</v>
      </c>
    </row>
    <row r="13" spans="1:21" customFormat="1">
      <c r="A13" s="49">
        <v>45332.208333333336</v>
      </c>
      <c r="B13" s="50">
        <v>28.04</v>
      </c>
      <c r="C13" s="50">
        <v>29.48</v>
      </c>
      <c r="D13" s="50">
        <v>38.89</v>
      </c>
      <c r="E13" s="50">
        <v>7.14</v>
      </c>
      <c r="F13" s="50">
        <v>3.56</v>
      </c>
      <c r="G13" s="50">
        <v>92.73</v>
      </c>
      <c r="H13" s="50">
        <v>36.380000000000003</v>
      </c>
      <c r="I13" s="50">
        <v>0</v>
      </c>
      <c r="J13" s="50">
        <v>0.28999999999999998</v>
      </c>
      <c r="K13" s="50">
        <v>155.87</v>
      </c>
      <c r="L13" s="50">
        <v>16.07</v>
      </c>
      <c r="M13" s="50">
        <v>76.83</v>
      </c>
      <c r="N13" s="50">
        <v>0</v>
      </c>
      <c r="O13" s="50">
        <v>0</v>
      </c>
      <c r="P13" s="50">
        <v>0.83</v>
      </c>
      <c r="Q13" s="50">
        <v>4.96</v>
      </c>
    </row>
    <row r="14" spans="1:21" customFormat="1">
      <c r="A14" s="49">
        <v>45332.25</v>
      </c>
      <c r="B14" s="50">
        <v>25.82</v>
      </c>
      <c r="C14" s="50">
        <v>28.68</v>
      </c>
      <c r="D14" s="50">
        <v>37.04</v>
      </c>
      <c r="E14" s="50">
        <v>7.47</v>
      </c>
      <c r="F14" s="50">
        <v>3.4</v>
      </c>
      <c r="G14" s="50">
        <v>94.97</v>
      </c>
      <c r="H14" s="50">
        <v>37.22</v>
      </c>
      <c r="I14" s="50">
        <v>0</v>
      </c>
      <c r="J14" s="50">
        <v>0.69</v>
      </c>
      <c r="K14" s="50">
        <v>66.569999999999993</v>
      </c>
      <c r="L14" s="50">
        <v>15.56</v>
      </c>
      <c r="M14" s="50">
        <v>70.73</v>
      </c>
      <c r="N14" s="50">
        <v>0</v>
      </c>
      <c r="O14" s="50">
        <v>0</v>
      </c>
      <c r="P14" s="50">
        <v>0.83</v>
      </c>
      <c r="Q14" s="50">
        <v>4.96</v>
      </c>
    </row>
    <row r="15" spans="1:21" customFormat="1">
      <c r="A15" s="49">
        <v>45332.291666666664</v>
      </c>
      <c r="B15" s="50">
        <v>26.51</v>
      </c>
      <c r="C15" s="50">
        <v>29.37</v>
      </c>
      <c r="D15" s="50">
        <v>37.950000000000003</v>
      </c>
      <c r="E15" s="50">
        <v>7.92</v>
      </c>
      <c r="F15" s="50">
        <v>3.42</v>
      </c>
      <c r="G15" s="50">
        <v>95.73</v>
      </c>
      <c r="H15" s="50">
        <v>39.03</v>
      </c>
      <c r="I15" s="50">
        <v>0</v>
      </c>
      <c r="J15" s="50">
        <v>1.06</v>
      </c>
      <c r="K15" s="50">
        <v>59.64</v>
      </c>
      <c r="L15" s="50">
        <v>15.53</v>
      </c>
      <c r="M15" s="50">
        <v>63.42</v>
      </c>
      <c r="N15" s="50">
        <v>7.5</v>
      </c>
      <c r="O15" s="50">
        <v>0</v>
      </c>
      <c r="P15" s="50">
        <v>0.85</v>
      </c>
      <c r="Q15" s="50">
        <v>4.96</v>
      </c>
    </row>
    <row r="16" spans="1:21" customFormat="1">
      <c r="A16" s="49">
        <v>45332.333333333336</v>
      </c>
      <c r="B16" s="50">
        <v>27.17</v>
      </c>
      <c r="C16" s="50">
        <v>30.6</v>
      </c>
      <c r="D16" s="50">
        <v>38.86</v>
      </c>
      <c r="E16" s="50">
        <v>8.41</v>
      </c>
      <c r="F16" s="50">
        <v>3.64</v>
      </c>
      <c r="G16" s="50">
        <v>101.47</v>
      </c>
      <c r="H16" s="50">
        <v>39.03</v>
      </c>
      <c r="I16" s="50">
        <v>0</v>
      </c>
      <c r="J16" s="50">
        <v>1.18</v>
      </c>
      <c r="K16" s="50">
        <v>62.99</v>
      </c>
      <c r="L16" s="50">
        <v>17.399999999999999</v>
      </c>
      <c r="M16" s="50">
        <v>59.91</v>
      </c>
      <c r="N16" s="50">
        <v>57.6</v>
      </c>
      <c r="O16" s="50">
        <v>0</v>
      </c>
      <c r="P16" s="50">
        <v>0.86</v>
      </c>
      <c r="Q16" s="50">
        <v>4.97</v>
      </c>
    </row>
    <row r="17" spans="1:17" customFormat="1">
      <c r="A17" s="49">
        <v>45332.375</v>
      </c>
      <c r="B17" s="50">
        <v>24.5</v>
      </c>
      <c r="C17" s="50">
        <v>30.56</v>
      </c>
      <c r="D17" s="50">
        <v>36.97</v>
      </c>
      <c r="E17" s="50">
        <v>9.11</v>
      </c>
      <c r="F17" s="50">
        <v>3.74</v>
      </c>
      <c r="G17" s="50">
        <v>104.82</v>
      </c>
      <c r="H17" s="50">
        <v>38.270000000000003</v>
      </c>
      <c r="I17" s="50">
        <v>0</v>
      </c>
      <c r="J17" s="50">
        <v>1.3</v>
      </c>
      <c r="K17" s="50">
        <v>70.42</v>
      </c>
      <c r="L17" s="50">
        <v>21</v>
      </c>
      <c r="M17" s="50">
        <v>49.01</v>
      </c>
      <c r="N17" s="50">
        <v>290.5</v>
      </c>
      <c r="O17" s="50">
        <v>0</v>
      </c>
      <c r="P17" s="50">
        <v>0.87</v>
      </c>
      <c r="Q17" s="50">
        <v>4.95</v>
      </c>
    </row>
    <row r="18" spans="1:17" customFormat="1">
      <c r="A18" s="49">
        <v>45332.416666666664</v>
      </c>
      <c r="B18" s="50">
        <v>17.91</v>
      </c>
      <c r="C18" s="50">
        <v>30.5</v>
      </c>
      <c r="D18" s="50">
        <v>31.49</v>
      </c>
      <c r="E18" s="50">
        <v>12.01</v>
      </c>
      <c r="F18" s="50">
        <v>3.94</v>
      </c>
      <c r="G18" s="50">
        <v>104.82</v>
      </c>
      <c r="H18" s="50">
        <v>37.85</v>
      </c>
      <c r="I18" s="50">
        <v>0</v>
      </c>
      <c r="J18" s="50">
        <v>1.08</v>
      </c>
      <c r="K18" s="50">
        <v>76.55</v>
      </c>
      <c r="L18" s="50">
        <v>24.21</v>
      </c>
      <c r="M18" s="50">
        <v>36.409999999999997</v>
      </c>
      <c r="N18" s="50">
        <v>356.4</v>
      </c>
      <c r="O18" s="50">
        <v>0</v>
      </c>
      <c r="P18" s="50">
        <v>0.85</v>
      </c>
      <c r="Q18" s="50">
        <v>4.91</v>
      </c>
    </row>
    <row r="19" spans="1:17" customFormat="1">
      <c r="A19" s="49">
        <v>45332.458333333336</v>
      </c>
      <c r="B19" s="50">
        <v>11.75</v>
      </c>
      <c r="C19" s="50">
        <v>29.82</v>
      </c>
      <c r="D19" s="50">
        <v>26.35</v>
      </c>
      <c r="E19" s="50">
        <v>11.68</v>
      </c>
      <c r="F19" s="50">
        <v>4.5999999999999996</v>
      </c>
      <c r="G19" s="50">
        <v>91.09</v>
      </c>
      <c r="H19" s="50">
        <v>35.19</v>
      </c>
      <c r="I19" s="50">
        <v>0</v>
      </c>
      <c r="J19" s="50">
        <v>0.96</v>
      </c>
      <c r="K19" s="50">
        <v>78.73</v>
      </c>
      <c r="L19" s="50">
        <v>26.11</v>
      </c>
      <c r="M19" s="50">
        <v>31.91</v>
      </c>
      <c r="N19" s="50">
        <v>460.7</v>
      </c>
      <c r="O19" s="50">
        <v>0</v>
      </c>
      <c r="P19" s="50">
        <v>0.82</v>
      </c>
      <c r="Q19" s="50">
        <v>4.8499999999999996</v>
      </c>
    </row>
    <row r="20" spans="1:17" customFormat="1">
      <c r="A20" s="49">
        <v>45332.5</v>
      </c>
      <c r="B20" s="50">
        <v>6.63</v>
      </c>
      <c r="C20" s="50">
        <v>26.76</v>
      </c>
      <c r="D20" s="50">
        <v>20.65</v>
      </c>
      <c r="E20" s="50">
        <v>20.45</v>
      </c>
      <c r="F20" s="50">
        <v>19.489999999999998</v>
      </c>
      <c r="G20" s="50">
        <v>85.69</v>
      </c>
      <c r="H20" s="50">
        <v>34.57</v>
      </c>
      <c r="I20" s="50">
        <v>0</v>
      </c>
      <c r="J20" s="50">
        <v>0.77</v>
      </c>
      <c r="K20" s="50">
        <v>81.760000000000005</v>
      </c>
      <c r="L20" s="50">
        <v>27.8</v>
      </c>
      <c r="M20" s="50">
        <v>29.11</v>
      </c>
      <c r="N20" s="50">
        <v>566.4</v>
      </c>
      <c r="O20" s="50">
        <v>0</v>
      </c>
      <c r="P20" s="50">
        <v>0.78</v>
      </c>
      <c r="Q20" s="50">
        <v>4.79</v>
      </c>
    </row>
    <row r="21" spans="1:17" customFormat="1">
      <c r="A21" s="49">
        <v>45332.541666666664</v>
      </c>
      <c r="B21" s="50">
        <v>6.55</v>
      </c>
      <c r="C21" s="50">
        <v>37.82</v>
      </c>
      <c r="D21" s="50">
        <v>25.13</v>
      </c>
      <c r="E21" s="50">
        <v>28.94</v>
      </c>
      <c r="F21" s="50">
        <v>23.38</v>
      </c>
      <c r="G21" s="50">
        <v>79.150000000000006</v>
      </c>
      <c r="H21" s="50">
        <v>32.69</v>
      </c>
      <c r="I21" s="50">
        <v>4.6500000000000004</v>
      </c>
      <c r="J21" s="50">
        <v>0.84</v>
      </c>
      <c r="K21" s="50">
        <v>62.55</v>
      </c>
      <c r="L21" s="50">
        <v>28.57</v>
      </c>
      <c r="M21" s="50">
        <v>25.55</v>
      </c>
      <c r="N21" s="50">
        <v>570.79999999999995</v>
      </c>
      <c r="O21" s="50">
        <v>0</v>
      </c>
      <c r="P21" s="50">
        <v>0.56000000000000005</v>
      </c>
      <c r="Q21" s="50">
        <v>4.8</v>
      </c>
    </row>
    <row r="22" spans="1:17" customFormat="1">
      <c r="A22" s="49">
        <v>45332.583333333336</v>
      </c>
      <c r="B22" s="50">
        <v>2.4</v>
      </c>
      <c r="C22" s="50">
        <v>30.5</v>
      </c>
      <c r="D22" s="50">
        <v>19.21</v>
      </c>
      <c r="E22" s="50">
        <v>13.18</v>
      </c>
      <c r="F22" s="50">
        <v>17.239999999999998</v>
      </c>
      <c r="G22" s="50">
        <v>73.040000000000006</v>
      </c>
      <c r="H22" s="50">
        <v>32.69</v>
      </c>
      <c r="I22" s="50">
        <v>4.09</v>
      </c>
      <c r="J22" s="50">
        <v>0.67</v>
      </c>
      <c r="K22" s="50">
        <v>311.76</v>
      </c>
      <c r="L22" s="50">
        <v>29.15</v>
      </c>
      <c r="M22" s="50">
        <v>24.89</v>
      </c>
      <c r="N22" s="50">
        <v>538.9</v>
      </c>
      <c r="O22" s="50">
        <v>0</v>
      </c>
      <c r="P22" s="50">
        <v>0.56000000000000005</v>
      </c>
      <c r="Q22" s="50">
        <v>4.79</v>
      </c>
    </row>
    <row r="23" spans="1:17" customFormat="1">
      <c r="A23" s="49">
        <v>45332.625</v>
      </c>
      <c r="B23" s="50">
        <v>2.2000000000000002</v>
      </c>
      <c r="C23" s="50">
        <v>22.14</v>
      </c>
      <c r="D23" s="50">
        <v>14.21</v>
      </c>
      <c r="E23" s="50">
        <v>12.95</v>
      </c>
      <c r="F23" s="50">
        <v>20.93</v>
      </c>
      <c r="G23" s="50">
        <v>70.23</v>
      </c>
      <c r="H23" s="50">
        <v>28.44</v>
      </c>
      <c r="I23" s="50">
        <v>3.94</v>
      </c>
      <c r="J23" s="50">
        <v>0.79</v>
      </c>
      <c r="K23" s="50">
        <v>296.20999999999998</v>
      </c>
      <c r="L23" s="50">
        <v>30.08</v>
      </c>
      <c r="M23" s="50">
        <v>27.26</v>
      </c>
      <c r="N23" s="50">
        <v>453.4</v>
      </c>
      <c r="O23" s="50">
        <v>0</v>
      </c>
      <c r="P23" s="50">
        <v>0.48</v>
      </c>
      <c r="Q23" s="50">
        <v>4.7300000000000004</v>
      </c>
    </row>
    <row r="24" spans="1:17" customFormat="1">
      <c r="A24" s="49">
        <v>45332.666666666664</v>
      </c>
      <c r="B24" s="50">
        <v>2.81</v>
      </c>
      <c r="C24" s="50">
        <v>18.190000000000001</v>
      </c>
      <c r="D24" s="50">
        <v>12.78</v>
      </c>
      <c r="E24" s="50">
        <v>7.09</v>
      </c>
      <c r="F24" s="50">
        <v>6.29</v>
      </c>
      <c r="G24" s="50">
        <v>66.8</v>
      </c>
      <c r="H24" s="50">
        <v>28.41</v>
      </c>
      <c r="I24" s="50">
        <v>3.77</v>
      </c>
      <c r="J24" s="50">
        <v>0.51</v>
      </c>
      <c r="K24" s="50">
        <v>308.01</v>
      </c>
      <c r="L24" s="50">
        <v>29.3</v>
      </c>
      <c r="M24" s="50">
        <v>30.17</v>
      </c>
      <c r="N24" s="50">
        <v>118.3</v>
      </c>
      <c r="O24" s="50">
        <v>0</v>
      </c>
      <c r="P24" s="50">
        <v>0.47</v>
      </c>
      <c r="Q24" s="50">
        <v>4.74</v>
      </c>
    </row>
    <row r="25" spans="1:17" customFormat="1">
      <c r="A25" s="49">
        <v>45332.708333333336</v>
      </c>
      <c r="B25" s="50">
        <v>3.99</v>
      </c>
      <c r="C25" s="50">
        <v>20.28</v>
      </c>
      <c r="D25" s="50">
        <v>15.15</v>
      </c>
      <c r="E25" s="50">
        <v>9.82</v>
      </c>
      <c r="F25" s="50">
        <v>9.35</v>
      </c>
      <c r="G25" s="50">
        <v>57.02</v>
      </c>
      <c r="H25" s="50">
        <v>24.32</v>
      </c>
      <c r="I25" s="50">
        <v>3.77</v>
      </c>
      <c r="J25" s="50">
        <v>0.39</v>
      </c>
      <c r="K25" s="50">
        <v>354.68</v>
      </c>
      <c r="L25" s="50">
        <v>28.98</v>
      </c>
      <c r="M25" s="50">
        <v>30.32</v>
      </c>
      <c r="N25" s="50">
        <v>79.599999999999994</v>
      </c>
      <c r="O25" s="50">
        <v>0</v>
      </c>
      <c r="P25" s="50">
        <v>0.46</v>
      </c>
      <c r="Q25" s="50">
        <v>4.74</v>
      </c>
    </row>
    <row r="26" spans="1:17" customFormat="1">
      <c r="A26" s="49">
        <v>45332.75</v>
      </c>
      <c r="B26" s="50">
        <v>6.35</v>
      </c>
      <c r="C26" s="50">
        <v>25.53</v>
      </c>
      <c r="D26" s="50">
        <v>19.78</v>
      </c>
      <c r="E26" s="50">
        <v>11.64</v>
      </c>
      <c r="F26" s="50">
        <v>7.72</v>
      </c>
      <c r="G26" s="50">
        <v>71.56</v>
      </c>
      <c r="H26" s="50">
        <v>28</v>
      </c>
      <c r="I26" s="50">
        <v>4.21</v>
      </c>
      <c r="J26" s="50">
        <v>0.8</v>
      </c>
      <c r="K26" s="50">
        <v>47.86</v>
      </c>
      <c r="L26" s="50">
        <v>28.09</v>
      </c>
      <c r="M26" s="50">
        <v>38.58</v>
      </c>
      <c r="N26" s="50">
        <v>20.9</v>
      </c>
      <c r="O26" s="50">
        <v>0</v>
      </c>
      <c r="P26" s="50">
        <v>0.56000000000000005</v>
      </c>
      <c r="Q26" s="50">
        <v>4.76</v>
      </c>
    </row>
    <row r="27" spans="1:17" customFormat="1">
      <c r="A27" s="49">
        <v>45332.791666666664</v>
      </c>
      <c r="B27" s="50">
        <v>6.88</v>
      </c>
      <c r="C27" s="50">
        <v>28.52</v>
      </c>
      <c r="D27" s="50">
        <v>21.77</v>
      </c>
      <c r="E27" s="50">
        <v>12.07</v>
      </c>
      <c r="F27" s="50">
        <v>4.97</v>
      </c>
      <c r="G27" s="50">
        <v>103.96</v>
      </c>
      <c r="H27" s="50">
        <v>37.549999999999997</v>
      </c>
      <c r="I27" s="50">
        <v>5.19</v>
      </c>
      <c r="J27" s="50">
        <v>0.98</v>
      </c>
      <c r="K27" s="50">
        <v>58.33</v>
      </c>
      <c r="L27" s="50">
        <v>25.19</v>
      </c>
      <c r="M27" s="50">
        <v>40.92</v>
      </c>
      <c r="N27" s="50">
        <v>0</v>
      </c>
      <c r="O27" s="50">
        <v>0</v>
      </c>
      <c r="P27" s="50">
        <v>0.71</v>
      </c>
      <c r="Q27" s="50">
        <v>4.78</v>
      </c>
    </row>
    <row r="28" spans="1:17" customFormat="1">
      <c r="A28" s="49">
        <v>45332.833333333336</v>
      </c>
      <c r="B28" s="50">
        <v>8.59</v>
      </c>
      <c r="C28" s="50">
        <v>31.41</v>
      </c>
      <c r="D28" s="50">
        <v>24.65</v>
      </c>
      <c r="E28" s="50">
        <v>11.35</v>
      </c>
      <c r="F28" s="50">
        <v>3.77</v>
      </c>
      <c r="G28" s="50">
        <v>112.09</v>
      </c>
      <c r="H28" s="50">
        <v>39.25</v>
      </c>
      <c r="I28" s="50">
        <v>6.07</v>
      </c>
      <c r="J28" s="50">
        <v>0.85</v>
      </c>
      <c r="K28" s="50">
        <v>56.01</v>
      </c>
      <c r="L28" s="50">
        <v>23.91</v>
      </c>
      <c r="M28" s="50">
        <v>42.25</v>
      </c>
      <c r="N28" s="50">
        <v>0</v>
      </c>
      <c r="O28" s="50">
        <v>0</v>
      </c>
      <c r="P28" s="50">
        <v>0.8</v>
      </c>
      <c r="Q28" s="50">
        <v>4.8099999999999996</v>
      </c>
    </row>
    <row r="29" spans="1:17" customFormat="1">
      <c r="A29" s="49">
        <v>45332.875</v>
      </c>
      <c r="B29" s="50">
        <v>9.75</v>
      </c>
      <c r="C29" s="50">
        <v>32.340000000000003</v>
      </c>
      <c r="D29" s="50">
        <v>26.07</v>
      </c>
      <c r="E29" s="50">
        <v>10.07</v>
      </c>
      <c r="F29" s="50">
        <v>3.74</v>
      </c>
      <c r="G29" s="50">
        <v>116.45</v>
      </c>
      <c r="H29" s="50">
        <v>41.1</v>
      </c>
      <c r="I29" s="50">
        <v>6.68</v>
      </c>
      <c r="J29" s="50">
        <v>0.88</v>
      </c>
      <c r="K29" s="50">
        <v>64.53</v>
      </c>
      <c r="L29" s="50">
        <v>23.03</v>
      </c>
      <c r="M29" s="50">
        <v>44.08</v>
      </c>
      <c r="N29" s="50">
        <v>0</v>
      </c>
      <c r="O29" s="50">
        <v>0</v>
      </c>
      <c r="P29" s="50">
        <v>0.87</v>
      </c>
      <c r="Q29" s="50">
        <v>4.8099999999999996</v>
      </c>
    </row>
    <row r="30" spans="1:17" customFormat="1">
      <c r="A30" s="49">
        <v>45332.916666666664</v>
      </c>
      <c r="B30" s="50">
        <v>10.050000000000001</v>
      </c>
      <c r="C30" s="50">
        <v>30.85</v>
      </c>
      <c r="D30" s="50">
        <v>25.39</v>
      </c>
      <c r="E30" s="50">
        <v>8.65</v>
      </c>
      <c r="F30" s="50">
        <v>3.8</v>
      </c>
      <c r="G30" s="50">
        <v>116.45</v>
      </c>
      <c r="H30" s="50">
        <v>41.1</v>
      </c>
      <c r="I30" s="50">
        <v>6.98</v>
      </c>
      <c r="J30" s="50">
        <v>0.65</v>
      </c>
      <c r="K30" s="50">
        <v>135.61000000000001</v>
      </c>
      <c r="L30" s="50">
        <v>22.59</v>
      </c>
      <c r="M30" s="50">
        <v>48.99</v>
      </c>
      <c r="N30" s="50">
        <v>0</v>
      </c>
      <c r="O30" s="50">
        <v>0</v>
      </c>
      <c r="P30" s="50">
        <v>0.89</v>
      </c>
      <c r="Q30" s="50">
        <v>4.8</v>
      </c>
    </row>
    <row r="31" spans="1:17" customFormat="1">
      <c r="A31" s="49">
        <v>45332.958333333336</v>
      </c>
      <c r="B31" s="50">
        <v>10.210000000000001</v>
      </c>
      <c r="C31" s="50">
        <v>26.53</v>
      </c>
      <c r="D31" s="50">
        <v>23.17</v>
      </c>
      <c r="E31" s="50">
        <v>8.2100000000000009</v>
      </c>
      <c r="F31" s="50">
        <v>3.67</v>
      </c>
      <c r="G31" s="50">
        <v>114.99</v>
      </c>
      <c r="H31" s="50">
        <v>41.05</v>
      </c>
      <c r="I31" s="50">
        <v>7.08</v>
      </c>
      <c r="J31" s="50">
        <v>0.9</v>
      </c>
      <c r="K31" s="50">
        <v>97.8</v>
      </c>
      <c r="L31" s="50">
        <v>21.99</v>
      </c>
      <c r="M31" s="50">
        <v>51.42</v>
      </c>
      <c r="N31" s="50">
        <v>0</v>
      </c>
      <c r="O31" s="50">
        <v>0</v>
      </c>
      <c r="P31" s="50">
        <v>0.88</v>
      </c>
      <c r="Q31" s="50">
        <v>4.8099999999999996</v>
      </c>
    </row>
    <row r="32" spans="1:17" customFormat="1">
      <c r="A32" s="49">
        <v>45333</v>
      </c>
      <c r="B32" s="50">
        <v>9.74</v>
      </c>
      <c r="C32" s="50">
        <v>26.31</v>
      </c>
      <c r="D32" s="50">
        <v>22.91</v>
      </c>
      <c r="E32" s="50">
        <v>8.52</v>
      </c>
      <c r="F32" s="50">
        <v>3.77</v>
      </c>
      <c r="G32" s="50">
        <v>113.53</v>
      </c>
      <c r="H32" s="50">
        <v>43.91</v>
      </c>
      <c r="I32" s="50">
        <v>7.06</v>
      </c>
      <c r="J32" s="50">
        <v>0.22</v>
      </c>
      <c r="K32" s="50">
        <v>168.95</v>
      </c>
      <c r="L32" s="50">
        <v>21.46</v>
      </c>
      <c r="M32" s="50">
        <v>53.76</v>
      </c>
      <c r="N32" s="50">
        <v>0</v>
      </c>
      <c r="O32" s="50">
        <v>0</v>
      </c>
      <c r="P32" s="50">
        <v>0.88</v>
      </c>
      <c r="Q32" s="50">
        <v>4.8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2.2000000000000002</v>
      </c>
      <c r="C34" s="40">
        <f t="shared" si="0"/>
        <v>18.190000000000001</v>
      </c>
      <c r="D34" s="40">
        <f t="shared" si="0"/>
        <v>12.78</v>
      </c>
      <c r="E34" s="40">
        <f t="shared" si="0"/>
        <v>6.94</v>
      </c>
      <c r="F34" s="40">
        <f t="shared" si="0"/>
        <v>3.32</v>
      </c>
      <c r="G34" s="40">
        <f t="shared" si="0"/>
        <v>57.02</v>
      </c>
      <c r="H34" s="40">
        <f t="shared" si="0"/>
        <v>24.32</v>
      </c>
      <c r="I34" s="40">
        <f t="shared" si="0"/>
        <v>0</v>
      </c>
      <c r="J34" s="40">
        <f t="shared" si="0"/>
        <v>0.17</v>
      </c>
      <c r="K34" s="40">
        <f t="shared" si="0"/>
        <v>47.86</v>
      </c>
      <c r="L34" s="40">
        <f t="shared" si="0"/>
        <v>15.53</v>
      </c>
      <c r="M34" s="40">
        <f t="shared" si="0"/>
        <v>24.89</v>
      </c>
      <c r="N34" s="40">
        <f t="shared" si="0"/>
        <v>0</v>
      </c>
      <c r="O34" s="40">
        <f t="shared" si="0"/>
        <v>0</v>
      </c>
      <c r="P34" s="40">
        <f t="shared" si="0"/>
        <v>0.46</v>
      </c>
      <c r="Q34" s="40">
        <f t="shared" si="0"/>
        <v>4.7300000000000004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36.65</v>
      </c>
      <c r="C35" s="33">
        <f t="shared" si="1"/>
        <v>37.82</v>
      </c>
      <c r="D35" s="33">
        <f t="shared" si="1"/>
        <v>47.59</v>
      </c>
      <c r="E35" s="33">
        <f t="shared" si="1"/>
        <v>28.94</v>
      </c>
      <c r="F35" s="33">
        <f t="shared" si="1"/>
        <v>23.38</v>
      </c>
      <c r="G35" s="33">
        <f t="shared" si="1"/>
        <v>116.45</v>
      </c>
      <c r="H35" s="33">
        <f t="shared" si="1"/>
        <v>43.91</v>
      </c>
      <c r="I35" s="33">
        <f t="shared" si="1"/>
        <v>7.08</v>
      </c>
      <c r="J35" s="33">
        <f t="shared" si="1"/>
        <v>1.3</v>
      </c>
      <c r="K35" s="33">
        <f t="shared" si="1"/>
        <v>354.68</v>
      </c>
      <c r="L35" s="33">
        <f t="shared" si="1"/>
        <v>30.08</v>
      </c>
      <c r="M35" s="33">
        <f t="shared" si="1"/>
        <v>76.83</v>
      </c>
      <c r="N35" s="33">
        <f t="shared" si="1"/>
        <v>570.79999999999995</v>
      </c>
      <c r="O35" s="33">
        <f t="shared" si="1"/>
        <v>0</v>
      </c>
      <c r="P35" s="33">
        <f t="shared" si="1"/>
        <v>0.89</v>
      </c>
      <c r="Q35" s="33">
        <f t="shared" si="1"/>
        <v>5.04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15.868333333333332</v>
      </c>
      <c r="C36" s="40">
        <f t="shared" si="2"/>
        <v>29.01499999999999</v>
      </c>
      <c r="D36" s="40">
        <f t="shared" si="2"/>
        <v>29.056666666666658</v>
      </c>
      <c r="E36" s="40">
        <f t="shared" si="2"/>
        <v>10.709166666666668</v>
      </c>
      <c r="F36" s="40">
        <f t="shared" si="2"/>
        <v>7.0083333333333337</v>
      </c>
      <c r="G36" s="40">
        <f t="shared" si="2"/>
        <v>93.352916666666673</v>
      </c>
      <c r="H36" s="40">
        <f t="shared" si="2"/>
        <v>35.748333333333328</v>
      </c>
      <c r="I36" s="40">
        <f t="shared" si="2"/>
        <v>2.6454166666666663</v>
      </c>
      <c r="J36" s="40">
        <f t="shared" si="2"/>
        <v>0.71416666666666673</v>
      </c>
      <c r="K36" s="40">
        <f t="shared" si="2"/>
        <v>136.94541666666669</v>
      </c>
      <c r="L36" s="40">
        <f t="shared" si="2"/>
        <v>22.617499999999996</v>
      </c>
      <c r="M36" s="40">
        <f t="shared" si="2"/>
        <v>47.678750000000001</v>
      </c>
      <c r="N36" s="40">
        <f t="shared" si="2"/>
        <v>146.70833333333334</v>
      </c>
      <c r="O36" s="40">
        <f t="shared" si="2"/>
        <v>0</v>
      </c>
      <c r="P36" s="40">
        <f t="shared" si="2"/>
        <v>0.75624999999999998</v>
      </c>
      <c r="Q36" s="40">
        <f t="shared" si="2"/>
        <v>4.8654166666666674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11.48104436495848</v>
      </c>
      <c r="C37" s="40">
        <f t="shared" ref="C37:Q37" si="3">STDEV(C9:C32)</f>
        <v>4.3674776324058975</v>
      </c>
      <c r="D37" s="40">
        <f t="shared" si="3"/>
        <v>10.479994053544077</v>
      </c>
      <c r="E37" s="40">
        <f t="shared" si="3"/>
        <v>4.9051250187202502</v>
      </c>
      <c r="F37" s="40">
        <f t="shared" si="3"/>
        <v>6.2968167711372489</v>
      </c>
      <c r="G37" s="40">
        <f t="shared" si="3"/>
        <v>16.762904562875065</v>
      </c>
      <c r="H37" s="40">
        <f t="shared" si="3"/>
        <v>4.7680828949121707</v>
      </c>
      <c r="I37" s="40">
        <f t="shared" si="3"/>
        <v>2.8678153769432027</v>
      </c>
      <c r="J37" s="40">
        <f t="shared" si="3"/>
        <v>0.31765330659133056</v>
      </c>
      <c r="K37" s="40">
        <f t="shared" si="3"/>
        <v>95.305763773837342</v>
      </c>
      <c r="L37" s="40">
        <f t="shared" si="3"/>
        <v>5.1657233594228718</v>
      </c>
      <c r="M37" s="40">
        <f t="shared" si="3"/>
        <v>16.539766128544766</v>
      </c>
      <c r="N37" s="40">
        <f t="shared" si="3"/>
        <v>216.07606333170622</v>
      </c>
      <c r="O37" s="40">
        <f t="shared" si="3"/>
        <v>0</v>
      </c>
      <c r="P37" s="40">
        <f t="shared" si="3"/>
        <v>0.14872830495790665</v>
      </c>
      <c r="Q37" s="40">
        <f t="shared" si="3"/>
        <v>0.10146660048748316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45333.041666666664</v>
      </c>
      <c r="B9" s="50">
        <v>7.98</v>
      </c>
      <c r="C9" s="50">
        <v>25.47</v>
      </c>
      <c r="D9" s="50">
        <v>21.06</v>
      </c>
      <c r="E9" s="50">
        <v>8.26</v>
      </c>
      <c r="F9" s="50">
        <v>4.0599999999999996</v>
      </c>
      <c r="G9" s="50">
        <v>103.98</v>
      </c>
      <c r="H9" s="50">
        <v>43.91</v>
      </c>
      <c r="I9" s="50">
        <v>6.97</v>
      </c>
      <c r="J9" s="50">
        <v>0.18</v>
      </c>
      <c r="K9" s="50">
        <v>232.15</v>
      </c>
      <c r="L9" s="50">
        <v>20.81</v>
      </c>
      <c r="M9" s="50">
        <v>64.38</v>
      </c>
      <c r="N9" s="50">
        <v>0</v>
      </c>
      <c r="O9" s="50">
        <v>0</v>
      </c>
      <c r="P9" s="50">
        <v>0.85</v>
      </c>
      <c r="Q9" s="50">
        <v>4.79</v>
      </c>
    </row>
    <row r="10" spans="1:21" customFormat="1">
      <c r="A10" s="49">
        <v>45333.083333333336</v>
      </c>
      <c r="B10" s="50">
        <v>8.7899999999999991</v>
      </c>
      <c r="C10" s="50">
        <v>25</v>
      </c>
      <c r="D10" s="50">
        <v>21.46</v>
      </c>
      <c r="E10" s="50">
        <v>8.17</v>
      </c>
      <c r="F10" s="50">
        <v>3.76</v>
      </c>
      <c r="G10" s="50">
        <v>90.52</v>
      </c>
      <c r="H10" s="50">
        <v>39.96</v>
      </c>
      <c r="I10" s="50">
        <v>6.77</v>
      </c>
      <c r="J10" s="50">
        <v>0.44</v>
      </c>
      <c r="K10" s="50">
        <v>255.4</v>
      </c>
      <c r="L10" s="50">
        <v>20.21</v>
      </c>
      <c r="M10" s="50">
        <v>63.58</v>
      </c>
      <c r="N10" s="50">
        <v>0</v>
      </c>
      <c r="O10" s="50">
        <v>0</v>
      </c>
      <c r="P10" s="50">
        <v>0.82</v>
      </c>
      <c r="Q10" s="50">
        <v>4.8099999999999996</v>
      </c>
    </row>
    <row r="11" spans="1:21" customFormat="1">
      <c r="A11" s="49">
        <v>45333.125</v>
      </c>
      <c r="B11" s="50">
        <v>9.15</v>
      </c>
      <c r="C11" s="50">
        <v>26.43</v>
      </c>
      <c r="D11" s="50">
        <v>22.46</v>
      </c>
      <c r="E11" s="50">
        <v>8.68</v>
      </c>
      <c r="F11" s="50">
        <v>3.46</v>
      </c>
      <c r="G11" s="50">
        <v>88.55</v>
      </c>
      <c r="H11" s="50">
        <v>39.369999999999997</v>
      </c>
      <c r="I11" s="50">
        <v>6.69</v>
      </c>
      <c r="J11" s="50">
        <v>0.31</v>
      </c>
      <c r="K11" s="50">
        <v>185.52</v>
      </c>
      <c r="L11" s="50">
        <v>20.100000000000001</v>
      </c>
      <c r="M11" s="50">
        <v>70</v>
      </c>
      <c r="N11" s="50">
        <v>0</v>
      </c>
      <c r="O11" s="50">
        <v>0</v>
      </c>
      <c r="P11" s="50">
        <v>0.78</v>
      </c>
      <c r="Q11" s="50">
        <v>4.82</v>
      </c>
    </row>
    <row r="12" spans="1:21" customFormat="1">
      <c r="A12" s="49">
        <v>45333.166666666664</v>
      </c>
      <c r="B12" s="50">
        <v>9.33</v>
      </c>
      <c r="C12" s="50">
        <v>27.32</v>
      </c>
      <c r="D12" s="50">
        <v>23.11</v>
      </c>
      <c r="E12" s="50">
        <v>8.94</v>
      </c>
      <c r="F12" s="50">
        <v>3.59</v>
      </c>
      <c r="G12" s="50">
        <v>88.55</v>
      </c>
      <c r="H12" s="50">
        <v>38.380000000000003</v>
      </c>
      <c r="I12" s="50">
        <v>6.57</v>
      </c>
      <c r="J12" s="50">
        <v>0.75</v>
      </c>
      <c r="K12" s="50">
        <v>107.45</v>
      </c>
      <c r="L12" s="50">
        <v>19.73</v>
      </c>
      <c r="M12" s="50">
        <v>67.91</v>
      </c>
      <c r="N12" s="50">
        <v>0</v>
      </c>
      <c r="O12" s="50">
        <v>0</v>
      </c>
      <c r="P12" s="50">
        <v>0.76</v>
      </c>
      <c r="Q12" s="50">
        <v>4.82</v>
      </c>
    </row>
    <row r="13" spans="1:21" customFormat="1">
      <c r="A13" s="49">
        <v>45333.208333333336</v>
      </c>
      <c r="B13" s="50">
        <v>9.3699999999999992</v>
      </c>
      <c r="C13" s="50">
        <v>27.23</v>
      </c>
      <c r="D13" s="50">
        <v>23.09</v>
      </c>
      <c r="E13" s="50">
        <v>9.27</v>
      </c>
      <c r="F13" s="50">
        <v>3.57</v>
      </c>
      <c r="G13" s="50">
        <v>88.69</v>
      </c>
      <c r="H13" s="50">
        <v>38.229999999999997</v>
      </c>
      <c r="I13" s="50">
        <v>6.72</v>
      </c>
      <c r="J13" s="50">
        <v>0.33</v>
      </c>
      <c r="K13" s="50">
        <v>206.12</v>
      </c>
      <c r="L13" s="50">
        <v>19.27</v>
      </c>
      <c r="M13" s="50">
        <v>71.819999999999993</v>
      </c>
      <c r="N13" s="50">
        <v>0</v>
      </c>
      <c r="O13" s="50">
        <v>0</v>
      </c>
      <c r="P13" s="50">
        <v>0.76</v>
      </c>
      <c r="Q13" s="50">
        <v>4.8</v>
      </c>
    </row>
    <row r="14" spans="1:21" customFormat="1">
      <c r="A14" s="49">
        <v>45333.25</v>
      </c>
      <c r="B14" s="50">
        <v>10.18</v>
      </c>
      <c r="C14" s="50">
        <v>26.81</v>
      </c>
      <c r="D14" s="50">
        <v>23.46</v>
      </c>
      <c r="E14" s="50">
        <v>9.18</v>
      </c>
      <c r="F14" s="50">
        <v>3.37</v>
      </c>
      <c r="G14" s="50">
        <v>88.69</v>
      </c>
      <c r="H14" s="50">
        <v>39.409999999999997</v>
      </c>
      <c r="I14" s="50">
        <v>6.93</v>
      </c>
      <c r="J14" s="50">
        <v>0.28999999999999998</v>
      </c>
      <c r="K14" s="50">
        <v>232.76</v>
      </c>
      <c r="L14" s="50">
        <v>18.39</v>
      </c>
      <c r="M14" s="50">
        <v>77.98</v>
      </c>
      <c r="N14" s="50">
        <v>0</v>
      </c>
      <c r="O14" s="50">
        <v>0</v>
      </c>
      <c r="P14" s="50">
        <v>0.76</v>
      </c>
      <c r="Q14" s="50">
        <v>4.8099999999999996</v>
      </c>
    </row>
    <row r="15" spans="1:21" customFormat="1">
      <c r="A15" s="49">
        <v>45333.291666666664</v>
      </c>
      <c r="B15" s="50">
        <v>15.03</v>
      </c>
      <c r="C15" s="50">
        <v>28.2</v>
      </c>
      <c r="D15" s="50">
        <v>28.14</v>
      </c>
      <c r="E15" s="50">
        <v>9.11</v>
      </c>
      <c r="F15" s="50">
        <v>3.41</v>
      </c>
      <c r="G15" s="50">
        <v>90.99</v>
      </c>
      <c r="H15" s="50">
        <v>41.82</v>
      </c>
      <c r="I15" s="50">
        <v>7.19</v>
      </c>
      <c r="J15" s="50">
        <v>0.9</v>
      </c>
      <c r="K15" s="50">
        <v>162.49</v>
      </c>
      <c r="L15" s="50">
        <v>18.239999999999998</v>
      </c>
      <c r="M15" s="50">
        <v>76.67</v>
      </c>
      <c r="N15" s="50">
        <v>3.4</v>
      </c>
      <c r="O15" s="50">
        <v>0</v>
      </c>
      <c r="P15" s="50">
        <v>0.82</v>
      </c>
      <c r="Q15" s="50">
        <v>4.8099999999999996</v>
      </c>
    </row>
    <row r="16" spans="1:21" customFormat="1">
      <c r="A16" s="49">
        <v>45333.333333333336</v>
      </c>
      <c r="B16" s="50">
        <v>18.61</v>
      </c>
      <c r="C16" s="50">
        <v>26.42</v>
      </c>
      <c r="D16" s="50">
        <v>28.96</v>
      </c>
      <c r="E16" s="50">
        <v>8.7200000000000006</v>
      </c>
      <c r="F16" s="50">
        <v>3.55</v>
      </c>
      <c r="G16" s="50">
        <v>105.7</v>
      </c>
      <c r="H16" s="50">
        <v>48.39</v>
      </c>
      <c r="I16" s="50">
        <v>8.17</v>
      </c>
      <c r="J16" s="50">
        <v>0.93</v>
      </c>
      <c r="K16" s="50">
        <v>48.95</v>
      </c>
      <c r="L16" s="50">
        <v>19.45</v>
      </c>
      <c r="M16" s="50">
        <v>70.52</v>
      </c>
      <c r="N16" s="50">
        <v>63.2</v>
      </c>
      <c r="O16" s="50">
        <v>0</v>
      </c>
      <c r="P16" s="50">
        <v>0.88</v>
      </c>
      <c r="Q16" s="50">
        <v>4.8499999999999996</v>
      </c>
    </row>
    <row r="17" spans="1:17" customFormat="1">
      <c r="A17" s="49">
        <v>45333.375</v>
      </c>
      <c r="B17" s="50">
        <v>18.739999999999998</v>
      </c>
      <c r="C17" s="50">
        <v>27.38</v>
      </c>
      <c r="D17" s="50">
        <v>30.56</v>
      </c>
      <c r="E17" s="50">
        <v>9.82</v>
      </c>
      <c r="F17" s="50">
        <v>3.59</v>
      </c>
      <c r="G17" s="50">
        <v>121.18</v>
      </c>
      <c r="H17" s="50">
        <v>52.3</v>
      </c>
      <c r="I17" s="50">
        <v>8.82</v>
      </c>
      <c r="J17" s="50">
        <v>1.26</v>
      </c>
      <c r="K17" s="50">
        <v>70.64</v>
      </c>
      <c r="L17" s="50">
        <v>22.28</v>
      </c>
      <c r="M17" s="50">
        <v>64.069999999999993</v>
      </c>
      <c r="N17" s="50">
        <v>238.5</v>
      </c>
      <c r="O17" s="50">
        <v>0</v>
      </c>
      <c r="P17" s="50">
        <v>0.94</v>
      </c>
      <c r="Q17" s="50">
        <v>4.8899999999999997</v>
      </c>
    </row>
    <row r="18" spans="1:17" customFormat="1">
      <c r="A18" s="49">
        <v>45333.416666666664</v>
      </c>
      <c r="B18" s="50">
        <v>17.329999999999998</v>
      </c>
      <c r="C18" s="50">
        <v>24.45</v>
      </c>
      <c r="D18" s="50">
        <v>27.67</v>
      </c>
      <c r="E18" s="50">
        <v>10.16</v>
      </c>
      <c r="F18" s="50">
        <v>3.68</v>
      </c>
      <c r="G18" s="50">
        <v>121.18</v>
      </c>
      <c r="H18" s="50">
        <v>54.38</v>
      </c>
      <c r="I18" s="50">
        <v>8.84</v>
      </c>
      <c r="J18" s="50">
        <v>0.73</v>
      </c>
      <c r="K18" s="50">
        <v>114.16</v>
      </c>
      <c r="L18" s="50">
        <v>25.92</v>
      </c>
      <c r="M18" s="50">
        <v>54.77</v>
      </c>
      <c r="N18" s="50">
        <v>301.3</v>
      </c>
      <c r="O18" s="50">
        <v>0</v>
      </c>
      <c r="P18" s="50">
        <v>0.93</v>
      </c>
      <c r="Q18" s="50">
        <v>4.8499999999999996</v>
      </c>
    </row>
    <row r="19" spans="1:17" customFormat="1">
      <c r="A19" s="49">
        <v>45333.458333333336</v>
      </c>
      <c r="B19" s="50">
        <v>13.97</v>
      </c>
      <c r="C19" s="50">
        <v>23.25</v>
      </c>
      <c r="D19" s="50">
        <v>24.7</v>
      </c>
      <c r="E19" s="50">
        <v>12.23</v>
      </c>
      <c r="F19" s="50">
        <v>4.1399999999999997</v>
      </c>
      <c r="G19" s="50">
        <v>116.69</v>
      </c>
      <c r="H19" s="50">
        <v>54.38</v>
      </c>
      <c r="I19" s="50">
        <v>8.73</v>
      </c>
      <c r="J19" s="50">
        <v>0.73</v>
      </c>
      <c r="K19" s="50">
        <v>102.37</v>
      </c>
      <c r="L19" s="50">
        <v>27.83</v>
      </c>
      <c r="M19" s="50">
        <v>48.01</v>
      </c>
      <c r="N19" s="50">
        <v>451.7</v>
      </c>
      <c r="O19" s="50">
        <v>0</v>
      </c>
      <c r="P19" s="50">
        <v>0.92</v>
      </c>
      <c r="Q19" s="50">
        <v>4.8499999999999996</v>
      </c>
    </row>
    <row r="20" spans="1:17" customFormat="1">
      <c r="A20" s="49">
        <v>45333.5</v>
      </c>
      <c r="B20" s="50">
        <v>10.36</v>
      </c>
      <c r="C20" s="50">
        <v>20.83</v>
      </c>
      <c r="D20" s="50">
        <v>20.54</v>
      </c>
      <c r="E20" s="50">
        <v>12.15</v>
      </c>
      <c r="F20" s="50">
        <v>7.63</v>
      </c>
      <c r="G20" s="50">
        <v>108.12</v>
      </c>
      <c r="H20" s="50">
        <v>52.02</v>
      </c>
      <c r="I20" s="50">
        <v>8.6199999999999992</v>
      </c>
      <c r="J20" s="50">
        <v>0.52</v>
      </c>
      <c r="K20" s="50">
        <v>92.12</v>
      </c>
      <c r="L20" s="50">
        <v>30.02</v>
      </c>
      <c r="M20" s="50">
        <v>43.5</v>
      </c>
      <c r="N20" s="50">
        <v>497.2</v>
      </c>
      <c r="O20" s="50">
        <v>0</v>
      </c>
      <c r="P20" s="50">
        <v>0.88</v>
      </c>
      <c r="Q20" s="50">
        <v>4.8</v>
      </c>
    </row>
    <row r="21" spans="1:17" customFormat="1">
      <c r="A21" s="49">
        <v>45333.541666666664</v>
      </c>
      <c r="B21" s="50">
        <v>5.95</v>
      </c>
      <c r="C21" s="50">
        <v>20.92</v>
      </c>
      <c r="D21" s="50">
        <v>17.059999999999999</v>
      </c>
      <c r="E21" s="50">
        <v>12.24</v>
      </c>
      <c r="F21" s="50">
        <v>9.5</v>
      </c>
      <c r="G21" s="50">
        <v>94.32</v>
      </c>
      <c r="H21" s="50">
        <v>43.1</v>
      </c>
      <c r="I21" s="50">
        <v>8</v>
      </c>
      <c r="J21" s="50">
        <v>0.57999999999999996</v>
      </c>
      <c r="K21" s="50">
        <v>292.08</v>
      </c>
      <c r="L21" s="50">
        <v>30.71</v>
      </c>
      <c r="M21" s="50">
        <v>39.14</v>
      </c>
      <c r="N21" s="50">
        <v>499.7</v>
      </c>
      <c r="O21" s="50">
        <v>0</v>
      </c>
      <c r="P21" s="50">
        <v>0.8</v>
      </c>
      <c r="Q21" s="50">
        <v>4.79</v>
      </c>
    </row>
    <row r="22" spans="1:17" customFormat="1">
      <c r="A22" s="49">
        <v>45333.583333333336</v>
      </c>
      <c r="B22" s="50">
        <v>5.18</v>
      </c>
      <c r="C22" s="50">
        <v>19.57</v>
      </c>
      <c r="D22" s="50">
        <v>15.73</v>
      </c>
      <c r="E22" s="50">
        <v>12.76</v>
      </c>
      <c r="F22" s="50">
        <v>8.0500000000000007</v>
      </c>
      <c r="G22" s="50">
        <v>82.67</v>
      </c>
      <c r="H22" s="50">
        <v>35.79</v>
      </c>
      <c r="I22" s="50">
        <v>7.14</v>
      </c>
      <c r="J22" s="50">
        <v>1.07</v>
      </c>
      <c r="K22" s="50">
        <v>157.29</v>
      </c>
      <c r="L22" s="50">
        <v>31.12</v>
      </c>
      <c r="M22" s="50">
        <v>38.06</v>
      </c>
      <c r="N22" s="50">
        <v>468.2</v>
      </c>
      <c r="O22" s="50">
        <v>0</v>
      </c>
      <c r="P22" s="50">
        <v>0.72</v>
      </c>
      <c r="Q22" s="50">
        <v>4.7699999999999996</v>
      </c>
    </row>
    <row r="23" spans="1:17" customFormat="1">
      <c r="A23" s="49">
        <v>45333.625</v>
      </c>
      <c r="B23" s="50">
        <v>5.15</v>
      </c>
      <c r="C23" s="50">
        <v>19.48</v>
      </c>
      <c r="D23" s="50">
        <v>15.66</v>
      </c>
      <c r="E23" s="50">
        <v>12.89</v>
      </c>
      <c r="F23" s="50">
        <v>9.82</v>
      </c>
      <c r="G23" s="50">
        <v>66.97</v>
      </c>
      <c r="H23" s="50">
        <v>30.3</v>
      </c>
      <c r="I23" s="50">
        <v>6.51</v>
      </c>
      <c r="J23" s="50">
        <v>0.33</v>
      </c>
      <c r="K23" s="50">
        <v>350.94</v>
      </c>
      <c r="L23" s="50">
        <v>31.66</v>
      </c>
      <c r="M23" s="50">
        <v>39.96</v>
      </c>
      <c r="N23" s="50">
        <v>385.1</v>
      </c>
      <c r="O23" s="50">
        <v>0</v>
      </c>
      <c r="P23" s="50">
        <v>0.7</v>
      </c>
      <c r="Q23" s="50">
        <v>4.75</v>
      </c>
    </row>
    <row r="24" spans="1:17" customFormat="1">
      <c r="A24" s="49">
        <v>45333.666666666664</v>
      </c>
      <c r="B24" s="50">
        <v>5.33</v>
      </c>
      <c r="C24" s="50">
        <v>18.77</v>
      </c>
      <c r="D24" s="50">
        <v>15.43</v>
      </c>
      <c r="E24" s="50">
        <v>13.47</v>
      </c>
      <c r="F24" s="50">
        <v>9.74</v>
      </c>
      <c r="G24" s="50">
        <v>57.56</v>
      </c>
      <c r="H24" s="50">
        <v>29.46</v>
      </c>
      <c r="I24" s="50">
        <v>5.87</v>
      </c>
      <c r="J24" s="50">
        <v>0.74</v>
      </c>
      <c r="K24" s="50">
        <v>326.58999999999997</v>
      </c>
      <c r="L24" s="50">
        <v>30.54</v>
      </c>
      <c r="M24" s="50">
        <v>40.86</v>
      </c>
      <c r="N24" s="50">
        <v>145.1</v>
      </c>
      <c r="O24" s="50">
        <v>0</v>
      </c>
      <c r="P24" s="50">
        <v>0.66</v>
      </c>
      <c r="Q24" s="50">
        <v>4.7300000000000004</v>
      </c>
    </row>
    <row r="25" spans="1:17" customFormat="1">
      <c r="A25" s="49">
        <v>45333.708333333336</v>
      </c>
      <c r="B25" s="50">
        <v>5.49</v>
      </c>
      <c r="C25" s="50">
        <v>20.96</v>
      </c>
      <c r="D25" s="50">
        <v>16.62</v>
      </c>
      <c r="E25" s="50">
        <v>14.12</v>
      </c>
      <c r="F25" s="50">
        <v>10.130000000000001</v>
      </c>
      <c r="G25" s="50">
        <v>54.21</v>
      </c>
      <c r="H25" s="50">
        <v>27.63</v>
      </c>
      <c r="I25" s="50">
        <v>5.49</v>
      </c>
      <c r="J25" s="50">
        <v>0.55000000000000004</v>
      </c>
      <c r="K25" s="50">
        <v>347.98</v>
      </c>
      <c r="L25" s="50">
        <v>30.62</v>
      </c>
      <c r="M25" s="50">
        <v>42.55</v>
      </c>
      <c r="N25" s="50">
        <v>78.099999999999994</v>
      </c>
      <c r="O25" s="50">
        <v>0</v>
      </c>
      <c r="P25" s="50">
        <v>0.67</v>
      </c>
      <c r="Q25" s="50">
        <v>4.7300000000000004</v>
      </c>
    </row>
    <row r="26" spans="1:17" customFormat="1">
      <c r="A26" s="49">
        <v>45333.75</v>
      </c>
      <c r="B26" s="50">
        <v>5.68</v>
      </c>
      <c r="C26" s="50">
        <v>18.23</v>
      </c>
      <c r="D26" s="50">
        <v>15.43</v>
      </c>
      <c r="E26" s="50">
        <v>26.58</v>
      </c>
      <c r="F26" s="50">
        <v>11.8</v>
      </c>
      <c r="G26" s="50">
        <v>75.14</v>
      </c>
      <c r="H26" s="50">
        <v>29.41</v>
      </c>
      <c r="I26" s="50">
        <v>5.76</v>
      </c>
      <c r="J26" s="50">
        <v>2.23</v>
      </c>
      <c r="K26" s="50">
        <v>41.79</v>
      </c>
      <c r="L26" s="50">
        <v>28.59</v>
      </c>
      <c r="M26" s="50">
        <v>56.33</v>
      </c>
      <c r="N26" s="50">
        <v>9.3000000000000007</v>
      </c>
      <c r="O26" s="50">
        <v>0</v>
      </c>
      <c r="P26" s="50">
        <v>0.7</v>
      </c>
      <c r="Q26" s="50">
        <v>4.71</v>
      </c>
    </row>
    <row r="27" spans="1:17" customFormat="1">
      <c r="A27" s="49">
        <v>45333.791666666664</v>
      </c>
      <c r="B27" s="50">
        <v>5.2</v>
      </c>
      <c r="C27" s="50">
        <v>16.13</v>
      </c>
      <c r="D27" s="50">
        <v>13.89</v>
      </c>
      <c r="E27" s="50">
        <v>6.9</v>
      </c>
      <c r="F27" s="50">
        <v>7</v>
      </c>
      <c r="G27" s="50">
        <v>80.45</v>
      </c>
      <c r="H27" s="50">
        <v>29.5</v>
      </c>
      <c r="I27" s="50">
        <v>5.85</v>
      </c>
      <c r="J27" s="50">
        <v>1.87</v>
      </c>
      <c r="K27" s="50">
        <v>57.47</v>
      </c>
      <c r="L27" s="50">
        <v>23.63</v>
      </c>
      <c r="M27" s="50">
        <v>65.010000000000005</v>
      </c>
      <c r="N27" s="50">
        <v>0</v>
      </c>
      <c r="O27" s="50">
        <v>0</v>
      </c>
      <c r="P27" s="50">
        <v>0.71</v>
      </c>
      <c r="Q27" s="50">
        <v>4.71</v>
      </c>
    </row>
    <row r="28" spans="1:17" customFormat="1">
      <c r="A28" s="49">
        <v>45333.833333333336</v>
      </c>
      <c r="B28" s="50">
        <v>5.81</v>
      </c>
      <c r="C28" s="50">
        <v>17.989999999999998</v>
      </c>
      <c r="D28" s="50">
        <v>15.21</v>
      </c>
      <c r="E28" s="50">
        <v>6.83</v>
      </c>
      <c r="F28" s="50">
        <v>4.1399999999999997</v>
      </c>
      <c r="G28" s="50">
        <v>81.86</v>
      </c>
      <c r="H28" s="50">
        <v>29.5</v>
      </c>
      <c r="I28" s="50">
        <v>6.05</v>
      </c>
      <c r="J28" s="50">
        <v>1.38</v>
      </c>
      <c r="K28" s="50">
        <v>59.71</v>
      </c>
      <c r="L28" s="50">
        <v>22.52</v>
      </c>
      <c r="M28" s="50">
        <v>65.319999999999993</v>
      </c>
      <c r="N28" s="50">
        <v>0</v>
      </c>
      <c r="O28" s="50">
        <v>0</v>
      </c>
      <c r="P28" s="50">
        <v>0.75</v>
      </c>
      <c r="Q28" s="50">
        <v>4.75</v>
      </c>
    </row>
    <row r="29" spans="1:17" customFormat="1">
      <c r="A29" s="49">
        <v>45333.875</v>
      </c>
      <c r="B29" s="50">
        <v>6.19</v>
      </c>
      <c r="C29" s="50">
        <v>17.89</v>
      </c>
      <c r="D29" s="50">
        <v>15.66</v>
      </c>
      <c r="E29" s="50">
        <v>7.1</v>
      </c>
      <c r="F29" s="50">
        <v>3.97</v>
      </c>
      <c r="G29" s="50">
        <v>81.86</v>
      </c>
      <c r="H29" s="50">
        <v>31.59</v>
      </c>
      <c r="I29" s="50">
        <v>6.13</v>
      </c>
      <c r="J29" s="50">
        <v>1.47</v>
      </c>
      <c r="K29" s="50">
        <v>58.48</v>
      </c>
      <c r="L29" s="50">
        <v>22.05</v>
      </c>
      <c r="M29" s="50">
        <v>64.760000000000005</v>
      </c>
      <c r="N29" s="50">
        <v>0</v>
      </c>
      <c r="O29" s="50">
        <v>0</v>
      </c>
      <c r="P29" s="50">
        <v>0.76</v>
      </c>
      <c r="Q29" s="50">
        <v>4.74</v>
      </c>
    </row>
    <row r="30" spans="1:17" customFormat="1">
      <c r="A30" s="49">
        <v>45333.916666666664</v>
      </c>
      <c r="B30" s="50">
        <v>6.61</v>
      </c>
      <c r="C30" s="50">
        <v>18.579999999999998</v>
      </c>
      <c r="D30" s="50">
        <v>16.260000000000002</v>
      </c>
      <c r="E30" s="50">
        <v>7.36</v>
      </c>
      <c r="F30" s="50">
        <v>4.07</v>
      </c>
      <c r="G30" s="50">
        <v>81.680000000000007</v>
      </c>
      <c r="H30" s="50">
        <v>31.59</v>
      </c>
      <c r="I30" s="50">
        <v>6.24</v>
      </c>
      <c r="J30" s="50">
        <v>1.4</v>
      </c>
      <c r="K30" s="50">
        <v>58.98</v>
      </c>
      <c r="L30" s="50">
        <v>21.85</v>
      </c>
      <c r="M30" s="50">
        <v>66.73</v>
      </c>
      <c r="N30" s="50">
        <v>0</v>
      </c>
      <c r="O30" s="50">
        <v>0</v>
      </c>
      <c r="P30" s="50">
        <v>0.76</v>
      </c>
      <c r="Q30" s="50">
        <v>4.79</v>
      </c>
    </row>
    <row r="31" spans="1:17" customFormat="1">
      <c r="A31" s="49">
        <v>45333.958333333336</v>
      </c>
      <c r="B31" s="50">
        <v>6.45</v>
      </c>
      <c r="C31" s="50">
        <v>20.75</v>
      </c>
      <c r="D31" s="50">
        <v>17.149999999999999</v>
      </c>
      <c r="E31" s="50">
        <v>8.33</v>
      </c>
      <c r="F31" s="50">
        <v>4.24</v>
      </c>
      <c r="G31" s="50">
        <v>81.680000000000007</v>
      </c>
      <c r="H31" s="50">
        <v>32.299999999999997</v>
      </c>
      <c r="I31" s="50">
        <v>6.24</v>
      </c>
      <c r="J31" s="50">
        <v>1.2</v>
      </c>
      <c r="K31" s="50">
        <v>84.18</v>
      </c>
      <c r="L31" s="50">
        <v>22.52</v>
      </c>
      <c r="M31" s="50">
        <v>64.88</v>
      </c>
      <c r="N31" s="50">
        <v>0</v>
      </c>
      <c r="O31" s="50">
        <v>0</v>
      </c>
      <c r="P31" s="50">
        <v>0.76</v>
      </c>
      <c r="Q31" s="50">
        <v>4.8099999999999996</v>
      </c>
    </row>
    <row r="32" spans="1:17" customFormat="1">
      <c r="A32" s="49">
        <v>45334</v>
      </c>
      <c r="B32" s="50">
        <v>5.8</v>
      </c>
      <c r="C32" s="50">
        <v>21.16</v>
      </c>
      <c r="D32" s="50">
        <v>16.87</v>
      </c>
      <c r="E32" s="50">
        <v>9.17</v>
      </c>
      <c r="F32" s="50">
        <v>4.37</v>
      </c>
      <c r="G32" s="50">
        <v>81.260000000000005</v>
      </c>
      <c r="H32" s="50">
        <v>33.15</v>
      </c>
      <c r="I32" s="50">
        <v>6.25</v>
      </c>
      <c r="J32" s="50">
        <v>0.99</v>
      </c>
      <c r="K32" s="50">
        <v>77.599999999999994</v>
      </c>
      <c r="L32" s="50">
        <v>22.33</v>
      </c>
      <c r="M32" s="50">
        <v>63.57</v>
      </c>
      <c r="N32" s="50">
        <v>0</v>
      </c>
      <c r="O32" s="50">
        <v>0</v>
      </c>
      <c r="P32" s="50">
        <v>0.74</v>
      </c>
      <c r="Q32" s="50">
        <v>4.79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5.15</v>
      </c>
      <c r="C34" s="40">
        <f t="shared" si="0"/>
        <v>16.13</v>
      </c>
      <c r="D34" s="40">
        <f t="shared" si="0"/>
        <v>13.89</v>
      </c>
      <c r="E34" s="40">
        <f t="shared" si="0"/>
        <v>6.83</v>
      </c>
      <c r="F34" s="40">
        <f t="shared" si="0"/>
        <v>3.37</v>
      </c>
      <c r="G34" s="40">
        <f t="shared" si="0"/>
        <v>54.21</v>
      </c>
      <c r="H34" s="40">
        <f t="shared" si="0"/>
        <v>27.63</v>
      </c>
      <c r="I34" s="40">
        <f t="shared" si="0"/>
        <v>5.49</v>
      </c>
      <c r="J34" s="40">
        <f t="shared" si="0"/>
        <v>0.18</v>
      </c>
      <c r="K34" s="40">
        <f t="shared" si="0"/>
        <v>41.79</v>
      </c>
      <c r="L34" s="40">
        <f t="shared" si="0"/>
        <v>18.239999999999998</v>
      </c>
      <c r="M34" s="40">
        <f t="shared" si="0"/>
        <v>38.06</v>
      </c>
      <c r="N34" s="40">
        <f t="shared" si="0"/>
        <v>0</v>
      </c>
      <c r="O34" s="40">
        <f t="shared" si="0"/>
        <v>0</v>
      </c>
      <c r="P34" s="40">
        <f t="shared" si="0"/>
        <v>0.66</v>
      </c>
      <c r="Q34" s="40">
        <f t="shared" si="0"/>
        <v>4.71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18.739999999999998</v>
      </c>
      <c r="C35" s="33">
        <f t="shared" si="1"/>
        <v>28.2</v>
      </c>
      <c r="D35" s="33">
        <f t="shared" si="1"/>
        <v>30.56</v>
      </c>
      <c r="E35" s="33">
        <f t="shared" si="1"/>
        <v>26.58</v>
      </c>
      <c r="F35" s="33">
        <f t="shared" si="1"/>
        <v>11.8</v>
      </c>
      <c r="G35" s="33">
        <f t="shared" si="1"/>
        <v>121.18</v>
      </c>
      <c r="H35" s="33">
        <f t="shared" si="1"/>
        <v>54.38</v>
      </c>
      <c r="I35" s="33">
        <f t="shared" si="1"/>
        <v>8.84</v>
      </c>
      <c r="J35" s="33">
        <f t="shared" si="1"/>
        <v>2.23</v>
      </c>
      <c r="K35" s="33">
        <f t="shared" si="1"/>
        <v>350.94</v>
      </c>
      <c r="L35" s="33">
        <f t="shared" si="1"/>
        <v>31.66</v>
      </c>
      <c r="M35" s="33">
        <f t="shared" si="1"/>
        <v>77.98</v>
      </c>
      <c r="N35" s="33">
        <f t="shared" si="1"/>
        <v>499.7</v>
      </c>
      <c r="O35" s="33">
        <f t="shared" si="1"/>
        <v>0</v>
      </c>
      <c r="P35" s="33">
        <f t="shared" si="1"/>
        <v>0.94</v>
      </c>
      <c r="Q35" s="33">
        <f t="shared" si="1"/>
        <v>4.8899999999999997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9.07</v>
      </c>
      <c r="C36" s="40">
        <f t="shared" si="2"/>
        <v>22.467499999999998</v>
      </c>
      <c r="D36" s="40">
        <f t="shared" si="2"/>
        <v>20.2575</v>
      </c>
      <c r="E36" s="40">
        <f t="shared" si="2"/>
        <v>10.518333333333334</v>
      </c>
      <c r="F36" s="40">
        <f t="shared" si="2"/>
        <v>5.61</v>
      </c>
      <c r="G36" s="40">
        <f t="shared" si="2"/>
        <v>88.854166666666686</v>
      </c>
      <c r="H36" s="40">
        <f t="shared" si="2"/>
        <v>38.57791666666666</v>
      </c>
      <c r="I36" s="40">
        <f t="shared" si="2"/>
        <v>6.939583333333335</v>
      </c>
      <c r="J36" s="40">
        <f t="shared" si="2"/>
        <v>0.88249999999999984</v>
      </c>
      <c r="K36" s="40">
        <f t="shared" si="2"/>
        <v>155.13416666666666</v>
      </c>
      <c r="L36" s="40">
        <f t="shared" si="2"/>
        <v>24.182916666666667</v>
      </c>
      <c r="M36" s="40">
        <f t="shared" si="2"/>
        <v>59.182499999999997</v>
      </c>
      <c r="N36" s="40">
        <f t="shared" si="2"/>
        <v>130.86666666666665</v>
      </c>
      <c r="O36" s="40">
        <f t="shared" si="2"/>
        <v>0</v>
      </c>
      <c r="P36" s="40">
        <f t="shared" si="2"/>
        <v>0.78458333333333341</v>
      </c>
      <c r="Q36" s="40">
        <f t="shared" si="2"/>
        <v>4.7904166666666672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4.4362302837470891</v>
      </c>
      <c r="C37" s="40">
        <f t="shared" ref="C37:Q37" si="3">STDEV(C9:C32)</f>
        <v>3.7913474144941453</v>
      </c>
      <c r="D37" s="40">
        <f t="shared" si="3"/>
        <v>5.0566256578352968</v>
      </c>
      <c r="E37" s="40">
        <f t="shared" si="3"/>
        <v>4.0620134937230805</v>
      </c>
      <c r="F37" s="40">
        <f t="shared" si="3"/>
        <v>2.7506457739798189</v>
      </c>
      <c r="G37" s="40">
        <f t="shared" si="3"/>
        <v>17.445326499285201</v>
      </c>
      <c r="H37" s="40">
        <f t="shared" si="3"/>
        <v>8.6530954396912776</v>
      </c>
      <c r="I37" s="40">
        <f t="shared" si="3"/>
        <v>1.0447528485209869</v>
      </c>
      <c r="J37" s="40">
        <f t="shared" si="3"/>
        <v>0.52504451157062404</v>
      </c>
      <c r="K37" s="40">
        <f t="shared" si="3"/>
        <v>102.04842400916162</v>
      </c>
      <c r="L37" s="40">
        <f t="shared" si="3"/>
        <v>4.6636853118972184</v>
      </c>
      <c r="M37" s="40">
        <f t="shared" si="3"/>
        <v>12.598028917600393</v>
      </c>
      <c r="N37" s="40">
        <f t="shared" si="3"/>
        <v>190.68958309632248</v>
      </c>
      <c r="O37" s="40">
        <f t="shared" si="3"/>
        <v>0</v>
      </c>
      <c r="P37" s="40">
        <f t="shared" si="3"/>
        <v>8.0324297405101081E-2</v>
      </c>
      <c r="Q37" s="40">
        <f t="shared" si="3"/>
        <v>4.685585357767736E-2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45334.041666666664</v>
      </c>
      <c r="B9" s="50">
        <v>5.04</v>
      </c>
      <c r="C9" s="50">
        <v>21.51</v>
      </c>
      <c r="D9" s="50">
        <v>16.510000000000002</v>
      </c>
      <c r="E9" s="50">
        <v>8.76</v>
      </c>
      <c r="F9" s="50">
        <v>5.0199999999999996</v>
      </c>
      <c r="G9" s="50">
        <v>79.709999999999994</v>
      </c>
      <c r="H9" s="50">
        <v>38.26</v>
      </c>
      <c r="I9" s="50">
        <v>6.15</v>
      </c>
      <c r="J9" s="50">
        <v>0.56999999999999995</v>
      </c>
      <c r="K9" s="50">
        <v>233.77</v>
      </c>
      <c r="L9" s="50">
        <v>22.03</v>
      </c>
      <c r="M9" s="50">
        <v>90</v>
      </c>
      <c r="N9" s="50">
        <v>0</v>
      </c>
      <c r="O9" s="50">
        <v>2.8</v>
      </c>
      <c r="P9" s="50">
        <v>0.74</v>
      </c>
      <c r="Q9" s="50">
        <v>4.7699999999999996</v>
      </c>
    </row>
    <row r="10" spans="1:21" customFormat="1">
      <c r="A10" s="49">
        <v>45334.083333333336</v>
      </c>
      <c r="B10" s="50">
        <v>5.46</v>
      </c>
      <c r="C10" s="50">
        <v>22.05</v>
      </c>
      <c r="D10" s="50">
        <v>17.25</v>
      </c>
      <c r="E10" s="50">
        <v>7.72</v>
      </c>
      <c r="F10" s="50">
        <v>3.7</v>
      </c>
      <c r="G10" s="50">
        <v>78.84</v>
      </c>
      <c r="H10" s="50">
        <v>38.26</v>
      </c>
      <c r="I10" s="50">
        <v>6.01</v>
      </c>
      <c r="J10" s="50">
        <v>0.33</v>
      </c>
      <c r="K10" s="50">
        <v>132.54</v>
      </c>
      <c r="L10" s="50">
        <v>19.48</v>
      </c>
      <c r="M10" s="50">
        <v>89.59</v>
      </c>
      <c r="N10" s="50">
        <v>0</v>
      </c>
      <c r="O10" s="50">
        <v>0</v>
      </c>
      <c r="P10" s="50">
        <v>0.73</v>
      </c>
      <c r="Q10" s="50">
        <v>4.76</v>
      </c>
    </row>
    <row r="11" spans="1:21" customFormat="1">
      <c r="A11" s="49">
        <v>45334.125</v>
      </c>
      <c r="B11" s="50">
        <v>6</v>
      </c>
      <c r="C11" s="50">
        <v>22.85</v>
      </c>
      <c r="D11" s="50">
        <v>17.940000000000001</v>
      </c>
      <c r="E11" s="50">
        <v>9.34</v>
      </c>
      <c r="F11" s="50">
        <v>3.66</v>
      </c>
      <c r="G11" s="50">
        <v>78.84</v>
      </c>
      <c r="H11" s="50">
        <v>37.549999999999997</v>
      </c>
      <c r="I11" s="50">
        <v>5.96</v>
      </c>
      <c r="J11" s="50">
        <v>0.93</v>
      </c>
      <c r="K11" s="50">
        <v>72.91</v>
      </c>
      <c r="L11" s="50">
        <v>19.420000000000002</v>
      </c>
      <c r="M11" s="50">
        <v>87.62</v>
      </c>
      <c r="N11" s="50">
        <v>0</v>
      </c>
      <c r="O11" s="50">
        <v>0</v>
      </c>
      <c r="P11" s="50">
        <v>0.73</v>
      </c>
      <c r="Q11" s="50">
        <v>4.74</v>
      </c>
    </row>
    <row r="12" spans="1:21" customFormat="1">
      <c r="A12" s="49">
        <v>45334.166666666664</v>
      </c>
      <c r="B12" s="50">
        <v>6.19</v>
      </c>
      <c r="C12" s="50">
        <v>18.149999999999999</v>
      </c>
      <c r="D12" s="50">
        <v>15.62</v>
      </c>
      <c r="E12" s="50">
        <v>8.3699999999999992</v>
      </c>
      <c r="F12" s="50">
        <v>3.75</v>
      </c>
      <c r="G12" s="50">
        <v>77.739999999999995</v>
      </c>
      <c r="H12" s="50">
        <v>37.549999999999997</v>
      </c>
      <c r="I12" s="50">
        <v>5.89</v>
      </c>
      <c r="J12" s="50">
        <v>1.04</v>
      </c>
      <c r="K12" s="50">
        <v>106.95</v>
      </c>
      <c r="L12" s="50">
        <v>18.690000000000001</v>
      </c>
      <c r="M12" s="50">
        <v>88.12</v>
      </c>
      <c r="N12" s="50">
        <v>0</v>
      </c>
      <c r="O12" s="50">
        <v>0</v>
      </c>
      <c r="P12" s="50">
        <v>0.71</v>
      </c>
      <c r="Q12" s="50">
        <v>4.75</v>
      </c>
    </row>
    <row r="13" spans="1:21" customFormat="1">
      <c r="A13" s="49">
        <v>45334.208333333336</v>
      </c>
      <c r="B13" s="50">
        <v>5.69</v>
      </c>
      <c r="C13" s="50">
        <v>17.670000000000002</v>
      </c>
      <c r="D13" s="50">
        <v>15.14</v>
      </c>
      <c r="E13" s="50">
        <v>8.58</v>
      </c>
      <c r="F13" s="50">
        <v>3.84</v>
      </c>
      <c r="G13" s="50">
        <v>73.86</v>
      </c>
      <c r="H13" s="50">
        <v>36.71</v>
      </c>
      <c r="I13" s="50">
        <v>5.77</v>
      </c>
      <c r="J13" s="50">
        <v>0.98</v>
      </c>
      <c r="K13" s="50">
        <v>89.29</v>
      </c>
      <c r="L13" s="50">
        <v>18.579999999999998</v>
      </c>
      <c r="M13" s="50">
        <v>88.62</v>
      </c>
      <c r="N13" s="50">
        <v>0</v>
      </c>
      <c r="O13" s="50">
        <v>0</v>
      </c>
      <c r="P13" s="50">
        <v>0.7</v>
      </c>
      <c r="Q13" s="50">
        <v>4.7300000000000004</v>
      </c>
    </row>
    <row r="14" spans="1:21" customFormat="1">
      <c r="A14" s="49">
        <v>45334.25</v>
      </c>
      <c r="B14" s="50">
        <v>6.15</v>
      </c>
      <c r="C14" s="50">
        <v>17.420000000000002</v>
      </c>
      <c r="D14" s="50">
        <v>15.05</v>
      </c>
      <c r="E14" s="50">
        <v>8.39</v>
      </c>
      <c r="F14" s="50">
        <v>3.54</v>
      </c>
      <c r="G14" s="50">
        <v>63.67</v>
      </c>
      <c r="H14" s="50">
        <v>34.97</v>
      </c>
      <c r="I14" s="50">
        <v>5.7</v>
      </c>
      <c r="J14" s="50">
        <v>0.75</v>
      </c>
      <c r="K14" s="50">
        <v>73.33</v>
      </c>
      <c r="L14" s="50">
        <v>18.239999999999998</v>
      </c>
      <c r="M14" s="50">
        <v>90.49</v>
      </c>
      <c r="N14" s="50">
        <v>0</v>
      </c>
      <c r="O14" s="50">
        <v>0</v>
      </c>
      <c r="P14" s="50">
        <v>0.69</v>
      </c>
      <c r="Q14" s="50">
        <v>4.74</v>
      </c>
    </row>
    <row r="15" spans="1:21" customFormat="1">
      <c r="A15" s="49">
        <v>45334.291666666664</v>
      </c>
      <c r="B15" s="50">
        <v>7.49</v>
      </c>
      <c r="C15" s="50">
        <v>17.57</v>
      </c>
      <c r="D15" s="50">
        <v>16.23</v>
      </c>
      <c r="E15" s="50">
        <v>7.76</v>
      </c>
      <c r="F15" s="50">
        <v>3.59</v>
      </c>
      <c r="G15" s="50">
        <v>64.59</v>
      </c>
      <c r="H15" s="50">
        <v>34.659999999999997</v>
      </c>
      <c r="I15" s="50">
        <v>5.77</v>
      </c>
      <c r="J15" s="50">
        <v>0.9</v>
      </c>
      <c r="K15" s="50">
        <v>54.85</v>
      </c>
      <c r="L15" s="50">
        <v>18.23</v>
      </c>
      <c r="M15" s="50">
        <v>91.07</v>
      </c>
      <c r="N15" s="50">
        <v>11.2</v>
      </c>
      <c r="O15" s="50">
        <v>0</v>
      </c>
      <c r="P15" s="50">
        <v>0.7</v>
      </c>
      <c r="Q15" s="50">
        <v>4.76</v>
      </c>
    </row>
    <row r="16" spans="1:21" customFormat="1">
      <c r="A16" s="49">
        <v>45334.333333333336</v>
      </c>
      <c r="B16" s="50">
        <v>8.07</v>
      </c>
      <c r="C16" s="50">
        <v>18.54</v>
      </c>
      <c r="D16" s="50">
        <v>17.510000000000002</v>
      </c>
      <c r="E16" s="50">
        <v>8.9499999999999993</v>
      </c>
      <c r="F16" s="50">
        <v>3.55</v>
      </c>
      <c r="G16" s="50">
        <v>64.59</v>
      </c>
      <c r="H16" s="50">
        <v>34.659999999999997</v>
      </c>
      <c r="I16" s="50">
        <v>5.9</v>
      </c>
      <c r="J16" s="50">
        <v>1.03</v>
      </c>
      <c r="K16" s="50">
        <v>51.62</v>
      </c>
      <c r="L16" s="50">
        <v>18.690000000000001</v>
      </c>
      <c r="M16" s="50">
        <v>89.91</v>
      </c>
      <c r="N16" s="50">
        <v>47.8</v>
      </c>
      <c r="O16" s="50">
        <v>0</v>
      </c>
      <c r="P16" s="50">
        <v>0.71</v>
      </c>
      <c r="Q16" s="50">
        <v>4.8</v>
      </c>
    </row>
    <row r="17" spans="1:17" customFormat="1">
      <c r="A17" s="49">
        <v>45334.375</v>
      </c>
      <c r="B17" s="50">
        <v>8.74</v>
      </c>
      <c r="C17" s="50">
        <v>21.35</v>
      </c>
      <c r="D17" s="50">
        <v>19.510000000000002</v>
      </c>
      <c r="E17" s="50">
        <v>9.2200000000000006</v>
      </c>
      <c r="F17" s="50">
        <v>3.46</v>
      </c>
      <c r="G17" s="50">
        <v>64.41</v>
      </c>
      <c r="H17" s="50">
        <v>33.21</v>
      </c>
      <c r="I17" s="50">
        <v>6.07</v>
      </c>
      <c r="J17" s="50">
        <v>2.34</v>
      </c>
      <c r="K17" s="50">
        <v>309.66000000000003</v>
      </c>
      <c r="L17" s="50">
        <v>18.96</v>
      </c>
      <c r="M17" s="50">
        <v>98.49</v>
      </c>
      <c r="N17" s="50">
        <v>205.5</v>
      </c>
      <c r="O17" s="50">
        <v>2</v>
      </c>
      <c r="P17" s="50">
        <v>0.74</v>
      </c>
      <c r="Q17" s="50">
        <v>4.78</v>
      </c>
    </row>
    <row r="18" spans="1:17" customFormat="1">
      <c r="A18" s="49">
        <v>45334.416666666664</v>
      </c>
      <c r="B18" s="50">
        <v>9.26</v>
      </c>
      <c r="C18" s="50">
        <v>22.53</v>
      </c>
      <c r="D18" s="50">
        <v>20.309999999999999</v>
      </c>
      <c r="E18" s="50">
        <v>9.9600000000000009</v>
      </c>
      <c r="F18" s="50">
        <v>3.46</v>
      </c>
      <c r="G18" s="50">
        <v>64.86</v>
      </c>
      <c r="H18" s="50">
        <v>33.619999999999997</v>
      </c>
      <c r="I18" s="50">
        <v>6.31</v>
      </c>
      <c r="J18" s="50">
        <v>0.46</v>
      </c>
      <c r="K18" s="50">
        <v>111.83</v>
      </c>
      <c r="L18" s="50">
        <v>23.07</v>
      </c>
      <c r="M18" s="50">
        <v>96.43</v>
      </c>
      <c r="N18" s="50">
        <v>295.7</v>
      </c>
      <c r="O18" s="50">
        <v>0</v>
      </c>
      <c r="P18" s="50">
        <v>0.78</v>
      </c>
      <c r="Q18" s="50">
        <v>4.8</v>
      </c>
    </row>
    <row r="19" spans="1:17" customFormat="1">
      <c r="A19" s="49">
        <v>45334.458333333336</v>
      </c>
      <c r="B19" s="50">
        <v>8.1300000000000008</v>
      </c>
      <c r="C19" s="50">
        <v>22.67</v>
      </c>
      <c r="D19" s="50">
        <v>19.52</v>
      </c>
      <c r="E19" s="50">
        <v>7.19</v>
      </c>
      <c r="F19" s="50">
        <v>3.82</v>
      </c>
      <c r="G19" s="50">
        <v>64.86</v>
      </c>
      <c r="H19" s="50">
        <v>33.619999999999997</v>
      </c>
      <c r="I19" s="50">
        <v>6.36</v>
      </c>
      <c r="J19" s="50">
        <v>0.74</v>
      </c>
      <c r="K19" s="50">
        <v>131.82</v>
      </c>
      <c r="L19" s="50">
        <v>25.7</v>
      </c>
      <c r="M19" s="50">
        <v>76.02</v>
      </c>
      <c r="N19" s="50">
        <v>483.9</v>
      </c>
      <c r="O19" s="50">
        <v>0</v>
      </c>
      <c r="P19" s="50">
        <v>0.77</v>
      </c>
      <c r="Q19" s="50">
        <v>4.7300000000000004</v>
      </c>
    </row>
    <row r="20" spans="1:17" customFormat="1">
      <c r="A20" s="49">
        <v>45334.5</v>
      </c>
      <c r="B20" s="50">
        <v>6.27</v>
      </c>
      <c r="C20" s="50">
        <v>22.62</v>
      </c>
      <c r="D20" s="50">
        <v>18.059999999999999</v>
      </c>
      <c r="E20" s="50">
        <v>8.16</v>
      </c>
      <c r="F20" s="50">
        <v>4.5599999999999996</v>
      </c>
      <c r="G20" s="50">
        <v>59.39</v>
      </c>
      <c r="H20" s="50">
        <v>33.520000000000003</v>
      </c>
      <c r="I20" s="50">
        <v>6.23</v>
      </c>
      <c r="J20" s="50">
        <v>0.79</v>
      </c>
      <c r="K20" s="50">
        <v>68.69</v>
      </c>
      <c r="L20" s="50">
        <v>26.73</v>
      </c>
      <c r="M20" s="50">
        <v>65.760000000000005</v>
      </c>
      <c r="N20" s="50">
        <v>575.5</v>
      </c>
      <c r="O20" s="50">
        <v>0</v>
      </c>
      <c r="P20" s="50">
        <v>0.75</v>
      </c>
      <c r="Q20" s="50">
        <v>4.71</v>
      </c>
    </row>
    <row r="21" spans="1:17" customFormat="1">
      <c r="A21" s="49">
        <v>45334.541666666664</v>
      </c>
      <c r="B21" s="50">
        <v>5.03</v>
      </c>
      <c r="C21" s="50">
        <v>23.36</v>
      </c>
      <c r="D21" s="50">
        <v>17.52</v>
      </c>
      <c r="E21" s="50">
        <v>8.25</v>
      </c>
      <c r="F21" s="50">
        <v>4.53</v>
      </c>
      <c r="G21" s="50">
        <v>58.08</v>
      </c>
      <c r="H21" s="50">
        <v>32.5</v>
      </c>
      <c r="I21" s="50">
        <v>6.05</v>
      </c>
      <c r="J21" s="50">
        <v>0.76</v>
      </c>
      <c r="K21" s="50">
        <v>356.44</v>
      </c>
      <c r="L21" s="50">
        <v>27.87</v>
      </c>
      <c r="M21" s="50">
        <v>63.75</v>
      </c>
      <c r="N21" s="50">
        <v>574.20000000000005</v>
      </c>
      <c r="O21" s="50">
        <v>0</v>
      </c>
      <c r="P21" s="50">
        <v>0.77</v>
      </c>
      <c r="Q21" s="50">
        <v>4.7</v>
      </c>
    </row>
    <row r="22" spans="1:17" customFormat="1">
      <c r="A22" s="49">
        <v>45334.583333333336</v>
      </c>
      <c r="B22" s="50">
        <v>4.8899999999999997</v>
      </c>
      <c r="C22" s="50">
        <v>17.98</v>
      </c>
      <c r="D22" s="50">
        <v>14.66</v>
      </c>
      <c r="E22" s="50">
        <v>7.85</v>
      </c>
      <c r="F22" s="50">
        <v>5.9</v>
      </c>
      <c r="G22" s="50">
        <v>57.08</v>
      </c>
      <c r="H22" s="50">
        <v>30.86</v>
      </c>
      <c r="I22" s="50">
        <v>5.97</v>
      </c>
      <c r="J22" s="50">
        <v>0.92</v>
      </c>
      <c r="K22" s="50">
        <v>79.77</v>
      </c>
      <c r="L22" s="50">
        <v>28.6</v>
      </c>
      <c r="M22" s="50">
        <v>59.77</v>
      </c>
      <c r="N22" s="50">
        <v>513.29999999999995</v>
      </c>
      <c r="O22" s="50">
        <v>0</v>
      </c>
      <c r="P22" s="50">
        <v>0.76</v>
      </c>
      <c r="Q22" s="50">
        <v>4.68</v>
      </c>
    </row>
    <row r="23" spans="1:17" customFormat="1">
      <c r="A23" s="49">
        <v>45334.625</v>
      </c>
      <c r="B23" s="50">
        <v>4.4800000000000004</v>
      </c>
      <c r="C23" s="50">
        <v>15.25</v>
      </c>
      <c r="D23" s="50">
        <v>12.91</v>
      </c>
      <c r="E23" s="50">
        <v>7.35</v>
      </c>
      <c r="F23" s="50">
        <v>7.57</v>
      </c>
      <c r="G23" s="50">
        <v>55.46</v>
      </c>
      <c r="H23" s="50">
        <v>28.35</v>
      </c>
      <c r="I23" s="50">
        <v>5.97</v>
      </c>
      <c r="J23" s="50">
        <v>1.26</v>
      </c>
      <c r="K23" s="50">
        <v>53.1</v>
      </c>
      <c r="L23" s="50">
        <v>28.42</v>
      </c>
      <c r="M23" s="50">
        <v>62.31</v>
      </c>
      <c r="N23" s="50">
        <v>448.1</v>
      </c>
      <c r="O23" s="50">
        <v>0</v>
      </c>
      <c r="P23" s="50">
        <v>0.7</v>
      </c>
      <c r="Q23" s="50">
        <v>4.6900000000000004</v>
      </c>
    </row>
    <row r="24" spans="1:17" customFormat="1">
      <c r="A24" s="49">
        <v>45334.666666666664</v>
      </c>
      <c r="B24" s="50">
        <v>4.5</v>
      </c>
      <c r="C24" s="50">
        <v>14.33</v>
      </c>
      <c r="D24" s="50">
        <v>12.45</v>
      </c>
      <c r="E24" s="50">
        <v>7.79</v>
      </c>
      <c r="F24" s="50">
        <v>8.7899999999999991</v>
      </c>
      <c r="G24" s="50">
        <v>55.29</v>
      </c>
      <c r="H24" s="50">
        <v>28.35</v>
      </c>
      <c r="I24" s="50">
        <v>5.89</v>
      </c>
      <c r="J24" s="50">
        <v>1.22</v>
      </c>
      <c r="K24" s="50">
        <v>60.5</v>
      </c>
      <c r="L24" s="50">
        <v>27.88</v>
      </c>
      <c r="M24" s="50">
        <v>61.78</v>
      </c>
      <c r="N24" s="50">
        <v>169.4</v>
      </c>
      <c r="O24" s="50">
        <v>0</v>
      </c>
      <c r="P24" s="50">
        <v>0.7</v>
      </c>
      <c r="Q24" s="50">
        <v>4.75</v>
      </c>
    </row>
    <row r="25" spans="1:17" customFormat="1">
      <c r="A25" s="49">
        <v>45334.708333333336</v>
      </c>
      <c r="B25" s="50">
        <v>4.92</v>
      </c>
      <c r="C25" s="50">
        <v>15.43</v>
      </c>
      <c r="D25" s="50">
        <v>13.36</v>
      </c>
      <c r="E25" s="50">
        <v>7.71</v>
      </c>
      <c r="F25" s="50">
        <v>8.3699999999999992</v>
      </c>
      <c r="G25" s="50">
        <v>55.66</v>
      </c>
      <c r="H25" s="50">
        <v>27.86</v>
      </c>
      <c r="I25" s="50">
        <v>5.79</v>
      </c>
      <c r="J25" s="50">
        <v>1.45</v>
      </c>
      <c r="K25" s="50">
        <v>59.06</v>
      </c>
      <c r="L25" s="50">
        <v>27.58</v>
      </c>
      <c r="M25" s="50">
        <v>65.62</v>
      </c>
      <c r="N25" s="50">
        <v>104.1</v>
      </c>
      <c r="O25" s="50">
        <v>0</v>
      </c>
      <c r="P25" s="50">
        <v>0.7</v>
      </c>
      <c r="Q25" s="50">
        <v>4.76</v>
      </c>
    </row>
    <row r="26" spans="1:17" customFormat="1">
      <c r="A26" s="49">
        <v>45334.75</v>
      </c>
      <c r="B26" s="50">
        <v>6.7</v>
      </c>
      <c r="C26" s="50">
        <v>20.399999999999999</v>
      </c>
      <c r="D26" s="50">
        <v>17.38</v>
      </c>
      <c r="E26" s="50">
        <v>8.84</v>
      </c>
      <c r="F26" s="50">
        <v>5.9</v>
      </c>
      <c r="G26" s="50">
        <v>56.54</v>
      </c>
      <c r="H26" s="50">
        <v>27.86</v>
      </c>
      <c r="I26" s="50">
        <v>5.79</v>
      </c>
      <c r="J26" s="50">
        <v>1.21</v>
      </c>
      <c r="K26" s="50">
        <v>62.78</v>
      </c>
      <c r="L26" s="50">
        <v>26.33</v>
      </c>
      <c r="M26" s="50">
        <v>70.650000000000006</v>
      </c>
      <c r="N26" s="50">
        <v>23.6</v>
      </c>
      <c r="O26" s="50">
        <v>0</v>
      </c>
      <c r="P26" s="50">
        <v>0.72</v>
      </c>
      <c r="Q26" s="50">
        <v>4.83</v>
      </c>
    </row>
    <row r="27" spans="1:17" customFormat="1">
      <c r="A27" s="49">
        <v>45334.791666666664</v>
      </c>
      <c r="B27" s="50">
        <v>10.83</v>
      </c>
      <c r="C27" s="50">
        <v>25.22</v>
      </c>
      <c r="D27" s="50">
        <v>23.21</v>
      </c>
      <c r="E27" s="50">
        <v>10.96</v>
      </c>
      <c r="F27" s="50">
        <v>3.55</v>
      </c>
      <c r="G27" s="50">
        <v>61.6</v>
      </c>
      <c r="H27" s="50">
        <v>29.2</v>
      </c>
      <c r="I27" s="50">
        <v>6.13</v>
      </c>
      <c r="J27" s="50">
        <v>1.04</v>
      </c>
      <c r="K27" s="50">
        <v>67.760000000000005</v>
      </c>
      <c r="L27" s="50">
        <v>24.96</v>
      </c>
      <c r="M27" s="50">
        <v>74.39</v>
      </c>
      <c r="N27" s="50">
        <v>0</v>
      </c>
      <c r="O27" s="50">
        <v>0</v>
      </c>
      <c r="P27" s="50">
        <v>0.77</v>
      </c>
      <c r="Q27" s="50">
        <v>4.88</v>
      </c>
    </row>
    <row r="28" spans="1:17" customFormat="1">
      <c r="A28" s="49">
        <v>45334.833333333336</v>
      </c>
      <c r="B28" s="50">
        <v>13.93</v>
      </c>
      <c r="C28" s="50">
        <v>27.72</v>
      </c>
      <c r="D28" s="50">
        <v>27.01</v>
      </c>
      <c r="E28" s="50">
        <v>10.66</v>
      </c>
      <c r="F28" s="50">
        <v>3.19</v>
      </c>
      <c r="G28" s="50">
        <v>65.319999999999993</v>
      </c>
      <c r="H28" s="50">
        <v>30.04</v>
      </c>
      <c r="I28" s="50">
        <v>6.4</v>
      </c>
      <c r="J28" s="50">
        <v>0.89</v>
      </c>
      <c r="K28" s="50">
        <v>66.510000000000005</v>
      </c>
      <c r="L28" s="50">
        <v>24.18</v>
      </c>
      <c r="M28" s="50">
        <v>76.56</v>
      </c>
      <c r="N28" s="50">
        <v>0</v>
      </c>
      <c r="O28" s="50">
        <v>0</v>
      </c>
      <c r="P28" s="50">
        <v>0.81</v>
      </c>
      <c r="Q28" s="50">
        <v>4.88</v>
      </c>
    </row>
    <row r="29" spans="1:17" customFormat="1">
      <c r="A29" s="49">
        <v>45334.875</v>
      </c>
      <c r="B29" s="50">
        <v>14.91</v>
      </c>
      <c r="C29" s="50">
        <v>28.87</v>
      </c>
      <c r="D29" s="50">
        <v>28.29</v>
      </c>
      <c r="E29" s="50">
        <v>11.08</v>
      </c>
      <c r="F29" s="50">
        <v>3.32</v>
      </c>
      <c r="G29" s="50">
        <v>70.94</v>
      </c>
      <c r="H29" s="50">
        <v>31.15</v>
      </c>
      <c r="I29" s="50">
        <v>6.73</v>
      </c>
      <c r="J29" s="50">
        <v>0.61</v>
      </c>
      <c r="K29" s="50">
        <v>81.510000000000005</v>
      </c>
      <c r="L29" s="50">
        <v>23.49</v>
      </c>
      <c r="M29" s="50">
        <v>77.59</v>
      </c>
      <c r="N29" s="50">
        <v>0</v>
      </c>
      <c r="O29" s="50">
        <v>0</v>
      </c>
      <c r="P29" s="50">
        <v>0.85</v>
      </c>
      <c r="Q29" s="50">
        <v>4.8600000000000003</v>
      </c>
    </row>
    <row r="30" spans="1:17" customFormat="1">
      <c r="A30" s="49">
        <v>45334.916666666664</v>
      </c>
      <c r="B30" s="50">
        <v>14.2</v>
      </c>
      <c r="C30" s="50">
        <v>29.02</v>
      </c>
      <c r="D30" s="50">
        <v>27.9</v>
      </c>
      <c r="E30" s="50">
        <v>11.84</v>
      </c>
      <c r="F30" s="50">
        <v>3.44</v>
      </c>
      <c r="G30" s="50">
        <v>70.94</v>
      </c>
      <c r="H30" s="50">
        <v>31.15</v>
      </c>
      <c r="I30" s="50">
        <v>6.8</v>
      </c>
      <c r="J30" s="50">
        <v>0.98</v>
      </c>
      <c r="K30" s="50">
        <v>143.97999999999999</v>
      </c>
      <c r="L30" s="50">
        <v>23.18</v>
      </c>
      <c r="M30" s="50">
        <v>77</v>
      </c>
      <c r="N30" s="50">
        <v>0</v>
      </c>
      <c r="O30" s="50">
        <v>0</v>
      </c>
      <c r="P30" s="50">
        <v>0.84</v>
      </c>
      <c r="Q30" s="50">
        <v>4.83</v>
      </c>
    </row>
    <row r="31" spans="1:17" customFormat="1">
      <c r="A31" s="49">
        <v>45334.958333333336</v>
      </c>
      <c r="B31" s="50">
        <v>11.64</v>
      </c>
      <c r="C31" s="50">
        <v>27.57</v>
      </c>
      <c r="D31" s="50">
        <v>24.95</v>
      </c>
      <c r="E31" s="50">
        <v>12.16</v>
      </c>
      <c r="F31" s="50">
        <v>3.97</v>
      </c>
      <c r="G31" s="50">
        <v>66.38</v>
      </c>
      <c r="H31" s="50">
        <v>28.58</v>
      </c>
      <c r="I31" s="50">
        <v>6.69</v>
      </c>
      <c r="J31" s="50">
        <v>0.28999999999999998</v>
      </c>
      <c r="K31" s="50">
        <v>148.26</v>
      </c>
      <c r="L31" s="50">
        <v>23.17</v>
      </c>
      <c r="M31" s="50">
        <v>78.13</v>
      </c>
      <c r="N31" s="50">
        <v>0</v>
      </c>
      <c r="O31" s="50">
        <v>0</v>
      </c>
      <c r="P31" s="50">
        <v>0.81</v>
      </c>
      <c r="Q31" s="50">
        <v>4.7699999999999996</v>
      </c>
    </row>
    <row r="32" spans="1:17" customFormat="1">
      <c r="A32" s="49">
        <v>45335</v>
      </c>
      <c r="B32" s="50">
        <v>10.029999999999999</v>
      </c>
      <c r="C32" s="50">
        <v>19.55</v>
      </c>
      <c r="D32" s="50">
        <v>19.61</v>
      </c>
      <c r="E32" s="50">
        <v>10.09</v>
      </c>
      <c r="F32" s="50">
        <v>3.76</v>
      </c>
      <c r="G32" s="50">
        <v>65.06</v>
      </c>
      <c r="H32" s="50">
        <v>25.92</v>
      </c>
      <c r="I32" s="50">
        <v>6.36</v>
      </c>
      <c r="J32" s="50">
        <v>0.22</v>
      </c>
      <c r="K32" s="50">
        <v>147.51</v>
      </c>
      <c r="L32" s="50">
        <v>22.64</v>
      </c>
      <c r="M32" s="50">
        <v>81.73</v>
      </c>
      <c r="N32" s="50">
        <v>0</v>
      </c>
      <c r="O32" s="50">
        <v>0</v>
      </c>
      <c r="P32" s="50">
        <v>0.77</v>
      </c>
      <c r="Q32" s="50">
        <v>4.75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4.4800000000000004</v>
      </c>
      <c r="C34" s="40">
        <f t="shared" si="0"/>
        <v>14.33</v>
      </c>
      <c r="D34" s="40">
        <f t="shared" si="0"/>
        <v>12.45</v>
      </c>
      <c r="E34" s="40">
        <f t="shared" si="0"/>
        <v>7.19</v>
      </c>
      <c r="F34" s="40">
        <f t="shared" si="0"/>
        <v>3.19</v>
      </c>
      <c r="G34" s="40">
        <f t="shared" si="0"/>
        <v>55.29</v>
      </c>
      <c r="H34" s="40">
        <f t="shared" si="0"/>
        <v>25.92</v>
      </c>
      <c r="I34" s="40">
        <f t="shared" si="0"/>
        <v>5.7</v>
      </c>
      <c r="J34" s="40">
        <f t="shared" si="0"/>
        <v>0.22</v>
      </c>
      <c r="K34" s="40">
        <f t="shared" si="0"/>
        <v>51.62</v>
      </c>
      <c r="L34" s="40">
        <f t="shared" si="0"/>
        <v>18.23</v>
      </c>
      <c r="M34" s="40">
        <f t="shared" si="0"/>
        <v>59.77</v>
      </c>
      <c r="N34" s="40">
        <f t="shared" si="0"/>
        <v>0</v>
      </c>
      <c r="O34" s="40">
        <f t="shared" si="0"/>
        <v>0</v>
      </c>
      <c r="P34" s="40">
        <f t="shared" si="0"/>
        <v>0.69</v>
      </c>
      <c r="Q34" s="40">
        <f t="shared" si="0"/>
        <v>4.68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14.91</v>
      </c>
      <c r="C35" s="33">
        <f t="shared" si="1"/>
        <v>29.02</v>
      </c>
      <c r="D35" s="33">
        <f t="shared" si="1"/>
        <v>28.29</v>
      </c>
      <c r="E35" s="33">
        <f t="shared" si="1"/>
        <v>12.16</v>
      </c>
      <c r="F35" s="33">
        <f t="shared" si="1"/>
        <v>8.7899999999999991</v>
      </c>
      <c r="G35" s="33">
        <f t="shared" si="1"/>
        <v>79.709999999999994</v>
      </c>
      <c r="H35" s="33">
        <f t="shared" si="1"/>
        <v>38.26</v>
      </c>
      <c r="I35" s="33">
        <f t="shared" si="1"/>
        <v>6.8</v>
      </c>
      <c r="J35" s="33">
        <f t="shared" si="1"/>
        <v>2.34</v>
      </c>
      <c r="K35" s="33">
        <f t="shared" si="1"/>
        <v>356.44</v>
      </c>
      <c r="L35" s="33">
        <f t="shared" si="1"/>
        <v>28.6</v>
      </c>
      <c r="M35" s="33">
        <f t="shared" si="1"/>
        <v>98.49</v>
      </c>
      <c r="N35" s="33">
        <f t="shared" si="1"/>
        <v>575.5</v>
      </c>
      <c r="O35" s="33">
        <f t="shared" si="1"/>
        <v>2.8</v>
      </c>
      <c r="P35" s="33">
        <f t="shared" si="1"/>
        <v>0.85</v>
      </c>
      <c r="Q35" s="33">
        <f t="shared" si="1"/>
        <v>4.88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7.8562499999999993</v>
      </c>
      <c r="C36" s="40">
        <f t="shared" si="2"/>
        <v>21.234583333333333</v>
      </c>
      <c r="D36" s="40">
        <f t="shared" si="2"/>
        <v>18.662499999999998</v>
      </c>
      <c r="E36" s="40">
        <f t="shared" si="2"/>
        <v>9.0408333333333335</v>
      </c>
      <c r="F36" s="40">
        <f t="shared" si="2"/>
        <v>4.5100000000000007</v>
      </c>
      <c r="G36" s="40">
        <f t="shared" si="2"/>
        <v>65.571250000000006</v>
      </c>
      <c r="H36" s="40">
        <f t="shared" si="2"/>
        <v>32.433749999999996</v>
      </c>
      <c r="I36" s="40">
        <f t="shared" si="2"/>
        <v>6.1120833333333344</v>
      </c>
      <c r="J36" s="40">
        <f t="shared" si="2"/>
        <v>0.90458333333333341</v>
      </c>
      <c r="K36" s="40">
        <f t="shared" si="2"/>
        <v>115.18500000000002</v>
      </c>
      <c r="L36" s="40">
        <f t="shared" si="2"/>
        <v>23.171666666666663</v>
      </c>
      <c r="M36" s="40">
        <f t="shared" si="2"/>
        <v>79.225000000000009</v>
      </c>
      <c r="N36" s="40">
        <f t="shared" si="2"/>
        <v>143.84583333333333</v>
      </c>
      <c r="O36" s="40">
        <f t="shared" si="2"/>
        <v>0.19999999999999998</v>
      </c>
      <c r="P36" s="40">
        <f t="shared" si="2"/>
        <v>0.74791666666666667</v>
      </c>
      <c r="Q36" s="40">
        <f t="shared" si="2"/>
        <v>4.7687499999999998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3.2114209404127867</v>
      </c>
      <c r="C37" s="40">
        <f t="shared" ref="C37:Q37" si="3">STDEV(C9:C32)</f>
        <v>4.2697275945760298</v>
      </c>
      <c r="D37" s="40">
        <f t="shared" si="3"/>
        <v>4.5741506695589056</v>
      </c>
      <c r="E37" s="40">
        <f t="shared" si="3"/>
        <v>1.4315237144132611</v>
      </c>
      <c r="F37" s="40">
        <f t="shared" si="3"/>
        <v>1.6229736529780345</v>
      </c>
      <c r="G37" s="40">
        <f t="shared" si="3"/>
        <v>7.8165611879103869</v>
      </c>
      <c r="H37" s="40">
        <f t="shared" si="3"/>
        <v>3.6943409278657611</v>
      </c>
      <c r="I37" s="40">
        <f t="shared" si="3"/>
        <v>0.3151394331384697</v>
      </c>
      <c r="J37" s="40">
        <f t="shared" si="3"/>
        <v>0.43737337712130225</v>
      </c>
      <c r="K37" s="40">
        <f t="shared" si="3"/>
        <v>80.084735287612418</v>
      </c>
      <c r="L37" s="40">
        <f t="shared" si="3"/>
        <v>3.6775874259305601</v>
      </c>
      <c r="M37" s="40">
        <f t="shared" si="3"/>
        <v>11.821356502754577</v>
      </c>
      <c r="N37" s="40">
        <f t="shared" si="3"/>
        <v>212.12237849916951</v>
      </c>
      <c r="O37" s="40">
        <f t="shared" si="3"/>
        <v>0.68778156289687609</v>
      </c>
      <c r="P37" s="40">
        <f t="shared" si="3"/>
        <v>4.6154670654100997E-2</v>
      </c>
      <c r="Q37" s="40">
        <f t="shared" si="3"/>
        <v>5.5506560520983107E-2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45335.041666666664</v>
      </c>
      <c r="B9" s="50">
        <v>9.86</v>
      </c>
      <c r="C9" s="50">
        <v>18.829999999999998</v>
      </c>
      <c r="D9" s="50">
        <v>19.100000000000001</v>
      </c>
      <c r="E9" s="50">
        <v>10.16</v>
      </c>
      <c r="F9" s="50">
        <v>3.74</v>
      </c>
      <c r="G9" s="50">
        <v>61.26</v>
      </c>
      <c r="H9" s="50">
        <v>26.16</v>
      </c>
      <c r="I9" s="50">
        <v>6.22</v>
      </c>
      <c r="J9" s="50">
        <v>0.24</v>
      </c>
      <c r="K9" s="50">
        <v>133.32</v>
      </c>
      <c r="L9" s="50">
        <v>22.28</v>
      </c>
      <c r="M9" s="50">
        <v>83.99</v>
      </c>
      <c r="N9" s="50">
        <v>0</v>
      </c>
      <c r="O9" s="50">
        <v>0</v>
      </c>
      <c r="P9" s="50">
        <v>0.75</v>
      </c>
      <c r="Q9" s="50">
        <v>4.75</v>
      </c>
    </row>
    <row r="10" spans="1:21" customFormat="1">
      <c r="A10" s="49">
        <v>45335.083333333336</v>
      </c>
      <c r="B10" s="50">
        <v>10.220000000000001</v>
      </c>
      <c r="C10" s="50">
        <v>16.71</v>
      </c>
      <c r="D10" s="50">
        <v>17.920000000000002</v>
      </c>
      <c r="E10" s="50">
        <v>9.74</v>
      </c>
      <c r="F10" s="50">
        <v>3.51</v>
      </c>
      <c r="G10" s="50">
        <v>61.26</v>
      </c>
      <c r="H10" s="50">
        <v>26.71</v>
      </c>
      <c r="I10" s="50">
        <v>6.07</v>
      </c>
      <c r="J10" s="50">
        <v>0.17</v>
      </c>
      <c r="K10" s="50">
        <v>330.45</v>
      </c>
      <c r="L10" s="50">
        <v>22.17</v>
      </c>
      <c r="M10" s="50">
        <v>88.68</v>
      </c>
      <c r="N10" s="50">
        <v>0</v>
      </c>
      <c r="O10" s="50">
        <v>0</v>
      </c>
      <c r="P10" s="50">
        <v>0.72</v>
      </c>
      <c r="Q10" s="50">
        <v>4.8099999999999996</v>
      </c>
    </row>
    <row r="11" spans="1:21" customFormat="1">
      <c r="A11" s="49">
        <v>45335.125</v>
      </c>
      <c r="B11" s="50">
        <v>11.77</v>
      </c>
      <c r="C11" s="50">
        <v>17.05</v>
      </c>
      <c r="D11" s="50">
        <v>19.38</v>
      </c>
      <c r="E11" s="50">
        <v>7.45</v>
      </c>
      <c r="F11" s="50">
        <v>3.46</v>
      </c>
      <c r="G11" s="50">
        <v>59.05</v>
      </c>
      <c r="H11" s="50">
        <v>27.74</v>
      </c>
      <c r="I11" s="50">
        <v>5.99</v>
      </c>
      <c r="J11" s="50">
        <v>0.44</v>
      </c>
      <c r="K11" s="50">
        <v>58.67</v>
      </c>
      <c r="L11" s="50">
        <v>21.19</v>
      </c>
      <c r="M11" s="50">
        <v>91.13</v>
      </c>
      <c r="N11" s="50">
        <v>0</v>
      </c>
      <c r="O11" s="50">
        <v>0</v>
      </c>
      <c r="P11" s="50">
        <v>0.72</v>
      </c>
      <c r="Q11" s="50">
        <v>4.83</v>
      </c>
    </row>
    <row r="12" spans="1:21" customFormat="1">
      <c r="A12" s="49">
        <v>45335.166666666664</v>
      </c>
      <c r="B12" s="50">
        <v>14.08</v>
      </c>
      <c r="C12" s="50">
        <v>18.39</v>
      </c>
      <c r="D12" s="50">
        <v>22.25</v>
      </c>
      <c r="E12" s="50">
        <v>7.42</v>
      </c>
      <c r="F12" s="50">
        <v>3.38</v>
      </c>
      <c r="G12" s="50">
        <v>54.55</v>
      </c>
      <c r="H12" s="50">
        <v>27.74</v>
      </c>
      <c r="I12" s="50">
        <v>5.96</v>
      </c>
      <c r="J12" s="50">
        <v>0.72</v>
      </c>
      <c r="K12" s="50">
        <v>53.83</v>
      </c>
      <c r="L12" s="50">
        <v>20.64</v>
      </c>
      <c r="M12" s="50">
        <v>93.84</v>
      </c>
      <c r="N12" s="50">
        <v>0</v>
      </c>
      <c r="O12" s="50">
        <v>0</v>
      </c>
      <c r="P12" s="50">
        <v>0.69</v>
      </c>
      <c r="Q12" s="50">
        <v>4.8499999999999996</v>
      </c>
    </row>
    <row r="13" spans="1:21" customFormat="1">
      <c r="A13" s="49">
        <v>45335.208333333336</v>
      </c>
      <c r="B13" s="50">
        <v>15.2</v>
      </c>
      <c r="C13" s="50">
        <v>20.52</v>
      </c>
      <c r="D13" s="50">
        <v>24.26</v>
      </c>
      <c r="E13" s="50">
        <v>7.85</v>
      </c>
      <c r="F13" s="50">
        <v>3.4</v>
      </c>
      <c r="G13" s="50">
        <v>54.49</v>
      </c>
      <c r="H13" s="50">
        <v>26.07</v>
      </c>
      <c r="I13" s="50">
        <v>5.99</v>
      </c>
      <c r="J13" s="50">
        <v>0.67</v>
      </c>
      <c r="K13" s="50">
        <v>58.81</v>
      </c>
      <c r="L13" s="50">
        <v>19.93</v>
      </c>
      <c r="M13" s="50">
        <v>95.49</v>
      </c>
      <c r="N13" s="50">
        <v>0</v>
      </c>
      <c r="O13" s="50">
        <v>0</v>
      </c>
      <c r="P13" s="50">
        <v>0.69</v>
      </c>
      <c r="Q13" s="50">
        <v>4.8499999999999996</v>
      </c>
    </row>
    <row r="14" spans="1:21" customFormat="1">
      <c r="A14" s="49">
        <v>45335.25</v>
      </c>
      <c r="B14" s="50">
        <v>17.36</v>
      </c>
      <c r="C14" s="50">
        <v>22.13</v>
      </c>
      <c r="D14" s="50">
        <v>26.83</v>
      </c>
      <c r="E14" s="50">
        <v>8.44</v>
      </c>
      <c r="F14" s="50">
        <v>3.19</v>
      </c>
      <c r="G14" s="50">
        <v>54.51</v>
      </c>
      <c r="H14" s="50">
        <v>27.99</v>
      </c>
      <c r="I14" s="50">
        <v>6.11</v>
      </c>
      <c r="J14" s="50">
        <v>0.46</v>
      </c>
      <c r="K14" s="50">
        <v>70.16</v>
      </c>
      <c r="L14" s="50">
        <v>19.670000000000002</v>
      </c>
      <c r="M14" s="50">
        <v>96.53</v>
      </c>
      <c r="N14" s="50">
        <v>0</v>
      </c>
      <c r="O14" s="50">
        <v>0</v>
      </c>
      <c r="P14" s="50">
        <v>0.7</v>
      </c>
      <c r="Q14" s="50">
        <v>4.83</v>
      </c>
    </row>
    <row r="15" spans="1:21" customFormat="1">
      <c r="A15" s="49">
        <v>45335.291666666664</v>
      </c>
      <c r="B15" s="50">
        <v>21.02</v>
      </c>
      <c r="C15" s="50">
        <v>23.84</v>
      </c>
      <c r="D15" s="50">
        <v>30.67</v>
      </c>
      <c r="E15" s="50">
        <v>8.7899999999999991</v>
      </c>
      <c r="F15" s="50">
        <v>3.27</v>
      </c>
      <c r="G15" s="50">
        <v>59.82</v>
      </c>
      <c r="H15" s="50">
        <v>27.99</v>
      </c>
      <c r="I15" s="50">
        <v>6.5</v>
      </c>
      <c r="J15" s="50">
        <v>0.44</v>
      </c>
      <c r="K15" s="50">
        <v>55.88</v>
      </c>
      <c r="L15" s="50">
        <v>19.46</v>
      </c>
      <c r="M15" s="50">
        <v>97.26</v>
      </c>
      <c r="N15" s="50">
        <v>12.8</v>
      </c>
      <c r="O15" s="50">
        <v>0</v>
      </c>
      <c r="P15" s="50">
        <v>0.75</v>
      </c>
      <c r="Q15" s="50">
        <v>4.8499999999999996</v>
      </c>
    </row>
    <row r="16" spans="1:21" customFormat="1">
      <c r="A16" s="49">
        <v>45335.333333333336</v>
      </c>
      <c r="B16" s="50">
        <v>23.7</v>
      </c>
      <c r="C16" s="50">
        <v>25</v>
      </c>
      <c r="D16" s="50">
        <v>33.42</v>
      </c>
      <c r="E16" s="50">
        <v>8.9499999999999993</v>
      </c>
      <c r="F16" s="50">
        <v>3.16</v>
      </c>
      <c r="G16" s="50">
        <v>68.27</v>
      </c>
      <c r="H16" s="50">
        <v>29.17</v>
      </c>
      <c r="I16" s="50">
        <v>7.46</v>
      </c>
      <c r="J16" s="50">
        <v>0.57999999999999996</v>
      </c>
      <c r="K16" s="50">
        <v>69.39</v>
      </c>
      <c r="L16" s="50">
        <v>20.56</v>
      </c>
      <c r="M16" s="50">
        <v>96.69</v>
      </c>
      <c r="N16" s="50">
        <v>84.1</v>
      </c>
      <c r="O16" s="50">
        <v>0</v>
      </c>
      <c r="P16" s="50">
        <v>0.82</v>
      </c>
      <c r="Q16" s="50">
        <v>4.87</v>
      </c>
    </row>
    <row r="17" spans="1:17" customFormat="1">
      <c r="A17" s="49">
        <v>45335.375</v>
      </c>
      <c r="B17" s="50">
        <v>24.43</v>
      </c>
      <c r="C17" s="50">
        <v>26.15</v>
      </c>
      <c r="D17" s="50">
        <v>34.06</v>
      </c>
      <c r="E17" s="50">
        <v>9.2899999999999991</v>
      </c>
      <c r="F17" s="50">
        <v>3.81</v>
      </c>
      <c r="G17" s="50">
        <v>69.739999999999995</v>
      </c>
      <c r="H17" s="50">
        <v>32.93</v>
      </c>
      <c r="I17" s="50">
        <v>8.1</v>
      </c>
      <c r="J17" s="50">
        <v>0.8</v>
      </c>
      <c r="K17" s="50">
        <v>71.62</v>
      </c>
      <c r="L17" s="50">
        <v>22.53</v>
      </c>
      <c r="M17" s="50">
        <v>90.38</v>
      </c>
      <c r="N17" s="50">
        <v>183.3</v>
      </c>
      <c r="O17" s="50">
        <v>0</v>
      </c>
      <c r="P17" s="50">
        <v>0.89</v>
      </c>
      <c r="Q17" s="50">
        <v>4.8600000000000003</v>
      </c>
    </row>
    <row r="18" spans="1:17" customFormat="1">
      <c r="A18" s="49">
        <v>45335.416666666664</v>
      </c>
      <c r="B18" s="50">
        <v>24.41</v>
      </c>
      <c r="C18" s="50">
        <v>18.899999999999999</v>
      </c>
      <c r="D18" s="50">
        <v>30.55</v>
      </c>
      <c r="E18" s="50">
        <v>8.39</v>
      </c>
      <c r="F18" s="50">
        <v>3.57</v>
      </c>
      <c r="G18" s="50">
        <v>69.739999999999995</v>
      </c>
      <c r="H18" s="50">
        <v>33.74</v>
      </c>
      <c r="I18" s="50">
        <v>8.26</v>
      </c>
      <c r="J18" s="50">
        <v>0.56999999999999995</v>
      </c>
      <c r="K18" s="50">
        <v>320.12</v>
      </c>
      <c r="L18" s="50">
        <v>24.57</v>
      </c>
      <c r="M18" s="50">
        <v>83.7</v>
      </c>
      <c r="N18" s="50">
        <v>270.39999999999998</v>
      </c>
      <c r="O18" s="50">
        <v>0</v>
      </c>
      <c r="P18" s="50">
        <v>0.89</v>
      </c>
      <c r="Q18" s="50">
        <v>4.8499999999999996</v>
      </c>
    </row>
    <row r="19" spans="1:17" customFormat="1">
      <c r="A19" s="49">
        <v>45335.458333333336</v>
      </c>
      <c r="B19" s="50">
        <v>23.09</v>
      </c>
      <c r="C19" s="50">
        <v>18.54</v>
      </c>
      <c r="D19" s="50">
        <v>29.55</v>
      </c>
      <c r="E19" s="50">
        <v>10.62</v>
      </c>
      <c r="F19" s="50">
        <v>3.73</v>
      </c>
      <c r="G19" s="50">
        <v>67.44</v>
      </c>
      <c r="H19" s="50">
        <v>34.549999999999997</v>
      </c>
      <c r="I19" s="50">
        <v>8.27</v>
      </c>
      <c r="J19" s="50">
        <v>0.45</v>
      </c>
      <c r="K19" s="50">
        <v>328.12</v>
      </c>
      <c r="L19" s="50">
        <v>27.42</v>
      </c>
      <c r="M19" s="50">
        <v>72.89</v>
      </c>
      <c r="N19" s="50">
        <v>499.1</v>
      </c>
      <c r="O19" s="50">
        <v>0</v>
      </c>
      <c r="P19" s="50">
        <v>0.89</v>
      </c>
      <c r="Q19" s="50">
        <v>4.8499999999999996</v>
      </c>
    </row>
    <row r="20" spans="1:17" customFormat="1">
      <c r="A20" s="49">
        <v>45335.5</v>
      </c>
      <c r="B20" s="50">
        <v>18.510000000000002</v>
      </c>
      <c r="C20" s="50">
        <v>17.38</v>
      </c>
      <c r="D20" s="50">
        <v>25.13</v>
      </c>
      <c r="E20" s="50">
        <v>10.16</v>
      </c>
      <c r="F20" s="50">
        <v>4.0199999999999996</v>
      </c>
      <c r="G20" s="50">
        <v>64.78</v>
      </c>
      <c r="H20" s="50">
        <v>34.549999999999997</v>
      </c>
      <c r="I20" s="50">
        <v>8.02</v>
      </c>
      <c r="J20" s="50">
        <v>1.1399999999999999</v>
      </c>
      <c r="K20" s="50">
        <v>317.42</v>
      </c>
      <c r="L20" s="50">
        <v>28.49</v>
      </c>
      <c r="M20" s="50">
        <v>56.55</v>
      </c>
      <c r="N20" s="50">
        <v>563.9</v>
      </c>
      <c r="O20" s="50">
        <v>0</v>
      </c>
      <c r="P20" s="50">
        <v>0.86</v>
      </c>
      <c r="Q20" s="50">
        <v>4.84</v>
      </c>
    </row>
    <row r="21" spans="1:17" customFormat="1">
      <c r="A21" s="49">
        <v>45335.541666666664</v>
      </c>
      <c r="B21" s="50">
        <v>12.44</v>
      </c>
      <c r="C21" s="50">
        <v>17.47</v>
      </c>
      <c r="D21" s="50">
        <v>20.420000000000002</v>
      </c>
      <c r="E21" s="50">
        <v>9.93</v>
      </c>
      <c r="F21" s="50">
        <v>4.54</v>
      </c>
      <c r="G21" s="50">
        <v>67.760000000000005</v>
      </c>
      <c r="H21" s="50">
        <v>32.299999999999997</v>
      </c>
      <c r="I21" s="50">
        <v>8.25</v>
      </c>
      <c r="J21" s="50">
        <v>0.43</v>
      </c>
      <c r="K21" s="50">
        <v>300.22000000000003</v>
      </c>
      <c r="L21" s="50">
        <v>29.38</v>
      </c>
      <c r="M21" s="50">
        <v>50.73</v>
      </c>
      <c r="N21" s="50">
        <v>561.1</v>
      </c>
      <c r="O21" s="50">
        <v>0</v>
      </c>
      <c r="P21" s="50">
        <v>0.91</v>
      </c>
      <c r="Q21" s="50">
        <v>4.84</v>
      </c>
    </row>
    <row r="22" spans="1:17" customFormat="1">
      <c r="A22" s="49">
        <v>45335.583333333336</v>
      </c>
      <c r="B22" s="50">
        <v>7.44</v>
      </c>
      <c r="C22" s="50">
        <v>19.829999999999998</v>
      </c>
      <c r="D22" s="50">
        <v>16.82</v>
      </c>
      <c r="E22" s="50">
        <v>11.62</v>
      </c>
      <c r="F22" s="50">
        <v>8.4700000000000006</v>
      </c>
      <c r="G22" s="50">
        <v>76.06</v>
      </c>
      <c r="H22" s="50">
        <v>34.07</v>
      </c>
      <c r="I22" s="50">
        <v>8.9600000000000009</v>
      </c>
      <c r="J22" s="50">
        <v>0.65</v>
      </c>
      <c r="K22" s="50">
        <v>324.16000000000003</v>
      </c>
      <c r="L22" s="50">
        <v>29.94</v>
      </c>
      <c r="M22" s="50">
        <v>46.87</v>
      </c>
      <c r="N22" s="50">
        <v>477.5</v>
      </c>
      <c r="O22" s="50">
        <v>0</v>
      </c>
      <c r="P22" s="50">
        <v>0.97</v>
      </c>
      <c r="Q22" s="50">
        <v>4.83</v>
      </c>
    </row>
    <row r="23" spans="1:17" customFormat="1">
      <c r="A23" s="49">
        <v>45335.625</v>
      </c>
      <c r="B23" s="50">
        <v>4.05</v>
      </c>
      <c r="C23" s="50">
        <v>19.77</v>
      </c>
      <c r="D23" s="50">
        <v>14.93</v>
      </c>
      <c r="E23" s="50">
        <v>10.72</v>
      </c>
      <c r="F23" s="50">
        <v>9.33</v>
      </c>
      <c r="G23" s="50">
        <v>76.06</v>
      </c>
      <c r="H23" s="50">
        <v>34.07</v>
      </c>
      <c r="I23" s="50">
        <v>9.4600000000000009</v>
      </c>
      <c r="J23" s="50">
        <v>0.8</v>
      </c>
      <c r="K23" s="50">
        <v>292.89999999999998</v>
      </c>
      <c r="L23" s="50">
        <v>30.5</v>
      </c>
      <c r="M23" s="50">
        <v>43.05</v>
      </c>
      <c r="N23" s="50">
        <v>484.8</v>
      </c>
      <c r="O23" s="50">
        <v>0</v>
      </c>
      <c r="P23" s="50">
        <v>0.95</v>
      </c>
      <c r="Q23" s="50">
        <v>4.8</v>
      </c>
    </row>
    <row r="24" spans="1:17" customFormat="1">
      <c r="A24" s="49">
        <v>45335.666666666664</v>
      </c>
      <c r="B24" s="50">
        <v>3.86</v>
      </c>
      <c r="C24" s="50">
        <v>18.14</v>
      </c>
      <c r="D24" s="50">
        <v>13.83</v>
      </c>
      <c r="E24" s="50">
        <v>10.36</v>
      </c>
      <c r="F24" s="50">
        <v>8.2100000000000009</v>
      </c>
      <c r="G24" s="50">
        <v>71.510000000000005</v>
      </c>
      <c r="H24" s="50">
        <v>32.96</v>
      </c>
      <c r="I24" s="50">
        <v>9.1300000000000008</v>
      </c>
      <c r="J24" s="50">
        <v>0.52</v>
      </c>
      <c r="K24" s="50">
        <v>271.05</v>
      </c>
      <c r="L24" s="50">
        <v>30.22</v>
      </c>
      <c r="M24" s="50">
        <v>40.21</v>
      </c>
      <c r="N24" s="50">
        <v>159.5</v>
      </c>
      <c r="O24" s="50">
        <v>0</v>
      </c>
      <c r="P24" s="50">
        <v>0.9</v>
      </c>
      <c r="Q24" s="50">
        <v>4.7699999999999996</v>
      </c>
    </row>
    <row r="25" spans="1:17" customFormat="1">
      <c r="A25" s="49">
        <v>45335.708333333336</v>
      </c>
      <c r="B25" s="50">
        <v>4.01</v>
      </c>
      <c r="C25" s="50">
        <v>17.25</v>
      </c>
      <c r="D25" s="50">
        <v>13.47</v>
      </c>
      <c r="E25" s="50">
        <v>10.35</v>
      </c>
      <c r="F25" s="50">
        <v>8.11</v>
      </c>
      <c r="G25" s="50">
        <v>60.46</v>
      </c>
      <c r="H25" s="50">
        <v>30.34</v>
      </c>
      <c r="I25" s="50">
        <v>8.35</v>
      </c>
      <c r="J25" s="50">
        <v>0.34</v>
      </c>
      <c r="K25" s="50">
        <v>274.45999999999998</v>
      </c>
      <c r="L25" s="50">
        <v>29.73</v>
      </c>
      <c r="M25" s="50">
        <v>42.04</v>
      </c>
      <c r="N25" s="50">
        <v>99.2</v>
      </c>
      <c r="O25" s="50">
        <v>0</v>
      </c>
      <c r="P25" s="50">
        <v>0.83</v>
      </c>
      <c r="Q25" s="50">
        <v>4.72</v>
      </c>
    </row>
    <row r="26" spans="1:17" customFormat="1">
      <c r="A26" s="49">
        <v>45335.75</v>
      </c>
      <c r="B26" s="50">
        <v>4.16</v>
      </c>
      <c r="C26" s="50">
        <v>16.89</v>
      </c>
      <c r="D26" s="50">
        <v>13.47</v>
      </c>
      <c r="E26" s="50">
        <v>11.05</v>
      </c>
      <c r="F26" s="50">
        <v>6.82</v>
      </c>
      <c r="G26" s="50">
        <v>46.21</v>
      </c>
      <c r="H26" s="50">
        <v>25.73</v>
      </c>
      <c r="I26" s="50">
        <v>7.45</v>
      </c>
      <c r="J26" s="50">
        <v>0.33</v>
      </c>
      <c r="K26" s="50">
        <v>186.06</v>
      </c>
      <c r="L26" s="50">
        <v>28.03</v>
      </c>
      <c r="M26" s="50">
        <v>55.81</v>
      </c>
      <c r="N26" s="50">
        <v>29.6</v>
      </c>
      <c r="O26" s="50">
        <v>0</v>
      </c>
      <c r="P26" s="50">
        <v>0.76</v>
      </c>
      <c r="Q26" s="50">
        <v>4.72</v>
      </c>
    </row>
    <row r="27" spans="1:17" customFormat="1">
      <c r="A27" s="49">
        <v>45335.791666666664</v>
      </c>
      <c r="B27" s="50">
        <v>4.8499999999999996</v>
      </c>
      <c r="C27" s="50">
        <v>17.239999999999998</v>
      </c>
      <c r="D27" s="50">
        <v>13.73</v>
      </c>
      <c r="E27" s="50">
        <v>7.82</v>
      </c>
      <c r="F27" s="50">
        <v>4.5999999999999996</v>
      </c>
      <c r="G27" s="50">
        <v>45.52</v>
      </c>
      <c r="H27" s="50">
        <v>25.47</v>
      </c>
      <c r="I27" s="50">
        <v>6.93</v>
      </c>
      <c r="J27" s="50">
        <v>0.26</v>
      </c>
      <c r="K27" s="50">
        <v>176.63</v>
      </c>
      <c r="L27" s="50">
        <v>25.39</v>
      </c>
      <c r="M27" s="50">
        <v>65.84</v>
      </c>
      <c r="N27" s="50">
        <v>0</v>
      </c>
      <c r="O27" s="50">
        <v>0</v>
      </c>
      <c r="P27" s="50">
        <v>0.74</v>
      </c>
      <c r="Q27" s="50">
        <v>4.68</v>
      </c>
    </row>
    <row r="28" spans="1:17" customFormat="1">
      <c r="A28" s="49">
        <v>45335.833333333336</v>
      </c>
      <c r="B28" s="50">
        <v>5.78</v>
      </c>
      <c r="C28" s="50">
        <v>12.54</v>
      </c>
      <c r="D28" s="50">
        <v>12.54</v>
      </c>
      <c r="E28" s="50">
        <v>7.05</v>
      </c>
      <c r="F28" s="50">
        <v>3.74</v>
      </c>
      <c r="G28" s="50">
        <v>45.41</v>
      </c>
      <c r="H28" s="50">
        <v>23.12</v>
      </c>
      <c r="I28" s="50">
        <v>7.2</v>
      </c>
      <c r="J28" s="50">
        <v>0.26</v>
      </c>
      <c r="K28" s="50">
        <v>181.09</v>
      </c>
      <c r="L28" s="50">
        <v>23.99</v>
      </c>
      <c r="M28" s="50">
        <v>71.540000000000006</v>
      </c>
      <c r="N28" s="50">
        <v>0</v>
      </c>
      <c r="O28" s="50">
        <v>0</v>
      </c>
      <c r="P28" s="50">
        <v>0.73</v>
      </c>
      <c r="Q28" s="50">
        <v>4.75</v>
      </c>
    </row>
    <row r="29" spans="1:17" customFormat="1">
      <c r="A29" s="49">
        <v>45335.875</v>
      </c>
      <c r="B29" s="50">
        <v>10.27</v>
      </c>
      <c r="C29" s="50">
        <v>13.96</v>
      </c>
      <c r="D29" s="50">
        <v>16.77</v>
      </c>
      <c r="E29" s="50">
        <v>7.71</v>
      </c>
      <c r="F29" s="50">
        <v>3.59</v>
      </c>
      <c r="G29" s="50">
        <v>59.46</v>
      </c>
      <c r="H29" s="50">
        <v>26.55</v>
      </c>
      <c r="I29" s="50">
        <v>7.46</v>
      </c>
      <c r="J29" s="50">
        <v>0.28999999999999998</v>
      </c>
      <c r="K29" s="50">
        <v>186.86</v>
      </c>
      <c r="L29" s="50">
        <v>23.41</v>
      </c>
      <c r="M29" s="50">
        <v>72.25</v>
      </c>
      <c r="N29" s="50">
        <v>0</v>
      </c>
      <c r="O29" s="50">
        <v>0</v>
      </c>
      <c r="P29" s="50">
        <v>0.79</v>
      </c>
      <c r="Q29" s="50">
        <v>4.8</v>
      </c>
    </row>
    <row r="30" spans="1:17" customFormat="1">
      <c r="A30" s="49">
        <v>45335.916666666664</v>
      </c>
      <c r="B30" s="50">
        <v>16.079999999999998</v>
      </c>
      <c r="C30" s="50">
        <v>18.13</v>
      </c>
      <c r="D30" s="50">
        <v>23.35</v>
      </c>
      <c r="E30" s="50">
        <v>7.97</v>
      </c>
      <c r="F30" s="50">
        <v>3.45</v>
      </c>
      <c r="G30" s="50">
        <v>188.64</v>
      </c>
      <c r="H30" s="50">
        <v>36.590000000000003</v>
      </c>
      <c r="I30" s="50">
        <v>8.25</v>
      </c>
      <c r="J30" s="50">
        <v>0.27</v>
      </c>
      <c r="K30" s="50">
        <v>177.64</v>
      </c>
      <c r="L30" s="50">
        <v>22.71</v>
      </c>
      <c r="M30" s="50">
        <v>81.08</v>
      </c>
      <c r="N30" s="50">
        <v>0</v>
      </c>
      <c r="O30" s="50">
        <v>0</v>
      </c>
      <c r="P30" s="50">
        <v>0.88</v>
      </c>
      <c r="Q30" s="50">
        <v>4.84</v>
      </c>
    </row>
    <row r="31" spans="1:17" customFormat="1">
      <c r="A31" s="49">
        <v>45335.958333333336</v>
      </c>
      <c r="B31" s="50">
        <v>16.62</v>
      </c>
      <c r="C31" s="50">
        <v>20.07</v>
      </c>
      <c r="D31" s="50">
        <v>25.17</v>
      </c>
      <c r="E31" s="50">
        <v>8.08</v>
      </c>
      <c r="F31" s="50">
        <v>3.45</v>
      </c>
      <c r="G31" s="50">
        <v>188.64</v>
      </c>
      <c r="H31" s="50">
        <v>36.590000000000003</v>
      </c>
      <c r="I31" s="50">
        <v>8.6</v>
      </c>
      <c r="J31" s="50">
        <v>0.26</v>
      </c>
      <c r="K31" s="50">
        <v>250.27</v>
      </c>
      <c r="L31" s="50">
        <v>20.74</v>
      </c>
      <c r="M31" s="50">
        <v>86.46</v>
      </c>
      <c r="N31" s="50">
        <v>0</v>
      </c>
      <c r="O31" s="50">
        <v>0</v>
      </c>
      <c r="P31" s="50">
        <v>0.91</v>
      </c>
      <c r="Q31" s="50">
        <v>4.8600000000000003</v>
      </c>
    </row>
    <row r="32" spans="1:17" customFormat="1">
      <c r="A32" s="49">
        <v>45336</v>
      </c>
      <c r="B32" s="50">
        <v>16.510000000000002</v>
      </c>
      <c r="C32" s="50">
        <v>21.54</v>
      </c>
      <c r="D32" s="50">
        <v>25.24</v>
      </c>
      <c r="E32" s="50">
        <v>8.2100000000000009</v>
      </c>
      <c r="F32" s="50">
        <v>3.29</v>
      </c>
      <c r="G32" s="50">
        <v>131.54</v>
      </c>
      <c r="H32" s="50">
        <v>35.25</v>
      </c>
      <c r="I32" s="50">
        <v>8.75</v>
      </c>
      <c r="J32" s="50">
        <v>0.26</v>
      </c>
      <c r="K32" s="50">
        <v>196.71</v>
      </c>
      <c r="L32" s="50">
        <v>20.18</v>
      </c>
      <c r="M32" s="50">
        <v>89.25</v>
      </c>
      <c r="N32" s="50">
        <v>0</v>
      </c>
      <c r="O32" s="50">
        <v>0</v>
      </c>
      <c r="P32" s="50">
        <v>0.92</v>
      </c>
      <c r="Q32" s="50">
        <v>4.9000000000000004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3.86</v>
      </c>
      <c r="C34" s="40">
        <f t="shared" si="0"/>
        <v>12.54</v>
      </c>
      <c r="D34" s="40">
        <f t="shared" si="0"/>
        <v>12.54</v>
      </c>
      <c r="E34" s="40">
        <f t="shared" si="0"/>
        <v>7.05</v>
      </c>
      <c r="F34" s="40">
        <f t="shared" si="0"/>
        <v>3.16</v>
      </c>
      <c r="G34" s="40">
        <f t="shared" si="0"/>
        <v>45.41</v>
      </c>
      <c r="H34" s="40">
        <f t="shared" si="0"/>
        <v>23.12</v>
      </c>
      <c r="I34" s="40">
        <f t="shared" si="0"/>
        <v>5.96</v>
      </c>
      <c r="J34" s="40">
        <f t="shared" si="0"/>
        <v>0.17</v>
      </c>
      <c r="K34" s="40">
        <f t="shared" si="0"/>
        <v>53.83</v>
      </c>
      <c r="L34" s="40">
        <f t="shared" si="0"/>
        <v>19.46</v>
      </c>
      <c r="M34" s="40">
        <f t="shared" si="0"/>
        <v>40.21</v>
      </c>
      <c r="N34" s="40">
        <f t="shared" si="0"/>
        <v>0</v>
      </c>
      <c r="O34" s="40">
        <f t="shared" si="0"/>
        <v>0</v>
      </c>
      <c r="P34" s="40">
        <f t="shared" si="0"/>
        <v>0.69</v>
      </c>
      <c r="Q34" s="40">
        <f t="shared" si="0"/>
        <v>4.68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24.43</v>
      </c>
      <c r="C35" s="33">
        <f t="shared" si="1"/>
        <v>26.15</v>
      </c>
      <c r="D35" s="33">
        <f t="shared" si="1"/>
        <v>34.06</v>
      </c>
      <c r="E35" s="33">
        <f t="shared" si="1"/>
        <v>11.62</v>
      </c>
      <c r="F35" s="33">
        <f t="shared" si="1"/>
        <v>9.33</v>
      </c>
      <c r="G35" s="33">
        <f t="shared" si="1"/>
        <v>188.64</v>
      </c>
      <c r="H35" s="33">
        <f t="shared" si="1"/>
        <v>36.590000000000003</v>
      </c>
      <c r="I35" s="33">
        <f t="shared" si="1"/>
        <v>9.4600000000000009</v>
      </c>
      <c r="J35" s="33">
        <f t="shared" si="1"/>
        <v>1.1399999999999999</v>
      </c>
      <c r="K35" s="33">
        <f t="shared" si="1"/>
        <v>330.45</v>
      </c>
      <c r="L35" s="33">
        <f t="shared" si="1"/>
        <v>30.5</v>
      </c>
      <c r="M35" s="33">
        <f t="shared" si="1"/>
        <v>97.26</v>
      </c>
      <c r="N35" s="33">
        <f t="shared" si="1"/>
        <v>563.9</v>
      </c>
      <c r="O35" s="33">
        <f t="shared" si="1"/>
        <v>0</v>
      </c>
      <c r="P35" s="33">
        <f t="shared" si="1"/>
        <v>0.97</v>
      </c>
      <c r="Q35" s="33">
        <f t="shared" si="1"/>
        <v>4.9000000000000004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13.321666666666664</v>
      </c>
      <c r="C36" s="40">
        <f t="shared" si="2"/>
        <v>19.011249999999997</v>
      </c>
      <c r="D36" s="40">
        <f t="shared" si="2"/>
        <v>21.78583333333334</v>
      </c>
      <c r="E36" s="40">
        <f t="shared" si="2"/>
        <v>9.088750000000001</v>
      </c>
      <c r="F36" s="40">
        <f t="shared" si="2"/>
        <v>4.5766666666666671</v>
      </c>
      <c r="G36" s="40">
        <f t="shared" si="2"/>
        <v>75.090833333333322</v>
      </c>
      <c r="H36" s="40">
        <f t="shared" si="2"/>
        <v>30.349166666666672</v>
      </c>
      <c r="I36" s="40">
        <f t="shared" si="2"/>
        <v>7.5724999999999989</v>
      </c>
      <c r="J36" s="40">
        <f t="shared" si="2"/>
        <v>0.4729166666666666</v>
      </c>
      <c r="K36" s="40">
        <f t="shared" si="2"/>
        <v>195.24333333333337</v>
      </c>
      <c r="L36" s="40">
        <f t="shared" si="2"/>
        <v>24.297083333333333</v>
      </c>
      <c r="M36" s="40">
        <f t="shared" si="2"/>
        <v>74.677499999999981</v>
      </c>
      <c r="N36" s="40">
        <f t="shared" si="2"/>
        <v>142.72083333333333</v>
      </c>
      <c r="O36" s="40">
        <f t="shared" si="2"/>
        <v>0</v>
      </c>
      <c r="P36" s="40">
        <f t="shared" si="2"/>
        <v>0.81916666666666671</v>
      </c>
      <c r="Q36" s="40">
        <f t="shared" si="2"/>
        <v>4.8145833333333323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7.0037099899402229</v>
      </c>
      <c r="C37" s="40">
        <f t="shared" ref="C37:Q37" si="3">STDEV(C9:C32)</f>
        <v>3.1305442123083784</v>
      </c>
      <c r="D37" s="40">
        <f t="shared" si="3"/>
        <v>6.7548391135004122</v>
      </c>
      <c r="E37" s="40">
        <f t="shared" si="3"/>
        <v>1.3296724425014605</v>
      </c>
      <c r="F37" s="40">
        <f t="shared" si="3"/>
        <v>1.9616578318543147</v>
      </c>
      <c r="G37" s="40">
        <f t="shared" si="3"/>
        <v>38.730544278965795</v>
      </c>
      <c r="H37" s="40">
        <f t="shared" si="3"/>
        <v>4.0687397008930057</v>
      </c>
      <c r="I37" s="40">
        <f t="shared" si="3"/>
        <v>1.1208042531651294</v>
      </c>
      <c r="J37" s="40">
        <f t="shared" si="3"/>
        <v>0.23387992397933546</v>
      </c>
      <c r="K37" s="40">
        <f t="shared" si="3"/>
        <v>103.62692539425581</v>
      </c>
      <c r="L37" s="40">
        <f t="shared" si="3"/>
        <v>3.8947048547735972</v>
      </c>
      <c r="M37" s="40">
        <f t="shared" si="3"/>
        <v>19.702037910482506</v>
      </c>
      <c r="N37" s="40">
        <f t="shared" si="3"/>
        <v>209.15997617627031</v>
      </c>
      <c r="O37" s="40">
        <f t="shared" si="3"/>
        <v>0</v>
      </c>
      <c r="P37" s="40">
        <f t="shared" si="3"/>
        <v>9.0645830939246677E-2</v>
      </c>
      <c r="Q37" s="40">
        <f t="shared" si="3"/>
        <v>5.5244843683580076E-2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45336.041666666664</v>
      </c>
      <c r="B9" s="50">
        <v>16.079999999999998</v>
      </c>
      <c r="C9" s="50">
        <v>21.82</v>
      </c>
      <c r="D9" s="50">
        <v>25.24</v>
      </c>
      <c r="E9" s="50">
        <v>8.69</v>
      </c>
      <c r="F9" s="50">
        <v>3.3</v>
      </c>
      <c r="G9" s="50">
        <v>83.52</v>
      </c>
      <c r="H9" s="50">
        <v>33.78</v>
      </c>
      <c r="I9" s="50">
        <v>8.74</v>
      </c>
      <c r="J9" s="50">
        <v>0.18</v>
      </c>
      <c r="K9" s="50">
        <v>243.1</v>
      </c>
      <c r="L9" s="50">
        <v>19.46</v>
      </c>
      <c r="M9" s="50">
        <v>90.22</v>
      </c>
      <c r="N9" s="50">
        <v>0</v>
      </c>
      <c r="O9" s="50">
        <v>0</v>
      </c>
      <c r="P9" s="50">
        <v>0.91</v>
      </c>
      <c r="Q9" s="50">
        <v>4.87</v>
      </c>
    </row>
    <row r="10" spans="1:21" customFormat="1">
      <c r="A10" s="49">
        <v>45336.083333333336</v>
      </c>
      <c r="B10" s="50">
        <v>14.59</v>
      </c>
      <c r="C10" s="50">
        <v>21.79</v>
      </c>
      <c r="D10" s="50">
        <v>24.34</v>
      </c>
      <c r="E10" s="50">
        <v>8.66</v>
      </c>
      <c r="F10" s="50">
        <v>3.31</v>
      </c>
      <c r="G10" s="50">
        <v>63.42</v>
      </c>
      <c r="H10" s="50">
        <v>32.869999999999997</v>
      </c>
      <c r="I10" s="50">
        <v>8.65</v>
      </c>
      <c r="J10" s="50">
        <v>0.23</v>
      </c>
      <c r="K10" s="50">
        <v>220.38</v>
      </c>
      <c r="L10" s="50">
        <v>19.11</v>
      </c>
      <c r="M10" s="50">
        <v>89.53</v>
      </c>
      <c r="N10" s="50">
        <v>0</v>
      </c>
      <c r="O10" s="50">
        <v>0</v>
      </c>
      <c r="P10" s="50">
        <v>0.91</v>
      </c>
      <c r="Q10" s="50">
        <v>4.82</v>
      </c>
    </row>
    <row r="11" spans="1:21" customFormat="1">
      <c r="A11" s="49">
        <v>45336.125</v>
      </c>
      <c r="B11" s="50">
        <v>13.72</v>
      </c>
      <c r="C11" s="50">
        <v>21.55</v>
      </c>
      <c r="D11" s="50">
        <v>23.62</v>
      </c>
      <c r="E11" s="50">
        <v>7.35</v>
      </c>
      <c r="F11" s="50">
        <v>3.27</v>
      </c>
      <c r="G11" s="50">
        <v>58.67</v>
      </c>
      <c r="H11" s="50">
        <v>32.479999999999997</v>
      </c>
      <c r="I11" s="50">
        <v>8.56</v>
      </c>
      <c r="J11" s="50">
        <v>0.18</v>
      </c>
      <c r="K11" s="50">
        <v>228.21</v>
      </c>
      <c r="L11" s="50">
        <v>18.95</v>
      </c>
      <c r="M11" s="50">
        <v>91.37</v>
      </c>
      <c r="N11" s="50">
        <v>0</v>
      </c>
      <c r="O11" s="50">
        <v>0</v>
      </c>
      <c r="P11" s="50">
        <v>0.89</v>
      </c>
      <c r="Q11" s="50">
        <v>4.8</v>
      </c>
    </row>
    <row r="12" spans="1:21" customFormat="1">
      <c r="A12" s="49">
        <v>45336.166666666664</v>
      </c>
      <c r="B12" s="50">
        <v>13.02</v>
      </c>
      <c r="C12" s="50">
        <v>20.8</v>
      </c>
      <c r="D12" s="50">
        <v>22.57</v>
      </c>
      <c r="E12" s="50">
        <v>7.56</v>
      </c>
      <c r="F12" s="50">
        <v>3.25</v>
      </c>
      <c r="G12" s="50">
        <v>40.94</v>
      </c>
      <c r="H12" s="50">
        <v>28.42</v>
      </c>
      <c r="I12" s="50">
        <v>8.35</v>
      </c>
      <c r="J12" s="50">
        <v>0.23</v>
      </c>
      <c r="K12" s="50">
        <v>199.54</v>
      </c>
      <c r="L12" s="50">
        <v>18.649999999999999</v>
      </c>
      <c r="M12" s="50">
        <v>91.55</v>
      </c>
      <c r="N12" s="50">
        <v>0</v>
      </c>
      <c r="O12" s="50">
        <v>0</v>
      </c>
      <c r="P12" s="50">
        <v>0.85</v>
      </c>
      <c r="Q12" s="50">
        <v>4.76</v>
      </c>
    </row>
    <row r="13" spans="1:21" customFormat="1">
      <c r="A13" s="49">
        <v>45336.208333333336</v>
      </c>
      <c r="B13" s="50">
        <v>12.84</v>
      </c>
      <c r="C13" s="50">
        <v>20.72</v>
      </c>
      <c r="D13" s="50">
        <v>22.19</v>
      </c>
      <c r="E13" s="50">
        <v>7.02</v>
      </c>
      <c r="F13" s="50">
        <v>3.63</v>
      </c>
      <c r="G13" s="50">
        <v>34.79</v>
      </c>
      <c r="H13" s="50">
        <v>26.07</v>
      </c>
      <c r="I13" s="50">
        <v>8.15</v>
      </c>
      <c r="J13" s="50">
        <v>0.22</v>
      </c>
      <c r="K13" s="50">
        <v>223.05</v>
      </c>
      <c r="L13" s="50">
        <v>18.29</v>
      </c>
      <c r="M13" s="50">
        <v>93.27</v>
      </c>
      <c r="N13" s="50">
        <v>0</v>
      </c>
      <c r="O13" s="50">
        <v>0</v>
      </c>
      <c r="P13" s="50">
        <v>0.84</v>
      </c>
      <c r="Q13" s="50">
        <v>4.76</v>
      </c>
    </row>
    <row r="14" spans="1:21" customFormat="1">
      <c r="A14" s="49">
        <v>45336.25</v>
      </c>
      <c r="B14" s="50">
        <v>13.7</v>
      </c>
      <c r="C14" s="50">
        <v>16.77</v>
      </c>
      <c r="D14" s="50">
        <v>21.1</v>
      </c>
      <c r="E14" s="50">
        <v>6.46</v>
      </c>
      <c r="F14" s="50">
        <v>3.4</v>
      </c>
      <c r="G14" s="50">
        <v>38.58</v>
      </c>
      <c r="H14" s="50">
        <v>21.83</v>
      </c>
      <c r="I14" s="50">
        <v>7.96</v>
      </c>
      <c r="J14" s="50">
        <v>0.13</v>
      </c>
      <c r="K14" s="50">
        <v>191.22</v>
      </c>
      <c r="L14" s="50">
        <v>18.32</v>
      </c>
      <c r="M14" s="50">
        <v>94.39</v>
      </c>
      <c r="N14" s="50">
        <v>0</v>
      </c>
      <c r="O14" s="50">
        <v>0</v>
      </c>
      <c r="P14" s="50">
        <v>0.81</v>
      </c>
      <c r="Q14" s="50">
        <v>4.76</v>
      </c>
    </row>
    <row r="15" spans="1:21" customFormat="1">
      <c r="A15" s="49">
        <v>45336.291666666664</v>
      </c>
      <c r="B15" s="50">
        <v>17.82</v>
      </c>
      <c r="C15" s="50">
        <v>17.260000000000002</v>
      </c>
      <c r="D15" s="50">
        <v>24.66</v>
      </c>
      <c r="E15" s="50">
        <v>6.4</v>
      </c>
      <c r="F15" s="50">
        <v>3.5</v>
      </c>
      <c r="G15" s="50">
        <v>59.02</v>
      </c>
      <c r="H15" s="50">
        <v>22.79</v>
      </c>
      <c r="I15" s="50">
        <v>7.9</v>
      </c>
      <c r="J15" s="50">
        <v>0.34</v>
      </c>
      <c r="K15" s="50">
        <v>208.88</v>
      </c>
      <c r="L15" s="50">
        <v>18.87</v>
      </c>
      <c r="M15" s="50">
        <v>92.74</v>
      </c>
      <c r="N15" s="50">
        <v>4.3</v>
      </c>
      <c r="O15" s="50">
        <v>0</v>
      </c>
      <c r="P15" s="50">
        <v>0.83</v>
      </c>
      <c r="Q15" s="50">
        <v>4.8499999999999996</v>
      </c>
    </row>
    <row r="16" spans="1:21" customFormat="1">
      <c r="A16" s="49">
        <v>45336.333333333336</v>
      </c>
      <c r="B16" s="50">
        <v>23.85</v>
      </c>
      <c r="C16" s="50">
        <v>18.27</v>
      </c>
      <c r="D16" s="50">
        <v>30.02</v>
      </c>
      <c r="E16" s="50">
        <v>6.74</v>
      </c>
      <c r="F16" s="50">
        <v>3.61</v>
      </c>
      <c r="G16" s="50">
        <v>117.79</v>
      </c>
      <c r="H16" s="50">
        <v>38.520000000000003</v>
      </c>
      <c r="I16" s="50">
        <v>9.27</v>
      </c>
      <c r="J16" s="50">
        <v>0.72</v>
      </c>
      <c r="K16" s="50">
        <v>67.760000000000005</v>
      </c>
      <c r="L16" s="50">
        <v>20.78</v>
      </c>
      <c r="M16" s="50">
        <v>87.31</v>
      </c>
      <c r="N16" s="50">
        <v>62.3</v>
      </c>
      <c r="O16" s="50">
        <v>0</v>
      </c>
      <c r="P16" s="50">
        <v>0.95</v>
      </c>
      <c r="Q16" s="50">
        <v>4.93</v>
      </c>
    </row>
    <row r="17" spans="1:17" customFormat="1">
      <c r="A17" s="49">
        <v>45336.375</v>
      </c>
      <c r="B17" s="50">
        <v>25.92</v>
      </c>
      <c r="C17" s="50">
        <v>20.18</v>
      </c>
      <c r="D17" s="50">
        <v>32.28</v>
      </c>
      <c r="E17" s="50">
        <v>7.35</v>
      </c>
      <c r="F17" s="50">
        <v>3.53</v>
      </c>
      <c r="G17" s="50">
        <v>202.8</v>
      </c>
      <c r="H17" s="50">
        <v>60.3</v>
      </c>
      <c r="I17" s="50">
        <v>11.17</v>
      </c>
      <c r="J17" s="50">
        <v>0.4</v>
      </c>
      <c r="K17" s="50">
        <v>303.02</v>
      </c>
      <c r="L17" s="50">
        <v>24.13</v>
      </c>
      <c r="M17" s="50">
        <v>78.38</v>
      </c>
      <c r="N17" s="50">
        <v>302.10000000000002</v>
      </c>
      <c r="O17" s="50">
        <v>0</v>
      </c>
      <c r="P17" s="50">
        <v>1.08</v>
      </c>
      <c r="Q17" s="50">
        <v>4.9400000000000004</v>
      </c>
    </row>
    <row r="18" spans="1:17" customFormat="1">
      <c r="A18" s="49">
        <v>45336.416666666664</v>
      </c>
      <c r="B18" s="50">
        <v>24.64</v>
      </c>
      <c r="C18" s="50">
        <v>25.66</v>
      </c>
      <c r="D18" s="50">
        <v>32.14</v>
      </c>
      <c r="E18" s="50">
        <v>7.62</v>
      </c>
      <c r="F18" s="50">
        <v>3.79</v>
      </c>
      <c r="G18" s="50">
        <v>202.8</v>
      </c>
      <c r="H18" s="50">
        <v>72.09</v>
      </c>
      <c r="I18" s="50">
        <v>13.03</v>
      </c>
      <c r="J18" s="50">
        <v>0.25</v>
      </c>
      <c r="K18" s="50">
        <v>294.20999999999998</v>
      </c>
      <c r="L18" s="50">
        <v>25.91</v>
      </c>
      <c r="M18" s="50">
        <v>59.82</v>
      </c>
      <c r="N18" s="50">
        <v>308.39999999999998</v>
      </c>
      <c r="O18" s="50">
        <v>0</v>
      </c>
      <c r="P18" s="50">
        <v>1.22</v>
      </c>
      <c r="Q18" s="50">
        <v>4.93</v>
      </c>
    </row>
    <row r="19" spans="1:17" customFormat="1">
      <c r="A19" s="49">
        <v>45336.458333333336</v>
      </c>
      <c r="B19" s="50">
        <v>15.87</v>
      </c>
      <c r="C19" s="50">
        <v>26.38</v>
      </c>
      <c r="D19" s="50">
        <v>27.86</v>
      </c>
      <c r="E19" s="50">
        <v>9.5399999999999991</v>
      </c>
      <c r="F19" s="50">
        <v>4.17</v>
      </c>
      <c r="G19" s="50">
        <v>157.81</v>
      </c>
      <c r="H19" s="50">
        <v>72.09</v>
      </c>
      <c r="I19" s="50">
        <v>14.72</v>
      </c>
      <c r="J19" s="50">
        <v>1.07</v>
      </c>
      <c r="K19" s="50">
        <v>302.25</v>
      </c>
      <c r="L19" s="50">
        <v>28.22</v>
      </c>
      <c r="M19" s="50">
        <v>49.94</v>
      </c>
      <c r="N19" s="50">
        <v>628.4</v>
      </c>
      <c r="O19" s="50">
        <v>0</v>
      </c>
      <c r="P19" s="50">
        <v>1.23</v>
      </c>
      <c r="Q19" s="50">
        <v>4.8600000000000003</v>
      </c>
    </row>
    <row r="20" spans="1:17" customFormat="1">
      <c r="A20" s="49">
        <v>45336.5</v>
      </c>
      <c r="B20" s="50">
        <v>9.25</v>
      </c>
      <c r="C20" s="50">
        <v>25.34</v>
      </c>
      <c r="D20" s="50">
        <v>22.01</v>
      </c>
      <c r="E20" s="50">
        <v>9.18</v>
      </c>
      <c r="F20" s="50">
        <v>5.65</v>
      </c>
      <c r="G20" s="50">
        <v>92.23</v>
      </c>
      <c r="H20" s="50">
        <v>55.05</v>
      </c>
      <c r="I20" s="50">
        <v>14.32</v>
      </c>
      <c r="J20" s="50">
        <v>0.71</v>
      </c>
      <c r="K20" s="50">
        <v>291.85000000000002</v>
      </c>
      <c r="L20" s="50">
        <v>30.15</v>
      </c>
      <c r="M20" s="50">
        <v>42.95</v>
      </c>
      <c r="N20" s="50">
        <v>559.4</v>
      </c>
      <c r="O20" s="50">
        <v>0</v>
      </c>
      <c r="P20" s="50">
        <v>1.1599999999999999</v>
      </c>
      <c r="Q20" s="50">
        <v>4.8</v>
      </c>
    </row>
    <row r="21" spans="1:17" customFormat="1">
      <c r="A21" s="49">
        <v>45336.541666666664</v>
      </c>
      <c r="B21" s="50">
        <v>6.27</v>
      </c>
      <c r="C21" s="50">
        <v>22.04</v>
      </c>
      <c r="D21" s="50">
        <v>17.89</v>
      </c>
      <c r="E21" s="50">
        <v>8.6300000000000008</v>
      </c>
      <c r="F21" s="50">
        <v>6.42</v>
      </c>
      <c r="G21" s="50">
        <v>58.91</v>
      </c>
      <c r="H21" s="50">
        <v>33.93</v>
      </c>
      <c r="I21" s="50">
        <v>13.22</v>
      </c>
      <c r="J21" s="50">
        <v>0.99</v>
      </c>
      <c r="K21" s="50">
        <v>311.05</v>
      </c>
      <c r="L21" s="50">
        <v>30.06</v>
      </c>
      <c r="M21" s="50">
        <v>32.950000000000003</v>
      </c>
      <c r="N21" s="50">
        <v>610.70000000000005</v>
      </c>
      <c r="O21" s="50">
        <v>0</v>
      </c>
      <c r="P21" s="50">
        <v>1.02</v>
      </c>
      <c r="Q21" s="50">
        <v>4.7300000000000004</v>
      </c>
    </row>
    <row r="22" spans="1:17" customFormat="1">
      <c r="A22" s="49">
        <v>45336.583333333336</v>
      </c>
      <c r="B22" s="50">
        <v>5.82</v>
      </c>
      <c r="C22" s="50">
        <v>19.89</v>
      </c>
      <c r="D22" s="50">
        <v>16.41</v>
      </c>
      <c r="E22" s="50">
        <v>9.11</v>
      </c>
      <c r="F22" s="50">
        <v>5.43</v>
      </c>
      <c r="G22" s="50">
        <v>32.840000000000003</v>
      </c>
      <c r="H22" s="50">
        <v>19.63</v>
      </c>
      <c r="I22" s="50">
        <v>11.28</v>
      </c>
      <c r="J22" s="50">
        <v>0.85</v>
      </c>
      <c r="K22" s="50">
        <v>284.55</v>
      </c>
      <c r="L22" s="50">
        <v>30.16</v>
      </c>
      <c r="M22" s="50">
        <v>32.99</v>
      </c>
      <c r="N22" s="50">
        <v>360.1</v>
      </c>
      <c r="O22" s="50">
        <v>0</v>
      </c>
      <c r="P22" s="50">
        <v>0.88</v>
      </c>
      <c r="Q22" s="50">
        <v>4.71</v>
      </c>
    </row>
    <row r="23" spans="1:17" customFormat="1">
      <c r="A23" s="49">
        <v>45336.625</v>
      </c>
      <c r="B23" s="50">
        <v>5.99</v>
      </c>
      <c r="C23" s="50">
        <v>17.87</v>
      </c>
      <c r="D23" s="50">
        <v>15.33</v>
      </c>
      <c r="E23" s="50">
        <v>7.99</v>
      </c>
      <c r="F23" s="50">
        <v>5.37</v>
      </c>
      <c r="G23" s="50">
        <v>26.59</v>
      </c>
      <c r="H23" s="50">
        <v>8.9700000000000006</v>
      </c>
      <c r="I23" s="50">
        <v>9.82</v>
      </c>
      <c r="J23" s="50">
        <v>0.94</v>
      </c>
      <c r="K23" s="50">
        <v>315</v>
      </c>
      <c r="L23" s="50">
        <v>30.43</v>
      </c>
      <c r="M23" s="50">
        <v>32.94</v>
      </c>
      <c r="N23" s="50">
        <v>418.3</v>
      </c>
      <c r="O23" s="50">
        <v>0</v>
      </c>
      <c r="P23" s="50">
        <v>0.75</v>
      </c>
      <c r="Q23" s="50">
        <v>4.68</v>
      </c>
    </row>
    <row r="24" spans="1:17" customFormat="1">
      <c r="A24" s="49">
        <v>45336.666666666664</v>
      </c>
      <c r="B24" s="50">
        <v>5.86</v>
      </c>
      <c r="C24" s="50">
        <v>13.49</v>
      </c>
      <c r="D24" s="50">
        <v>13.1</v>
      </c>
      <c r="E24" s="50">
        <v>8.2200000000000006</v>
      </c>
      <c r="F24" s="50">
        <v>5.04</v>
      </c>
      <c r="G24" s="50">
        <v>30.59</v>
      </c>
      <c r="H24" s="50">
        <v>8.8699999999999992</v>
      </c>
      <c r="I24" s="50">
        <v>8.77</v>
      </c>
      <c r="J24" s="50">
        <v>0.99</v>
      </c>
      <c r="K24" s="50">
        <v>289.95999999999998</v>
      </c>
      <c r="L24" s="50">
        <v>29.98</v>
      </c>
      <c r="M24" s="50">
        <v>34.14</v>
      </c>
      <c r="N24" s="50">
        <v>172.5</v>
      </c>
      <c r="O24" s="50">
        <v>0</v>
      </c>
      <c r="P24" s="50">
        <v>0.7</v>
      </c>
      <c r="Q24" s="50">
        <v>4.71</v>
      </c>
    </row>
    <row r="25" spans="1:17" customFormat="1">
      <c r="A25" s="49">
        <v>45336.708333333336</v>
      </c>
      <c r="B25" s="50">
        <v>5.76</v>
      </c>
      <c r="C25" s="50">
        <v>12.31</v>
      </c>
      <c r="D25" s="50">
        <v>12.4</v>
      </c>
      <c r="E25" s="50">
        <v>7.36</v>
      </c>
      <c r="F25" s="50">
        <v>5.99</v>
      </c>
      <c r="G25" s="50">
        <v>34.92</v>
      </c>
      <c r="H25" s="50">
        <v>11.9</v>
      </c>
      <c r="I25" s="50">
        <v>8.4499999999999993</v>
      </c>
      <c r="J25" s="50">
        <v>0.62</v>
      </c>
      <c r="K25" s="50">
        <v>275.37</v>
      </c>
      <c r="L25" s="50">
        <v>29.7</v>
      </c>
      <c r="M25" s="50">
        <v>36.68</v>
      </c>
      <c r="N25" s="50">
        <v>80.7</v>
      </c>
      <c r="O25" s="50">
        <v>0</v>
      </c>
      <c r="P25" s="50">
        <v>0.68</v>
      </c>
      <c r="Q25" s="50">
        <v>4.7300000000000004</v>
      </c>
    </row>
    <row r="26" spans="1:17" customFormat="1">
      <c r="A26" s="49">
        <v>45336.75</v>
      </c>
      <c r="B26" s="50">
        <v>7.04</v>
      </c>
      <c r="C26" s="50">
        <v>12.6</v>
      </c>
      <c r="D26" s="50">
        <v>13.49</v>
      </c>
      <c r="E26" s="50">
        <v>8.23</v>
      </c>
      <c r="F26" s="50">
        <v>4.9000000000000004</v>
      </c>
      <c r="G26" s="50">
        <v>34.92</v>
      </c>
      <c r="H26" s="50">
        <v>11.9</v>
      </c>
      <c r="I26" s="50">
        <v>7.82</v>
      </c>
      <c r="J26" s="50">
        <v>0.38</v>
      </c>
      <c r="K26" s="50">
        <v>267.69</v>
      </c>
      <c r="L26" s="50">
        <v>28.72</v>
      </c>
      <c r="M26" s="50">
        <v>46.43</v>
      </c>
      <c r="N26" s="50">
        <v>19.600000000000001</v>
      </c>
      <c r="O26" s="50">
        <v>0</v>
      </c>
      <c r="P26" s="50">
        <v>0.64</v>
      </c>
      <c r="Q26" s="50">
        <v>4.76</v>
      </c>
    </row>
    <row r="27" spans="1:17" customFormat="1">
      <c r="A27" s="49">
        <v>45336.791666666664</v>
      </c>
      <c r="B27" s="50">
        <v>8.3699999999999992</v>
      </c>
      <c r="C27" s="50">
        <v>13.99</v>
      </c>
      <c r="D27" s="50">
        <v>15.37</v>
      </c>
      <c r="E27" s="50">
        <v>7.12</v>
      </c>
      <c r="F27" s="50">
        <v>3.55</v>
      </c>
      <c r="G27" s="50">
        <v>73.849999999999994</v>
      </c>
      <c r="H27" s="50">
        <v>22.87</v>
      </c>
      <c r="I27" s="50">
        <v>7.44</v>
      </c>
      <c r="J27" s="50">
        <v>0.28000000000000003</v>
      </c>
      <c r="K27" s="50">
        <v>174.01</v>
      </c>
      <c r="L27" s="50">
        <v>25.53</v>
      </c>
      <c r="M27" s="50">
        <v>65.67</v>
      </c>
      <c r="N27" s="50">
        <v>0</v>
      </c>
      <c r="O27" s="50">
        <v>0</v>
      </c>
      <c r="P27" s="50">
        <v>0.66</v>
      </c>
      <c r="Q27" s="50">
        <v>4.82</v>
      </c>
    </row>
    <row r="28" spans="1:17" customFormat="1">
      <c r="A28" s="49">
        <v>45336.833333333336</v>
      </c>
      <c r="B28" s="50">
        <v>11.05</v>
      </c>
      <c r="C28" s="50">
        <v>18.7</v>
      </c>
      <c r="D28" s="50">
        <v>19.98</v>
      </c>
      <c r="E28" s="50">
        <v>7.44</v>
      </c>
      <c r="F28" s="50">
        <v>3.41</v>
      </c>
      <c r="G28" s="50">
        <v>102.23</v>
      </c>
      <c r="H28" s="50">
        <v>23.31</v>
      </c>
      <c r="I28" s="50">
        <v>8.6300000000000008</v>
      </c>
      <c r="J28" s="50">
        <v>0.23</v>
      </c>
      <c r="K28" s="50">
        <v>190.44</v>
      </c>
      <c r="L28" s="50">
        <v>23.92</v>
      </c>
      <c r="M28" s="50">
        <v>71.849999999999994</v>
      </c>
      <c r="N28" s="50">
        <v>0</v>
      </c>
      <c r="O28" s="50">
        <v>0</v>
      </c>
      <c r="P28" s="50">
        <v>0.78</v>
      </c>
      <c r="Q28" s="50">
        <v>4.87</v>
      </c>
    </row>
    <row r="29" spans="1:17" customFormat="1">
      <c r="A29" s="49">
        <v>45336.875</v>
      </c>
      <c r="B29" s="50">
        <v>11.8</v>
      </c>
      <c r="C29" s="50">
        <v>20.36</v>
      </c>
      <c r="D29" s="50">
        <v>21.45</v>
      </c>
      <c r="E29" s="50">
        <v>8.2200000000000006</v>
      </c>
      <c r="F29" s="50">
        <v>3.41</v>
      </c>
      <c r="G29" s="50">
        <v>102.23</v>
      </c>
      <c r="H29" s="50">
        <v>28.8</v>
      </c>
      <c r="I29" s="50">
        <v>12.31</v>
      </c>
      <c r="J29" s="50">
        <v>0.2</v>
      </c>
      <c r="K29" s="50">
        <v>206.26</v>
      </c>
      <c r="L29" s="50">
        <v>22.62</v>
      </c>
      <c r="M29" s="50">
        <v>75.81</v>
      </c>
      <c r="N29" s="50">
        <v>0</v>
      </c>
      <c r="O29" s="50">
        <v>0</v>
      </c>
      <c r="P29" s="50">
        <v>0.89</v>
      </c>
      <c r="Q29" s="50">
        <v>4.87</v>
      </c>
    </row>
    <row r="30" spans="1:17" customFormat="1">
      <c r="A30" s="49">
        <v>45336.916666666664</v>
      </c>
      <c r="B30" s="50">
        <v>11.99</v>
      </c>
      <c r="C30" s="50">
        <v>20.45</v>
      </c>
      <c r="D30" s="50">
        <v>21.56</v>
      </c>
      <c r="E30" s="50">
        <v>8.17</v>
      </c>
      <c r="F30" s="50">
        <v>3.39</v>
      </c>
      <c r="G30" s="50">
        <v>105.43</v>
      </c>
      <c r="H30" s="50">
        <v>34.32</v>
      </c>
      <c r="I30" s="50">
        <v>12.89</v>
      </c>
      <c r="J30" s="50">
        <v>0.18</v>
      </c>
      <c r="K30" s="50">
        <v>214.74</v>
      </c>
      <c r="L30" s="50">
        <v>21.63</v>
      </c>
      <c r="M30" s="50">
        <v>77.91</v>
      </c>
      <c r="N30" s="50">
        <v>0</v>
      </c>
      <c r="O30" s="50">
        <v>0</v>
      </c>
      <c r="P30" s="50">
        <v>0.98</v>
      </c>
      <c r="Q30" s="50">
        <v>4.84</v>
      </c>
    </row>
    <row r="31" spans="1:17" customFormat="1">
      <c r="A31" s="49">
        <v>45336.958333333336</v>
      </c>
      <c r="B31" s="50">
        <v>12.33</v>
      </c>
      <c r="C31" s="50">
        <v>20.96</v>
      </c>
      <c r="D31" s="50">
        <v>22.19</v>
      </c>
      <c r="E31" s="50">
        <v>8.74</v>
      </c>
      <c r="F31" s="50">
        <v>3.21</v>
      </c>
      <c r="G31" s="50">
        <v>105.43</v>
      </c>
      <c r="H31" s="50">
        <v>34.32</v>
      </c>
      <c r="I31" s="50">
        <v>12.73</v>
      </c>
      <c r="J31" s="50">
        <v>0.3</v>
      </c>
      <c r="K31" s="50">
        <v>223.55</v>
      </c>
      <c r="L31" s="50">
        <v>21.32</v>
      </c>
      <c r="M31" s="50">
        <v>80.569999999999993</v>
      </c>
      <c r="N31" s="50">
        <v>0</v>
      </c>
      <c r="O31" s="50">
        <v>0</v>
      </c>
      <c r="P31" s="50">
        <v>1.03</v>
      </c>
      <c r="Q31" s="50">
        <v>4.8099999999999996</v>
      </c>
    </row>
    <row r="32" spans="1:17" customFormat="1">
      <c r="A32" s="49">
        <v>45337</v>
      </c>
      <c r="B32" s="50">
        <v>13.2</v>
      </c>
      <c r="C32" s="50">
        <v>21.81</v>
      </c>
      <c r="D32" s="50">
        <v>23.33</v>
      </c>
      <c r="E32" s="50">
        <v>8.6300000000000008</v>
      </c>
      <c r="F32" s="50">
        <v>3.26</v>
      </c>
      <c r="G32" s="50">
        <v>78.040000000000006</v>
      </c>
      <c r="H32" s="50">
        <v>33.450000000000003</v>
      </c>
      <c r="I32" s="50">
        <v>12.85</v>
      </c>
      <c r="J32" s="50">
        <v>0.33</v>
      </c>
      <c r="K32" s="50">
        <v>212.58</v>
      </c>
      <c r="L32" s="50">
        <v>20.83</v>
      </c>
      <c r="M32" s="50">
        <v>82.01</v>
      </c>
      <c r="N32" s="50">
        <v>0</v>
      </c>
      <c r="O32" s="50">
        <v>0</v>
      </c>
      <c r="P32" s="50">
        <v>1.1000000000000001</v>
      </c>
      <c r="Q32" s="50">
        <v>4.79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5.76</v>
      </c>
      <c r="C34" s="40">
        <f t="shared" si="0"/>
        <v>12.31</v>
      </c>
      <c r="D34" s="40">
        <f t="shared" si="0"/>
        <v>12.4</v>
      </c>
      <c r="E34" s="40">
        <f t="shared" si="0"/>
        <v>6.4</v>
      </c>
      <c r="F34" s="40">
        <f t="shared" si="0"/>
        <v>3.21</v>
      </c>
      <c r="G34" s="40">
        <f t="shared" si="0"/>
        <v>26.59</v>
      </c>
      <c r="H34" s="40">
        <f t="shared" si="0"/>
        <v>8.8699999999999992</v>
      </c>
      <c r="I34" s="40">
        <f t="shared" si="0"/>
        <v>7.44</v>
      </c>
      <c r="J34" s="40">
        <f t="shared" si="0"/>
        <v>0.13</v>
      </c>
      <c r="K34" s="40">
        <f t="shared" si="0"/>
        <v>67.760000000000005</v>
      </c>
      <c r="L34" s="40">
        <f t="shared" si="0"/>
        <v>18.29</v>
      </c>
      <c r="M34" s="40">
        <f t="shared" si="0"/>
        <v>32.94</v>
      </c>
      <c r="N34" s="40">
        <f t="shared" si="0"/>
        <v>0</v>
      </c>
      <c r="O34" s="40">
        <f t="shared" si="0"/>
        <v>0</v>
      </c>
      <c r="P34" s="40">
        <f t="shared" si="0"/>
        <v>0.64</v>
      </c>
      <c r="Q34" s="40">
        <f t="shared" si="0"/>
        <v>4.68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25.92</v>
      </c>
      <c r="C35" s="33">
        <f t="shared" si="1"/>
        <v>26.38</v>
      </c>
      <c r="D35" s="33">
        <f t="shared" si="1"/>
        <v>32.28</v>
      </c>
      <c r="E35" s="33">
        <f t="shared" si="1"/>
        <v>9.5399999999999991</v>
      </c>
      <c r="F35" s="33">
        <f t="shared" si="1"/>
        <v>6.42</v>
      </c>
      <c r="G35" s="33">
        <f t="shared" si="1"/>
        <v>202.8</v>
      </c>
      <c r="H35" s="33">
        <f t="shared" si="1"/>
        <v>72.09</v>
      </c>
      <c r="I35" s="33">
        <f t="shared" si="1"/>
        <v>14.72</v>
      </c>
      <c r="J35" s="33">
        <f t="shared" si="1"/>
        <v>1.07</v>
      </c>
      <c r="K35" s="33">
        <f t="shared" si="1"/>
        <v>315</v>
      </c>
      <c r="L35" s="33">
        <f t="shared" si="1"/>
        <v>30.43</v>
      </c>
      <c r="M35" s="33">
        <f t="shared" si="1"/>
        <v>94.39</v>
      </c>
      <c r="N35" s="33">
        <f t="shared" si="1"/>
        <v>628.4</v>
      </c>
      <c r="O35" s="33">
        <f t="shared" si="1"/>
        <v>0</v>
      </c>
      <c r="P35" s="33">
        <f t="shared" si="1"/>
        <v>1.23</v>
      </c>
      <c r="Q35" s="33">
        <f t="shared" si="1"/>
        <v>4.9400000000000004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12.782500000000001</v>
      </c>
      <c r="C36" s="40">
        <f t="shared" si="2"/>
        <v>19.625416666666666</v>
      </c>
      <c r="D36" s="40">
        <f t="shared" si="2"/>
        <v>21.688750000000002</v>
      </c>
      <c r="E36" s="40">
        <f t="shared" si="2"/>
        <v>7.9345833333333333</v>
      </c>
      <c r="F36" s="40">
        <f t="shared" si="2"/>
        <v>4.074583333333333</v>
      </c>
      <c r="G36" s="40">
        <f t="shared" si="2"/>
        <v>80.764583333333334</v>
      </c>
      <c r="H36" s="40">
        <f t="shared" si="2"/>
        <v>32.023333333333333</v>
      </c>
      <c r="I36" s="40">
        <f t="shared" si="2"/>
        <v>10.292916666666665</v>
      </c>
      <c r="J36" s="40">
        <f t="shared" si="2"/>
        <v>0.45624999999999999</v>
      </c>
      <c r="K36" s="40">
        <f t="shared" si="2"/>
        <v>239.11125000000001</v>
      </c>
      <c r="L36" s="40">
        <f t="shared" si="2"/>
        <v>23.989166666666673</v>
      </c>
      <c r="M36" s="40">
        <f t="shared" si="2"/>
        <v>67.975833333333355</v>
      </c>
      <c r="N36" s="40">
        <f t="shared" si="2"/>
        <v>146.95000000000002</v>
      </c>
      <c r="O36" s="40">
        <f t="shared" si="2"/>
        <v>0</v>
      </c>
      <c r="P36" s="40">
        <f t="shared" si="2"/>
        <v>0.90791666666666693</v>
      </c>
      <c r="Q36" s="40">
        <f t="shared" si="2"/>
        <v>4.8083333333333345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5.8632104649689794</v>
      </c>
      <c r="C37" s="40">
        <f t="shared" ref="C37:Q37" si="3">STDEV(C9:C32)</f>
        <v>3.8235994641592432</v>
      </c>
      <c r="D37" s="40">
        <f t="shared" si="3"/>
        <v>5.5889442983058144</v>
      </c>
      <c r="E37" s="40">
        <f t="shared" si="3"/>
        <v>0.87191433148519504</v>
      </c>
      <c r="F37" s="40">
        <f t="shared" si="3"/>
        <v>1.0197142786805209</v>
      </c>
      <c r="G37" s="40">
        <f t="shared" si="3"/>
        <v>50.474266192238289</v>
      </c>
      <c r="H37" s="40">
        <f t="shared" si="3"/>
        <v>17.497348784680295</v>
      </c>
      <c r="I37" s="40">
        <f t="shared" si="3"/>
        <v>2.3642785077733297</v>
      </c>
      <c r="J37" s="40">
        <f t="shared" si="3"/>
        <v>0.31229602038422805</v>
      </c>
      <c r="K37" s="40">
        <f t="shared" si="3"/>
        <v>57.373139019738709</v>
      </c>
      <c r="L37" s="40">
        <f t="shared" si="3"/>
        <v>4.6304116791966115</v>
      </c>
      <c r="M37" s="40">
        <f t="shared" si="3"/>
        <v>23.140534719436534</v>
      </c>
      <c r="N37" s="40">
        <f t="shared" si="3"/>
        <v>218.10255864376401</v>
      </c>
      <c r="O37" s="40">
        <f t="shared" si="3"/>
        <v>0</v>
      </c>
      <c r="P37" s="40">
        <f t="shared" si="3"/>
        <v>0.16944870114238184</v>
      </c>
      <c r="Q37" s="40">
        <f t="shared" si="3"/>
        <v>7.2811051876469218E-2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45337.041666666664</v>
      </c>
      <c r="B9" s="50">
        <v>14.19</v>
      </c>
      <c r="C9" s="50">
        <v>19.059999999999999</v>
      </c>
      <c r="D9" s="50">
        <v>22.03</v>
      </c>
      <c r="E9" s="50">
        <v>8.3699999999999992</v>
      </c>
      <c r="F9" s="50">
        <v>3.74</v>
      </c>
      <c r="G9" s="50">
        <v>72.39</v>
      </c>
      <c r="H9" s="50">
        <v>33.450000000000003</v>
      </c>
      <c r="I9" s="50">
        <v>12.81</v>
      </c>
      <c r="J9" s="50">
        <v>0.18</v>
      </c>
      <c r="K9" s="50">
        <v>243.96</v>
      </c>
      <c r="L9" s="50">
        <v>20.41</v>
      </c>
      <c r="M9" s="50">
        <v>79.180000000000007</v>
      </c>
      <c r="N9" s="50">
        <v>0</v>
      </c>
      <c r="O9" s="50">
        <v>0</v>
      </c>
      <c r="P9" s="50">
        <v>1.1000000000000001</v>
      </c>
      <c r="Q9" s="50">
        <v>4.78</v>
      </c>
    </row>
    <row r="10" spans="1:21" customFormat="1">
      <c r="A10" s="49">
        <v>45337.083333333336</v>
      </c>
      <c r="B10" s="50">
        <v>15.96</v>
      </c>
      <c r="C10" s="50">
        <v>16.75</v>
      </c>
      <c r="D10" s="50">
        <v>22.59</v>
      </c>
      <c r="E10" s="50">
        <v>7.75</v>
      </c>
      <c r="F10" s="50">
        <v>3.49</v>
      </c>
      <c r="G10" s="50">
        <v>70.38</v>
      </c>
      <c r="H10" s="50">
        <v>28.76</v>
      </c>
      <c r="I10" s="50">
        <v>12.4</v>
      </c>
      <c r="J10" s="50">
        <v>0.18</v>
      </c>
      <c r="K10" s="50">
        <v>322.89999999999998</v>
      </c>
      <c r="L10" s="50">
        <v>20.41</v>
      </c>
      <c r="M10" s="50">
        <v>77.64</v>
      </c>
      <c r="N10" s="50">
        <v>0</v>
      </c>
      <c r="O10" s="50">
        <v>0</v>
      </c>
      <c r="P10" s="50">
        <v>1.04</v>
      </c>
      <c r="Q10" s="50">
        <v>4.79</v>
      </c>
    </row>
    <row r="11" spans="1:21" customFormat="1">
      <c r="A11" s="49">
        <v>45337.125</v>
      </c>
      <c r="B11" s="50">
        <v>21.52</v>
      </c>
      <c r="C11" s="50">
        <v>18.87</v>
      </c>
      <c r="D11" s="50">
        <v>28.07</v>
      </c>
      <c r="E11" s="50">
        <v>8.51</v>
      </c>
      <c r="F11" s="50">
        <v>3.4</v>
      </c>
      <c r="G11" s="50">
        <v>77.34</v>
      </c>
      <c r="H11" s="50">
        <v>31.39</v>
      </c>
      <c r="I11" s="50">
        <v>11.97</v>
      </c>
      <c r="J11" s="50">
        <v>0.2</v>
      </c>
      <c r="K11" s="50">
        <v>223.12</v>
      </c>
      <c r="L11" s="50">
        <v>20.420000000000002</v>
      </c>
      <c r="M11" s="50">
        <v>85.88</v>
      </c>
      <c r="N11" s="50">
        <v>0</v>
      </c>
      <c r="O11" s="50">
        <v>0</v>
      </c>
      <c r="P11" s="50">
        <v>1.04</v>
      </c>
      <c r="Q11" s="50">
        <v>4.8099999999999996</v>
      </c>
    </row>
    <row r="12" spans="1:21" customFormat="1">
      <c r="A12" s="49">
        <v>45337.166666666664</v>
      </c>
      <c r="B12" s="50">
        <v>22.02</v>
      </c>
      <c r="C12" s="50">
        <v>18.760000000000002</v>
      </c>
      <c r="D12" s="50">
        <v>28.81</v>
      </c>
      <c r="E12" s="50">
        <v>9.16</v>
      </c>
      <c r="F12" s="50">
        <v>3.33</v>
      </c>
      <c r="G12" s="50">
        <v>77.34</v>
      </c>
      <c r="H12" s="50">
        <v>31.39</v>
      </c>
      <c r="I12" s="50">
        <v>11.71</v>
      </c>
      <c r="J12" s="50">
        <v>0.15</v>
      </c>
      <c r="K12" s="50">
        <v>251.73</v>
      </c>
      <c r="L12" s="50">
        <v>19.47</v>
      </c>
      <c r="M12" s="50">
        <v>84.65</v>
      </c>
      <c r="N12" s="50">
        <v>0</v>
      </c>
      <c r="O12" s="50">
        <v>0</v>
      </c>
      <c r="P12" s="50">
        <v>1.01</v>
      </c>
      <c r="Q12" s="50">
        <v>4.8499999999999996</v>
      </c>
    </row>
    <row r="13" spans="1:21" customFormat="1">
      <c r="A13" s="49">
        <v>45337.208333333336</v>
      </c>
      <c r="B13" s="50">
        <v>30.23</v>
      </c>
      <c r="C13" s="50">
        <v>18.920000000000002</v>
      </c>
      <c r="D13" s="50">
        <v>35.479999999999997</v>
      </c>
      <c r="E13" s="50">
        <v>8.5399999999999991</v>
      </c>
      <c r="F13" s="50">
        <v>3.49</v>
      </c>
      <c r="G13" s="50">
        <v>66.099999999999994</v>
      </c>
      <c r="H13" s="50">
        <v>28.76</v>
      </c>
      <c r="I13" s="50">
        <v>11.36</v>
      </c>
      <c r="J13" s="50">
        <v>0.19</v>
      </c>
      <c r="K13" s="50">
        <v>163.36000000000001</v>
      </c>
      <c r="L13" s="50">
        <v>20</v>
      </c>
      <c r="M13" s="50">
        <v>83.13</v>
      </c>
      <c r="N13" s="50">
        <v>0</v>
      </c>
      <c r="O13" s="50">
        <v>0</v>
      </c>
      <c r="P13" s="50">
        <v>1</v>
      </c>
      <c r="Q13" s="50">
        <v>4.9000000000000004</v>
      </c>
    </row>
    <row r="14" spans="1:21" customFormat="1">
      <c r="A14" s="49">
        <v>45337.25</v>
      </c>
      <c r="B14" s="50">
        <v>35.380000000000003</v>
      </c>
      <c r="C14" s="50">
        <v>22.94</v>
      </c>
      <c r="D14" s="50">
        <v>41.71</v>
      </c>
      <c r="E14" s="50">
        <v>9.27</v>
      </c>
      <c r="F14" s="50">
        <v>3.26</v>
      </c>
      <c r="G14" s="50">
        <v>84.07</v>
      </c>
      <c r="H14" s="50">
        <v>32.630000000000003</v>
      </c>
      <c r="I14" s="50">
        <v>11.56</v>
      </c>
      <c r="J14" s="50">
        <v>0.71</v>
      </c>
      <c r="K14" s="50">
        <v>63.13</v>
      </c>
      <c r="L14" s="50">
        <v>20.420000000000002</v>
      </c>
      <c r="M14" s="50">
        <v>82.02</v>
      </c>
      <c r="N14" s="50">
        <v>0</v>
      </c>
      <c r="O14" s="50">
        <v>0</v>
      </c>
      <c r="P14" s="50">
        <v>1.03</v>
      </c>
      <c r="Q14" s="50">
        <v>4.95</v>
      </c>
    </row>
    <row r="15" spans="1:21" customFormat="1">
      <c r="A15" s="49">
        <v>45337.291666666664</v>
      </c>
      <c r="B15" s="50">
        <v>35.479999999999997</v>
      </c>
      <c r="C15" s="50">
        <v>25.12</v>
      </c>
      <c r="D15" s="50">
        <v>42.78</v>
      </c>
      <c r="E15" s="50">
        <v>9.3000000000000007</v>
      </c>
      <c r="F15" s="50">
        <v>3.25</v>
      </c>
      <c r="G15" s="50">
        <v>101.94</v>
      </c>
      <c r="H15" s="50">
        <v>36.99</v>
      </c>
      <c r="I15" s="50">
        <v>12.11</v>
      </c>
      <c r="J15" s="50">
        <v>1.05</v>
      </c>
      <c r="K15" s="50">
        <v>65.180000000000007</v>
      </c>
      <c r="L15" s="50">
        <v>20.260000000000002</v>
      </c>
      <c r="M15" s="50">
        <v>83.81</v>
      </c>
      <c r="N15" s="50">
        <v>11.8</v>
      </c>
      <c r="O15" s="50">
        <v>0</v>
      </c>
      <c r="P15" s="50">
        <v>1.06</v>
      </c>
      <c r="Q15" s="50">
        <v>4.97</v>
      </c>
    </row>
    <row r="16" spans="1:21" customFormat="1">
      <c r="A16" s="49">
        <v>45337.333333333336</v>
      </c>
      <c r="B16" s="50">
        <v>35.200000000000003</v>
      </c>
      <c r="C16" s="50">
        <v>25.68</v>
      </c>
      <c r="D16" s="50">
        <v>42.74</v>
      </c>
      <c r="E16" s="50">
        <v>10.27</v>
      </c>
      <c r="F16" s="50">
        <v>3.3</v>
      </c>
      <c r="G16" s="50">
        <v>101.94</v>
      </c>
      <c r="H16" s="50">
        <v>36.99</v>
      </c>
      <c r="I16" s="50">
        <v>12.11</v>
      </c>
      <c r="J16" s="50">
        <v>0.8</v>
      </c>
      <c r="K16" s="50">
        <v>95.1</v>
      </c>
      <c r="L16" s="50">
        <v>21.5</v>
      </c>
      <c r="M16" s="50">
        <v>82.68</v>
      </c>
      <c r="N16" s="50">
        <v>83.9</v>
      </c>
      <c r="O16" s="50">
        <v>0</v>
      </c>
      <c r="P16" s="50">
        <v>1.06</v>
      </c>
      <c r="Q16" s="50">
        <v>4.9400000000000004</v>
      </c>
    </row>
    <row r="17" spans="1:17" customFormat="1">
      <c r="A17" s="49">
        <v>45337.375</v>
      </c>
      <c r="B17" s="50">
        <v>33.020000000000003</v>
      </c>
      <c r="C17" s="50">
        <v>27.02</v>
      </c>
      <c r="D17" s="50">
        <v>41.29</v>
      </c>
      <c r="E17" s="50">
        <v>10.5</v>
      </c>
      <c r="F17" s="50">
        <v>3.3</v>
      </c>
      <c r="G17" s="50">
        <v>99.47</v>
      </c>
      <c r="H17" s="50">
        <v>37.21</v>
      </c>
      <c r="I17" s="50">
        <v>12.01</v>
      </c>
      <c r="J17" s="50">
        <v>1.1399999999999999</v>
      </c>
      <c r="K17" s="50">
        <v>84.89</v>
      </c>
      <c r="L17" s="50">
        <v>24.23</v>
      </c>
      <c r="M17" s="50">
        <v>72.25</v>
      </c>
      <c r="N17" s="50">
        <v>265.2</v>
      </c>
      <c r="O17" s="50">
        <v>0</v>
      </c>
      <c r="P17" s="50">
        <v>1.04</v>
      </c>
      <c r="Q17" s="50">
        <v>4.92</v>
      </c>
    </row>
    <row r="18" spans="1:17" customFormat="1">
      <c r="A18" s="49">
        <v>45337.416666666664</v>
      </c>
      <c r="B18" s="50">
        <v>27.26</v>
      </c>
      <c r="C18" s="50">
        <v>27.77</v>
      </c>
      <c r="D18" s="50">
        <v>37.380000000000003</v>
      </c>
      <c r="E18" s="50">
        <v>10.43</v>
      </c>
      <c r="F18" s="50">
        <v>3.5</v>
      </c>
      <c r="G18" s="50">
        <v>94.13</v>
      </c>
      <c r="H18" s="50">
        <v>37.21</v>
      </c>
      <c r="I18" s="50">
        <v>11.46</v>
      </c>
      <c r="J18" s="50">
        <v>1.29</v>
      </c>
      <c r="K18" s="50">
        <v>82.06</v>
      </c>
      <c r="L18" s="50">
        <v>25.89</v>
      </c>
      <c r="M18" s="50">
        <v>63.55</v>
      </c>
      <c r="N18" s="50">
        <v>375.6</v>
      </c>
      <c r="O18" s="50">
        <v>0</v>
      </c>
      <c r="P18" s="50">
        <v>0.96</v>
      </c>
      <c r="Q18" s="50">
        <v>4.8899999999999997</v>
      </c>
    </row>
    <row r="19" spans="1:17" customFormat="1">
      <c r="A19" s="49">
        <v>45337.458333333336</v>
      </c>
      <c r="B19" s="50">
        <v>24.48</v>
      </c>
      <c r="C19" s="50">
        <v>24.24</v>
      </c>
      <c r="D19" s="50">
        <v>33.65</v>
      </c>
      <c r="E19" s="50">
        <v>12.12</v>
      </c>
      <c r="F19" s="50">
        <v>4.16</v>
      </c>
      <c r="G19" s="50">
        <v>81.650000000000006</v>
      </c>
      <c r="H19" s="50">
        <v>33.43</v>
      </c>
      <c r="I19" s="50">
        <v>10.63</v>
      </c>
      <c r="J19" s="50">
        <v>1.36</v>
      </c>
      <c r="K19" s="50">
        <v>76.37</v>
      </c>
      <c r="L19" s="50">
        <v>27.69</v>
      </c>
      <c r="M19" s="50">
        <v>57.71</v>
      </c>
      <c r="N19" s="50">
        <v>555.5</v>
      </c>
      <c r="O19" s="50">
        <v>0</v>
      </c>
      <c r="P19" s="50">
        <v>0.96</v>
      </c>
      <c r="Q19" s="50">
        <v>4.84</v>
      </c>
    </row>
    <row r="20" spans="1:17" customFormat="1">
      <c r="A20" s="49">
        <v>45337.5</v>
      </c>
      <c r="B20" s="50">
        <v>20.72</v>
      </c>
      <c r="C20" s="50">
        <v>20.25</v>
      </c>
      <c r="D20" s="50">
        <v>28.54</v>
      </c>
      <c r="E20" s="50">
        <v>13.99</v>
      </c>
      <c r="F20" s="50">
        <v>5.24</v>
      </c>
      <c r="G20" s="50">
        <v>77.8</v>
      </c>
      <c r="H20" s="50">
        <v>31.4</v>
      </c>
      <c r="I20" s="50">
        <v>10.06</v>
      </c>
      <c r="J20" s="50">
        <v>0.84</v>
      </c>
      <c r="K20" s="50">
        <v>345.19</v>
      </c>
      <c r="L20" s="50">
        <v>29.25</v>
      </c>
      <c r="M20" s="50">
        <v>51.94</v>
      </c>
      <c r="N20" s="50">
        <v>611.1</v>
      </c>
      <c r="O20" s="50">
        <v>0</v>
      </c>
      <c r="P20" s="50">
        <v>0.9</v>
      </c>
      <c r="Q20" s="50">
        <v>4.83</v>
      </c>
    </row>
    <row r="21" spans="1:17" customFormat="1">
      <c r="A21" s="49">
        <v>45337.541666666664</v>
      </c>
      <c r="B21" s="50">
        <v>16.440000000000001</v>
      </c>
      <c r="C21" s="50">
        <v>19.82</v>
      </c>
      <c r="D21" s="50">
        <v>24.89</v>
      </c>
      <c r="E21" s="50">
        <v>11.61</v>
      </c>
      <c r="F21" s="50">
        <v>4.8099999999999996</v>
      </c>
      <c r="G21" s="50">
        <v>77.8</v>
      </c>
      <c r="H21" s="50">
        <v>30.09</v>
      </c>
      <c r="I21" s="50">
        <v>9.35</v>
      </c>
      <c r="J21" s="50">
        <v>0.71</v>
      </c>
      <c r="K21" s="50">
        <v>342.83</v>
      </c>
      <c r="L21" s="50">
        <v>30.32</v>
      </c>
      <c r="M21" s="50">
        <v>48.68</v>
      </c>
      <c r="N21" s="50">
        <v>655.4</v>
      </c>
      <c r="O21" s="50">
        <v>0</v>
      </c>
      <c r="P21" s="50">
        <v>0.87</v>
      </c>
      <c r="Q21" s="50">
        <v>4.83</v>
      </c>
    </row>
    <row r="22" spans="1:17" customFormat="1">
      <c r="A22" s="49">
        <v>45337.583333333336</v>
      </c>
      <c r="B22" s="50">
        <v>11.43</v>
      </c>
      <c r="C22" s="50">
        <v>19.760000000000002</v>
      </c>
      <c r="D22" s="50">
        <v>20.81</v>
      </c>
      <c r="E22" s="50">
        <v>10.38</v>
      </c>
      <c r="F22" s="50">
        <v>4.93</v>
      </c>
      <c r="G22" s="50">
        <v>67.319999999999993</v>
      </c>
      <c r="H22" s="50">
        <v>28.46</v>
      </c>
      <c r="I22" s="50">
        <v>8.89</v>
      </c>
      <c r="J22" s="50">
        <v>0.67</v>
      </c>
      <c r="K22" s="50">
        <v>325.05</v>
      </c>
      <c r="L22" s="50">
        <v>31.65</v>
      </c>
      <c r="M22" s="50">
        <v>42.82</v>
      </c>
      <c r="N22" s="50">
        <v>574.29999999999995</v>
      </c>
      <c r="O22" s="50">
        <v>0</v>
      </c>
      <c r="P22" s="50">
        <v>0.82</v>
      </c>
      <c r="Q22" s="50">
        <v>4.78</v>
      </c>
    </row>
    <row r="23" spans="1:17" customFormat="1">
      <c r="A23" s="49">
        <v>45337.625</v>
      </c>
      <c r="B23" s="50">
        <v>6.95</v>
      </c>
      <c r="C23" s="50">
        <v>20.7</v>
      </c>
      <c r="D23" s="50">
        <v>16.7</v>
      </c>
      <c r="E23" s="50">
        <v>12.72</v>
      </c>
      <c r="F23" s="50">
        <v>7.69</v>
      </c>
      <c r="G23" s="50">
        <v>59.23</v>
      </c>
      <c r="H23" s="50">
        <v>25.29</v>
      </c>
      <c r="I23" s="50">
        <v>8.31</v>
      </c>
      <c r="J23" s="50">
        <v>0.9</v>
      </c>
      <c r="K23" s="50">
        <v>339.13</v>
      </c>
      <c r="L23" s="50">
        <v>31.3</v>
      </c>
      <c r="M23" s="50">
        <v>41.97</v>
      </c>
      <c r="N23" s="50">
        <v>525.79999999999995</v>
      </c>
      <c r="O23" s="50">
        <v>0</v>
      </c>
      <c r="P23" s="50">
        <v>0.78</v>
      </c>
      <c r="Q23" s="50">
        <v>4.7699999999999996</v>
      </c>
    </row>
    <row r="24" spans="1:17" customFormat="1">
      <c r="A24" s="49">
        <v>45337.666666666664</v>
      </c>
      <c r="B24" s="50">
        <v>5.15</v>
      </c>
      <c r="C24" s="50">
        <v>21.19</v>
      </c>
      <c r="D24" s="50">
        <v>16.47</v>
      </c>
      <c r="E24" s="50">
        <v>15.9</v>
      </c>
      <c r="F24" s="50">
        <v>9.1999999999999993</v>
      </c>
      <c r="G24" s="50">
        <v>68.47</v>
      </c>
      <c r="H24" s="50">
        <v>28.42</v>
      </c>
      <c r="I24" s="50">
        <v>7.66</v>
      </c>
      <c r="J24" s="50">
        <v>0.78</v>
      </c>
      <c r="K24" s="50">
        <v>327.42</v>
      </c>
      <c r="L24" s="50">
        <v>30.38</v>
      </c>
      <c r="M24" s="50">
        <v>43.89</v>
      </c>
      <c r="N24" s="50">
        <v>157.19999999999999</v>
      </c>
      <c r="O24" s="50">
        <v>0</v>
      </c>
      <c r="P24" s="50">
        <v>0.73</v>
      </c>
      <c r="Q24" s="50">
        <v>4.74</v>
      </c>
    </row>
    <row r="25" spans="1:17" customFormat="1">
      <c r="A25" s="49">
        <v>45337.708333333336</v>
      </c>
      <c r="B25" s="50">
        <v>5.88</v>
      </c>
      <c r="C25" s="50">
        <v>22.99</v>
      </c>
      <c r="D25" s="50">
        <v>18.079999999999998</v>
      </c>
      <c r="E25" s="50">
        <v>21.31</v>
      </c>
      <c r="F25" s="50">
        <v>9.4600000000000009</v>
      </c>
      <c r="G25" s="50">
        <v>75.42</v>
      </c>
      <c r="H25" s="50">
        <v>33.42</v>
      </c>
      <c r="I25" s="50">
        <v>7.24</v>
      </c>
      <c r="J25" s="50">
        <v>0.6</v>
      </c>
      <c r="K25" s="50">
        <v>34.33</v>
      </c>
      <c r="L25" s="50">
        <v>30.2</v>
      </c>
      <c r="M25" s="50">
        <v>45.05</v>
      </c>
      <c r="N25" s="50">
        <v>85.8</v>
      </c>
      <c r="O25" s="50">
        <v>0</v>
      </c>
      <c r="P25" s="50">
        <v>0.76</v>
      </c>
      <c r="Q25" s="50">
        <v>4.75</v>
      </c>
    </row>
    <row r="26" spans="1:17" customFormat="1">
      <c r="A26" s="49">
        <v>45337.75</v>
      </c>
      <c r="B26" s="50">
        <v>8.23</v>
      </c>
      <c r="C26" s="50">
        <v>26.05</v>
      </c>
      <c r="D26" s="50">
        <v>21.53</v>
      </c>
      <c r="E26" s="50">
        <v>19.850000000000001</v>
      </c>
      <c r="F26" s="50">
        <v>8.3000000000000007</v>
      </c>
      <c r="G26" s="50">
        <v>87.61</v>
      </c>
      <c r="H26" s="50">
        <v>33.42</v>
      </c>
      <c r="I26" s="50">
        <v>7.13</v>
      </c>
      <c r="J26" s="50">
        <v>0.8</v>
      </c>
      <c r="K26" s="50">
        <v>59.61</v>
      </c>
      <c r="L26" s="50">
        <v>29.34</v>
      </c>
      <c r="M26" s="50">
        <v>50.45</v>
      </c>
      <c r="N26" s="50">
        <v>22.6</v>
      </c>
      <c r="O26" s="50">
        <v>0</v>
      </c>
      <c r="P26" s="50">
        <v>0.81</v>
      </c>
      <c r="Q26" s="50">
        <v>4.75</v>
      </c>
    </row>
    <row r="27" spans="1:17" customFormat="1">
      <c r="A27" s="49">
        <v>45337.791666666664</v>
      </c>
      <c r="B27" s="50">
        <v>9.27</v>
      </c>
      <c r="C27" s="50">
        <v>27.86</v>
      </c>
      <c r="D27" s="50">
        <v>23.33</v>
      </c>
      <c r="E27" s="50">
        <v>9.16</v>
      </c>
      <c r="F27" s="50">
        <v>4.5999999999999996</v>
      </c>
      <c r="G27" s="50">
        <v>101.87</v>
      </c>
      <c r="H27" s="50">
        <v>36.18</v>
      </c>
      <c r="I27" s="50">
        <v>7.29</v>
      </c>
      <c r="J27" s="50">
        <v>0.67</v>
      </c>
      <c r="K27" s="50">
        <v>67.06</v>
      </c>
      <c r="L27" s="50">
        <v>27.71</v>
      </c>
      <c r="M27" s="50">
        <v>54.97</v>
      </c>
      <c r="N27" s="50">
        <v>0</v>
      </c>
      <c r="O27" s="50">
        <v>0</v>
      </c>
      <c r="P27" s="50">
        <v>0.87</v>
      </c>
      <c r="Q27" s="50">
        <v>4.75</v>
      </c>
    </row>
    <row r="28" spans="1:17" customFormat="1">
      <c r="A28" s="49">
        <v>45337.833333333336</v>
      </c>
      <c r="B28" s="50">
        <v>10.42</v>
      </c>
      <c r="C28" s="50">
        <v>27.93</v>
      </c>
      <c r="D28" s="50">
        <v>23.98</v>
      </c>
      <c r="E28" s="50">
        <v>8.4700000000000006</v>
      </c>
      <c r="F28" s="50">
        <v>3.53</v>
      </c>
      <c r="G28" s="50">
        <v>106.09</v>
      </c>
      <c r="H28" s="50">
        <v>36.53</v>
      </c>
      <c r="I28" s="50">
        <v>7.61</v>
      </c>
      <c r="J28" s="50">
        <v>0.66</v>
      </c>
      <c r="K28" s="50">
        <v>166.78</v>
      </c>
      <c r="L28" s="50">
        <v>26.73</v>
      </c>
      <c r="M28" s="50">
        <v>67.86</v>
      </c>
      <c r="N28" s="50">
        <v>0</v>
      </c>
      <c r="O28" s="50">
        <v>0</v>
      </c>
      <c r="P28" s="50">
        <v>0.93</v>
      </c>
      <c r="Q28" s="50">
        <v>4.75</v>
      </c>
    </row>
    <row r="29" spans="1:17" customFormat="1">
      <c r="A29" s="49">
        <v>45337.875</v>
      </c>
      <c r="B29" s="50">
        <v>11.67</v>
      </c>
      <c r="C29" s="50">
        <v>23.92</v>
      </c>
      <c r="D29" s="50">
        <v>22.44</v>
      </c>
      <c r="E29" s="50">
        <v>7</v>
      </c>
      <c r="F29" s="50">
        <v>3.74</v>
      </c>
      <c r="G29" s="50">
        <v>106.09</v>
      </c>
      <c r="H29" s="50">
        <v>38.46</v>
      </c>
      <c r="I29" s="50">
        <v>8.02</v>
      </c>
      <c r="J29" s="50">
        <v>0.25</v>
      </c>
      <c r="K29" s="50">
        <v>202.13</v>
      </c>
      <c r="L29" s="50">
        <v>24.88</v>
      </c>
      <c r="M29" s="50">
        <v>74.069999999999993</v>
      </c>
      <c r="N29" s="50">
        <v>0</v>
      </c>
      <c r="O29" s="50">
        <v>0</v>
      </c>
      <c r="P29" s="50">
        <v>0.95</v>
      </c>
      <c r="Q29" s="50">
        <v>4.7300000000000004</v>
      </c>
    </row>
    <row r="30" spans="1:17" customFormat="1">
      <c r="A30" s="49">
        <v>45337.916666666664</v>
      </c>
      <c r="B30" s="50">
        <v>13.48</v>
      </c>
      <c r="C30" s="50">
        <v>19.010000000000002</v>
      </c>
      <c r="D30" s="50">
        <v>21.42</v>
      </c>
      <c r="E30" s="50">
        <v>6.94</v>
      </c>
      <c r="F30" s="50">
        <v>3.61</v>
      </c>
      <c r="G30" s="50">
        <v>108.32</v>
      </c>
      <c r="H30" s="50">
        <v>39.01</v>
      </c>
      <c r="I30" s="50">
        <v>8.27</v>
      </c>
      <c r="J30" s="50">
        <v>0.51</v>
      </c>
      <c r="K30" s="50">
        <v>186.9</v>
      </c>
      <c r="L30" s="50">
        <v>24.28</v>
      </c>
      <c r="M30" s="50">
        <v>75.599999999999994</v>
      </c>
      <c r="N30" s="50">
        <v>0</v>
      </c>
      <c r="O30" s="50">
        <v>0</v>
      </c>
      <c r="P30" s="50">
        <v>0.96</v>
      </c>
      <c r="Q30" s="50">
        <v>4.78</v>
      </c>
    </row>
    <row r="31" spans="1:17" customFormat="1">
      <c r="A31" s="49">
        <v>45337.958333333336</v>
      </c>
      <c r="B31" s="50">
        <v>15.66</v>
      </c>
      <c r="C31" s="50">
        <v>17.5</v>
      </c>
      <c r="D31" s="50">
        <v>22.84</v>
      </c>
      <c r="E31" s="50">
        <v>6.83</v>
      </c>
      <c r="F31" s="50">
        <v>3.62</v>
      </c>
      <c r="G31" s="50">
        <v>128.1</v>
      </c>
      <c r="H31" s="50">
        <v>40.53</v>
      </c>
      <c r="I31" s="50">
        <v>8.41</v>
      </c>
      <c r="J31" s="50">
        <v>0.92</v>
      </c>
      <c r="K31" s="50">
        <v>61.14</v>
      </c>
      <c r="L31" s="50">
        <v>24.35</v>
      </c>
      <c r="M31" s="50">
        <v>69.17</v>
      </c>
      <c r="N31" s="50">
        <v>0</v>
      </c>
      <c r="O31" s="50">
        <v>0</v>
      </c>
      <c r="P31" s="50">
        <v>0.96</v>
      </c>
      <c r="Q31" s="50">
        <v>4.84</v>
      </c>
    </row>
    <row r="32" spans="1:17" customFormat="1">
      <c r="A32" s="49">
        <v>45338</v>
      </c>
      <c r="B32" s="50">
        <v>16.37</v>
      </c>
      <c r="C32" s="50">
        <v>18.760000000000002</v>
      </c>
      <c r="D32" s="50">
        <v>24.13</v>
      </c>
      <c r="E32" s="50">
        <v>7</v>
      </c>
      <c r="F32" s="50">
        <v>3.48</v>
      </c>
      <c r="G32" s="50">
        <v>128.1</v>
      </c>
      <c r="H32" s="50">
        <v>42.98</v>
      </c>
      <c r="I32" s="50">
        <v>8.4</v>
      </c>
      <c r="J32" s="50">
        <v>1.17</v>
      </c>
      <c r="K32" s="50">
        <v>71.180000000000007</v>
      </c>
      <c r="L32" s="50">
        <v>23.9</v>
      </c>
      <c r="M32" s="50">
        <v>71.38</v>
      </c>
      <c r="N32" s="50">
        <v>0</v>
      </c>
      <c r="O32" s="50">
        <v>0</v>
      </c>
      <c r="P32" s="50">
        <v>0.95</v>
      </c>
      <c r="Q32" s="50">
        <v>4.84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5.15</v>
      </c>
      <c r="C34" s="40">
        <f t="shared" si="0"/>
        <v>16.75</v>
      </c>
      <c r="D34" s="40">
        <f t="shared" si="0"/>
        <v>16.47</v>
      </c>
      <c r="E34" s="40">
        <f t="shared" si="0"/>
        <v>6.83</v>
      </c>
      <c r="F34" s="40">
        <f t="shared" si="0"/>
        <v>3.25</v>
      </c>
      <c r="G34" s="40">
        <f t="shared" si="0"/>
        <v>59.23</v>
      </c>
      <c r="H34" s="40">
        <f t="shared" si="0"/>
        <v>25.29</v>
      </c>
      <c r="I34" s="40">
        <f t="shared" si="0"/>
        <v>7.13</v>
      </c>
      <c r="J34" s="40">
        <f t="shared" si="0"/>
        <v>0.15</v>
      </c>
      <c r="K34" s="40">
        <f t="shared" si="0"/>
        <v>34.33</v>
      </c>
      <c r="L34" s="40">
        <f t="shared" si="0"/>
        <v>19.47</v>
      </c>
      <c r="M34" s="40">
        <f t="shared" si="0"/>
        <v>41.97</v>
      </c>
      <c r="N34" s="40">
        <f t="shared" si="0"/>
        <v>0</v>
      </c>
      <c r="O34" s="40">
        <f t="shared" si="0"/>
        <v>0</v>
      </c>
      <c r="P34" s="40">
        <f t="shared" si="0"/>
        <v>0.73</v>
      </c>
      <c r="Q34" s="40">
        <f t="shared" si="0"/>
        <v>4.7300000000000004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35.479999999999997</v>
      </c>
      <c r="C35" s="33">
        <f t="shared" si="1"/>
        <v>27.93</v>
      </c>
      <c r="D35" s="33">
        <f t="shared" si="1"/>
        <v>42.78</v>
      </c>
      <c r="E35" s="33">
        <f t="shared" si="1"/>
        <v>21.31</v>
      </c>
      <c r="F35" s="33">
        <f t="shared" si="1"/>
        <v>9.4600000000000009</v>
      </c>
      <c r="G35" s="33">
        <f t="shared" si="1"/>
        <v>128.1</v>
      </c>
      <c r="H35" s="33">
        <f t="shared" si="1"/>
        <v>42.98</v>
      </c>
      <c r="I35" s="33">
        <f t="shared" si="1"/>
        <v>12.81</v>
      </c>
      <c r="J35" s="33">
        <f t="shared" si="1"/>
        <v>1.36</v>
      </c>
      <c r="K35" s="33">
        <f t="shared" si="1"/>
        <v>345.19</v>
      </c>
      <c r="L35" s="33">
        <f t="shared" si="1"/>
        <v>31.65</v>
      </c>
      <c r="M35" s="33">
        <f t="shared" si="1"/>
        <v>85.88</v>
      </c>
      <c r="N35" s="33">
        <f t="shared" si="1"/>
        <v>655.4</v>
      </c>
      <c r="O35" s="33">
        <f t="shared" si="1"/>
        <v>0</v>
      </c>
      <c r="P35" s="33">
        <f t="shared" si="1"/>
        <v>1.1000000000000001</v>
      </c>
      <c r="Q35" s="33">
        <f t="shared" si="1"/>
        <v>4.97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18.600416666666671</v>
      </c>
      <c r="C36" s="40">
        <f t="shared" si="2"/>
        <v>22.119583333333338</v>
      </c>
      <c r="D36" s="40">
        <f t="shared" si="2"/>
        <v>27.57041666666667</v>
      </c>
      <c r="E36" s="40">
        <f t="shared" si="2"/>
        <v>10.640833333333333</v>
      </c>
      <c r="F36" s="40">
        <f t="shared" si="2"/>
        <v>4.6012500000000003</v>
      </c>
      <c r="G36" s="40">
        <f t="shared" si="2"/>
        <v>88.290416666666658</v>
      </c>
      <c r="H36" s="40">
        <f t="shared" si="2"/>
        <v>33.849999999999994</v>
      </c>
      <c r="I36" s="40">
        <f t="shared" si="2"/>
        <v>9.8654166666666683</v>
      </c>
      <c r="J36" s="40">
        <f t="shared" si="2"/>
        <v>0.69708333333333339</v>
      </c>
      <c r="K36" s="40">
        <f t="shared" si="2"/>
        <v>175.0229166666667</v>
      </c>
      <c r="L36" s="40">
        <f t="shared" si="2"/>
        <v>25.207916666666662</v>
      </c>
      <c r="M36" s="40">
        <f t="shared" si="2"/>
        <v>66.264583333333334</v>
      </c>
      <c r="N36" s="40">
        <f t="shared" si="2"/>
        <v>163.50833333333335</v>
      </c>
      <c r="O36" s="40">
        <f t="shared" si="2"/>
        <v>0</v>
      </c>
      <c r="P36" s="40">
        <f t="shared" si="2"/>
        <v>0.94125000000000014</v>
      </c>
      <c r="Q36" s="40">
        <f t="shared" si="2"/>
        <v>4.8241666666666667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9.846237188660556</v>
      </c>
      <c r="C37" s="40">
        <f t="shared" ref="C37:Q37" si="3">STDEV(C9:C32)</f>
        <v>3.6040731536833639</v>
      </c>
      <c r="D37" s="40">
        <f t="shared" si="3"/>
        <v>8.4792388292339158</v>
      </c>
      <c r="E37" s="40">
        <f t="shared" si="3"/>
        <v>3.8176272128420128</v>
      </c>
      <c r="F37" s="40">
        <f t="shared" si="3"/>
        <v>1.9595703000580427</v>
      </c>
      <c r="G37" s="40">
        <f t="shared" si="3"/>
        <v>19.055555045175392</v>
      </c>
      <c r="H37" s="40">
        <f t="shared" si="3"/>
        <v>4.4175115954180324</v>
      </c>
      <c r="I37" s="40">
        <f t="shared" si="3"/>
        <v>1.9856484630569788</v>
      </c>
      <c r="J37" s="40">
        <f t="shared" si="3"/>
        <v>0.36478080573391469</v>
      </c>
      <c r="K37" s="40">
        <f t="shared" si="3"/>
        <v>112.61171853760483</v>
      </c>
      <c r="L37" s="40">
        <f t="shared" si="3"/>
        <v>4.1680502992528492</v>
      </c>
      <c r="M37" s="40">
        <f t="shared" si="3"/>
        <v>15.341360400866547</v>
      </c>
      <c r="N37" s="40">
        <f t="shared" si="3"/>
        <v>240.2343455817703</v>
      </c>
      <c r="O37" s="40">
        <f t="shared" si="3"/>
        <v>0</v>
      </c>
      <c r="P37" s="40">
        <f t="shared" si="3"/>
        <v>0.10376865992489527</v>
      </c>
      <c r="Q37" s="40">
        <f t="shared" si="3"/>
        <v>7.2045677942181655E-2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45338.041666666664</v>
      </c>
      <c r="B9" s="50">
        <v>15.65</v>
      </c>
      <c r="C9" s="50">
        <v>19.489999999999998</v>
      </c>
      <c r="D9" s="50">
        <v>23.4</v>
      </c>
      <c r="E9" s="50">
        <v>7.2</v>
      </c>
      <c r="F9" s="50">
        <v>3.62</v>
      </c>
      <c r="G9" s="50">
        <v>123.3</v>
      </c>
      <c r="H9" s="50">
        <v>42.98</v>
      </c>
      <c r="I9" s="50">
        <v>8.3699999999999992</v>
      </c>
      <c r="J9" s="50">
        <v>1.01</v>
      </c>
      <c r="K9" s="50">
        <v>59.73</v>
      </c>
      <c r="L9" s="50">
        <v>23.08</v>
      </c>
      <c r="M9" s="50">
        <v>74.73</v>
      </c>
      <c r="N9" s="50">
        <v>0</v>
      </c>
      <c r="O9" s="50">
        <v>0</v>
      </c>
      <c r="P9" s="50">
        <v>0.94</v>
      </c>
      <c r="Q9" s="50">
        <v>4.8600000000000003</v>
      </c>
    </row>
    <row r="10" spans="1:21" customFormat="1">
      <c r="A10" s="49">
        <v>45338.083333333336</v>
      </c>
      <c r="B10" s="50">
        <v>14.58</v>
      </c>
      <c r="C10" s="50">
        <v>21.42</v>
      </c>
      <c r="D10" s="50">
        <v>23.76</v>
      </c>
      <c r="E10" s="50">
        <v>7.61</v>
      </c>
      <c r="F10" s="50">
        <v>3.35</v>
      </c>
      <c r="G10" s="50">
        <v>114.18</v>
      </c>
      <c r="H10" s="50">
        <v>41.99</v>
      </c>
      <c r="I10" s="50">
        <v>8.23</v>
      </c>
      <c r="J10" s="50">
        <v>0.56000000000000005</v>
      </c>
      <c r="K10" s="50">
        <v>65.72</v>
      </c>
      <c r="L10" s="50">
        <v>22.49</v>
      </c>
      <c r="M10" s="50">
        <v>77.08</v>
      </c>
      <c r="N10" s="50">
        <v>0</v>
      </c>
      <c r="O10" s="50">
        <v>0</v>
      </c>
      <c r="P10" s="50">
        <v>0.86</v>
      </c>
      <c r="Q10" s="50">
        <v>4.87</v>
      </c>
    </row>
    <row r="11" spans="1:21" customFormat="1">
      <c r="A11" s="49">
        <v>45338.125</v>
      </c>
      <c r="B11" s="50">
        <v>13.83</v>
      </c>
      <c r="C11" s="50">
        <v>22.11</v>
      </c>
      <c r="D11" s="50">
        <v>23.87</v>
      </c>
      <c r="E11" s="50">
        <v>9.91</v>
      </c>
      <c r="F11" s="50">
        <v>3.35</v>
      </c>
      <c r="G11" s="50">
        <v>102.26</v>
      </c>
      <c r="H11" s="50">
        <v>39.82</v>
      </c>
      <c r="I11" s="50">
        <v>7.99</v>
      </c>
      <c r="J11" s="50">
        <v>0.75</v>
      </c>
      <c r="K11" s="50">
        <v>59.92</v>
      </c>
      <c r="L11" s="50">
        <v>21.88</v>
      </c>
      <c r="M11" s="50">
        <v>77.400000000000006</v>
      </c>
      <c r="N11" s="50">
        <v>0</v>
      </c>
      <c r="O11" s="50">
        <v>0</v>
      </c>
      <c r="P11" s="50">
        <v>0.82</v>
      </c>
      <c r="Q11" s="50">
        <v>4.8499999999999996</v>
      </c>
    </row>
    <row r="12" spans="1:21" customFormat="1">
      <c r="A12" s="49">
        <v>45338.166666666664</v>
      </c>
      <c r="B12" s="50">
        <v>13.54</v>
      </c>
      <c r="C12" s="50">
        <v>22.32</v>
      </c>
      <c r="D12" s="50">
        <v>23.68</v>
      </c>
      <c r="E12" s="50">
        <v>10.36</v>
      </c>
      <c r="F12" s="50">
        <v>3.29</v>
      </c>
      <c r="G12" s="50">
        <v>99.22</v>
      </c>
      <c r="H12" s="50">
        <v>36.270000000000003</v>
      </c>
      <c r="I12" s="50">
        <v>7.82</v>
      </c>
      <c r="J12" s="50">
        <v>0.81</v>
      </c>
      <c r="K12" s="50">
        <v>64.489999999999995</v>
      </c>
      <c r="L12" s="50">
        <v>21.53</v>
      </c>
      <c r="M12" s="50">
        <v>78.45</v>
      </c>
      <c r="N12" s="50">
        <v>0</v>
      </c>
      <c r="O12" s="50">
        <v>0</v>
      </c>
      <c r="P12" s="50">
        <v>0.77</v>
      </c>
      <c r="Q12" s="50">
        <v>4.8</v>
      </c>
    </row>
    <row r="13" spans="1:21" customFormat="1">
      <c r="A13" s="49">
        <v>45338.208333333336</v>
      </c>
      <c r="B13" s="50">
        <v>13.37</v>
      </c>
      <c r="C13" s="50">
        <v>22.39</v>
      </c>
      <c r="D13" s="50">
        <v>23.77</v>
      </c>
      <c r="E13" s="50">
        <v>9.9</v>
      </c>
      <c r="F13" s="50">
        <v>3.36</v>
      </c>
      <c r="G13" s="50">
        <v>99.22</v>
      </c>
      <c r="H13" s="50">
        <v>36.270000000000003</v>
      </c>
      <c r="I13" s="50">
        <v>7.49</v>
      </c>
      <c r="J13" s="50">
        <v>0.89</v>
      </c>
      <c r="K13" s="50">
        <v>147.83000000000001</v>
      </c>
      <c r="L13" s="50">
        <v>21.36</v>
      </c>
      <c r="M13" s="50">
        <v>80.78</v>
      </c>
      <c r="N13" s="50">
        <v>0</v>
      </c>
      <c r="O13" s="50">
        <v>0</v>
      </c>
      <c r="P13" s="50">
        <v>0.73</v>
      </c>
      <c r="Q13" s="50">
        <v>4.78</v>
      </c>
    </row>
    <row r="14" spans="1:21" customFormat="1">
      <c r="A14" s="49">
        <v>45338.25</v>
      </c>
      <c r="B14" s="50">
        <v>14.1</v>
      </c>
      <c r="C14" s="50">
        <v>22.99</v>
      </c>
      <c r="D14" s="50">
        <v>24.3</v>
      </c>
      <c r="E14" s="50">
        <v>9.7200000000000006</v>
      </c>
      <c r="F14" s="50">
        <v>3.53</v>
      </c>
      <c r="G14" s="50">
        <v>87.87</v>
      </c>
      <c r="H14" s="50">
        <v>32.299999999999997</v>
      </c>
      <c r="I14" s="50">
        <v>7.19</v>
      </c>
      <c r="J14" s="50">
        <v>1.07</v>
      </c>
      <c r="K14" s="50">
        <v>59.06</v>
      </c>
      <c r="L14" s="50">
        <v>20.82</v>
      </c>
      <c r="M14" s="50">
        <v>81.569999999999993</v>
      </c>
      <c r="N14" s="50">
        <v>0</v>
      </c>
      <c r="O14" s="50">
        <v>0</v>
      </c>
      <c r="P14" s="50">
        <v>0.7</v>
      </c>
      <c r="Q14" s="50">
        <v>4.7699999999999996</v>
      </c>
    </row>
    <row r="15" spans="1:21" customFormat="1">
      <c r="A15" s="49">
        <v>45338.291666666664</v>
      </c>
      <c r="B15" s="50">
        <v>15.5</v>
      </c>
      <c r="C15" s="50">
        <v>18.420000000000002</v>
      </c>
      <c r="D15" s="50">
        <v>22.48</v>
      </c>
      <c r="E15" s="50">
        <v>9</v>
      </c>
      <c r="F15" s="50">
        <v>3.72</v>
      </c>
      <c r="G15" s="50">
        <v>87.87</v>
      </c>
      <c r="H15" s="50">
        <v>34.18</v>
      </c>
      <c r="I15" s="50">
        <v>7.05</v>
      </c>
      <c r="J15" s="50">
        <v>0.99</v>
      </c>
      <c r="K15" s="50">
        <v>67.91</v>
      </c>
      <c r="L15" s="50">
        <v>20.73</v>
      </c>
      <c r="M15" s="50">
        <v>80.86</v>
      </c>
      <c r="N15" s="50">
        <v>0.1</v>
      </c>
      <c r="O15" s="50">
        <v>0</v>
      </c>
      <c r="P15" s="50">
        <v>0.68</v>
      </c>
      <c r="Q15" s="50">
        <v>4.76</v>
      </c>
    </row>
    <row r="16" spans="1:21" customFormat="1">
      <c r="A16" s="49">
        <v>45338.333333333336</v>
      </c>
      <c r="B16" s="50">
        <v>17.11</v>
      </c>
      <c r="C16" s="50">
        <v>17.96</v>
      </c>
      <c r="D16" s="50">
        <v>23.97</v>
      </c>
      <c r="E16" s="50">
        <v>9.36</v>
      </c>
      <c r="F16" s="50">
        <v>3.4</v>
      </c>
      <c r="G16" s="50">
        <v>87.45</v>
      </c>
      <c r="H16" s="50">
        <v>34.18</v>
      </c>
      <c r="I16" s="50">
        <v>7.13</v>
      </c>
      <c r="J16" s="50">
        <v>1.1299999999999999</v>
      </c>
      <c r="K16" s="50">
        <v>56.83</v>
      </c>
      <c r="L16" s="50">
        <v>21.33</v>
      </c>
      <c r="M16" s="50">
        <v>80.209999999999994</v>
      </c>
      <c r="N16" s="50">
        <v>91.3</v>
      </c>
      <c r="O16" s="50">
        <v>0</v>
      </c>
      <c r="P16" s="50">
        <v>0.7</v>
      </c>
      <c r="Q16" s="50">
        <v>4.82</v>
      </c>
    </row>
    <row r="17" spans="1:17" customFormat="1">
      <c r="A17" s="49">
        <v>45338.375</v>
      </c>
      <c r="B17" s="50">
        <v>17.66</v>
      </c>
      <c r="C17" s="50">
        <v>17.64</v>
      </c>
      <c r="D17" s="50">
        <v>24.73</v>
      </c>
      <c r="E17" s="50">
        <v>9.5500000000000007</v>
      </c>
      <c r="F17" s="50">
        <v>3.43</v>
      </c>
      <c r="G17" s="50">
        <v>85.98</v>
      </c>
      <c r="H17" s="50">
        <v>35.81</v>
      </c>
      <c r="I17" s="50">
        <v>7.41</v>
      </c>
      <c r="J17" s="50">
        <v>1.46</v>
      </c>
      <c r="K17" s="50">
        <v>64.430000000000007</v>
      </c>
      <c r="L17" s="50">
        <v>22.98</v>
      </c>
      <c r="M17" s="50">
        <v>76.180000000000007</v>
      </c>
      <c r="N17" s="50">
        <v>250.1</v>
      </c>
      <c r="O17" s="50">
        <v>0</v>
      </c>
      <c r="P17" s="50">
        <v>0.73</v>
      </c>
      <c r="Q17" s="50">
        <v>4.8600000000000003</v>
      </c>
    </row>
    <row r="18" spans="1:17" customFormat="1">
      <c r="A18" s="49">
        <v>45338.416666666664</v>
      </c>
      <c r="B18" s="50">
        <v>17.670000000000002</v>
      </c>
      <c r="C18" s="50">
        <v>16.899999999999999</v>
      </c>
      <c r="D18" s="50">
        <v>24.35</v>
      </c>
      <c r="E18" s="50">
        <v>9.98</v>
      </c>
      <c r="F18" s="50">
        <v>3.75</v>
      </c>
      <c r="G18" s="50">
        <v>85.98</v>
      </c>
      <c r="H18" s="50">
        <v>36.26</v>
      </c>
      <c r="I18" s="50">
        <v>7.55</v>
      </c>
      <c r="J18" s="50">
        <v>1.35</v>
      </c>
      <c r="K18" s="50">
        <v>66.89</v>
      </c>
      <c r="L18" s="50">
        <v>26.28</v>
      </c>
      <c r="M18" s="50">
        <v>69.44</v>
      </c>
      <c r="N18" s="50">
        <v>334.2</v>
      </c>
      <c r="O18" s="50">
        <v>0</v>
      </c>
      <c r="P18" s="50">
        <v>0.73</v>
      </c>
      <c r="Q18" s="50">
        <v>4.8499999999999996</v>
      </c>
    </row>
    <row r="19" spans="1:17" customFormat="1">
      <c r="A19" s="49">
        <v>45338.458333333336</v>
      </c>
      <c r="B19" s="50">
        <v>16.940000000000001</v>
      </c>
      <c r="C19" s="50">
        <v>19.760000000000002</v>
      </c>
      <c r="D19" s="50">
        <v>23.19</v>
      </c>
      <c r="E19" s="50">
        <v>16.54</v>
      </c>
      <c r="F19" s="50">
        <v>5.39</v>
      </c>
      <c r="G19" s="50">
        <v>81.94</v>
      </c>
      <c r="H19" s="50">
        <v>36.26</v>
      </c>
      <c r="I19" s="50">
        <v>7.55</v>
      </c>
      <c r="J19" s="50">
        <v>1.05</v>
      </c>
      <c r="K19" s="50">
        <v>79.84</v>
      </c>
      <c r="L19" s="50">
        <v>28.41</v>
      </c>
      <c r="M19" s="50">
        <v>55.23</v>
      </c>
      <c r="N19" s="50">
        <v>511.2</v>
      </c>
      <c r="O19" s="50">
        <v>0</v>
      </c>
      <c r="P19" s="50">
        <v>0.73</v>
      </c>
      <c r="Q19" s="50">
        <v>4.83</v>
      </c>
    </row>
    <row r="20" spans="1:17" customFormat="1">
      <c r="A20" s="49">
        <v>45338.5</v>
      </c>
      <c r="B20" s="50">
        <v>13.31</v>
      </c>
      <c r="C20" s="50">
        <v>21.71</v>
      </c>
      <c r="D20" s="50">
        <v>22.83</v>
      </c>
      <c r="E20" s="50">
        <v>15.39</v>
      </c>
      <c r="F20" s="50">
        <v>5.78</v>
      </c>
      <c r="G20" s="50">
        <v>81.94</v>
      </c>
      <c r="H20" s="50">
        <v>34.49</v>
      </c>
      <c r="I20" s="50">
        <v>7.35</v>
      </c>
      <c r="J20" s="50">
        <v>0.92</v>
      </c>
      <c r="K20" s="50">
        <v>117.02</v>
      </c>
      <c r="L20" s="50">
        <v>30.15</v>
      </c>
      <c r="M20" s="50">
        <v>50.37</v>
      </c>
      <c r="N20" s="50">
        <v>584.9</v>
      </c>
      <c r="O20" s="50">
        <v>0</v>
      </c>
      <c r="P20" s="50">
        <v>0.74</v>
      </c>
      <c r="Q20" s="50">
        <v>4.83</v>
      </c>
    </row>
    <row r="21" spans="1:17" customFormat="1">
      <c r="A21" s="49">
        <v>45338.541666666664</v>
      </c>
      <c r="B21" s="50">
        <v>7.84</v>
      </c>
      <c r="C21" s="50">
        <v>21.59</v>
      </c>
      <c r="D21" s="50">
        <v>18.89</v>
      </c>
      <c r="E21" s="50">
        <v>16</v>
      </c>
      <c r="F21" s="50">
        <v>8.67</v>
      </c>
      <c r="G21" s="50">
        <v>80.98</v>
      </c>
      <c r="H21" s="50">
        <v>34.96</v>
      </c>
      <c r="I21" s="50">
        <v>7.09</v>
      </c>
      <c r="J21" s="50">
        <v>1.06</v>
      </c>
      <c r="K21" s="50">
        <v>61.55</v>
      </c>
      <c r="L21" s="50">
        <v>30.64</v>
      </c>
      <c r="M21" s="50">
        <v>45.65</v>
      </c>
      <c r="N21" s="50">
        <v>593.20000000000005</v>
      </c>
      <c r="O21" s="50">
        <v>0</v>
      </c>
      <c r="P21" s="50">
        <v>0.71</v>
      </c>
      <c r="Q21" s="50">
        <v>4.78</v>
      </c>
    </row>
    <row r="22" spans="1:17" customFormat="1">
      <c r="A22" s="49">
        <v>45338.583333333336</v>
      </c>
      <c r="B22" s="50">
        <v>5.41</v>
      </c>
      <c r="C22" s="50">
        <v>21.27</v>
      </c>
      <c r="D22" s="50">
        <v>16.8</v>
      </c>
      <c r="E22" s="50">
        <v>16.13</v>
      </c>
      <c r="F22" s="50">
        <v>9.75</v>
      </c>
      <c r="G22" s="50">
        <v>80.98</v>
      </c>
      <c r="H22" s="50">
        <v>34.96</v>
      </c>
      <c r="I22" s="50">
        <v>6.7</v>
      </c>
      <c r="J22" s="50">
        <v>1.06</v>
      </c>
      <c r="K22" s="50">
        <v>167.39</v>
      </c>
      <c r="L22" s="50">
        <v>32.21</v>
      </c>
      <c r="M22" s="50">
        <v>43.01</v>
      </c>
      <c r="N22" s="50">
        <v>556.29999999999995</v>
      </c>
      <c r="O22" s="50">
        <v>0</v>
      </c>
      <c r="P22" s="50">
        <v>0.69</v>
      </c>
      <c r="Q22" s="50">
        <v>4.72</v>
      </c>
    </row>
    <row r="23" spans="1:17" customFormat="1">
      <c r="A23" s="49">
        <v>45338.625</v>
      </c>
      <c r="B23" s="50">
        <v>4.95</v>
      </c>
      <c r="C23" s="50">
        <v>20.49</v>
      </c>
      <c r="D23" s="50">
        <v>15.98</v>
      </c>
      <c r="E23" s="50">
        <v>14.85</v>
      </c>
      <c r="F23" s="50">
        <v>9.49</v>
      </c>
      <c r="G23" s="50">
        <v>77.069999999999993</v>
      </c>
      <c r="H23" s="50">
        <v>32.520000000000003</v>
      </c>
      <c r="I23" s="50">
        <v>6.27</v>
      </c>
      <c r="J23" s="50">
        <v>0.77</v>
      </c>
      <c r="K23" s="50">
        <v>243.48</v>
      </c>
      <c r="L23" s="50">
        <v>31.65</v>
      </c>
      <c r="M23" s="50">
        <v>42.1</v>
      </c>
      <c r="N23" s="50">
        <v>351.4</v>
      </c>
      <c r="O23" s="50">
        <v>0</v>
      </c>
      <c r="P23" s="50">
        <v>0.67</v>
      </c>
      <c r="Q23" s="50">
        <v>4.7</v>
      </c>
    </row>
    <row r="24" spans="1:17" customFormat="1">
      <c r="A24" s="49">
        <v>45338.666666666664</v>
      </c>
      <c r="B24" s="50">
        <v>6.02</v>
      </c>
      <c r="C24" s="50">
        <v>24.55</v>
      </c>
      <c r="D24" s="50">
        <v>18.97</v>
      </c>
      <c r="E24" s="50">
        <v>18.52</v>
      </c>
      <c r="F24" s="50">
        <v>11.47</v>
      </c>
      <c r="G24" s="50">
        <v>73.319999999999993</v>
      </c>
      <c r="H24" s="50">
        <v>32.26</v>
      </c>
      <c r="I24" s="50">
        <v>6.04</v>
      </c>
      <c r="J24" s="50">
        <v>0.85</v>
      </c>
      <c r="K24" s="50">
        <v>45.46</v>
      </c>
      <c r="L24" s="50">
        <v>31.1</v>
      </c>
      <c r="M24" s="50">
        <v>42.02</v>
      </c>
      <c r="N24" s="50">
        <v>158.9</v>
      </c>
      <c r="O24" s="50">
        <v>0</v>
      </c>
      <c r="P24" s="50">
        <v>0.7</v>
      </c>
      <c r="Q24" s="50">
        <v>4.7</v>
      </c>
    </row>
    <row r="25" spans="1:17" customFormat="1">
      <c r="A25" s="49">
        <v>45338.708333333336</v>
      </c>
      <c r="B25" s="50">
        <v>5.81</v>
      </c>
      <c r="C25" s="50">
        <v>18.62</v>
      </c>
      <c r="D25" s="50">
        <v>15.6</v>
      </c>
      <c r="E25" s="50">
        <v>23.35</v>
      </c>
      <c r="F25" s="50">
        <v>12.11</v>
      </c>
      <c r="G25" s="50">
        <v>77.37</v>
      </c>
      <c r="H25" s="50">
        <v>32.26</v>
      </c>
      <c r="I25" s="50">
        <v>5.94</v>
      </c>
      <c r="J25" s="50">
        <v>1.01</v>
      </c>
      <c r="K25" s="50">
        <v>46.88</v>
      </c>
      <c r="L25" s="50">
        <v>30.43</v>
      </c>
      <c r="M25" s="50">
        <v>47.34</v>
      </c>
      <c r="N25" s="50">
        <v>84.9</v>
      </c>
      <c r="O25" s="50">
        <v>0</v>
      </c>
      <c r="P25" s="50">
        <v>0.71</v>
      </c>
      <c r="Q25" s="50">
        <v>4.68</v>
      </c>
    </row>
    <row r="26" spans="1:17" customFormat="1">
      <c r="A26" s="49">
        <v>45338.75</v>
      </c>
      <c r="B26" s="50">
        <v>6.55</v>
      </c>
      <c r="C26" s="50">
        <v>18.89</v>
      </c>
      <c r="D26" s="50">
        <v>16.39</v>
      </c>
      <c r="E26" s="50">
        <v>29.67</v>
      </c>
      <c r="F26" s="50">
        <v>9.83</v>
      </c>
      <c r="G26" s="50">
        <v>86.47</v>
      </c>
      <c r="H26" s="50">
        <v>36.409999999999997</v>
      </c>
      <c r="I26" s="50">
        <v>6.05</v>
      </c>
      <c r="J26" s="50">
        <v>0.8</v>
      </c>
      <c r="K26" s="50">
        <v>44.88</v>
      </c>
      <c r="L26" s="50">
        <v>29.11</v>
      </c>
      <c r="M26" s="50">
        <v>53.1</v>
      </c>
      <c r="N26" s="50">
        <v>21.7</v>
      </c>
      <c r="O26" s="50">
        <v>0</v>
      </c>
      <c r="P26" s="50">
        <v>0.75</v>
      </c>
      <c r="Q26" s="50">
        <v>4.74</v>
      </c>
    </row>
    <row r="27" spans="1:17" customFormat="1">
      <c r="A27" s="49">
        <v>45338.791666666664</v>
      </c>
      <c r="B27" s="50">
        <v>7.43</v>
      </c>
      <c r="C27" s="50">
        <v>19.170000000000002</v>
      </c>
      <c r="D27" s="50">
        <v>17.29</v>
      </c>
      <c r="E27" s="50">
        <v>14.51</v>
      </c>
      <c r="F27" s="50">
        <v>6.44</v>
      </c>
      <c r="G27" s="50">
        <v>106.52</v>
      </c>
      <c r="H27" s="50">
        <v>39.26</v>
      </c>
      <c r="I27" s="50">
        <v>6.56</v>
      </c>
      <c r="J27" s="50">
        <v>0.56000000000000005</v>
      </c>
      <c r="K27" s="50">
        <v>183.13</v>
      </c>
      <c r="L27" s="50">
        <v>27.77</v>
      </c>
      <c r="M27" s="50">
        <v>68.84</v>
      </c>
      <c r="N27" s="50">
        <v>0</v>
      </c>
      <c r="O27" s="50">
        <v>0</v>
      </c>
      <c r="P27" s="50">
        <v>0.8</v>
      </c>
      <c r="Q27" s="50">
        <v>4.79</v>
      </c>
    </row>
    <row r="28" spans="1:17" customFormat="1">
      <c r="A28" s="49">
        <v>45338.833333333336</v>
      </c>
      <c r="B28" s="50">
        <v>9.66</v>
      </c>
      <c r="C28" s="50">
        <v>17.02</v>
      </c>
      <c r="D28" s="50">
        <v>17.96</v>
      </c>
      <c r="E28" s="50">
        <v>8.24</v>
      </c>
      <c r="F28" s="50">
        <v>3.76</v>
      </c>
      <c r="G28" s="50">
        <v>120.69</v>
      </c>
      <c r="H28" s="50">
        <v>43.28</v>
      </c>
      <c r="I28" s="50">
        <v>6.79</v>
      </c>
      <c r="J28" s="50">
        <v>0.23</v>
      </c>
      <c r="K28" s="50">
        <v>192.17</v>
      </c>
      <c r="L28" s="50">
        <v>25.29</v>
      </c>
      <c r="M28" s="50">
        <v>77.37</v>
      </c>
      <c r="N28" s="50">
        <v>0</v>
      </c>
      <c r="O28" s="50">
        <v>0</v>
      </c>
      <c r="P28" s="50">
        <v>0.87</v>
      </c>
      <c r="Q28" s="50">
        <v>4.82</v>
      </c>
    </row>
    <row r="29" spans="1:17" customFormat="1">
      <c r="A29" s="49">
        <v>45338.875</v>
      </c>
      <c r="B29" s="50">
        <v>9.83</v>
      </c>
      <c r="C29" s="50">
        <v>18.38</v>
      </c>
      <c r="D29" s="50">
        <v>18.46</v>
      </c>
      <c r="E29" s="50">
        <v>9.0500000000000007</v>
      </c>
      <c r="F29" s="50">
        <v>3.81</v>
      </c>
      <c r="G29" s="50">
        <v>123.06</v>
      </c>
      <c r="H29" s="50">
        <v>45.06</v>
      </c>
      <c r="I29" s="50">
        <v>7.49</v>
      </c>
      <c r="J29" s="50">
        <v>0.24</v>
      </c>
      <c r="K29" s="50">
        <v>233.93</v>
      </c>
      <c r="L29" s="50">
        <v>23.72</v>
      </c>
      <c r="M29" s="50">
        <v>81.010000000000005</v>
      </c>
      <c r="N29" s="50">
        <v>0</v>
      </c>
      <c r="O29" s="50">
        <v>0</v>
      </c>
      <c r="P29" s="50">
        <v>0.95</v>
      </c>
      <c r="Q29" s="50">
        <v>4.8600000000000003</v>
      </c>
    </row>
    <row r="30" spans="1:17" customFormat="1">
      <c r="A30" s="49">
        <v>45338.916666666664</v>
      </c>
      <c r="B30" s="50">
        <v>9.23</v>
      </c>
      <c r="C30" s="50">
        <v>19.72</v>
      </c>
      <c r="D30" s="50">
        <v>18.829999999999998</v>
      </c>
      <c r="E30" s="50">
        <v>8.7899999999999991</v>
      </c>
      <c r="F30" s="50">
        <v>3.41</v>
      </c>
      <c r="G30" s="50">
        <v>123.06</v>
      </c>
      <c r="H30" s="50">
        <v>46.29</v>
      </c>
      <c r="I30" s="50">
        <v>8.19</v>
      </c>
      <c r="J30" s="50">
        <v>0.24</v>
      </c>
      <c r="K30" s="50">
        <v>212.34</v>
      </c>
      <c r="L30" s="50">
        <v>22.87</v>
      </c>
      <c r="M30" s="50">
        <v>83.12</v>
      </c>
      <c r="N30" s="50">
        <v>0</v>
      </c>
      <c r="O30" s="50">
        <v>0</v>
      </c>
      <c r="P30" s="50">
        <v>1.03</v>
      </c>
      <c r="Q30" s="50">
        <v>4.87</v>
      </c>
    </row>
    <row r="31" spans="1:17" customFormat="1">
      <c r="A31" s="49">
        <v>45338.958333333336</v>
      </c>
      <c r="B31" s="50">
        <v>11.69</v>
      </c>
      <c r="C31" s="50">
        <v>22.78</v>
      </c>
      <c r="D31" s="50">
        <v>22.62</v>
      </c>
      <c r="E31" s="50">
        <v>8.94</v>
      </c>
      <c r="F31" s="50">
        <v>3.38</v>
      </c>
      <c r="G31" s="50">
        <v>125.91</v>
      </c>
      <c r="H31" s="50">
        <v>49.95</v>
      </c>
      <c r="I31" s="50">
        <v>9.02</v>
      </c>
      <c r="J31" s="50">
        <v>0.89</v>
      </c>
      <c r="K31" s="50">
        <v>66.19</v>
      </c>
      <c r="L31" s="50">
        <v>23.25</v>
      </c>
      <c r="M31" s="50">
        <v>81.78</v>
      </c>
      <c r="N31" s="50">
        <v>0</v>
      </c>
      <c r="O31" s="50">
        <v>0</v>
      </c>
      <c r="P31" s="50">
        <v>1.1499999999999999</v>
      </c>
      <c r="Q31" s="50">
        <v>4.82</v>
      </c>
    </row>
    <row r="32" spans="1:17" customFormat="1">
      <c r="A32" s="49">
        <v>45339</v>
      </c>
      <c r="B32" s="50">
        <v>13.43</v>
      </c>
      <c r="C32" s="50">
        <v>24.28</v>
      </c>
      <c r="D32" s="50">
        <v>24.81</v>
      </c>
      <c r="E32" s="50">
        <v>9.51</v>
      </c>
      <c r="F32" s="50">
        <v>3.3</v>
      </c>
      <c r="G32" s="50">
        <v>130.44</v>
      </c>
      <c r="H32" s="50">
        <v>53.31</v>
      </c>
      <c r="I32" s="50">
        <v>9.89</v>
      </c>
      <c r="J32" s="50">
        <v>0.85</v>
      </c>
      <c r="K32" s="50">
        <v>71.790000000000006</v>
      </c>
      <c r="L32" s="50">
        <v>23.1</v>
      </c>
      <c r="M32" s="50">
        <v>81.08</v>
      </c>
      <c r="N32" s="50">
        <v>0</v>
      </c>
      <c r="O32" s="50">
        <v>0</v>
      </c>
      <c r="P32" s="50">
        <v>1.17</v>
      </c>
      <c r="Q32" s="50">
        <v>4.8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4.95</v>
      </c>
      <c r="C34" s="40">
        <f t="shared" si="0"/>
        <v>16.899999999999999</v>
      </c>
      <c r="D34" s="40">
        <f t="shared" si="0"/>
        <v>15.6</v>
      </c>
      <c r="E34" s="40">
        <f t="shared" si="0"/>
        <v>7.2</v>
      </c>
      <c r="F34" s="40">
        <f t="shared" si="0"/>
        <v>3.29</v>
      </c>
      <c r="G34" s="40">
        <f t="shared" si="0"/>
        <v>73.319999999999993</v>
      </c>
      <c r="H34" s="40">
        <f t="shared" si="0"/>
        <v>32.26</v>
      </c>
      <c r="I34" s="40">
        <f t="shared" si="0"/>
        <v>5.94</v>
      </c>
      <c r="J34" s="40">
        <f t="shared" si="0"/>
        <v>0.23</v>
      </c>
      <c r="K34" s="40">
        <f t="shared" si="0"/>
        <v>44.88</v>
      </c>
      <c r="L34" s="40">
        <f t="shared" si="0"/>
        <v>20.73</v>
      </c>
      <c r="M34" s="40">
        <f t="shared" si="0"/>
        <v>42.02</v>
      </c>
      <c r="N34" s="40">
        <f t="shared" si="0"/>
        <v>0</v>
      </c>
      <c r="O34" s="40">
        <f t="shared" si="0"/>
        <v>0</v>
      </c>
      <c r="P34" s="40">
        <f t="shared" si="0"/>
        <v>0.67</v>
      </c>
      <c r="Q34" s="40">
        <f t="shared" si="0"/>
        <v>4.68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17.670000000000002</v>
      </c>
      <c r="C35" s="33">
        <f t="shared" si="1"/>
        <v>24.55</v>
      </c>
      <c r="D35" s="33">
        <f t="shared" si="1"/>
        <v>24.81</v>
      </c>
      <c r="E35" s="33">
        <f t="shared" si="1"/>
        <v>29.67</v>
      </c>
      <c r="F35" s="33">
        <f t="shared" si="1"/>
        <v>12.11</v>
      </c>
      <c r="G35" s="33">
        <f t="shared" si="1"/>
        <v>130.44</v>
      </c>
      <c r="H35" s="33">
        <f t="shared" si="1"/>
        <v>53.31</v>
      </c>
      <c r="I35" s="33">
        <f t="shared" si="1"/>
        <v>9.89</v>
      </c>
      <c r="J35" s="33">
        <f t="shared" si="1"/>
        <v>1.46</v>
      </c>
      <c r="K35" s="33">
        <f t="shared" si="1"/>
        <v>243.48</v>
      </c>
      <c r="L35" s="33">
        <f t="shared" si="1"/>
        <v>32.21</v>
      </c>
      <c r="M35" s="33">
        <f t="shared" si="1"/>
        <v>83.12</v>
      </c>
      <c r="N35" s="33">
        <f t="shared" si="1"/>
        <v>593.20000000000005</v>
      </c>
      <c r="O35" s="33">
        <f t="shared" si="1"/>
        <v>0</v>
      </c>
      <c r="P35" s="33">
        <f t="shared" si="1"/>
        <v>1.17</v>
      </c>
      <c r="Q35" s="33">
        <f t="shared" si="1"/>
        <v>4.87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11.712916666666667</v>
      </c>
      <c r="C36" s="40">
        <f t="shared" si="2"/>
        <v>20.411249999999995</v>
      </c>
      <c r="D36" s="40">
        <f t="shared" si="2"/>
        <v>21.122083333333332</v>
      </c>
      <c r="E36" s="40">
        <f t="shared" si="2"/>
        <v>12.586666666666666</v>
      </c>
      <c r="F36" s="40">
        <f t="shared" si="2"/>
        <v>5.4745833333333342</v>
      </c>
      <c r="G36" s="40">
        <f t="shared" si="2"/>
        <v>97.628333333333345</v>
      </c>
      <c r="H36" s="40">
        <f t="shared" si="2"/>
        <v>38.388749999999995</v>
      </c>
      <c r="I36" s="40">
        <f t="shared" si="2"/>
        <v>7.3816666666666677</v>
      </c>
      <c r="J36" s="40">
        <f t="shared" si="2"/>
        <v>0.85625000000000007</v>
      </c>
      <c r="K36" s="40">
        <f t="shared" si="2"/>
        <v>103.28583333333336</v>
      </c>
      <c r="L36" s="40">
        <f t="shared" si="2"/>
        <v>25.507499999999997</v>
      </c>
      <c r="M36" s="40">
        <f t="shared" si="2"/>
        <v>67.86333333333333</v>
      </c>
      <c r="N36" s="40">
        <f t="shared" si="2"/>
        <v>147.42500000000001</v>
      </c>
      <c r="O36" s="40">
        <f t="shared" si="2"/>
        <v>0</v>
      </c>
      <c r="P36" s="40">
        <f t="shared" si="2"/>
        <v>0.80541666666666656</v>
      </c>
      <c r="Q36" s="40">
        <f t="shared" si="2"/>
        <v>4.7983333333333338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4.2414778794011516</v>
      </c>
      <c r="C37" s="40">
        <f t="shared" ref="C37:Q37" si="3">STDEV(C9:C32)</f>
        <v>2.2269345522489337</v>
      </c>
      <c r="D37" s="40">
        <f t="shared" si="3"/>
        <v>3.2599412893708566</v>
      </c>
      <c r="E37" s="40">
        <f t="shared" si="3"/>
        <v>5.4717588513691187</v>
      </c>
      <c r="F37" s="40">
        <f t="shared" si="3"/>
        <v>2.9760492912682039</v>
      </c>
      <c r="G37" s="40">
        <f t="shared" si="3"/>
        <v>18.534171886982929</v>
      </c>
      <c r="H37" s="40">
        <f t="shared" si="3"/>
        <v>5.798826952215383</v>
      </c>
      <c r="I37" s="40">
        <f t="shared" si="3"/>
        <v>0.94736553097278953</v>
      </c>
      <c r="J37" s="40">
        <f t="shared" si="3"/>
        <v>0.31432207934731143</v>
      </c>
      <c r="K37" s="40">
        <f t="shared" si="3"/>
        <v>65.495795212973064</v>
      </c>
      <c r="L37" s="40">
        <f t="shared" si="3"/>
        <v>3.9786476290973125</v>
      </c>
      <c r="M37" s="40">
        <f t="shared" si="3"/>
        <v>15.457735833602845</v>
      </c>
      <c r="N37" s="40">
        <f t="shared" si="3"/>
        <v>216.91068739079645</v>
      </c>
      <c r="O37" s="40">
        <f t="shared" si="3"/>
        <v>0</v>
      </c>
      <c r="P37" s="40">
        <f t="shared" si="3"/>
        <v>0.14428170412400759</v>
      </c>
      <c r="Q37" s="40">
        <f t="shared" si="3"/>
        <v>5.760937926857182E-2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45339.041666666664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45339.041666666664</v>
      </c>
      <c r="B9" s="50">
        <v>13.31</v>
      </c>
      <c r="C9" s="50">
        <v>24.46</v>
      </c>
      <c r="D9" s="50">
        <v>24.7</v>
      </c>
      <c r="E9" s="50">
        <v>9.64</v>
      </c>
      <c r="F9" s="50">
        <v>3.24</v>
      </c>
      <c r="G9" s="50">
        <v>130.44</v>
      </c>
      <c r="H9" s="50">
        <v>53.31</v>
      </c>
      <c r="I9" s="50">
        <v>9.8000000000000007</v>
      </c>
      <c r="J9" s="50">
        <v>0.22</v>
      </c>
      <c r="K9" s="50">
        <v>212.51</v>
      </c>
      <c r="L9" s="50">
        <v>22.44</v>
      </c>
      <c r="M9" s="50">
        <v>89.18</v>
      </c>
      <c r="N9" s="50">
        <v>0</v>
      </c>
      <c r="O9" s="50">
        <v>0</v>
      </c>
      <c r="P9" s="50">
        <v>1.1200000000000001</v>
      </c>
      <c r="Q9" s="50">
        <v>4.79</v>
      </c>
    </row>
    <row r="10" spans="1:21" customFormat="1">
      <c r="A10" s="49">
        <v>45339.083333333336</v>
      </c>
      <c r="B10" s="50">
        <v>14.58</v>
      </c>
      <c r="C10" s="50">
        <v>23.97</v>
      </c>
      <c r="D10" s="50">
        <v>23.82</v>
      </c>
      <c r="E10" s="50">
        <v>9.7899999999999991</v>
      </c>
      <c r="F10" s="50">
        <v>3.64</v>
      </c>
      <c r="G10" s="50">
        <v>118.75</v>
      </c>
      <c r="H10" s="50">
        <v>53.15</v>
      </c>
      <c r="I10" s="50">
        <v>9.75</v>
      </c>
      <c r="J10" s="50">
        <v>0.55000000000000004</v>
      </c>
      <c r="K10" s="50">
        <v>249.73</v>
      </c>
      <c r="L10" s="50">
        <v>21.56</v>
      </c>
      <c r="M10" s="50">
        <v>89.82</v>
      </c>
      <c r="N10" s="50">
        <v>0</v>
      </c>
      <c r="O10" s="50">
        <v>0</v>
      </c>
      <c r="P10" s="50">
        <v>1.1100000000000001</v>
      </c>
      <c r="Q10" s="50">
        <v>4.76</v>
      </c>
    </row>
    <row r="11" spans="1:21" customFormat="1">
      <c r="A11" s="49">
        <v>45339.125</v>
      </c>
      <c r="B11" s="50">
        <v>16.350000000000001</v>
      </c>
      <c r="C11" s="50">
        <v>18.670000000000002</v>
      </c>
      <c r="D11" s="50">
        <v>23.25</v>
      </c>
      <c r="E11" s="50">
        <v>9.8800000000000008</v>
      </c>
      <c r="F11" s="50">
        <v>3.68</v>
      </c>
      <c r="G11" s="50">
        <v>114.58</v>
      </c>
      <c r="H11" s="50">
        <v>51.88</v>
      </c>
      <c r="I11" s="50">
        <v>9.7899999999999991</v>
      </c>
      <c r="J11" s="50">
        <v>0.4</v>
      </c>
      <c r="K11" s="50">
        <v>197.07</v>
      </c>
      <c r="L11" s="50">
        <v>21.49</v>
      </c>
      <c r="M11" s="50">
        <v>90.03</v>
      </c>
      <c r="N11" s="50">
        <v>0</v>
      </c>
      <c r="O11" s="50">
        <v>0</v>
      </c>
      <c r="P11" s="50">
        <v>1.1000000000000001</v>
      </c>
      <c r="Q11" s="50">
        <v>4.7699999999999996</v>
      </c>
    </row>
    <row r="12" spans="1:21" customFormat="1">
      <c r="A12" s="49">
        <v>45339.166666666664</v>
      </c>
      <c r="B12" s="50">
        <v>18.600000000000001</v>
      </c>
      <c r="C12" s="50">
        <v>18.07</v>
      </c>
      <c r="D12" s="50">
        <v>25.24</v>
      </c>
      <c r="E12" s="50">
        <v>10.09</v>
      </c>
      <c r="F12" s="50">
        <v>3.46</v>
      </c>
      <c r="G12" s="50">
        <v>112.61</v>
      </c>
      <c r="H12" s="50">
        <v>50.84</v>
      </c>
      <c r="I12" s="50">
        <v>9.75</v>
      </c>
      <c r="J12" s="50">
        <v>0.68</v>
      </c>
      <c r="K12" s="50">
        <v>57.7</v>
      </c>
      <c r="L12" s="50">
        <v>21.26</v>
      </c>
      <c r="M12" s="50">
        <v>88.72</v>
      </c>
      <c r="N12" s="50">
        <v>0</v>
      </c>
      <c r="O12" s="50">
        <v>0</v>
      </c>
      <c r="P12" s="50">
        <v>1.08</v>
      </c>
      <c r="Q12" s="50">
        <v>4.79</v>
      </c>
    </row>
    <row r="13" spans="1:21" customFormat="1">
      <c r="A13" s="49">
        <v>45339.208333333336</v>
      </c>
      <c r="B13" s="50">
        <v>20.12</v>
      </c>
      <c r="C13" s="50">
        <v>17.43</v>
      </c>
      <c r="D13" s="50">
        <v>26.37</v>
      </c>
      <c r="E13" s="50">
        <v>9.85</v>
      </c>
      <c r="F13" s="50">
        <v>3.55</v>
      </c>
      <c r="G13" s="50">
        <v>114.34</v>
      </c>
      <c r="H13" s="50">
        <v>51.79</v>
      </c>
      <c r="I13" s="50">
        <v>9.86</v>
      </c>
      <c r="J13" s="50">
        <v>0.47</v>
      </c>
      <c r="K13" s="50">
        <v>153.66</v>
      </c>
      <c r="L13" s="50">
        <v>21.21</v>
      </c>
      <c r="M13" s="50">
        <v>84.77</v>
      </c>
      <c r="N13" s="50">
        <v>0</v>
      </c>
      <c r="O13" s="50">
        <v>0</v>
      </c>
      <c r="P13" s="50">
        <v>1.08</v>
      </c>
      <c r="Q13" s="50">
        <v>4.84</v>
      </c>
    </row>
    <row r="14" spans="1:21" customFormat="1">
      <c r="A14" s="49">
        <v>45339.25</v>
      </c>
      <c r="B14" s="50">
        <v>19.899999999999999</v>
      </c>
      <c r="C14" s="50">
        <v>17.57</v>
      </c>
      <c r="D14" s="50">
        <v>26.11</v>
      </c>
      <c r="E14" s="50">
        <v>10.039999999999999</v>
      </c>
      <c r="F14" s="50">
        <v>3.39</v>
      </c>
      <c r="G14" s="50">
        <v>114.34</v>
      </c>
      <c r="H14" s="50">
        <v>51.79</v>
      </c>
      <c r="I14" s="50">
        <v>9.7799999999999994</v>
      </c>
      <c r="J14" s="50">
        <v>0.18</v>
      </c>
      <c r="K14" s="50">
        <v>171.2</v>
      </c>
      <c r="L14" s="50">
        <v>20.32</v>
      </c>
      <c r="M14" s="50">
        <v>88.13</v>
      </c>
      <c r="N14" s="50">
        <v>0</v>
      </c>
      <c r="O14" s="50">
        <v>0</v>
      </c>
      <c r="P14" s="50">
        <v>1.04</v>
      </c>
      <c r="Q14" s="50">
        <v>4.8499999999999996</v>
      </c>
    </row>
    <row r="15" spans="1:21" customFormat="1">
      <c r="A15" s="49">
        <v>45339.291666666664</v>
      </c>
      <c r="B15" s="50">
        <v>19.059999999999999</v>
      </c>
      <c r="C15" s="50">
        <v>19.02</v>
      </c>
      <c r="D15" s="50">
        <v>26.17</v>
      </c>
      <c r="E15" s="50">
        <v>10.02</v>
      </c>
      <c r="F15" s="50">
        <v>3.34</v>
      </c>
      <c r="G15" s="50">
        <v>99.53</v>
      </c>
      <c r="H15" s="50">
        <v>47.91</v>
      </c>
      <c r="I15" s="50">
        <v>9.43</v>
      </c>
      <c r="J15" s="50">
        <v>0.19</v>
      </c>
      <c r="K15" s="50">
        <v>208.96</v>
      </c>
      <c r="L15" s="50">
        <v>19.920000000000002</v>
      </c>
      <c r="M15" s="50">
        <v>89.12</v>
      </c>
      <c r="N15" s="50">
        <v>12.9</v>
      </c>
      <c r="O15" s="50">
        <v>0</v>
      </c>
      <c r="P15" s="50">
        <v>0.97</v>
      </c>
      <c r="Q15" s="50">
        <v>4.84</v>
      </c>
    </row>
    <row r="16" spans="1:21" customFormat="1">
      <c r="A16" s="49">
        <v>45339.333333333336</v>
      </c>
      <c r="B16" s="50">
        <v>18.43</v>
      </c>
      <c r="C16" s="50">
        <v>19.91</v>
      </c>
      <c r="D16" s="50">
        <v>26.29</v>
      </c>
      <c r="E16" s="50">
        <v>9.86</v>
      </c>
      <c r="F16" s="50">
        <v>3.32</v>
      </c>
      <c r="G16" s="50">
        <v>89.33</v>
      </c>
      <c r="H16" s="50">
        <v>45.61</v>
      </c>
      <c r="I16" s="50">
        <v>9.16</v>
      </c>
      <c r="J16" s="50">
        <v>0.21</v>
      </c>
      <c r="K16" s="50">
        <v>240.3</v>
      </c>
      <c r="L16" s="50">
        <v>22.1</v>
      </c>
      <c r="M16" s="50">
        <v>89.77</v>
      </c>
      <c r="N16" s="50">
        <v>101.6</v>
      </c>
      <c r="O16" s="50">
        <v>0</v>
      </c>
      <c r="P16" s="50">
        <v>0.94</v>
      </c>
      <c r="Q16" s="50">
        <v>4.83</v>
      </c>
    </row>
    <row r="17" spans="1:17" customFormat="1">
      <c r="A17" s="49">
        <v>45339.375</v>
      </c>
      <c r="B17" s="50">
        <v>16.260000000000002</v>
      </c>
      <c r="C17" s="50">
        <v>21.92</v>
      </c>
      <c r="D17" s="50">
        <v>25.54</v>
      </c>
      <c r="E17" s="50">
        <v>11.16</v>
      </c>
      <c r="F17" s="50">
        <v>3.43</v>
      </c>
      <c r="G17" s="50">
        <v>84.39</v>
      </c>
      <c r="H17" s="50">
        <v>38.78</v>
      </c>
      <c r="I17" s="50">
        <v>8.99</v>
      </c>
      <c r="J17" s="50">
        <v>1.1299999999999999</v>
      </c>
      <c r="K17" s="50">
        <v>96.74</v>
      </c>
      <c r="L17" s="50">
        <v>24.22</v>
      </c>
      <c r="M17" s="50">
        <v>66.66</v>
      </c>
      <c r="N17" s="50">
        <v>264.2</v>
      </c>
      <c r="O17" s="50">
        <v>0</v>
      </c>
      <c r="P17" s="50">
        <v>0.9</v>
      </c>
      <c r="Q17" s="50">
        <v>4.8099999999999996</v>
      </c>
    </row>
    <row r="18" spans="1:17" customFormat="1">
      <c r="A18" s="49">
        <v>45339.416666666664</v>
      </c>
      <c r="B18" s="50">
        <v>16.190000000000001</v>
      </c>
      <c r="C18" s="50">
        <v>24.26</v>
      </c>
      <c r="D18" s="50">
        <v>26.63</v>
      </c>
      <c r="E18" s="50">
        <v>13.49</v>
      </c>
      <c r="F18" s="50">
        <v>3.67</v>
      </c>
      <c r="G18" s="50">
        <v>79.38</v>
      </c>
      <c r="H18" s="50">
        <v>38.78</v>
      </c>
      <c r="I18" s="50">
        <v>8.64</v>
      </c>
      <c r="J18" s="50">
        <v>1.18</v>
      </c>
      <c r="K18" s="50">
        <v>77.67</v>
      </c>
      <c r="L18" s="50">
        <v>27.31</v>
      </c>
      <c r="M18" s="50">
        <v>53.99</v>
      </c>
      <c r="N18" s="50">
        <v>371.6</v>
      </c>
      <c r="O18" s="50">
        <v>0</v>
      </c>
      <c r="P18" s="50">
        <v>0.88</v>
      </c>
      <c r="Q18" s="50">
        <v>4.79</v>
      </c>
    </row>
    <row r="19" spans="1:17" customFormat="1">
      <c r="A19" s="49">
        <v>45339.458333333336</v>
      </c>
      <c r="B19" s="50">
        <v>14.89</v>
      </c>
      <c r="C19" s="50">
        <v>24.67</v>
      </c>
      <c r="D19" s="50">
        <v>26.04</v>
      </c>
      <c r="E19" s="50">
        <v>12.74</v>
      </c>
      <c r="F19" s="50">
        <v>5.0999999999999996</v>
      </c>
      <c r="G19" s="50">
        <v>79.38</v>
      </c>
      <c r="H19" s="50">
        <v>38.26</v>
      </c>
      <c r="I19" s="50">
        <v>8.4</v>
      </c>
      <c r="J19" s="50">
        <v>0.57999999999999996</v>
      </c>
      <c r="K19" s="50">
        <v>316.22000000000003</v>
      </c>
      <c r="L19" s="50">
        <v>29.35</v>
      </c>
      <c r="M19" s="50">
        <v>47.65</v>
      </c>
      <c r="N19" s="50">
        <v>530.70000000000005</v>
      </c>
      <c r="O19" s="50">
        <v>0</v>
      </c>
      <c r="P19" s="50">
        <v>0.86</v>
      </c>
      <c r="Q19" s="50">
        <v>4.7699999999999996</v>
      </c>
    </row>
    <row r="20" spans="1:17" customFormat="1">
      <c r="A20" s="49">
        <v>45339.5</v>
      </c>
      <c r="B20" s="50">
        <v>10.7</v>
      </c>
      <c r="C20" s="50">
        <v>24.51</v>
      </c>
      <c r="D20" s="50">
        <v>22.74</v>
      </c>
      <c r="E20" s="50">
        <v>11.39</v>
      </c>
      <c r="F20" s="50">
        <v>5.86</v>
      </c>
      <c r="G20" s="50">
        <v>78.569999999999993</v>
      </c>
      <c r="H20" s="50">
        <v>38.26</v>
      </c>
      <c r="I20" s="50">
        <v>7.88</v>
      </c>
      <c r="J20" s="50">
        <v>0.5</v>
      </c>
      <c r="K20" s="50">
        <v>294.43</v>
      </c>
      <c r="L20" s="50">
        <v>30.84</v>
      </c>
      <c r="M20" s="50">
        <v>44.63</v>
      </c>
      <c r="N20" s="50">
        <v>605.6</v>
      </c>
      <c r="O20" s="50">
        <v>0</v>
      </c>
      <c r="P20" s="50">
        <v>0.83</v>
      </c>
      <c r="Q20" s="50">
        <v>4.74</v>
      </c>
    </row>
    <row r="21" spans="1:17" customFormat="1">
      <c r="A21" s="49">
        <v>45339.541666666664</v>
      </c>
      <c r="B21" s="50">
        <v>7.32</v>
      </c>
      <c r="C21" s="50">
        <v>19.04</v>
      </c>
      <c r="D21" s="50">
        <v>17.170000000000002</v>
      </c>
      <c r="E21" s="50">
        <v>9.68</v>
      </c>
      <c r="F21" s="50">
        <v>5.21</v>
      </c>
      <c r="G21" s="50">
        <v>78.569999999999993</v>
      </c>
      <c r="H21" s="50">
        <v>35.71</v>
      </c>
      <c r="I21" s="50">
        <v>7.59</v>
      </c>
      <c r="J21" s="50">
        <v>0.74</v>
      </c>
      <c r="K21" s="50">
        <v>303.55</v>
      </c>
      <c r="L21" s="50">
        <v>31.66</v>
      </c>
      <c r="M21" s="50">
        <v>41.43</v>
      </c>
      <c r="N21" s="50">
        <v>629.79999999999995</v>
      </c>
      <c r="O21" s="50">
        <v>0</v>
      </c>
      <c r="P21" s="50">
        <v>0.81</v>
      </c>
      <c r="Q21" s="50">
        <v>4.67</v>
      </c>
    </row>
    <row r="22" spans="1:17" customFormat="1">
      <c r="A22" s="49">
        <v>45339.583333333336</v>
      </c>
      <c r="B22" s="50">
        <v>4.54</v>
      </c>
      <c r="C22" s="50">
        <v>17.989999999999998</v>
      </c>
      <c r="D22" s="50">
        <v>14.39</v>
      </c>
      <c r="E22" s="50">
        <v>9.2899999999999991</v>
      </c>
      <c r="F22" s="50">
        <v>5.22</v>
      </c>
      <c r="G22" s="50">
        <v>69.98</v>
      </c>
      <c r="H22" s="50">
        <v>33.71</v>
      </c>
      <c r="I22" s="50">
        <v>7.37</v>
      </c>
      <c r="J22" s="50">
        <v>0.74</v>
      </c>
      <c r="K22" s="50">
        <v>275.91000000000003</v>
      </c>
      <c r="L22" s="50">
        <v>32.700000000000003</v>
      </c>
      <c r="M22" s="50">
        <v>37.909999999999997</v>
      </c>
      <c r="N22" s="50">
        <v>600.70000000000005</v>
      </c>
      <c r="O22" s="50">
        <v>0</v>
      </c>
      <c r="P22" s="50">
        <v>0.79</v>
      </c>
      <c r="Q22" s="50">
        <v>4.66</v>
      </c>
    </row>
    <row r="23" spans="1:17" customFormat="1">
      <c r="A23" s="49">
        <v>45339.625</v>
      </c>
      <c r="B23" s="50">
        <v>3.4</v>
      </c>
      <c r="C23" s="50">
        <v>17.420000000000002</v>
      </c>
      <c r="D23" s="50">
        <v>13.18</v>
      </c>
      <c r="E23" s="50">
        <v>9.07</v>
      </c>
      <c r="F23" s="50">
        <v>5.08</v>
      </c>
      <c r="G23" s="50">
        <v>66.83</v>
      </c>
      <c r="H23" s="50">
        <v>33.71</v>
      </c>
      <c r="I23" s="50">
        <v>7.11</v>
      </c>
      <c r="J23" s="50">
        <v>0.42</v>
      </c>
      <c r="K23" s="50">
        <v>256.57</v>
      </c>
      <c r="L23" s="50">
        <v>32.94</v>
      </c>
      <c r="M23" s="50">
        <v>35.74</v>
      </c>
      <c r="N23" s="50">
        <v>514.5</v>
      </c>
      <c r="O23" s="50">
        <v>0</v>
      </c>
      <c r="P23" s="50">
        <v>0.77</v>
      </c>
      <c r="Q23" s="50">
        <v>4.6900000000000004</v>
      </c>
    </row>
    <row r="24" spans="1:17" customFormat="1">
      <c r="A24" s="49">
        <v>45339.666666666664</v>
      </c>
      <c r="B24" s="50">
        <v>3.59</v>
      </c>
      <c r="C24" s="50">
        <v>15.56</v>
      </c>
      <c r="D24" s="50">
        <v>12.26</v>
      </c>
      <c r="E24" s="50">
        <v>8.82</v>
      </c>
      <c r="F24" s="50">
        <v>5.72</v>
      </c>
      <c r="G24" s="50">
        <v>64.37</v>
      </c>
      <c r="H24" s="50">
        <v>31.05</v>
      </c>
      <c r="I24" s="50">
        <v>7.01</v>
      </c>
      <c r="J24" s="50">
        <v>1.1200000000000001</v>
      </c>
      <c r="K24" s="50">
        <v>316.58999999999997</v>
      </c>
      <c r="L24" s="50">
        <v>32.04</v>
      </c>
      <c r="M24" s="50">
        <v>31.19</v>
      </c>
      <c r="N24" s="50">
        <v>158</v>
      </c>
      <c r="O24" s="50">
        <v>0</v>
      </c>
      <c r="P24" s="50">
        <v>0.74</v>
      </c>
      <c r="Q24" s="50">
        <v>4.72</v>
      </c>
    </row>
    <row r="25" spans="1:17" customFormat="1">
      <c r="A25" s="49">
        <v>45339.708333333336</v>
      </c>
      <c r="B25" s="50">
        <v>5.61</v>
      </c>
      <c r="C25" s="50">
        <v>20.51</v>
      </c>
      <c r="D25" s="50">
        <v>16.57</v>
      </c>
      <c r="E25" s="50">
        <v>11.21</v>
      </c>
      <c r="F25" s="50">
        <v>9.7200000000000006</v>
      </c>
      <c r="G25" s="50">
        <v>54.06</v>
      </c>
      <c r="H25" s="50">
        <v>23.51</v>
      </c>
      <c r="I25" s="50">
        <v>6.9</v>
      </c>
      <c r="J25" s="50">
        <v>0.8</v>
      </c>
      <c r="K25" s="50">
        <v>355.61</v>
      </c>
      <c r="L25" s="50">
        <v>31.89</v>
      </c>
      <c r="M25" s="50">
        <v>29.05</v>
      </c>
      <c r="N25" s="50">
        <v>102.9</v>
      </c>
      <c r="O25" s="50">
        <v>0</v>
      </c>
      <c r="P25" s="50">
        <v>0.7</v>
      </c>
      <c r="Q25" s="50">
        <v>4.79</v>
      </c>
    </row>
    <row r="26" spans="1:17" customFormat="1">
      <c r="A26" s="49">
        <v>45339.75</v>
      </c>
      <c r="B26" s="50">
        <v>6.14</v>
      </c>
      <c r="C26" s="50">
        <v>24.17</v>
      </c>
      <c r="D26" s="50">
        <v>18.899999999999999</v>
      </c>
      <c r="E26" s="50">
        <v>11.82</v>
      </c>
      <c r="F26" s="50">
        <v>8.4499999999999993</v>
      </c>
      <c r="G26" s="50">
        <v>63.97</v>
      </c>
      <c r="H26" s="50">
        <v>23.51</v>
      </c>
      <c r="I26" s="50">
        <v>6.92</v>
      </c>
      <c r="J26" s="50">
        <v>0.45</v>
      </c>
      <c r="K26" s="50">
        <v>314.14</v>
      </c>
      <c r="L26" s="50">
        <v>30.88</v>
      </c>
      <c r="M26" s="50">
        <v>35.28</v>
      </c>
      <c r="N26" s="50">
        <v>37.5</v>
      </c>
      <c r="O26" s="50">
        <v>0</v>
      </c>
      <c r="P26" s="50">
        <v>0.7</v>
      </c>
      <c r="Q26" s="50">
        <v>4.79</v>
      </c>
    </row>
    <row r="27" spans="1:17" customFormat="1">
      <c r="A27" s="49">
        <v>45339.791666666664</v>
      </c>
      <c r="B27" s="50">
        <v>6.86</v>
      </c>
      <c r="C27" s="50">
        <v>24.16</v>
      </c>
      <c r="D27" s="50">
        <v>19.059999999999999</v>
      </c>
      <c r="E27" s="50">
        <v>8.8000000000000007</v>
      </c>
      <c r="F27" s="50">
        <v>5.64</v>
      </c>
      <c r="G27" s="50">
        <v>68.31</v>
      </c>
      <c r="H27" s="50">
        <v>27</v>
      </c>
      <c r="I27" s="50">
        <v>6.57</v>
      </c>
      <c r="J27" s="50">
        <v>0.28000000000000003</v>
      </c>
      <c r="K27" s="50">
        <v>200.04</v>
      </c>
      <c r="L27" s="50">
        <v>28.24</v>
      </c>
      <c r="M27" s="50">
        <v>56.96</v>
      </c>
      <c r="N27" s="50">
        <v>0</v>
      </c>
      <c r="O27" s="50">
        <v>0</v>
      </c>
      <c r="P27" s="50">
        <v>0.75</v>
      </c>
      <c r="Q27" s="50">
        <v>4.78</v>
      </c>
    </row>
    <row r="28" spans="1:17" customFormat="1">
      <c r="A28" s="49">
        <v>45339.833333333336</v>
      </c>
      <c r="B28" s="50">
        <v>13.54</v>
      </c>
      <c r="C28" s="50">
        <v>26.53</v>
      </c>
      <c r="D28" s="50">
        <v>26.07</v>
      </c>
      <c r="E28" s="50">
        <v>8.9600000000000009</v>
      </c>
      <c r="F28" s="50">
        <v>3.49</v>
      </c>
      <c r="G28" s="50">
        <v>82.39</v>
      </c>
      <c r="H28" s="50">
        <v>31.36</v>
      </c>
      <c r="I28" s="50">
        <v>7.26</v>
      </c>
      <c r="J28" s="50">
        <v>0.2</v>
      </c>
      <c r="K28" s="50">
        <v>176.91</v>
      </c>
      <c r="L28" s="50">
        <v>25.88</v>
      </c>
      <c r="M28" s="50">
        <v>53.44</v>
      </c>
      <c r="N28" s="50">
        <v>0</v>
      </c>
      <c r="O28" s="50">
        <v>0</v>
      </c>
      <c r="P28" s="50">
        <v>0.94</v>
      </c>
      <c r="Q28" s="50">
        <v>4.79</v>
      </c>
    </row>
    <row r="29" spans="1:17" customFormat="1">
      <c r="A29" s="49">
        <v>45339.875</v>
      </c>
      <c r="B29" s="50">
        <v>18.52</v>
      </c>
      <c r="C29" s="50">
        <v>29</v>
      </c>
      <c r="D29" s="50">
        <v>31.36</v>
      </c>
      <c r="E29" s="50">
        <v>9.3699999999999992</v>
      </c>
      <c r="F29" s="50">
        <v>3.29</v>
      </c>
      <c r="G29" s="50">
        <v>110.35</v>
      </c>
      <c r="H29" s="50">
        <v>42.25</v>
      </c>
      <c r="I29" s="50">
        <v>8.58</v>
      </c>
      <c r="J29" s="50">
        <v>0.33</v>
      </c>
      <c r="K29" s="50">
        <v>188.33</v>
      </c>
      <c r="L29" s="50">
        <v>25.26</v>
      </c>
      <c r="M29" s="50">
        <v>67.319999999999993</v>
      </c>
      <c r="N29" s="50">
        <v>0</v>
      </c>
      <c r="O29" s="50">
        <v>0</v>
      </c>
      <c r="P29" s="50">
        <v>1.08</v>
      </c>
      <c r="Q29" s="50">
        <v>4.8499999999999996</v>
      </c>
    </row>
    <row r="30" spans="1:17" customFormat="1">
      <c r="A30" s="49">
        <v>45339.916666666664</v>
      </c>
      <c r="B30" s="50">
        <v>19.36</v>
      </c>
      <c r="C30" s="50">
        <v>28.37</v>
      </c>
      <c r="D30" s="50">
        <v>31.49</v>
      </c>
      <c r="E30" s="50">
        <v>8.31</v>
      </c>
      <c r="F30" s="50">
        <v>3.64</v>
      </c>
      <c r="G30" s="50">
        <v>110.35</v>
      </c>
      <c r="H30" s="50">
        <v>42.25</v>
      </c>
      <c r="I30" s="50">
        <v>9.4600000000000009</v>
      </c>
      <c r="J30" s="50">
        <v>0.38</v>
      </c>
      <c r="K30" s="50">
        <v>196.97</v>
      </c>
      <c r="L30" s="50">
        <v>23.45</v>
      </c>
      <c r="M30" s="50">
        <v>72.8</v>
      </c>
      <c r="N30" s="50">
        <v>0</v>
      </c>
      <c r="O30" s="50">
        <v>0</v>
      </c>
      <c r="P30" s="50">
        <v>1.1499999999999999</v>
      </c>
      <c r="Q30" s="50">
        <v>4.82</v>
      </c>
    </row>
    <row r="31" spans="1:17" customFormat="1">
      <c r="A31" s="49">
        <v>45339.958333333336</v>
      </c>
      <c r="B31" s="50">
        <v>19.23</v>
      </c>
      <c r="C31" s="50">
        <v>21.08</v>
      </c>
      <c r="D31" s="50">
        <v>27.79</v>
      </c>
      <c r="E31" s="50">
        <v>7.46</v>
      </c>
      <c r="F31" s="50">
        <v>3.63</v>
      </c>
      <c r="G31" s="50">
        <v>106.51</v>
      </c>
      <c r="H31" s="50">
        <v>42.03</v>
      </c>
      <c r="I31" s="50">
        <v>9.7100000000000009</v>
      </c>
      <c r="J31" s="50">
        <v>0.21</v>
      </c>
      <c r="K31" s="50">
        <v>192.7</v>
      </c>
      <c r="L31" s="50">
        <v>22.6</v>
      </c>
      <c r="M31" s="50">
        <v>74.400000000000006</v>
      </c>
      <c r="N31" s="50">
        <v>0</v>
      </c>
      <c r="O31" s="50">
        <v>0</v>
      </c>
      <c r="P31" s="50">
        <v>1.1599999999999999</v>
      </c>
      <c r="Q31" s="50">
        <v>4.83</v>
      </c>
    </row>
    <row r="32" spans="1:17" customFormat="1">
      <c r="A32" s="49">
        <v>45340</v>
      </c>
      <c r="B32" s="50">
        <v>19.010000000000002</v>
      </c>
      <c r="C32" s="50">
        <v>19.46</v>
      </c>
      <c r="D32" s="50">
        <v>26.45</v>
      </c>
      <c r="E32" s="50">
        <v>7.75</v>
      </c>
      <c r="F32" s="50">
        <v>3.53</v>
      </c>
      <c r="G32" s="50">
        <v>102.08</v>
      </c>
      <c r="H32" s="50">
        <v>40.81</v>
      </c>
      <c r="I32" s="50">
        <v>10.26</v>
      </c>
      <c r="J32" s="50">
        <v>0.22</v>
      </c>
      <c r="K32" s="50">
        <v>205.33</v>
      </c>
      <c r="L32" s="50">
        <v>22.22</v>
      </c>
      <c r="M32" s="50">
        <v>76.73</v>
      </c>
      <c r="N32" s="50">
        <v>0</v>
      </c>
      <c r="O32" s="50">
        <v>0</v>
      </c>
      <c r="P32" s="50">
        <v>1.2</v>
      </c>
      <c r="Q32" s="50">
        <v>4.82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3.4</v>
      </c>
      <c r="C34" s="40">
        <f t="shared" si="0"/>
        <v>15.56</v>
      </c>
      <c r="D34" s="40">
        <f t="shared" si="0"/>
        <v>12.26</v>
      </c>
      <c r="E34" s="40">
        <f t="shared" si="0"/>
        <v>7.46</v>
      </c>
      <c r="F34" s="40">
        <f t="shared" si="0"/>
        <v>3.24</v>
      </c>
      <c r="G34" s="40">
        <f t="shared" si="0"/>
        <v>54.06</v>
      </c>
      <c r="H34" s="40">
        <f t="shared" si="0"/>
        <v>23.51</v>
      </c>
      <c r="I34" s="40">
        <f t="shared" si="0"/>
        <v>6.57</v>
      </c>
      <c r="J34" s="40">
        <f t="shared" si="0"/>
        <v>0.18</v>
      </c>
      <c r="K34" s="40">
        <f t="shared" si="0"/>
        <v>57.7</v>
      </c>
      <c r="L34" s="40">
        <f t="shared" si="0"/>
        <v>19.920000000000002</v>
      </c>
      <c r="M34" s="40">
        <f t="shared" si="0"/>
        <v>29.05</v>
      </c>
      <c r="N34" s="40">
        <f t="shared" si="0"/>
        <v>0</v>
      </c>
      <c r="O34" s="40">
        <f t="shared" si="0"/>
        <v>0</v>
      </c>
      <c r="P34" s="40">
        <f t="shared" si="0"/>
        <v>0.7</v>
      </c>
      <c r="Q34" s="40">
        <f t="shared" si="0"/>
        <v>4.66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20.12</v>
      </c>
      <c r="C35" s="33">
        <f t="shared" si="1"/>
        <v>29</v>
      </c>
      <c r="D35" s="33">
        <f t="shared" si="1"/>
        <v>31.49</v>
      </c>
      <c r="E35" s="33">
        <f t="shared" si="1"/>
        <v>13.49</v>
      </c>
      <c r="F35" s="33">
        <f t="shared" si="1"/>
        <v>9.7200000000000006</v>
      </c>
      <c r="G35" s="33">
        <f t="shared" si="1"/>
        <v>130.44</v>
      </c>
      <c r="H35" s="33">
        <f t="shared" si="1"/>
        <v>53.31</v>
      </c>
      <c r="I35" s="33">
        <f t="shared" si="1"/>
        <v>10.26</v>
      </c>
      <c r="J35" s="33">
        <f t="shared" si="1"/>
        <v>1.18</v>
      </c>
      <c r="K35" s="33">
        <f t="shared" si="1"/>
        <v>355.61</v>
      </c>
      <c r="L35" s="33">
        <f t="shared" si="1"/>
        <v>32.94</v>
      </c>
      <c r="M35" s="33">
        <f t="shared" si="1"/>
        <v>90.03</v>
      </c>
      <c r="N35" s="33">
        <f t="shared" si="1"/>
        <v>629.79999999999995</v>
      </c>
      <c r="O35" s="33">
        <f t="shared" si="1"/>
        <v>0</v>
      </c>
      <c r="P35" s="33">
        <f t="shared" si="1"/>
        <v>1.2</v>
      </c>
      <c r="Q35" s="33">
        <f t="shared" si="1"/>
        <v>4.8499999999999996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13.562916666666666</v>
      </c>
      <c r="C36" s="40">
        <f t="shared" si="2"/>
        <v>21.572916666666668</v>
      </c>
      <c r="D36" s="40">
        <f t="shared" si="2"/>
        <v>23.232916666666668</v>
      </c>
      <c r="E36" s="40">
        <f t="shared" si="2"/>
        <v>9.9370833333333337</v>
      </c>
      <c r="F36" s="40">
        <f t="shared" si="2"/>
        <v>4.5125000000000002</v>
      </c>
      <c r="G36" s="40">
        <f t="shared" si="2"/>
        <v>91.392083333333332</v>
      </c>
      <c r="H36" s="40">
        <f t="shared" si="2"/>
        <v>40.302500000000002</v>
      </c>
      <c r="I36" s="40">
        <f t="shared" si="2"/>
        <v>8.5820833333333333</v>
      </c>
      <c r="J36" s="40">
        <f t="shared" si="2"/>
        <v>0.50750000000000017</v>
      </c>
      <c r="K36" s="40">
        <f t="shared" si="2"/>
        <v>219.11833333333334</v>
      </c>
      <c r="L36" s="40">
        <f t="shared" si="2"/>
        <v>25.907500000000002</v>
      </c>
      <c r="M36" s="40">
        <f t="shared" si="2"/>
        <v>63.946666666666658</v>
      </c>
      <c r="N36" s="40">
        <f t="shared" si="2"/>
        <v>163.74999999999997</v>
      </c>
      <c r="O36" s="40">
        <f t="shared" si="2"/>
        <v>0</v>
      </c>
      <c r="P36" s="40">
        <f t="shared" si="2"/>
        <v>0.94583333333333341</v>
      </c>
      <c r="Q36" s="40">
        <f t="shared" si="2"/>
        <v>4.7829166666666678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5.9043340596891891</v>
      </c>
      <c r="C37" s="40">
        <f t="shared" ref="C37:Q37" si="3">STDEV(C9:C32)</f>
        <v>3.7339342570848744</v>
      </c>
      <c r="D37" s="40">
        <f t="shared" si="3"/>
        <v>5.3487133594397571</v>
      </c>
      <c r="E37" s="40">
        <f t="shared" si="3"/>
        <v>1.4452274656732074</v>
      </c>
      <c r="F37" s="40">
        <f t="shared" si="3"/>
        <v>1.679969590822096</v>
      </c>
      <c r="G37" s="40">
        <f t="shared" si="3"/>
        <v>21.53280328266959</v>
      </c>
      <c r="H37" s="40">
        <f t="shared" si="3"/>
        <v>9.2492759998682672</v>
      </c>
      <c r="I37" s="40">
        <f t="shared" si="3"/>
        <v>1.2127187536120358</v>
      </c>
      <c r="J37" s="40">
        <f t="shared" si="3"/>
        <v>0.31024884822684967</v>
      </c>
      <c r="K37" s="40">
        <f t="shared" si="3"/>
        <v>77.495784607190529</v>
      </c>
      <c r="L37" s="40">
        <f t="shared" si="3"/>
        <v>4.5679071889604401</v>
      </c>
      <c r="M37" s="40">
        <f t="shared" si="3"/>
        <v>22.144914160782061</v>
      </c>
      <c r="N37" s="40">
        <f t="shared" si="3"/>
        <v>236.1273569403854</v>
      </c>
      <c r="O37" s="40">
        <f t="shared" si="3"/>
        <v>0</v>
      </c>
      <c r="P37" s="40">
        <f t="shared" si="3"/>
        <v>0.16140461355042576</v>
      </c>
      <c r="Q37" s="40">
        <f t="shared" si="3"/>
        <v>5.3930645209876886E-2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45340.041666666664</v>
      </c>
      <c r="B9" s="50">
        <v>19.399999999999999</v>
      </c>
      <c r="C9" s="50">
        <v>18.72</v>
      </c>
      <c r="D9" s="50">
        <v>26.2</v>
      </c>
      <c r="E9" s="50">
        <v>7.94</v>
      </c>
      <c r="F9" s="50">
        <v>3.49</v>
      </c>
      <c r="G9" s="50">
        <v>95.89</v>
      </c>
      <c r="H9" s="50">
        <v>40.81</v>
      </c>
      <c r="I9" s="50">
        <v>10.64</v>
      </c>
      <c r="J9" s="50">
        <v>0.48</v>
      </c>
      <c r="K9" s="50">
        <v>233.62</v>
      </c>
      <c r="L9" s="50">
        <v>23.19</v>
      </c>
      <c r="M9" s="50">
        <v>76.94</v>
      </c>
      <c r="N9" s="50">
        <v>0</v>
      </c>
      <c r="O9" s="50">
        <v>0</v>
      </c>
      <c r="P9" s="50">
        <v>1.23</v>
      </c>
      <c r="Q9" s="50">
        <v>4.84</v>
      </c>
    </row>
    <row r="10" spans="1:21" customFormat="1">
      <c r="A10" s="49">
        <v>45340.083333333336</v>
      </c>
      <c r="B10" s="50">
        <v>20.03</v>
      </c>
      <c r="C10" s="50">
        <v>19.13</v>
      </c>
      <c r="D10" s="50">
        <v>27.14</v>
      </c>
      <c r="E10" s="50">
        <v>8.49</v>
      </c>
      <c r="F10" s="50">
        <v>3.51</v>
      </c>
      <c r="G10" s="50">
        <v>94.05</v>
      </c>
      <c r="H10" s="50">
        <v>41.9</v>
      </c>
      <c r="I10" s="50">
        <v>11</v>
      </c>
      <c r="J10" s="50">
        <v>0.26</v>
      </c>
      <c r="K10" s="50">
        <v>201.72</v>
      </c>
      <c r="L10" s="50">
        <v>23.37</v>
      </c>
      <c r="M10" s="50">
        <v>76.489999999999995</v>
      </c>
      <c r="N10" s="50">
        <v>0</v>
      </c>
      <c r="O10" s="50">
        <v>0</v>
      </c>
      <c r="P10" s="50">
        <v>1.25</v>
      </c>
      <c r="Q10" s="50">
        <v>4.8499999999999996</v>
      </c>
    </row>
    <row r="11" spans="1:21" customFormat="1">
      <c r="A11" s="49">
        <v>45340.125</v>
      </c>
      <c r="B11" s="50">
        <v>19.260000000000002</v>
      </c>
      <c r="C11" s="50">
        <v>21.29</v>
      </c>
      <c r="D11" s="50">
        <v>27.09</v>
      </c>
      <c r="E11" s="50">
        <v>8.8000000000000007</v>
      </c>
      <c r="F11" s="50">
        <v>3.43</v>
      </c>
      <c r="G11" s="50">
        <v>94.05</v>
      </c>
      <c r="H11" s="50">
        <v>41.9</v>
      </c>
      <c r="I11" s="50">
        <v>11.46</v>
      </c>
      <c r="J11" s="50">
        <v>0.17</v>
      </c>
      <c r="K11" s="50">
        <v>227.56</v>
      </c>
      <c r="L11" s="50">
        <v>21.79</v>
      </c>
      <c r="M11" s="50">
        <v>79.69</v>
      </c>
      <c r="N11" s="50">
        <v>0</v>
      </c>
      <c r="O11" s="50">
        <v>0</v>
      </c>
      <c r="P11" s="50">
        <v>1.24</v>
      </c>
      <c r="Q11" s="50">
        <v>4.8600000000000003</v>
      </c>
    </row>
    <row r="12" spans="1:21" customFormat="1">
      <c r="A12" s="49">
        <v>45340.166666666664</v>
      </c>
      <c r="B12" s="50">
        <v>20.37</v>
      </c>
      <c r="C12" s="50">
        <v>23.27</v>
      </c>
      <c r="D12" s="50">
        <v>29.85</v>
      </c>
      <c r="E12" s="50">
        <v>8.99</v>
      </c>
      <c r="F12" s="50">
        <v>3.28</v>
      </c>
      <c r="G12" s="50">
        <v>90.69</v>
      </c>
      <c r="H12" s="50">
        <v>41.53</v>
      </c>
      <c r="I12" s="50">
        <v>11.6</v>
      </c>
      <c r="J12" s="50">
        <v>0.34</v>
      </c>
      <c r="K12" s="50">
        <v>236.26</v>
      </c>
      <c r="L12" s="50">
        <v>21.67</v>
      </c>
      <c r="M12" s="50">
        <v>80.209999999999994</v>
      </c>
      <c r="N12" s="50">
        <v>0</v>
      </c>
      <c r="O12" s="50">
        <v>0</v>
      </c>
      <c r="P12" s="50">
        <v>1.22</v>
      </c>
      <c r="Q12" s="50">
        <v>4.8499999999999996</v>
      </c>
    </row>
    <row r="13" spans="1:21" customFormat="1">
      <c r="A13" s="49">
        <v>45340.208333333336</v>
      </c>
      <c r="B13" s="50">
        <v>21.59</v>
      </c>
      <c r="C13" s="50">
        <v>23.75</v>
      </c>
      <c r="D13" s="50">
        <v>31.06</v>
      </c>
      <c r="E13" s="50">
        <v>9.52</v>
      </c>
      <c r="F13" s="50">
        <v>3.35</v>
      </c>
      <c r="G13" s="50">
        <v>86.85</v>
      </c>
      <c r="H13" s="50">
        <v>41.53</v>
      </c>
      <c r="I13" s="50">
        <v>11.77</v>
      </c>
      <c r="J13" s="50">
        <v>0.24</v>
      </c>
      <c r="K13" s="50">
        <v>211.17</v>
      </c>
      <c r="L13" s="50">
        <v>20.93</v>
      </c>
      <c r="M13" s="50">
        <v>81.25</v>
      </c>
      <c r="N13" s="50">
        <v>0</v>
      </c>
      <c r="O13" s="50">
        <v>0</v>
      </c>
      <c r="P13" s="50">
        <v>1.2</v>
      </c>
      <c r="Q13" s="50">
        <v>4.83</v>
      </c>
    </row>
    <row r="14" spans="1:21" customFormat="1">
      <c r="A14" s="49">
        <v>45340.25</v>
      </c>
      <c r="B14" s="50">
        <v>20.67</v>
      </c>
      <c r="C14" s="50">
        <v>23.57</v>
      </c>
      <c r="D14" s="50">
        <v>30.24</v>
      </c>
      <c r="E14" s="50">
        <v>9.92</v>
      </c>
      <c r="F14" s="50">
        <v>3.28</v>
      </c>
      <c r="G14" s="50">
        <v>86.72</v>
      </c>
      <c r="H14" s="50">
        <v>37.130000000000003</v>
      </c>
      <c r="I14" s="50">
        <v>11.87</v>
      </c>
      <c r="J14" s="50">
        <v>0.17</v>
      </c>
      <c r="K14" s="50">
        <v>164.73</v>
      </c>
      <c r="L14" s="50">
        <v>21.04</v>
      </c>
      <c r="M14" s="50">
        <v>80.92</v>
      </c>
      <c r="N14" s="50">
        <v>0</v>
      </c>
      <c r="O14" s="50">
        <v>0</v>
      </c>
      <c r="P14" s="50">
        <v>1.18</v>
      </c>
      <c r="Q14" s="50">
        <v>4.82</v>
      </c>
    </row>
    <row r="15" spans="1:21" customFormat="1">
      <c r="A15" s="49">
        <v>45340.291666666664</v>
      </c>
      <c r="B15" s="50">
        <v>20.28</v>
      </c>
      <c r="C15" s="50">
        <v>24.34</v>
      </c>
      <c r="D15" s="50">
        <v>30.33</v>
      </c>
      <c r="E15" s="50">
        <v>9.86</v>
      </c>
      <c r="F15" s="50">
        <v>3.27</v>
      </c>
      <c r="G15" s="50">
        <v>83.36</v>
      </c>
      <c r="H15" s="50">
        <v>37.299999999999997</v>
      </c>
      <c r="I15" s="50">
        <v>12.01</v>
      </c>
      <c r="J15" s="50">
        <v>0.28000000000000003</v>
      </c>
      <c r="K15" s="50">
        <v>192.28</v>
      </c>
      <c r="L15" s="50">
        <v>21.35</v>
      </c>
      <c r="M15" s="50">
        <v>80.55</v>
      </c>
      <c r="N15" s="50">
        <v>8.1999999999999993</v>
      </c>
      <c r="O15" s="50">
        <v>0</v>
      </c>
      <c r="P15" s="50">
        <v>1.1299999999999999</v>
      </c>
      <c r="Q15" s="50">
        <v>4.8</v>
      </c>
    </row>
    <row r="16" spans="1:21" customFormat="1">
      <c r="A16" s="49">
        <v>45340.333333333336</v>
      </c>
      <c r="B16" s="50">
        <v>20.86</v>
      </c>
      <c r="C16" s="50">
        <v>24.14</v>
      </c>
      <c r="D16" s="50">
        <v>30.46</v>
      </c>
      <c r="E16" s="50">
        <v>9.3699999999999992</v>
      </c>
      <c r="F16" s="50">
        <v>3.73</v>
      </c>
      <c r="G16" s="50">
        <v>88.28</v>
      </c>
      <c r="H16" s="50">
        <v>37.299999999999997</v>
      </c>
      <c r="I16" s="50">
        <v>12.17</v>
      </c>
      <c r="J16" s="50">
        <v>0.25</v>
      </c>
      <c r="K16" s="50">
        <v>257.91000000000003</v>
      </c>
      <c r="L16" s="50">
        <v>22.64</v>
      </c>
      <c r="M16" s="50">
        <v>79.81</v>
      </c>
      <c r="N16" s="50">
        <v>67.3</v>
      </c>
      <c r="O16" s="50">
        <v>0</v>
      </c>
      <c r="P16" s="50">
        <v>1.1399999999999999</v>
      </c>
      <c r="Q16" s="50">
        <v>4.78</v>
      </c>
    </row>
    <row r="17" spans="1:17" customFormat="1">
      <c r="A17" s="49">
        <v>45340.375</v>
      </c>
      <c r="B17" s="50">
        <v>20.57</v>
      </c>
      <c r="C17" s="50">
        <v>17.61</v>
      </c>
      <c r="D17" s="50">
        <v>26.69</v>
      </c>
      <c r="E17" s="50">
        <v>8.66</v>
      </c>
      <c r="F17" s="50">
        <v>3.67</v>
      </c>
      <c r="G17" s="50">
        <v>88.28</v>
      </c>
      <c r="H17" s="50">
        <v>39.700000000000003</v>
      </c>
      <c r="I17" s="50">
        <v>12.11</v>
      </c>
      <c r="J17" s="50">
        <v>0.26</v>
      </c>
      <c r="K17" s="50">
        <v>264.89</v>
      </c>
      <c r="L17" s="50">
        <v>24.44</v>
      </c>
      <c r="M17" s="50">
        <v>71.239999999999995</v>
      </c>
      <c r="N17" s="50">
        <v>166.7</v>
      </c>
      <c r="O17" s="50">
        <v>0</v>
      </c>
      <c r="P17" s="50">
        <v>1.1100000000000001</v>
      </c>
      <c r="Q17" s="50">
        <v>4.79</v>
      </c>
    </row>
    <row r="18" spans="1:17" customFormat="1">
      <c r="A18" s="49">
        <v>45340.416666666664</v>
      </c>
      <c r="B18" s="50">
        <v>18.93</v>
      </c>
      <c r="C18" s="50">
        <v>17.98</v>
      </c>
      <c r="D18" s="50">
        <v>25.93</v>
      </c>
      <c r="E18" s="50">
        <v>8.9499999999999993</v>
      </c>
      <c r="F18" s="50">
        <v>3.75</v>
      </c>
      <c r="G18" s="50">
        <v>83.7</v>
      </c>
      <c r="H18" s="50">
        <v>39.700000000000003</v>
      </c>
      <c r="I18" s="50">
        <v>12.02</v>
      </c>
      <c r="J18" s="50">
        <v>0.47</v>
      </c>
      <c r="K18" s="50">
        <v>294.14999999999998</v>
      </c>
      <c r="L18" s="50">
        <v>27.71</v>
      </c>
      <c r="M18" s="50">
        <v>60.51</v>
      </c>
      <c r="N18" s="50">
        <v>330.5</v>
      </c>
      <c r="O18" s="50">
        <v>0</v>
      </c>
      <c r="P18" s="50">
        <v>1.1000000000000001</v>
      </c>
      <c r="Q18" s="50">
        <v>4.8</v>
      </c>
    </row>
    <row r="19" spans="1:17" customFormat="1">
      <c r="A19" s="49">
        <v>45340.458333333336</v>
      </c>
      <c r="B19" s="50">
        <v>15.66</v>
      </c>
      <c r="C19" s="50">
        <v>15.96</v>
      </c>
      <c r="D19" s="50">
        <v>22.25</v>
      </c>
      <c r="E19" s="50">
        <v>9.49</v>
      </c>
      <c r="F19" s="50">
        <v>3.84</v>
      </c>
      <c r="G19" s="50">
        <v>79.73</v>
      </c>
      <c r="H19" s="50">
        <v>37.340000000000003</v>
      </c>
      <c r="I19" s="50">
        <v>11.65</v>
      </c>
      <c r="J19" s="50">
        <v>0.59</v>
      </c>
      <c r="K19" s="50">
        <v>294.64999999999998</v>
      </c>
      <c r="L19" s="50">
        <v>28.98</v>
      </c>
      <c r="M19" s="50">
        <v>51.05</v>
      </c>
      <c r="N19" s="50">
        <v>449.1</v>
      </c>
      <c r="O19" s="50">
        <v>0</v>
      </c>
      <c r="P19" s="50">
        <v>1.06</v>
      </c>
      <c r="Q19" s="50">
        <v>4.79</v>
      </c>
    </row>
    <row r="20" spans="1:17" customFormat="1">
      <c r="A20" s="49">
        <v>45340.5</v>
      </c>
      <c r="B20" s="50">
        <v>11.11</v>
      </c>
      <c r="C20" s="50">
        <v>15.96</v>
      </c>
      <c r="D20" s="50">
        <v>18.53</v>
      </c>
      <c r="E20" s="50">
        <v>9.43</v>
      </c>
      <c r="F20" s="50">
        <v>5.58</v>
      </c>
      <c r="G20" s="50">
        <v>73.56</v>
      </c>
      <c r="H20" s="50">
        <v>33.520000000000003</v>
      </c>
      <c r="I20" s="50">
        <v>11.18</v>
      </c>
      <c r="J20" s="50">
        <v>0.46</v>
      </c>
      <c r="K20" s="50">
        <v>283.61</v>
      </c>
      <c r="L20" s="50">
        <v>31.63</v>
      </c>
      <c r="M20" s="50">
        <v>44.77</v>
      </c>
      <c r="N20" s="50">
        <v>611.1</v>
      </c>
      <c r="O20" s="50">
        <v>0</v>
      </c>
      <c r="P20" s="50">
        <v>1.04</v>
      </c>
      <c r="Q20" s="50">
        <v>4.76</v>
      </c>
    </row>
    <row r="21" spans="1:17" customFormat="1">
      <c r="A21" s="49">
        <v>45340.541666666664</v>
      </c>
      <c r="B21" s="50">
        <v>6.67</v>
      </c>
      <c r="C21" s="50">
        <v>16.63</v>
      </c>
      <c r="D21" s="50">
        <v>15.25</v>
      </c>
      <c r="E21" s="50">
        <v>10.41</v>
      </c>
      <c r="F21" s="50">
        <v>7.36</v>
      </c>
      <c r="G21" s="50">
        <v>72.16</v>
      </c>
      <c r="H21" s="50">
        <v>32.47</v>
      </c>
      <c r="I21" s="50">
        <v>10.68</v>
      </c>
      <c r="J21" s="50">
        <v>0.75</v>
      </c>
      <c r="K21" s="50">
        <v>307.95999999999998</v>
      </c>
      <c r="L21" s="50">
        <v>32.090000000000003</v>
      </c>
      <c r="M21" s="50">
        <v>36.56</v>
      </c>
      <c r="N21" s="50">
        <v>618.6</v>
      </c>
      <c r="O21" s="50">
        <v>0</v>
      </c>
      <c r="P21" s="50">
        <v>0.94</v>
      </c>
      <c r="Q21" s="50">
        <v>4.74</v>
      </c>
    </row>
    <row r="22" spans="1:17" customFormat="1">
      <c r="A22" s="49">
        <v>45340.583333333336</v>
      </c>
      <c r="B22" s="50">
        <v>5.15</v>
      </c>
      <c r="C22" s="50">
        <v>17.809999999999999</v>
      </c>
      <c r="D22" s="50">
        <v>14.76</v>
      </c>
      <c r="E22" s="50">
        <v>11.13</v>
      </c>
      <c r="F22" s="50">
        <v>8.0500000000000007</v>
      </c>
      <c r="G22" s="50">
        <v>63.2</v>
      </c>
      <c r="H22" s="50">
        <v>32.47</v>
      </c>
      <c r="I22" s="50">
        <v>9.5500000000000007</v>
      </c>
      <c r="J22" s="50">
        <v>0.69</v>
      </c>
      <c r="K22" s="50">
        <v>336.27</v>
      </c>
      <c r="L22" s="50">
        <v>32.92</v>
      </c>
      <c r="M22" s="50">
        <v>33.97</v>
      </c>
      <c r="N22" s="50">
        <v>517.5</v>
      </c>
      <c r="O22" s="50">
        <v>0</v>
      </c>
      <c r="P22" s="50">
        <v>0.87</v>
      </c>
      <c r="Q22" s="50">
        <v>4.71</v>
      </c>
    </row>
    <row r="23" spans="1:17" customFormat="1">
      <c r="A23" s="49">
        <v>45340.625</v>
      </c>
      <c r="B23" s="50">
        <v>4.5999999999999996</v>
      </c>
      <c r="C23" s="50">
        <v>17.03</v>
      </c>
      <c r="D23" s="50">
        <v>13.81</v>
      </c>
      <c r="E23" s="50">
        <v>12.55</v>
      </c>
      <c r="F23" s="50">
        <v>12.15</v>
      </c>
      <c r="G23" s="50">
        <v>66.61</v>
      </c>
      <c r="H23" s="50">
        <v>30.11</v>
      </c>
      <c r="I23" s="50">
        <v>9.6199999999999992</v>
      </c>
      <c r="J23" s="50">
        <v>0.7</v>
      </c>
      <c r="K23" s="50">
        <v>314.86</v>
      </c>
      <c r="L23" s="50">
        <v>32.590000000000003</v>
      </c>
      <c r="M23" s="50">
        <v>33.799999999999997</v>
      </c>
      <c r="N23" s="50">
        <v>419</v>
      </c>
      <c r="O23" s="50">
        <v>0</v>
      </c>
      <c r="P23" s="50">
        <v>0.88</v>
      </c>
      <c r="Q23" s="50">
        <v>4.72</v>
      </c>
    </row>
    <row r="24" spans="1:17" customFormat="1">
      <c r="A24" s="49">
        <v>45340.666666666664</v>
      </c>
      <c r="B24" s="50">
        <v>4.5999999999999996</v>
      </c>
      <c r="C24" s="50">
        <v>16.510000000000002</v>
      </c>
      <c r="D24" s="50">
        <v>13.65</v>
      </c>
      <c r="E24" s="50">
        <v>13.24</v>
      </c>
      <c r="F24" s="50">
        <v>12.36</v>
      </c>
      <c r="G24" s="50">
        <v>66.61</v>
      </c>
      <c r="H24" s="50">
        <v>30.11</v>
      </c>
      <c r="I24" s="50">
        <v>9.7799999999999994</v>
      </c>
      <c r="J24" s="50">
        <v>0.78</v>
      </c>
      <c r="K24" s="50">
        <v>293.51</v>
      </c>
      <c r="L24" s="50">
        <v>31.78</v>
      </c>
      <c r="M24" s="50">
        <v>32.93</v>
      </c>
      <c r="N24" s="50">
        <v>151.5</v>
      </c>
      <c r="O24" s="50">
        <v>0</v>
      </c>
      <c r="P24" s="50">
        <v>0.87</v>
      </c>
      <c r="Q24" s="50">
        <v>4.68</v>
      </c>
    </row>
    <row r="25" spans="1:17" customFormat="1">
      <c r="A25" s="49">
        <v>45340.708333333336</v>
      </c>
      <c r="B25" s="50">
        <v>4.74</v>
      </c>
      <c r="C25" s="50">
        <v>16.27</v>
      </c>
      <c r="D25" s="50">
        <v>13.56</v>
      </c>
      <c r="E25" s="50">
        <v>12.91</v>
      </c>
      <c r="F25" s="50">
        <v>9.98</v>
      </c>
      <c r="G25" s="50">
        <v>65.64</v>
      </c>
      <c r="H25" s="50">
        <v>26.23</v>
      </c>
      <c r="I25" s="50">
        <v>10.029999999999999</v>
      </c>
      <c r="J25" s="50">
        <v>0.48</v>
      </c>
      <c r="K25" s="50">
        <v>275.75</v>
      </c>
      <c r="L25" s="50">
        <v>30.76</v>
      </c>
      <c r="M25" s="50">
        <v>38.75</v>
      </c>
      <c r="N25" s="50">
        <v>75.099999999999994</v>
      </c>
      <c r="O25" s="50">
        <v>0</v>
      </c>
      <c r="P25" s="50">
        <v>0.86</v>
      </c>
      <c r="Q25" s="50">
        <v>4.6900000000000004</v>
      </c>
    </row>
    <row r="26" spans="1:17" customFormat="1">
      <c r="A26" s="49">
        <v>45340.75</v>
      </c>
      <c r="B26" s="50">
        <v>5.23</v>
      </c>
      <c r="C26" s="50">
        <v>15.09</v>
      </c>
      <c r="D26" s="50">
        <v>13.3</v>
      </c>
      <c r="E26" s="50">
        <v>15.14</v>
      </c>
      <c r="F26" s="50">
        <v>8.5</v>
      </c>
      <c r="G26" s="50">
        <v>56.82</v>
      </c>
      <c r="H26" s="50">
        <v>26.35</v>
      </c>
      <c r="I26" s="50">
        <v>9.89</v>
      </c>
      <c r="J26" s="50">
        <v>0.28000000000000003</v>
      </c>
      <c r="K26" s="50">
        <v>284.72000000000003</v>
      </c>
      <c r="L26" s="50">
        <v>29.66</v>
      </c>
      <c r="M26" s="50">
        <v>43.84</v>
      </c>
      <c r="N26" s="50">
        <v>31.4</v>
      </c>
      <c r="O26" s="50">
        <v>0</v>
      </c>
      <c r="P26" s="50">
        <v>0.87</v>
      </c>
      <c r="Q26" s="50">
        <v>4.67</v>
      </c>
    </row>
    <row r="27" spans="1:17" customFormat="1">
      <c r="A27" s="49">
        <v>45340.791666666664</v>
      </c>
      <c r="B27" s="50">
        <v>5.78</v>
      </c>
      <c r="C27" s="50">
        <v>13.55</v>
      </c>
      <c r="D27" s="50">
        <v>12.72</v>
      </c>
      <c r="E27" s="50">
        <v>7.91</v>
      </c>
      <c r="F27" s="50">
        <v>4.16</v>
      </c>
      <c r="G27" s="50">
        <v>66.56</v>
      </c>
      <c r="H27" s="50">
        <v>26.35</v>
      </c>
      <c r="I27" s="50">
        <v>9.5399999999999991</v>
      </c>
      <c r="J27" s="50">
        <v>0.26</v>
      </c>
      <c r="K27" s="50">
        <v>207.47</v>
      </c>
      <c r="L27" s="50">
        <v>26.93</v>
      </c>
      <c r="M27" s="50">
        <v>59.86</v>
      </c>
      <c r="N27" s="50">
        <v>0</v>
      </c>
      <c r="O27" s="50">
        <v>0</v>
      </c>
      <c r="P27" s="50">
        <v>0.86</v>
      </c>
      <c r="Q27" s="50">
        <v>4.7</v>
      </c>
    </row>
    <row r="28" spans="1:17" customFormat="1">
      <c r="A28" s="49">
        <v>45340.833333333336</v>
      </c>
      <c r="B28" s="50">
        <v>6.31</v>
      </c>
      <c r="C28" s="50">
        <v>12.16</v>
      </c>
      <c r="D28" s="50">
        <v>12.56</v>
      </c>
      <c r="E28" s="50">
        <v>7.51</v>
      </c>
      <c r="F28" s="50">
        <v>3.87</v>
      </c>
      <c r="G28" s="50">
        <v>70.83</v>
      </c>
      <c r="H28" s="50">
        <v>27.91</v>
      </c>
      <c r="I28" s="50">
        <v>9.4499999999999993</v>
      </c>
      <c r="J28" s="50">
        <v>0.25</v>
      </c>
      <c r="K28" s="50">
        <v>182.19</v>
      </c>
      <c r="L28" s="50">
        <v>24.71</v>
      </c>
      <c r="M28" s="50">
        <v>66.45</v>
      </c>
      <c r="N28" s="50">
        <v>0</v>
      </c>
      <c r="O28" s="50">
        <v>0</v>
      </c>
      <c r="P28" s="50">
        <v>0.86</v>
      </c>
      <c r="Q28" s="50">
        <v>4.71</v>
      </c>
    </row>
    <row r="29" spans="1:17" customFormat="1">
      <c r="A29" s="49">
        <v>45340.875</v>
      </c>
      <c r="B29" s="50">
        <v>8.41</v>
      </c>
      <c r="C29" s="50">
        <v>14.04</v>
      </c>
      <c r="D29" s="50">
        <v>15.16</v>
      </c>
      <c r="E29" s="50">
        <v>7.91</v>
      </c>
      <c r="F29" s="50">
        <v>3.64</v>
      </c>
      <c r="G29" s="50">
        <v>71.3</v>
      </c>
      <c r="H29" s="50">
        <v>27.91</v>
      </c>
      <c r="I29" s="50">
        <v>9.44</v>
      </c>
      <c r="J29" s="50">
        <v>0.24</v>
      </c>
      <c r="K29" s="50">
        <v>183.04</v>
      </c>
      <c r="L29" s="50">
        <v>24.15</v>
      </c>
      <c r="M29" s="50">
        <v>69.17</v>
      </c>
      <c r="N29" s="50">
        <v>0</v>
      </c>
      <c r="O29" s="50">
        <v>0</v>
      </c>
      <c r="P29" s="50">
        <v>0.92</v>
      </c>
      <c r="Q29" s="50">
        <v>4.75</v>
      </c>
    </row>
    <row r="30" spans="1:17" customFormat="1">
      <c r="A30" s="49">
        <v>45340.916666666664</v>
      </c>
      <c r="B30" s="50">
        <v>9.24</v>
      </c>
      <c r="C30" s="50">
        <v>15.33</v>
      </c>
      <c r="D30" s="50">
        <v>16.690000000000001</v>
      </c>
      <c r="E30" s="50">
        <v>8.75</v>
      </c>
      <c r="F30" s="50">
        <v>3.49</v>
      </c>
      <c r="G30" s="50">
        <v>75.83</v>
      </c>
      <c r="H30" s="50">
        <v>27.97</v>
      </c>
      <c r="I30" s="50">
        <v>9.69</v>
      </c>
      <c r="J30" s="50">
        <v>0.28999999999999998</v>
      </c>
      <c r="K30" s="50">
        <v>193.05</v>
      </c>
      <c r="L30" s="50">
        <v>22.96</v>
      </c>
      <c r="M30" s="50">
        <v>72.86</v>
      </c>
      <c r="N30" s="50">
        <v>0</v>
      </c>
      <c r="O30" s="50">
        <v>0</v>
      </c>
      <c r="P30" s="50">
        <v>0.95</v>
      </c>
      <c r="Q30" s="50">
        <v>4.79</v>
      </c>
    </row>
    <row r="31" spans="1:17" customFormat="1">
      <c r="A31" s="49">
        <v>45340.958333333336</v>
      </c>
      <c r="B31" s="50">
        <v>9.17</v>
      </c>
      <c r="C31" s="50">
        <v>17.93</v>
      </c>
      <c r="D31" s="50">
        <v>18.079999999999998</v>
      </c>
      <c r="E31" s="50">
        <v>8.98</v>
      </c>
      <c r="F31" s="50">
        <v>3.47</v>
      </c>
      <c r="G31" s="50">
        <v>81.87</v>
      </c>
      <c r="H31" s="50">
        <v>32.200000000000003</v>
      </c>
      <c r="I31" s="50">
        <v>10.02</v>
      </c>
      <c r="J31" s="50">
        <v>0.38</v>
      </c>
      <c r="K31" s="50">
        <v>214.97</v>
      </c>
      <c r="L31" s="50">
        <v>22.5</v>
      </c>
      <c r="M31" s="50">
        <v>73.569999999999993</v>
      </c>
      <c r="N31" s="50">
        <v>0</v>
      </c>
      <c r="O31" s="50">
        <v>0</v>
      </c>
      <c r="P31" s="50">
        <v>1.01</v>
      </c>
      <c r="Q31" s="50">
        <v>4.8</v>
      </c>
    </row>
    <row r="32" spans="1:17" customFormat="1">
      <c r="A32" s="49">
        <v>45341</v>
      </c>
      <c r="B32" s="50">
        <v>9.8800000000000008</v>
      </c>
      <c r="C32" s="50">
        <v>19.14</v>
      </c>
      <c r="D32" s="50">
        <v>19.25</v>
      </c>
      <c r="E32" s="50">
        <v>9.34</v>
      </c>
      <c r="F32" s="50">
        <v>3.33</v>
      </c>
      <c r="G32" s="50">
        <v>83.02</v>
      </c>
      <c r="H32" s="50">
        <v>32.200000000000003</v>
      </c>
      <c r="I32" s="50">
        <v>10.5</v>
      </c>
      <c r="J32" s="50">
        <v>0.35</v>
      </c>
      <c r="K32" s="50">
        <v>202.31</v>
      </c>
      <c r="L32" s="50">
        <v>21.95</v>
      </c>
      <c r="M32" s="50">
        <v>73.16</v>
      </c>
      <c r="N32" s="50">
        <v>0</v>
      </c>
      <c r="O32" s="50">
        <v>0</v>
      </c>
      <c r="P32" s="50">
        <v>1.05</v>
      </c>
      <c r="Q32" s="50">
        <v>4.79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4.5999999999999996</v>
      </c>
      <c r="C34" s="40">
        <f t="shared" si="0"/>
        <v>12.16</v>
      </c>
      <c r="D34" s="40">
        <f t="shared" si="0"/>
        <v>12.56</v>
      </c>
      <c r="E34" s="40">
        <f t="shared" si="0"/>
        <v>7.51</v>
      </c>
      <c r="F34" s="40">
        <f t="shared" si="0"/>
        <v>3.27</v>
      </c>
      <c r="G34" s="40">
        <f t="shared" si="0"/>
        <v>56.82</v>
      </c>
      <c r="H34" s="40">
        <f t="shared" si="0"/>
        <v>26.23</v>
      </c>
      <c r="I34" s="40">
        <f t="shared" si="0"/>
        <v>9.44</v>
      </c>
      <c r="J34" s="40">
        <f t="shared" si="0"/>
        <v>0.17</v>
      </c>
      <c r="K34" s="40">
        <f t="shared" si="0"/>
        <v>164.73</v>
      </c>
      <c r="L34" s="40">
        <f t="shared" si="0"/>
        <v>20.93</v>
      </c>
      <c r="M34" s="40">
        <f t="shared" si="0"/>
        <v>32.93</v>
      </c>
      <c r="N34" s="40">
        <f t="shared" si="0"/>
        <v>0</v>
      </c>
      <c r="O34" s="40">
        <f t="shared" si="0"/>
        <v>0</v>
      </c>
      <c r="P34" s="40">
        <f t="shared" si="0"/>
        <v>0.86</v>
      </c>
      <c r="Q34" s="40">
        <f t="shared" si="0"/>
        <v>4.67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21.59</v>
      </c>
      <c r="C35" s="33">
        <f t="shared" si="1"/>
        <v>24.34</v>
      </c>
      <c r="D35" s="33">
        <f t="shared" si="1"/>
        <v>31.06</v>
      </c>
      <c r="E35" s="33">
        <f t="shared" si="1"/>
        <v>15.14</v>
      </c>
      <c r="F35" s="33">
        <f t="shared" si="1"/>
        <v>12.36</v>
      </c>
      <c r="G35" s="33">
        <f t="shared" si="1"/>
        <v>95.89</v>
      </c>
      <c r="H35" s="33">
        <f t="shared" si="1"/>
        <v>41.9</v>
      </c>
      <c r="I35" s="33">
        <f t="shared" si="1"/>
        <v>12.17</v>
      </c>
      <c r="J35" s="33">
        <f t="shared" si="1"/>
        <v>0.78</v>
      </c>
      <c r="K35" s="33">
        <f t="shared" si="1"/>
        <v>336.27</v>
      </c>
      <c r="L35" s="33">
        <f t="shared" si="1"/>
        <v>32.92</v>
      </c>
      <c r="M35" s="33">
        <f t="shared" si="1"/>
        <v>81.25</v>
      </c>
      <c r="N35" s="33">
        <f t="shared" si="1"/>
        <v>618.6</v>
      </c>
      <c r="O35" s="33">
        <f t="shared" si="1"/>
        <v>0</v>
      </c>
      <c r="P35" s="33">
        <f t="shared" si="1"/>
        <v>1.25</v>
      </c>
      <c r="Q35" s="33">
        <f t="shared" si="1"/>
        <v>4.8600000000000003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12.854583333333336</v>
      </c>
      <c r="C36" s="40">
        <f t="shared" si="2"/>
        <v>18.217083333333335</v>
      </c>
      <c r="D36" s="40">
        <f t="shared" si="2"/>
        <v>21.023333333333337</v>
      </c>
      <c r="E36" s="40">
        <f t="shared" si="2"/>
        <v>9.7999999999999989</v>
      </c>
      <c r="F36" s="40">
        <f t="shared" si="2"/>
        <v>5.189166666666666</v>
      </c>
      <c r="G36" s="40">
        <f t="shared" si="2"/>
        <v>78.567083333333315</v>
      </c>
      <c r="H36" s="40">
        <f t="shared" si="2"/>
        <v>34.247500000000009</v>
      </c>
      <c r="I36" s="40">
        <f t="shared" si="2"/>
        <v>10.73625</v>
      </c>
      <c r="J36" s="40">
        <f t="shared" si="2"/>
        <v>0.39250000000000002</v>
      </c>
      <c r="K36" s="40">
        <f t="shared" si="2"/>
        <v>244.11041666666674</v>
      </c>
      <c r="L36" s="40">
        <f t="shared" si="2"/>
        <v>25.905833333333334</v>
      </c>
      <c r="M36" s="40">
        <f t="shared" si="2"/>
        <v>62.431249999999977</v>
      </c>
      <c r="N36" s="40">
        <f t="shared" si="2"/>
        <v>143.58333333333334</v>
      </c>
      <c r="O36" s="40">
        <f t="shared" si="2"/>
        <v>0</v>
      </c>
      <c r="P36" s="40">
        <f t="shared" si="2"/>
        <v>1.0349999999999999</v>
      </c>
      <c r="Q36" s="40">
        <f t="shared" si="2"/>
        <v>4.7716666666666656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6.7944856024168043</v>
      </c>
      <c r="C37" s="40">
        <f t="shared" ref="C37:Q37" si="3">STDEV(C9:C32)</f>
        <v>3.5156649184529094</v>
      </c>
      <c r="D37" s="40">
        <f t="shared" si="3"/>
        <v>6.9282915057325258</v>
      </c>
      <c r="E37" s="40">
        <f t="shared" si="3"/>
        <v>1.9050025676121045</v>
      </c>
      <c r="F37" s="40">
        <f t="shared" si="3"/>
        <v>2.8954340617249619</v>
      </c>
      <c r="G37" s="40">
        <f t="shared" si="3"/>
        <v>11.0812208867337</v>
      </c>
      <c r="H37" s="40">
        <f t="shared" si="3"/>
        <v>5.5967834318122138</v>
      </c>
      <c r="I37" s="40">
        <f t="shared" si="3"/>
        <v>1.0035320774318912</v>
      </c>
      <c r="J37" s="40">
        <f t="shared" si="3"/>
        <v>0.18711191721859233</v>
      </c>
      <c r="K37" s="40">
        <f t="shared" si="3"/>
        <v>49.48954307459158</v>
      </c>
      <c r="L37" s="40">
        <f t="shared" si="3"/>
        <v>4.2831143856520741</v>
      </c>
      <c r="M37" s="40">
        <f t="shared" si="3"/>
        <v>17.892322451749916</v>
      </c>
      <c r="N37" s="40">
        <f t="shared" si="3"/>
        <v>216.45091353702918</v>
      </c>
      <c r="O37" s="40">
        <f t="shared" si="3"/>
        <v>0</v>
      </c>
      <c r="P37" s="40">
        <f t="shared" si="3"/>
        <v>0.1425238347725078</v>
      </c>
      <c r="Q37" s="40">
        <f t="shared" si="3"/>
        <v>5.7760123649953941E-2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45341.041666666664</v>
      </c>
      <c r="B9" s="50">
        <v>8.9600000000000009</v>
      </c>
      <c r="C9" s="50">
        <v>19.59</v>
      </c>
      <c r="D9" s="50">
        <v>18.59</v>
      </c>
      <c r="E9" s="50">
        <v>9.39</v>
      </c>
      <c r="F9" s="50">
        <v>3.43</v>
      </c>
      <c r="G9" s="50">
        <v>83.02</v>
      </c>
      <c r="H9" s="50">
        <v>33.119999999999997</v>
      </c>
      <c r="I9" s="50">
        <v>10.75</v>
      </c>
      <c r="J9" s="50">
        <v>0.15</v>
      </c>
      <c r="K9" s="50">
        <v>238.21</v>
      </c>
      <c r="L9" s="50">
        <v>21.14</v>
      </c>
      <c r="M9" s="50">
        <v>73.849999999999994</v>
      </c>
      <c r="N9" s="50">
        <v>0</v>
      </c>
      <c r="O9" s="50">
        <v>0</v>
      </c>
      <c r="P9" s="50">
        <v>1.05</v>
      </c>
      <c r="Q9" s="50">
        <v>4.7699999999999996</v>
      </c>
    </row>
    <row r="10" spans="1:21" customFormat="1">
      <c r="A10" s="49">
        <v>45341.083333333336</v>
      </c>
      <c r="B10" s="50">
        <v>8.4600000000000009</v>
      </c>
      <c r="C10" s="50">
        <v>20</v>
      </c>
      <c r="D10" s="50">
        <v>18.45</v>
      </c>
      <c r="E10" s="50">
        <v>9.34</v>
      </c>
      <c r="F10" s="50">
        <v>3.58</v>
      </c>
      <c r="G10" s="50">
        <v>78.010000000000005</v>
      </c>
      <c r="H10" s="50">
        <v>33.72</v>
      </c>
      <c r="I10" s="50">
        <v>10.75</v>
      </c>
      <c r="J10" s="50">
        <v>0.18</v>
      </c>
      <c r="K10" s="50">
        <v>268.95</v>
      </c>
      <c r="L10" s="50">
        <v>20.92</v>
      </c>
      <c r="M10" s="50">
        <v>72.86</v>
      </c>
      <c r="N10" s="50">
        <v>0</v>
      </c>
      <c r="O10" s="50">
        <v>0</v>
      </c>
      <c r="P10" s="50">
        <v>1.04</v>
      </c>
      <c r="Q10" s="50">
        <v>4.75</v>
      </c>
    </row>
    <row r="11" spans="1:21" customFormat="1">
      <c r="A11" s="49">
        <v>45341.125</v>
      </c>
      <c r="B11" s="50">
        <v>9.1</v>
      </c>
      <c r="C11" s="50">
        <v>20.66</v>
      </c>
      <c r="D11" s="50">
        <v>19.43</v>
      </c>
      <c r="E11" s="50">
        <v>6.76</v>
      </c>
      <c r="F11" s="50">
        <v>3.47</v>
      </c>
      <c r="G11" s="50">
        <v>73.099999999999994</v>
      </c>
      <c r="H11" s="50">
        <v>33.72</v>
      </c>
      <c r="I11" s="50">
        <v>10.32</v>
      </c>
      <c r="J11" s="50">
        <v>0.47</v>
      </c>
      <c r="K11" s="50">
        <v>212.8</v>
      </c>
      <c r="L11" s="50">
        <v>20.93</v>
      </c>
      <c r="M11" s="50">
        <v>73.38</v>
      </c>
      <c r="N11" s="50">
        <v>0</v>
      </c>
      <c r="O11" s="50">
        <v>0</v>
      </c>
      <c r="P11" s="50">
        <v>0.98</v>
      </c>
      <c r="Q11" s="50">
        <v>4.7300000000000004</v>
      </c>
    </row>
    <row r="12" spans="1:21" customFormat="1">
      <c r="A12" s="49">
        <v>45341.166666666664</v>
      </c>
      <c r="B12" s="50">
        <v>11.31</v>
      </c>
      <c r="C12" s="50">
        <v>19.46</v>
      </c>
      <c r="D12" s="50">
        <v>19.45</v>
      </c>
      <c r="E12" s="50">
        <v>6.39</v>
      </c>
      <c r="F12" s="50">
        <v>3.59</v>
      </c>
      <c r="G12" s="50">
        <v>68.760000000000005</v>
      </c>
      <c r="H12" s="50">
        <v>32.229999999999997</v>
      </c>
      <c r="I12" s="50">
        <v>9.66</v>
      </c>
      <c r="J12" s="50">
        <v>0.13</v>
      </c>
      <c r="K12" s="50">
        <v>293.81</v>
      </c>
      <c r="L12" s="50">
        <v>20.92</v>
      </c>
      <c r="M12" s="50">
        <v>76.22</v>
      </c>
      <c r="N12" s="50">
        <v>0</v>
      </c>
      <c r="O12" s="50">
        <v>0</v>
      </c>
      <c r="P12" s="50">
        <v>0.95</v>
      </c>
      <c r="Q12" s="50">
        <v>4.75</v>
      </c>
    </row>
    <row r="13" spans="1:21" customFormat="1">
      <c r="A13" s="49">
        <v>45341.208333333336</v>
      </c>
      <c r="B13" s="50">
        <v>13.94</v>
      </c>
      <c r="C13" s="50">
        <v>17.98</v>
      </c>
      <c r="D13" s="50">
        <v>21.5</v>
      </c>
      <c r="E13" s="50">
        <v>6.66</v>
      </c>
      <c r="F13" s="50">
        <v>3.45</v>
      </c>
      <c r="G13" s="50">
        <v>73.61</v>
      </c>
      <c r="H13" s="50">
        <v>29.27</v>
      </c>
      <c r="I13" s="50">
        <v>9.35</v>
      </c>
      <c r="J13" s="50">
        <v>0.24</v>
      </c>
      <c r="K13" s="50">
        <v>326.45</v>
      </c>
      <c r="L13" s="50">
        <v>20.56</v>
      </c>
      <c r="M13" s="50">
        <v>77.45</v>
      </c>
      <c r="N13" s="50">
        <v>0</v>
      </c>
      <c r="O13" s="50">
        <v>0</v>
      </c>
      <c r="P13" s="50">
        <v>0.92</v>
      </c>
      <c r="Q13" s="50">
        <v>4.76</v>
      </c>
    </row>
    <row r="14" spans="1:21" customFormat="1">
      <c r="A14" s="49">
        <v>45341.25</v>
      </c>
      <c r="B14" s="50">
        <v>16.11</v>
      </c>
      <c r="C14" s="50">
        <v>18.18</v>
      </c>
      <c r="D14" s="50">
        <v>23.29</v>
      </c>
      <c r="E14" s="50">
        <v>6.66</v>
      </c>
      <c r="F14" s="50">
        <v>3.48</v>
      </c>
      <c r="G14" s="50">
        <v>76.53</v>
      </c>
      <c r="H14" s="50">
        <v>29.97</v>
      </c>
      <c r="I14" s="50">
        <v>9.2899999999999991</v>
      </c>
      <c r="J14" s="50">
        <v>0.27</v>
      </c>
      <c r="K14" s="50">
        <v>352.57</v>
      </c>
      <c r="L14" s="50">
        <v>20.69</v>
      </c>
      <c r="M14" s="50">
        <v>77.19</v>
      </c>
      <c r="N14" s="50">
        <v>0</v>
      </c>
      <c r="O14" s="50">
        <v>0</v>
      </c>
      <c r="P14" s="50">
        <v>0.91</v>
      </c>
      <c r="Q14" s="50">
        <v>4.7699999999999996</v>
      </c>
    </row>
    <row r="15" spans="1:21" customFormat="1">
      <c r="A15" s="49">
        <v>45341.291666666664</v>
      </c>
      <c r="B15" s="50">
        <v>17.61</v>
      </c>
      <c r="C15" s="50">
        <v>17.920000000000002</v>
      </c>
      <c r="D15" s="50">
        <v>24.71</v>
      </c>
      <c r="E15" s="50">
        <v>5.74</v>
      </c>
      <c r="F15" s="50">
        <v>3.38</v>
      </c>
      <c r="G15" s="50">
        <v>83.34</v>
      </c>
      <c r="H15" s="50">
        <v>33.619999999999997</v>
      </c>
      <c r="I15" s="50">
        <v>9.32</v>
      </c>
      <c r="J15" s="50">
        <v>0.17</v>
      </c>
      <c r="K15" s="50">
        <v>220.61</v>
      </c>
      <c r="L15" s="50">
        <v>20.75</v>
      </c>
      <c r="M15" s="50">
        <v>80.39</v>
      </c>
      <c r="N15" s="50">
        <v>8.3000000000000007</v>
      </c>
      <c r="O15" s="50">
        <v>0</v>
      </c>
      <c r="P15" s="50">
        <v>0.91</v>
      </c>
      <c r="Q15" s="50">
        <v>4.79</v>
      </c>
    </row>
    <row r="16" spans="1:21" customFormat="1">
      <c r="A16" s="49">
        <v>45341.333333333336</v>
      </c>
      <c r="B16" s="50">
        <v>18.690000000000001</v>
      </c>
      <c r="C16" s="50">
        <v>18.96</v>
      </c>
      <c r="D16" s="50">
        <v>26.25</v>
      </c>
      <c r="E16" s="50">
        <v>6.55</v>
      </c>
      <c r="F16" s="50">
        <v>3.3</v>
      </c>
      <c r="G16" s="50">
        <v>87.59</v>
      </c>
      <c r="H16" s="50">
        <v>34.92</v>
      </c>
      <c r="I16" s="50">
        <v>9.57</v>
      </c>
      <c r="J16" s="50">
        <v>0.31</v>
      </c>
      <c r="K16" s="50">
        <v>239.13</v>
      </c>
      <c r="L16" s="50">
        <v>22.53</v>
      </c>
      <c r="M16" s="50">
        <v>79.81</v>
      </c>
      <c r="N16" s="50">
        <v>66.8</v>
      </c>
      <c r="O16" s="50">
        <v>0</v>
      </c>
      <c r="P16" s="50">
        <v>0.91</v>
      </c>
      <c r="Q16" s="50">
        <v>4.83</v>
      </c>
    </row>
    <row r="17" spans="1:17" customFormat="1">
      <c r="A17" s="49">
        <v>45341.375</v>
      </c>
      <c r="B17" s="50">
        <v>18.32</v>
      </c>
      <c r="C17" s="50">
        <v>21.36</v>
      </c>
      <c r="D17" s="50">
        <v>26.38</v>
      </c>
      <c r="E17" s="50">
        <v>7.13</v>
      </c>
      <c r="F17" s="50">
        <v>3.38</v>
      </c>
      <c r="G17" s="50">
        <v>87.59</v>
      </c>
      <c r="H17" s="50">
        <v>37.33</v>
      </c>
      <c r="I17" s="50">
        <v>9.68</v>
      </c>
      <c r="J17" s="50">
        <v>0.37</v>
      </c>
      <c r="K17" s="50">
        <v>309.79000000000002</v>
      </c>
      <c r="L17" s="50">
        <v>25.41</v>
      </c>
      <c r="M17" s="50">
        <v>69.8</v>
      </c>
      <c r="N17" s="50">
        <v>145.4</v>
      </c>
      <c r="O17" s="50">
        <v>0</v>
      </c>
      <c r="P17" s="50">
        <v>0.95</v>
      </c>
      <c r="Q17" s="50">
        <v>4.8099999999999996</v>
      </c>
    </row>
    <row r="18" spans="1:17" customFormat="1">
      <c r="A18" s="49">
        <v>45341.416666666664</v>
      </c>
      <c r="B18" s="50">
        <v>16.77</v>
      </c>
      <c r="C18" s="50">
        <v>23.68</v>
      </c>
      <c r="D18" s="50">
        <v>26.39</v>
      </c>
      <c r="E18" s="50">
        <v>8.4</v>
      </c>
      <c r="F18" s="50">
        <v>3.65</v>
      </c>
      <c r="G18" s="50">
        <v>88.99</v>
      </c>
      <c r="H18" s="50">
        <v>39.33</v>
      </c>
      <c r="I18" s="50">
        <v>10.220000000000001</v>
      </c>
      <c r="J18" s="50">
        <v>0.28999999999999998</v>
      </c>
      <c r="K18" s="50">
        <v>291.17</v>
      </c>
      <c r="L18" s="50">
        <v>28.1</v>
      </c>
      <c r="M18" s="50">
        <v>60.92</v>
      </c>
      <c r="N18" s="50">
        <v>321.10000000000002</v>
      </c>
      <c r="O18" s="50">
        <v>0</v>
      </c>
      <c r="P18" s="50">
        <v>0.98</v>
      </c>
      <c r="Q18" s="50">
        <v>4.8099999999999996</v>
      </c>
    </row>
    <row r="19" spans="1:17" customFormat="1">
      <c r="A19" s="49">
        <v>45341.458333333336</v>
      </c>
      <c r="B19" s="50">
        <v>12.44</v>
      </c>
      <c r="C19" s="50">
        <v>25.46</v>
      </c>
      <c r="D19" s="50">
        <v>23.81</v>
      </c>
      <c r="E19" s="50">
        <v>13.51</v>
      </c>
      <c r="F19" s="50">
        <v>6.91</v>
      </c>
      <c r="G19" s="50">
        <v>89.98</v>
      </c>
      <c r="H19" s="50">
        <v>39.33</v>
      </c>
      <c r="I19" s="50">
        <v>10.08</v>
      </c>
      <c r="J19" s="50">
        <v>0.72</v>
      </c>
      <c r="K19" s="50">
        <v>332.04</v>
      </c>
      <c r="L19" s="50">
        <v>29.87</v>
      </c>
      <c r="M19" s="50">
        <v>43.34</v>
      </c>
      <c r="N19" s="50">
        <v>501.6</v>
      </c>
      <c r="O19" s="50">
        <v>0</v>
      </c>
      <c r="P19" s="50">
        <v>1.04</v>
      </c>
      <c r="Q19" s="50">
        <v>4.76</v>
      </c>
    </row>
    <row r="20" spans="1:17" customFormat="1">
      <c r="A20" s="49">
        <v>45341.5</v>
      </c>
      <c r="B20" s="50">
        <v>8.76</v>
      </c>
      <c r="C20" s="50">
        <v>25.85</v>
      </c>
      <c r="D20" s="50">
        <v>21.88</v>
      </c>
      <c r="E20" s="50">
        <v>10.71</v>
      </c>
      <c r="F20" s="50">
        <v>5.9</v>
      </c>
      <c r="G20" s="50">
        <v>91.76</v>
      </c>
      <c r="H20" s="50">
        <v>39.299999999999997</v>
      </c>
      <c r="I20" s="50">
        <v>10.38</v>
      </c>
      <c r="J20" s="50">
        <v>0.86</v>
      </c>
      <c r="K20" s="50">
        <v>320.60000000000002</v>
      </c>
      <c r="L20" s="50">
        <v>31.4</v>
      </c>
      <c r="M20" s="50">
        <v>36.67</v>
      </c>
      <c r="N20" s="50">
        <v>618.1</v>
      </c>
      <c r="O20" s="50">
        <v>0</v>
      </c>
      <c r="P20" s="50">
        <v>1.04</v>
      </c>
      <c r="Q20" s="50">
        <v>4.7300000000000004</v>
      </c>
    </row>
    <row r="21" spans="1:17" customFormat="1">
      <c r="A21" s="49">
        <v>45341.541666666664</v>
      </c>
      <c r="B21" s="50">
        <v>5.54</v>
      </c>
      <c r="C21" s="50">
        <v>24.66</v>
      </c>
      <c r="D21" s="50">
        <v>18.68</v>
      </c>
      <c r="E21" s="50">
        <v>9.8000000000000007</v>
      </c>
      <c r="F21" s="50">
        <v>6.46</v>
      </c>
      <c r="G21" s="50">
        <v>91.76</v>
      </c>
      <c r="H21" s="50">
        <v>39.299999999999997</v>
      </c>
      <c r="I21" s="50">
        <v>10.119999999999999</v>
      </c>
      <c r="J21" s="50">
        <v>0.93</v>
      </c>
      <c r="K21" s="50">
        <v>317.27999999999997</v>
      </c>
      <c r="L21" s="50">
        <v>32.1</v>
      </c>
      <c r="M21" s="50">
        <v>34.69</v>
      </c>
      <c r="N21" s="50">
        <v>626.4</v>
      </c>
      <c r="O21" s="50">
        <v>0</v>
      </c>
      <c r="P21" s="50">
        <v>1.04</v>
      </c>
      <c r="Q21" s="50">
        <v>4.7300000000000004</v>
      </c>
    </row>
    <row r="22" spans="1:17" customFormat="1">
      <c r="A22" s="49">
        <v>45341.583333333336</v>
      </c>
      <c r="B22" s="50">
        <v>4.18</v>
      </c>
      <c r="C22" s="50">
        <v>20.71</v>
      </c>
      <c r="D22" s="50">
        <v>15.52</v>
      </c>
      <c r="E22" s="50">
        <v>8.61</v>
      </c>
      <c r="F22" s="50">
        <v>6.37</v>
      </c>
      <c r="G22" s="50">
        <v>76.260000000000005</v>
      </c>
      <c r="H22" s="50">
        <v>31.49</v>
      </c>
      <c r="I22" s="50">
        <v>10.43</v>
      </c>
      <c r="J22" s="50">
        <v>0.62</v>
      </c>
      <c r="K22" s="50">
        <v>291.10000000000002</v>
      </c>
      <c r="L22" s="50">
        <v>32.99</v>
      </c>
      <c r="M22" s="50">
        <v>31.71</v>
      </c>
      <c r="N22" s="50">
        <v>584.79999999999995</v>
      </c>
      <c r="O22" s="50">
        <v>0</v>
      </c>
      <c r="P22" s="50">
        <v>1.03</v>
      </c>
      <c r="Q22" s="50">
        <v>4.66</v>
      </c>
    </row>
    <row r="23" spans="1:17" customFormat="1">
      <c r="A23" s="49">
        <v>45341.625</v>
      </c>
      <c r="B23" s="50">
        <v>3.15</v>
      </c>
      <c r="C23" s="50">
        <v>17.97</v>
      </c>
      <c r="D23" s="50">
        <v>13.25</v>
      </c>
      <c r="E23" s="50">
        <v>9.1</v>
      </c>
      <c r="F23" s="50">
        <v>8.27</v>
      </c>
      <c r="G23" s="50">
        <v>100.92</v>
      </c>
      <c r="H23" s="50">
        <v>31.49</v>
      </c>
      <c r="I23" s="50">
        <v>10.91</v>
      </c>
      <c r="J23" s="50">
        <v>1.1200000000000001</v>
      </c>
      <c r="K23" s="50">
        <v>318.66000000000003</v>
      </c>
      <c r="L23" s="50">
        <v>32.909999999999997</v>
      </c>
      <c r="M23" s="50">
        <v>33.26</v>
      </c>
      <c r="N23" s="50">
        <v>486.8</v>
      </c>
      <c r="O23" s="50">
        <v>0</v>
      </c>
      <c r="P23" s="50">
        <v>1.04</v>
      </c>
      <c r="Q23" s="50">
        <v>4.6399999999999997</v>
      </c>
    </row>
    <row r="24" spans="1:17" customFormat="1">
      <c r="A24" s="49">
        <v>45341.666666666664</v>
      </c>
      <c r="B24" s="50">
        <v>3.32</v>
      </c>
      <c r="C24" s="50">
        <v>17.440000000000001</v>
      </c>
      <c r="D24" s="50">
        <v>12.96</v>
      </c>
      <c r="E24" s="50">
        <v>8.07</v>
      </c>
      <c r="F24" s="50">
        <v>6.86</v>
      </c>
      <c r="G24" s="50">
        <v>100.92</v>
      </c>
      <c r="H24" s="50">
        <v>28</v>
      </c>
      <c r="I24" s="50">
        <v>11.06</v>
      </c>
      <c r="J24" s="50">
        <v>0.69</v>
      </c>
      <c r="K24" s="50">
        <v>328.47</v>
      </c>
      <c r="L24" s="50">
        <v>32</v>
      </c>
      <c r="M24" s="50">
        <v>34.15</v>
      </c>
      <c r="N24" s="50">
        <v>132.5</v>
      </c>
      <c r="O24" s="50">
        <v>0</v>
      </c>
      <c r="P24" s="50">
        <v>1.04</v>
      </c>
      <c r="Q24" s="50">
        <v>4.7</v>
      </c>
    </row>
    <row r="25" spans="1:17" customFormat="1">
      <c r="A25" s="49">
        <v>45341.708333333336</v>
      </c>
      <c r="B25" s="50">
        <v>3.74</v>
      </c>
      <c r="C25" s="50">
        <v>17.02</v>
      </c>
      <c r="D25" s="50">
        <v>13.24</v>
      </c>
      <c r="E25" s="50">
        <v>8.68</v>
      </c>
      <c r="F25" s="50">
        <v>8.07</v>
      </c>
      <c r="G25" s="50">
        <v>86.67</v>
      </c>
      <c r="H25" s="50">
        <v>28</v>
      </c>
      <c r="I25" s="50">
        <v>11.03</v>
      </c>
      <c r="J25" s="50">
        <v>1.1200000000000001</v>
      </c>
      <c r="K25" s="50">
        <v>319.61</v>
      </c>
      <c r="L25" s="50">
        <v>31.56</v>
      </c>
      <c r="M25" s="50">
        <v>37.61</v>
      </c>
      <c r="N25" s="50">
        <v>85.2</v>
      </c>
      <c r="O25" s="50">
        <v>0</v>
      </c>
      <c r="P25" s="50">
        <v>1.01</v>
      </c>
      <c r="Q25" s="50">
        <v>4.71</v>
      </c>
    </row>
    <row r="26" spans="1:17" customFormat="1">
      <c r="A26" s="49">
        <v>45341.75</v>
      </c>
      <c r="B26" s="50">
        <v>7.3</v>
      </c>
      <c r="C26" s="50">
        <v>25.09</v>
      </c>
      <c r="D26" s="50">
        <v>20.32</v>
      </c>
      <c r="E26" s="50">
        <v>7.98</v>
      </c>
      <c r="F26" s="50">
        <v>6.1</v>
      </c>
      <c r="G26" s="50">
        <v>83.5</v>
      </c>
      <c r="H26" s="50">
        <v>27.4</v>
      </c>
      <c r="I26" s="50">
        <v>10.98</v>
      </c>
      <c r="J26" s="50">
        <v>0.74</v>
      </c>
      <c r="K26" s="50">
        <v>136.03</v>
      </c>
      <c r="L26" s="50">
        <v>30.45</v>
      </c>
      <c r="M26" s="50">
        <v>45.78</v>
      </c>
      <c r="N26" s="50">
        <v>28</v>
      </c>
      <c r="O26" s="50">
        <v>0</v>
      </c>
      <c r="P26" s="50">
        <v>0.99</v>
      </c>
      <c r="Q26" s="50">
        <v>4.78</v>
      </c>
    </row>
    <row r="27" spans="1:17" customFormat="1">
      <c r="A27" s="49">
        <v>45341.791666666664</v>
      </c>
      <c r="B27" s="50">
        <v>6.44</v>
      </c>
      <c r="C27" s="50">
        <v>23.59</v>
      </c>
      <c r="D27" s="50">
        <v>18.84</v>
      </c>
      <c r="E27" s="50">
        <v>10.65</v>
      </c>
      <c r="F27" s="50">
        <v>5.24</v>
      </c>
      <c r="G27" s="50">
        <v>93.1</v>
      </c>
      <c r="H27" s="50">
        <v>29.29</v>
      </c>
      <c r="I27" s="50">
        <v>10</v>
      </c>
      <c r="J27" s="50">
        <v>0.31</v>
      </c>
      <c r="K27" s="50">
        <v>176.96</v>
      </c>
      <c r="L27" s="50">
        <v>28.18</v>
      </c>
      <c r="M27" s="50">
        <v>63.17</v>
      </c>
      <c r="N27" s="50">
        <v>0</v>
      </c>
      <c r="O27" s="50">
        <v>0</v>
      </c>
      <c r="P27" s="50">
        <v>0.96</v>
      </c>
      <c r="Q27" s="50">
        <v>4.8</v>
      </c>
    </row>
    <row r="28" spans="1:17" customFormat="1">
      <c r="A28" s="49">
        <v>45341.833333333336</v>
      </c>
      <c r="B28" s="50">
        <v>6.89</v>
      </c>
      <c r="C28" s="50">
        <v>22.59</v>
      </c>
      <c r="D28" s="50">
        <v>18.61</v>
      </c>
      <c r="E28" s="50">
        <v>10.32</v>
      </c>
      <c r="F28" s="50">
        <v>3.44</v>
      </c>
      <c r="G28" s="50">
        <v>93.1</v>
      </c>
      <c r="H28" s="50">
        <v>30.6</v>
      </c>
      <c r="I28" s="50">
        <v>9.86</v>
      </c>
      <c r="J28" s="50">
        <v>0.25</v>
      </c>
      <c r="K28" s="50">
        <v>196.84</v>
      </c>
      <c r="L28" s="50">
        <v>26.12</v>
      </c>
      <c r="M28" s="50">
        <v>67.08</v>
      </c>
      <c r="N28" s="50">
        <v>0</v>
      </c>
      <c r="O28" s="50">
        <v>0</v>
      </c>
      <c r="P28" s="50">
        <v>1</v>
      </c>
      <c r="Q28" s="50">
        <v>4.8099999999999996</v>
      </c>
    </row>
    <row r="29" spans="1:17" customFormat="1">
      <c r="A29" s="49">
        <v>45341.875</v>
      </c>
      <c r="B29" s="50">
        <v>7.19</v>
      </c>
      <c r="C29" s="50">
        <v>22.49</v>
      </c>
      <c r="D29" s="50">
        <v>18.61</v>
      </c>
      <c r="E29" s="50">
        <v>10.48</v>
      </c>
      <c r="F29" s="50">
        <v>3.4</v>
      </c>
      <c r="G29" s="50">
        <v>92.04</v>
      </c>
      <c r="H29" s="50">
        <v>30.6</v>
      </c>
      <c r="I29" s="50">
        <v>9.91</v>
      </c>
      <c r="J29" s="50">
        <v>0.23</v>
      </c>
      <c r="K29" s="50">
        <v>218.05</v>
      </c>
      <c r="L29" s="50">
        <v>24.35</v>
      </c>
      <c r="M29" s="50">
        <v>75.41</v>
      </c>
      <c r="N29" s="50">
        <v>0</v>
      </c>
      <c r="O29" s="50">
        <v>0</v>
      </c>
      <c r="P29" s="50">
        <v>1</v>
      </c>
      <c r="Q29" s="50">
        <v>4.78</v>
      </c>
    </row>
    <row r="30" spans="1:17" customFormat="1">
      <c r="A30" s="49">
        <v>45341.916666666664</v>
      </c>
      <c r="B30" s="50">
        <v>7.54</v>
      </c>
      <c r="C30" s="50">
        <v>21.75</v>
      </c>
      <c r="D30" s="50">
        <v>18.739999999999998</v>
      </c>
      <c r="E30" s="50">
        <v>10.43</v>
      </c>
      <c r="F30" s="50">
        <v>3.33</v>
      </c>
      <c r="G30" s="50">
        <v>92.04</v>
      </c>
      <c r="H30" s="50">
        <v>30.23</v>
      </c>
      <c r="I30" s="50">
        <v>9.83</v>
      </c>
      <c r="J30" s="50">
        <v>0.17</v>
      </c>
      <c r="K30" s="50">
        <v>217.63</v>
      </c>
      <c r="L30" s="50">
        <v>23.02</v>
      </c>
      <c r="M30" s="50">
        <v>76.61</v>
      </c>
      <c r="N30" s="50">
        <v>0</v>
      </c>
      <c r="O30" s="50">
        <v>0</v>
      </c>
      <c r="P30" s="50">
        <v>1.02</v>
      </c>
      <c r="Q30" s="50">
        <v>4.7300000000000004</v>
      </c>
    </row>
    <row r="31" spans="1:17" customFormat="1">
      <c r="A31" s="49">
        <v>45341.958333333336</v>
      </c>
      <c r="B31" s="50">
        <v>8.2799999999999994</v>
      </c>
      <c r="C31" s="50">
        <v>21.85</v>
      </c>
      <c r="D31" s="50">
        <v>19.149999999999999</v>
      </c>
      <c r="E31" s="50">
        <v>10.27</v>
      </c>
      <c r="F31" s="50">
        <v>3.49</v>
      </c>
      <c r="G31" s="50">
        <v>94.6</v>
      </c>
      <c r="H31" s="50">
        <v>32.090000000000003</v>
      </c>
      <c r="I31" s="50">
        <v>10.039999999999999</v>
      </c>
      <c r="J31" s="50">
        <v>0.23</v>
      </c>
      <c r="K31" s="50">
        <v>235.27</v>
      </c>
      <c r="L31" s="50">
        <v>22.54</v>
      </c>
      <c r="M31" s="50">
        <v>77.959999999999994</v>
      </c>
      <c r="N31" s="50">
        <v>0</v>
      </c>
      <c r="O31" s="50">
        <v>0</v>
      </c>
      <c r="P31" s="50">
        <v>1.05</v>
      </c>
      <c r="Q31" s="50">
        <v>4.71</v>
      </c>
    </row>
    <row r="32" spans="1:17" customFormat="1">
      <c r="A32" s="49">
        <v>45342</v>
      </c>
      <c r="B32" s="50">
        <v>8.93</v>
      </c>
      <c r="C32" s="50">
        <v>17.920000000000002</v>
      </c>
      <c r="D32" s="50">
        <v>17.5</v>
      </c>
      <c r="E32" s="50">
        <v>9.44</v>
      </c>
      <c r="F32" s="50">
        <v>3.76</v>
      </c>
      <c r="G32" s="50">
        <v>94.6</v>
      </c>
      <c r="H32" s="50">
        <v>32.090000000000003</v>
      </c>
      <c r="I32" s="50">
        <v>10.19</v>
      </c>
      <c r="J32" s="50">
        <v>0.17</v>
      </c>
      <c r="K32" s="50">
        <v>193.96</v>
      </c>
      <c r="L32" s="50">
        <v>22.12</v>
      </c>
      <c r="M32" s="50">
        <v>77</v>
      </c>
      <c r="N32" s="50">
        <v>0</v>
      </c>
      <c r="O32" s="50">
        <v>0</v>
      </c>
      <c r="P32" s="50">
        <v>1.05</v>
      </c>
      <c r="Q32" s="50">
        <v>4.71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3.15</v>
      </c>
      <c r="C34" s="40">
        <f t="shared" si="0"/>
        <v>17.02</v>
      </c>
      <c r="D34" s="40">
        <f t="shared" si="0"/>
        <v>12.96</v>
      </c>
      <c r="E34" s="40">
        <f t="shared" si="0"/>
        <v>5.74</v>
      </c>
      <c r="F34" s="40">
        <f t="shared" si="0"/>
        <v>3.3</v>
      </c>
      <c r="G34" s="40">
        <f t="shared" si="0"/>
        <v>68.760000000000005</v>
      </c>
      <c r="H34" s="40">
        <f t="shared" si="0"/>
        <v>27.4</v>
      </c>
      <c r="I34" s="40">
        <f t="shared" si="0"/>
        <v>9.2899999999999991</v>
      </c>
      <c r="J34" s="40">
        <f t="shared" si="0"/>
        <v>0.13</v>
      </c>
      <c r="K34" s="40">
        <f t="shared" si="0"/>
        <v>136.03</v>
      </c>
      <c r="L34" s="40">
        <f t="shared" si="0"/>
        <v>20.56</v>
      </c>
      <c r="M34" s="40">
        <f t="shared" si="0"/>
        <v>31.71</v>
      </c>
      <c r="N34" s="40">
        <f t="shared" si="0"/>
        <v>0</v>
      </c>
      <c r="O34" s="40">
        <f t="shared" si="0"/>
        <v>0</v>
      </c>
      <c r="P34" s="40">
        <f t="shared" si="0"/>
        <v>0.91</v>
      </c>
      <c r="Q34" s="40">
        <f t="shared" si="0"/>
        <v>4.6399999999999997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18.690000000000001</v>
      </c>
      <c r="C35" s="33">
        <f t="shared" si="1"/>
        <v>25.85</v>
      </c>
      <c r="D35" s="33">
        <f t="shared" si="1"/>
        <v>26.39</v>
      </c>
      <c r="E35" s="33">
        <f t="shared" si="1"/>
        <v>13.51</v>
      </c>
      <c r="F35" s="33">
        <f t="shared" si="1"/>
        <v>8.27</v>
      </c>
      <c r="G35" s="33">
        <f t="shared" si="1"/>
        <v>100.92</v>
      </c>
      <c r="H35" s="33">
        <f t="shared" si="1"/>
        <v>39.33</v>
      </c>
      <c r="I35" s="33">
        <f t="shared" si="1"/>
        <v>11.06</v>
      </c>
      <c r="J35" s="33">
        <f t="shared" si="1"/>
        <v>1.1200000000000001</v>
      </c>
      <c r="K35" s="33">
        <f t="shared" si="1"/>
        <v>352.57</v>
      </c>
      <c r="L35" s="33">
        <f t="shared" si="1"/>
        <v>32.99</v>
      </c>
      <c r="M35" s="33">
        <f t="shared" si="1"/>
        <v>80.39</v>
      </c>
      <c r="N35" s="33">
        <f t="shared" si="1"/>
        <v>626.4</v>
      </c>
      <c r="O35" s="33">
        <f t="shared" si="1"/>
        <v>0</v>
      </c>
      <c r="P35" s="33">
        <f t="shared" si="1"/>
        <v>1.05</v>
      </c>
      <c r="Q35" s="33">
        <f t="shared" si="1"/>
        <v>4.83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9.7070833333333333</v>
      </c>
      <c r="C36" s="40">
        <f t="shared" si="2"/>
        <v>20.924166666666668</v>
      </c>
      <c r="D36" s="40">
        <f t="shared" si="2"/>
        <v>19.814583333333331</v>
      </c>
      <c r="E36" s="40">
        <f t="shared" si="2"/>
        <v>8.7945833333333336</v>
      </c>
      <c r="F36" s="40">
        <f t="shared" si="2"/>
        <v>4.6795833333333334</v>
      </c>
      <c r="G36" s="40">
        <f t="shared" si="2"/>
        <v>86.741249999999994</v>
      </c>
      <c r="H36" s="40">
        <f t="shared" si="2"/>
        <v>32.768333333333338</v>
      </c>
      <c r="I36" s="40">
        <f t="shared" si="2"/>
        <v>10.155416666666666</v>
      </c>
      <c r="J36" s="40">
        <f t="shared" si="2"/>
        <v>0.44750000000000006</v>
      </c>
      <c r="K36" s="40">
        <f t="shared" si="2"/>
        <v>264.83291666666668</v>
      </c>
      <c r="L36" s="40">
        <f t="shared" si="2"/>
        <v>25.89833333333333</v>
      </c>
      <c r="M36" s="40">
        <f t="shared" si="2"/>
        <v>61.512916666666655</v>
      </c>
      <c r="N36" s="40">
        <f t="shared" si="2"/>
        <v>150.20833333333334</v>
      </c>
      <c r="O36" s="40">
        <f t="shared" si="2"/>
        <v>0</v>
      </c>
      <c r="P36" s="40">
        <f t="shared" si="2"/>
        <v>0.99624999999999997</v>
      </c>
      <c r="Q36" s="40">
        <f t="shared" si="2"/>
        <v>4.7508333333333335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4.8675218935365843</v>
      </c>
      <c r="C37" s="40">
        <f t="shared" ref="C37:Q37" si="3">STDEV(C9:C32)</f>
        <v>2.7734344062546525</v>
      </c>
      <c r="D37" s="40">
        <f t="shared" si="3"/>
        <v>3.9265395531331162</v>
      </c>
      <c r="E37" s="40">
        <f t="shared" si="3"/>
        <v>1.8545314166555236</v>
      </c>
      <c r="F37" s="40">
        <f t="shared" si="3"/>
        <v>1.693110025358959</v>
      </c>
      <c r="G37" s="40">
        <f t="shared" si="3"/>
        <v>8.6930863646622942</v>
      </c>
      <c r="H37" s="40">
        <f t="shared" si="3"/>
        <v>3.7666773117715455</v>
      </c>
      <c r="I37" s="40">
        <f t="shared" si="3"/>
        <v>0.54793667649581335</v>
      </c>
      <c r="J37" s="40">
        <f t="shared" si="3"/>
        <v>0.31794516891247548</v>
      </c>
      <c r="K37" s="40">
        <f t="shared" si="3"/>
        <v>59.476675258615515</v>
      </c>
      <c r="L37" s="40">
        <f t="shared" si="3"/>
        <v>4.7131053795603579</v>
      </c>
      <c r="M37" s="40">
        <f t="shared" si="3"/>
        <v>18.396699250058486</v>
      </c>
      <c r="N37" s="40">
        <f t="shared" si="3"/>
        <v>230.11038545175143</v>
      </c>
      <c r="O37" s="40">
        <f t="shared" si="3"/>
        <v>0</v>
      </c>
      <c r="P37" s="40">
        <f t="shared" si="3"/>
        <v>4.9502964338117877E-2</v>
      </c>
      <c r="Q37" s="40">
        <f t="shared" si="3"/>
        <v>4.8086576511326966E-2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9">
        <v>45342.041666666664</v>
      </c>
      <c r="B9" s="50">
        <v>10.07</v>
      </c>
      <c r="C9" s="50">
        <v>15.8</v>
      </c>
      <c r="D9" s="50">
        <v>17.579999999999998</v>
      </c>
      <c r="E9" s="50">
        <v>8.59</v>
      </c>
      <c r="F9" s="50">
        <v>3.68</v>
      </c>
      <c r="G9" s="50">
        <v>88.52</v>
      </c>
      <c r="H9" s="50">
        <v>31.7</v>
      </c>
      <c r="I9" s="50">
        <v>10.25</v>
      </c>
      <c r="J9" s="50">
        <v>0.13</v>
      </c>
      <c r="K9" s="50">
        <v>263.64</v>
      </c>
      <c r="L9" s="50">
        <v>22.13</v>
      </c>
      <c r="M9" s="50">
        <v>75.36</v>
      </c>
      <c r="N9" s="50">
        <v>0</v>
      </c>
      <c r="O9" s="50">
        <v>0</v>
      </c>
      <c r="P9" s="50">
        <v>1.04</v>
      </c>
      <c r="Q9" s="50">
        <v>4.74</v>
      </c>
    </row>
    <row r="10" spans="1:21" customFormat="1">
      <c r="A10" s="49">
        <v>45342.083333333336</v>
      </c>
      <c r="B10" s="50">
        <v>9.81</v>
      </c>
      <c r="C10" s="50">
        <v>15.67</v>
      </c>
      <c r="D10" s="50">
        <v>17.239999999999998</v>
      </c>
      <c r="E10" s="50">
        <v>8.6199999999999992</v>
      </c>
      <c r="F10" s="50">
        <v>3.71</v>
      </c>
      <c r="G10" s="50">
        <v>79.959999999999994</v>
      </c>
      <c r="H10" s="50">
        <v>31.63</v>
      </c>
      <c r="I10" s="50">
        <v>10.09</v>
      </c>
      <c r="J10" s="50">
        <v>0.15</v>
      </c>
      <c r="K10" s="50">
        <v>209.73</v>
      </c>
      <c r="L10" s="50">
        <v>21.95</v>
      </c>
      <c r="M10" s="50">
        <v>73.5</v>
      </c>
      <c r="N10" s="50">
        <v>0</v>
      </c>
      <c r="O10" s="50">
        <v>0</v>
      </c>
      <c r="P10" s="50">
        <v>0.99</v>
      </c>
      <c r="Q10" s="50">
        <v>4.74</v>
      </c>
    </row>
    <row r="11" spans="1:21" customFormat="1">
      <c r="A11" s="49">
        <v>45342.125</v>
      </c>
      <c r="B11" s="50">
        <v>9.68</v>
      </c>
      <c r="C11" s="50">
        <v>15.55</v>
      </c>
      <c r="D11" s="50">
        <v>17.239999999999998</v>
      </c>
      <c r="E11" s="50">
        <v>9.43</v>
      </c>
      <c r="F11" s="50">
        <v>3.57</v>
      </c>
      <c r="G11" s="50">
        <v>73.94</v>
      </c>
      <c r="H11" s="50">
        <v>30.7</v>
      </c>
      <c r="I11" s="50">
        <v>9.89</v>
      </c>
      <c r="J11" s="50">
        <v>0.17</v>
      </c>
      <c r="K11" s="50">
        <v>351.72</v>
      </c>
      <c r="L11" s="50">
        <v>22.78</v>
      </c>
      <c r="M11" s="50">
        <v>70.94</v>
      </c>
      <c r="N11" s="50">
        <v>0</v>
      </c>
      <c r="O11" s="50">
        <v>0</v>
      </c>
      <c r="P11" s="50">
        <v>0.96</v>
      </c>
      <c r="Q11" s="50">
        <v>4.74</v>
      </c>
    </row>
    <row r="12" spans="1:21" customFormat="1">
      <c r="A12" s="49">
        <v>45342.166666666664</v>
      </c>
      <c r="B12" s="50">
        <v>10.1</v>
      </c>
      <c r="C12" s="50">
        <v>16.489999999999998</v>
      </c>
      <c r="D12" s="50">
        <v>17.96</v>
      </c>
      <c r="E12" s="50">
        <v>9.7899999999999991</v>
      </c>
      <c r="F12" s="50">
        <v>3.65</v>
      </c>
      <c r="G12" s="50">
        <v>67.25</v>
      </c>
      <c r="H12" s="50">
        <v>29.5</v>
      </c>
      <c r="I12" s="50">
        <v>9.61</v>
      </c>
      <c r="J12" s="50">
        <v>0.18</v>
      </c>
      <c r="K12" s="50">
        <v>233.19</v>
      </c>
      <c r="L12" s="50">
        <v>22.5</v>
      </c>
      <c r="M12" s="50">
        <v>72.69</v>
      </c>
      <c r="N12" s="50">
        <v>0</v>
      </c>
      <c r="O12" s="50">
        <v>0</v>
      </c>
      <c r="P12" s="50">
        <v>0.93</v>
      </c>
      <c r="Q12" s="50">
        <v>4.74</v>
      </c>
    </row>
    <row r="13" spans="1:21" customFormat="1">
      <c r="A13" s="49">
        <v>45342.208333333336</v>
      </c>
      <c r="B13" s="50">
        <v>9.57</v>
      </c>
      <c r="C13" s="50">
        <v>18.02</v>
      </c>
      <c r="D13" s="50">
        <v>18.309999999999999</v>
      </c>
      <c r="E13" s="50">
        <v>9.68</v>
      </c>
      <c r="F13" s="50">
        <v>3.56</v>
      </c>
      <c r="G13" s="50">
        <v>56.59</v>
      </c>
      <c r="H13" s="50">
        <v>26.09</v>
      </c>
      <c r="I13" s="50">
        <v>9.33</v>
      </c>
      <c r="J13" s="50">
        <v>0.62</v>
      </c>
      <c r="K13" s="50">
        <v>331.58</v>
      </c>
      <c r="L13" s="50">
        <v>22.51</v>
      </c>
      <c r="M13" s="50">
        <v>73.56</v>
      </c>
      <c r="N13" s="50">
        <v>0</v>
      </c>
      <c r="O13" s="50">
        <v>0</v>
      </c>
      <c r="P13" s="50">
        <v>0.87</v>
      </c>
      <c r="Q13" s="50">
        <v>4.78</v>
      </c>
    </row>
    <row r="14" spans="1:21" customFormat="1">
      <c r="A14" s="49">
        <v>45342.25</v>
      </c>
      <c r="B14" s="50">
        <v>11.57</v>
      </c>
      <c r="C14" s="50">
        <v>20.3</v>
      </c>
      <c r="D14" s="50">
        <v>21.23</v>
      </c>
      <c r="E14" s="50">
        <v>10.39</v>
      </c>
      <c r="F14" s="50">
        <v>3.4</v>
      </c>
      <c r="G14" s="50">
        <v>52.29</v>
      </c>
      <c r="H14" s="50">
        <v>23.44</v>
      </c>
      <c r="I14" s="50">
        <v>8.7200000000000006</v>
      </c>
      <c r="J14" s="50">
        <v>0.2</v>
      </c>
      <c r="K14" s="50">
        <v>201.01</v>
      </c>
      <c r="L14" s="50">
        <v>22.3</v>
      </c>
      <c r="M14" s="50">
        <v>76.84</v>
      </c>
      <c r="N14" s="50">
        <v>0</v>
      </c>
      <c r="O14" s="50">
        <v>0</v>
      </c>
      <c r="P14" s="50">
        <v>0.83</v>
      </c>
      <c r="Q14" s="50">
        <v>4.76</v>
      </c>
    </row>
    <row r="15" spans="1:21" customFormat="1">
      <c r="A15" s="49">
        <v>45342.291666666664</v>
      </c>
      <c r="B15" s="50">
        <v>16.73</v>
      </c>
      <c r="C15" s="50">
        <v>21.98</v>
      </c>
      <c r="D15" s="50">
        <v>26.25</v>
      </c>
      <c r="E15" s="50">
        <v>11.23</v>
      </c>
      <c r="F15" s="50">
        <v>3.38</v>
      </c>
      <c r="G15" s="50">
        <v>53.94</v>
      </c>
      <c r="H15" s="50">
        <v>23.43</v>
      </c>
      <c r="I15" s="50">
        <v>8.2200000000000006</v>
      </c>
      <c r="J15" s="50">
        <v>0.21</v>
      </c>
      <c r="K15" s="50">
        <v>197.41</v>
      </c>
      <c r="L15" s="50">
        <v>21.02</v>
      </c>
      <c r="M15" s="50">
        <v>80.239999999999995</v>
      </c>
      <c r="N15" s="50">
        <v>15.1</v>
      </c>
      <c r="O15" s="50">
        <v>0</v>
      </c>
      <c r="P15" s="50">
        <v>0.8</v>
      </c>
      <c r="Q15" s="50">
        <v>4.76</v>
      </c>
    </row>
    <row r="16" spans="1:21" customFormat="1">
      <c r="A16" s="49">
        <v>45342.333333333336</v>
      </c>
      <c r="B16" s="50">
        <v>18.38</v>
      </c>
      <c r="C16" s="50">
        <v>23.07</v>
      </c>
      <c r="D16" s="50">
        <v>28.14</v>
      </c>
      <c r="E16" s="50">
        <v>11.32</v>
      </c>
      <c r="F16" s="50">
        <v>3.39</v>
      </c>
      <c r="G16" s="50">
        <v>60.44</v>
      </c>
      <c r="H16" s="50">
        <v>25.64</v>
      </c>
      <c r="I16" s="50">
        <v>8.3699999999999992</v>
      </c>
      <c r="J16" s="50">
        <v>0.32</v>
      </c>
      <c r="K16" s="50">
        <v>194.62</v>
      </c>
      <c r="L16" s="50">
        <v>23</v>
      </c>
      <c r="M16" s="50">
        <v>79.540000000000006</v>
      </c>
      <c r="N16" s="50">
        <v>92.9</v>
      </c>
      <c r="O16" s="50">
        <v>0</v>
      </c>
      <c r="P16" s="50">
        <v>0.81</v>
      </c>
      <c r="Q16" s="50">
        <v>4.78</v>
      </c>
    </row>
    <row r="17" spans="1:17" customFormat="1">
      <c r="A17" s="49">
        <v>45342.375</v>
      </c>
      <c r="B17" s="50">
        <v>18.23</v>
      </c>
      <c r="C17" s="50">
        <v>23.6</v>
      </c>
      <c r="D17" s="50">
        <v>28.11</v>
      </c>
      <c r="E17" s="50">
        <v>11.18</v>
      </c>
      <c r="F17" s="50">
        <v>3.89</v>
      </c>
      <c r="G17" s="50">
        <v>64.64</v>
      </c>
      <c r="H17" s="50">
        <v>28.29</v>
      </c>
      <c r="I17" s="50">
        <v>8.92</v>
      </c>
      <c r="J17" s="50">
        <v>0.94</v>
      </c>
      <c r="K17" s="50">
        <v>284.55</v>
      </c>
      <c r="L17" s="50">
        <v>26.48</v>
      </c>
      <c r="M17" s="50">
        <v>63.97</v>
      </c>
      <c r="N17" s="50">
        <v>334.4</v>
      </c>
      <c r="O17" s="50">
        <v>0</v>
      </c>
      <c r="P17" s="50">
        <v>0.85</v>
      </c>
      <c r="Q17" s="50">
        <v>4.76</v>
      </c>
    </row>
    <row r="18" spans="1:17" customFormat="1">
      <c r="A18" s="49">
        <v>45342.416666666664</v>
      </c>
      <c r="B18" s="50">
        <v>16.13</v>
      </c>
      <c r="C18" s="50">
        <v>18.829999999999998</v>
      </c>
      <c r="D18" s="50">
        <v>24.13</v>
      </c>
      <c r="E18" s="50">
        <v>10.48</v>
      </c>
      <c r="F18" s="50">
        <v>4.21</v>
      </c>
      <c r="G18" s="50">
        <v>64.64</v>
      </c>
      <c r="H18" s="50">
        <v>28.29</v>
      </c>
      <c r="I18" s="50">
        <v>9.26</v>
      </c>
      <c r="J18" s="50">
        <v>1.39</v>
      </c>
      <c r="K18" s="50">
        <v>273.05</v>
      </c>
      <c r="L18" s="50">
        <v>27.62</v>
      </c>
      <c r="M18" s="50">
        <v>46.32</v>
      </c>
      <c r="N18" s="50">
        <v>317.39999999999998</v>
      </c>
      <c r="O18" s="50">
        <v>0</v>
      </c>
      <c r="P18" s="50">
        <v>0.84</v>
      </c>
      <c r="Q18" s="50">
        <v>4.7300000000000004</v>
      </c>
    </row>
    <row r="19" spans="1:17" customFormat="1">
      <c r="A19" s="49">
        <v>45342.458333333336</v>
      </c>
      <c r="B19" s="50">
        <v>12.75</v>
      </c>
      <c r="C19" s="50">
        <v>16.100000000000001</v>
      </c>
      <c r="D19" s="50">
        <v>19.989999999999998</v>
      </c>
      <c r="E19" s="50">
        <v>8.67</v>
      </c>
      <c r="F19" s="50">
        <v>4.8</v>
      </c>
      <c r="G19" s="50">
        <v>56.34</v>
      </c>
      <c r="H19" s="50">
        <v>23.57</v>
      </c>
      <c r="I19" s="50">
        <v>8.86</v>
      </c>
      <c r="J19" s="50">
        <v>1.63</v>
      </c>
      <c r="K19" s="50">
        <v>277.52</v>
      </c>
      <c r="L19" s="50">
        <v>29.93</v>
      </c>
      <c r="M19" s="50">
        <v>39.78</v>
      </c>
      <c r="N19" s="50">
        <v>568.5</v>
      </c>
      <c r="O19" s="50">
        <v>0</v>
      </c>
      <c r="P19" s="50">
        <v>0.77</v>
      </c>
      <c r="Q19" s="50">
        <v>4.74</v>
      </c>
    </row>
    <row r="20" spans="1:17" customFormat="1">
      <c r="A20" s="49">
        <v>45342.5</v>
      </c>
      <c r="B20" s="50">
        <v>9.19</v>
      </c>
      <c r="C20" s="50">
        <v>15.09</v>
      </c>
      <c r="D20" s="50">
        <v>16.600000000000001</v>
      </c>
      <c r="E20" s="50">
        <v>9.14</v>
      </c>
      <c r="F20" s="50">
        <v>5.28</v>
      </c>
      <c r="G20" s="50">
        <v>54.64</v>
      </c>
      <c r="H20" s="50">
        <v>20.79</v>
      </c>
      <c r="I20" s="50">
        <v>8.08</v>
      </c>
      <c r="J20" s="50">
        <v>1.38</v>
      </c>
      <c r="K20" s="50">
        <v>280.51</v>
      </c>
      <c r="L20" s="50">
        <v>31.51</v>
      </c>
      <c r="M20" s="50">
        <v>32.4</v>
      </c>
      <c r="N20" s="50">
        <v>644.4</v>
      </c>
      <c r="O20" s="50">
        <v>0</v>
      </c>
      <c r="P20" s="50">
        <v>0.7</v>
      </c>
      <c r="Q20" s="50">
        <v>4.74</v>
      </c>
    </row>
    <row r="21" spans="1:17" customFormat="1">
      <c r="A21" s="49">
        <v>45342.541666666664</v>
      </c>
      <c r="B21" s="50">
        <v>6.37</v>
      </c>
      <c r="C21" s="50">
        <v>17.53</v>
      </c>
      <c r="D21" s="50">
        <v>14.66</v>
      </c>
      <c r="E21" s="50">
        <v>9.57</v>
      </c>
      <c r="F21" s="50">
        <v>5.51</v>
      </c>
      <c r="G21" s="50">
        <v>54.64</v>
      </c>
      <c r="H21" s="50">
        <v>20.79</v>
      </c>
      <c r="I21" s="50">
        <v>7.38</v>
      </c>
      <c r="J21" s="50">
        <v>1.48</v>
      </c>
      <c r="K21" s="50">
        <v>307.45</v>
      </c>
      <c r="L21" s="50">
        <v>32.61</v>
      </c>
      <c r="M21" s="50">
        <v>30.77</v>
      </c>
      <c r="N21" s="50">
        <v>668.1</v>
      </c>
      <c r="O21" s="50">
        <v>0</v>
      </c>
      <c r="P21" s="50">
        <v>0.69</v>
      </c>
      <c r="Q21" s="50">
        <v>4.6900000000000004</v>
      </c>
    </row>
    <row r="22" spans="1:17" customFormat="1">
      <c r="A22" s="49">
        <v>45342.583333333336</v>
      </c>
      <c r="B22" s="50">
        <v>5</v>
      </c>
      <c r="C22" s="50">
        <v>17.920000000000002</v>
      </c>
      <c r="D22" s="50">
        <v>14.6</v>
      </c>
      <c r="E22" s="50">
        <v>9</v>
      </c>
      <c r="F22" s="50">
        <v>8.17</v>
      </c>
      <c r="G22" s="50">
        <v>53.23</v>
      </c>
      <c r="H22" s="50">
        <v>20.22</v>
      </c>
      <c r="I22" s="50">
        <v>7.54</v>
      </c>
      <c r="J22" s="50">
        <v>1.53</v>
      </c>
      <c r="K22" s="50">
        <v>314.33</v>
      </c>
      <c r="L22" s="50">
        <v>33.43</v>
      </c>
      <c r="M22" s="50">
        <v>23.81</v>
      </c>
      <c r="N22" s="50">
        <v>648</v>
      </c>
      <c r="O22" s="50">
        <v>0</v>
      </c>
      <c r="P22" s="50">
        <v>0.67</v>
      </c>
      <c r="Q22" s="50">
        <v>4.75</v>
      </c>
    </row>
    <row r="23" spans="1:17" customFormat="1">
      <c r="A23" s="49">
        <v>45342.625</v>
      </c>
      <c r="B23" s="50">
        <v>5.14</v>
      </c>
      <c r="C23" s="50">
        <v>17.57</v>
      </c>
      <c r="D23" s="50">
        <v>14.59</v>
      </c>
      <c r="E23" s="50">
        <v>9.7200000000000006</v>
      </c>
      <c r="F23" s="50">
        <v>9.6300000000000008</v>
      </c>
      <c r="G23" s="50">
        <v>50.93</v>
      </c>
      <c r="H23" s="50">
        <v>18.64</v>
      </c>
      <c r="I23" s="50">
        <v>6.56</v>
      </c>
      <c r="J23" s="50">
        <v>1.48</v>
      </c>
      <c r="K23" s="50">
        <v>316.98</v>
      </c>
      <c r="L23" s="50">
        <v>33.64</v>
      </c>
      <c r="M23" s="50">
        <v>22.65</v>
      </c>
      <c r="N23" s="50">
        <v>589</v>
      </c>
      <c r="O23" s="50">
        <v>0</v>
      </c>
      <c r="P23" s="50">
        <v>0.56999999999999995</v>
      </c>
      <c r="Q23" s="50">
        <v>4.74</v>
      </c>
    </row>
    <row r="24" spans="1:17" customFormat="1">
      <c r="A24" s="49">
        <v>45342.666666666664</v>
      </c>
      <c r="B24" s="50">
        <v>5.54</v>
      </c>
      <c r="C24" s="50">
        <v>17.309999999999999</v>
      </c>
      <c r="D24" s="50">
        <v>14.83</v>
      </c>
      <c r="E24" s="50">
        <v>10.27</v>
      </c>
      <c r="F24" s="50">
        <v>8.98</v>
      </c>
      <c r="G24" s="50">
        <v>45.98</v>
      </c>
      <c r="H24" s="50">
        <v>17.52</v>
      </c>
      <c r="I24" s="50">
        <v>5.68</v>
      </c>
      <c r="J24" s="50">
        <v>1.57</v>
      </c>
      <c r="K24" s="50">
        <v>315.44</v>
      </c>
      <c r="L24" s="50">
        <v>32.880000000000003</v>
      </c>
      <c r="M24" s="50">
        <v>22.34</v>
      </c>
      <c r="N24" s="50">
        <v>116.5</v>
      </c>
      <c r="O24" s="50">
        <v>0</v>
      </c>
      <c r="P24" s="50">
        <v>0.54</v>
      </c>
      <c r="Q24" s="50">
        <v>4.7300000000000004</v>
      </c>
    </row>
    <row r="25" spans="1:17" customFormat="1">
      <c r="A25" s="49">
        <v>45342.708333333336</v>
      </c>
      <c r="B25" s="50">
        <v>5.67</v>
      </c>
      <c r="C25" s="50">
        <v>17.739999999999998</v>
      </c>
      <c r="D25" s="50">
        <v>15.17</v>
      </c>
      <c r="E25" s="50">
        <v>9.56</v>
      </c>
      <c r="F25" s="50">
        <v>9.5399999999999991</v>
      </c>
      <c r="G25" s="50">
        <v>45.5</v>
      </c>
      <c r="H25" s="50">
        <v>12.75</v>
      </c>
      <c r="I25" s="50">
        <v>4.8600000000000003</v>
      </c>
      <c r="J25" s="50">
        <v>1.42</v>
      </c>
      <c r="K25" s="50">
        <v>317.79000000000002</v>
      </c>
      <c r="L25" s="50">
        <v>32.49</v>
      </c>
      <c r="M25" s="50">
        <v>21.52</v>
      </c>
      <c r="N25" s="50">
        <v>107.5</v>
      </c>
      <c r="O25" s="50">
        <v>0</v>
      </c>
      <c r="P25" s="50">
        <v>0.52</v>
      </c>
      <c r="Q25" s="50">
        <v>4.74</v>
      </c>
    </row>
    <row r="26" spans="1:17" customFormat="1">
      <c r="A26" s="49">
        <v>45342.75</v>
      </c>
      <c r="B26" s="50">
        <v>6.02</v>
      </c>
      <c r="C26" s="50">
        <v>19.2</v>
      </c>
      <c r="D26" s="50">
        <v>16.11</v>
      </c>
      <c r="E26" s="50">
        <v>9.18</v>
      </c>
      <c r="F26" s="50">
        <v>8.25</v>
      </c>
      <c r="G26" s="50">
        <v>38.369999999999997</v>
      </c>
      <c r="H26" s="50">
        <v>11.42</v>
      </c>
      <c r="I26" s="50">
        <v>4.38</v>
      </c>
      <c r="J26" s="50">
        <v>1.1100000000000001</v>
      </c>
      <c r="K26" s="50">
        <v>312.88</v>
      </c>
      <c r="L26" s="50">
        <v>31.6</v>
      </c>
      <c r="M26" s="50">
        <v>25.4</v>
      </c>
      <c r="N26" s="50">
        <v>41.1</v>
      </c>
      <c r="O26" s="50">
        <v>0</v>
      </c>
      <c r="P26" s="50">
        <v>0.54</v>
      </c>
      <c r="Q26" s="50">
        <v>4.7300000000000004</v>
      </c>
    </row>
    <row r="27" spans="1:17" customFormat="1">
      <c r="A27" s="49">
        <v>45342.791666666664</v>
      </c>
      <c r="B27" s="50">
        <v>7.7</v>
      </c>
      <c r="C27" s="50">
        <v>21.15</v>
      </c>
      <c r="D27" s="50">
        <v>18.28</v>
      </c>
      <c r="E27" s="50">
        <v>8.4499999999999993</v>
      </c>
      <c r="F27" s="50">
        <v>6.24</v>
      </c>
      <c r="G27" s="50">
        <v>44.61</v>
      </c>
      <c r="H27" s="50">
        <v>13.62</v>
      </c>
      <c r="I27" s="50">
        <v>4.62</v>
      </c>
      <c r="J27" s="50">
        <v>0.54</v>
      </c>
      <c r="K27" s="50">
        <v>270.64</v>
      </c>
      <c r="L27" s="50">
        <v>29.41</v>
      </c>
      <c r="M27" s="50">
        <v>31.19</v>
      </c>
      <c r="N27" s="50">
        <v>0</v>
      </c>
      <c r="O27" s="50">
        <v>0</v>
      </c>
      <c r="P27" s="50">
        <v>0.65</v>
      </c>
      <c r="Q27" s="50">
        <v>4.71</v>
      </c>
    </row>
    <row r="28" spans="1:17" customFormat="1">
      <c r="A28" s="49">
        <v>45342.833333333336</v>
      </c>
      <c r="B28" s="50">
        <v>8.23</v>
      </c>
      <c r="C28" s="50">
        <v>17.5</v>
      </c>
      <c r="D28" s="50">
        <v>17.05</v>
      </c>
      <c r="E28" s="50">
        <v>8.07</v>
      </c>
      <c r="F28" s="50">
        <v>4.13</v>
      </c>
      <c r="G28" s="50">
        <v>46.19</v>
      </c>
      <c r="H28" s="50">
        <v>15.1</v>
      </c>
      <c r="I28" s="50">
        <v>5.04</v>
      </c>
      <c r="J28" s="50">
        <v>0.5</v>
      </c>
      <c r="K28" s="50">
        <v>268.99</v>
      </c>
      <c r="L28" s="50">
        <v>28.13</v>
      </c>
      <c r="M28" s="50">
        <v>32.86</v>
      </c>
      <c r="N28" s="50">
        <v>0</v>
      </c>
      <c r="O28" s="50">
        <v>0</v>
      </c>
      <c r="P28" s="50">
        <v>0.66</v>
      </c>
      <c r="Q28" s="50">
        <v>4.72</v>
      </c>
    </row>
    <row r="29" spans="1:17" customFormat="1">
      <c r="A29" s="49">
        <v>45342.875</v>
      </c>
      <c r="B29" s="50">
        <v>8.91</v>
      </c>
      <c r="C29" s="50">
        <v>17.190000000000001</v>
      </c>
      <c r="D29" s="50">
        <v>17.22</v>
      </c>
      <c r="E29" s="50">
        <v>7.49</v>
      </c>
      <c r="F29" s="50">
        <v>3.71</v>
      </c>
      <c r="G29" s="50">
        <v>50.97</v>
      </c>
      <c r="H29" s="50">
        <v>17.77</v>
      </c>
      <c r="I29" s="50">
        <v>5.52</v>
      </c>
      <c r="J29" s="50">
        <v>0.28000000000000003</v>
      </c>
      <c r="K29" s="50">
        <v>184.94</v>
      </c>
      <c r="L29" s="50">
        <v>26.46</v>
      </c>
      <c r="M29" s="50">
        <v>53.32</v>
      </c>
      <c r="N29" s="50">
        <v>0</v>
      </c>
      <c r="O29" s="50">
        <v>0</v>
      </c>
      <c r="P29" s="50">
        <v>0.7</v>
      </c>
      <c r="Q29" s="50">
        <v>4.74</v>
      </c>
    </row>
    <row r="30" spans="1:17" customFormat="1">
      <c r="A30" s="49">
        <v>45342.916666666664</v>
      </c>
      <c r="B30" s="50">
        <v>9.7100000000000009</v>
      </c>
      <c r="C30" s="50">
        <v>16.22</v>
      </c>
      <c r="D30" s="50">
        <v>17.27</v>
      </c>
      <c r="E30" s="50">
        <v>8.0399999999999991</v>
      </c>
      <c r="F30" s="50">
        <v>3.67</v>
      </c>
      <c r="G30" s="50">
        <v>50.97</v>
      </c>
      <c r="H30" s="50">
        <v>17.77</v>
      </c>
      <c r="I30" s="50">
        <v>5.85</v>
      </c>
      <c r="J30" s="50">
        <v>0.18</v>
      </c>
      <c r="K30" s="50">
        <v>187.36</v>
      </c>
      <c r="L30" s="50">
        <v>23.64</v>
      </c>
      <c r="M30" s="50">
        <v>60.67</v>
      </c>
      <c r="N30" s="50">
        <v>0</v>
      </c>
      <c r="O30" s="50">
        <v>0</v>
      </c>
      <c r="P30" s="50">
        <v>0.74</v>
      </c>
      <c r="Q30" s="50">
        <v>4.75</v>
      </c>
    </row>
    <row r="31" spans="1:17" customFormat="1">
      <c r="A31" s="49">
        <v>45342.958333333336</v>
      </c>
      <c r="B31" s="50">
        <v>10.18</v>
      </c>
      <c r="C31" s="50">
        <v>15.44</v>
      </c>
      <c r="D31" s="50">
        <v>17.579999999999998</v>
      </c>
      <c r="E31" s="50">
        <v>8.31</v>
      </c>
      <c r="F31" s="50">
        <v>3.54</v>
      </c>
      <c r="G31" s="50">
        <v>52.49</v>
      </c>
      <c r="H31" s="50">
        <v>17.66</v>
      </c>
      <c r="I31" s="50">
        <v>6.3</v>
      </c>
      <c r="J31" s="50">
        <v>0.17</v>
      </c>
      <c r="K31" s="50">
        <v>198.86</v>
      </c>
      <c r="L31" s="50">
        <v>22.49</v>
      </c>
      <c r="M31" s="50">
        <v>63.98</v>
      </c>
      <c r="N31" s="50">
        <v>0</v>
      </c>
      <c r="O31" s="50">
        <v>0</v>
      </c>
      <c r="P31" s="50">
        <v>0.78</v>
      </c>
      <c r="Q31" s="50">
        <v>4.74</v>
      </c>
    </row>
    <row r="32" spans="1:17" customFormat="1">
      <c r="A32" s="49">
        <v>45343</v>
      </c>
      <c r="B32" s="50">
        <v>10.29</v>
      </c>
      <c r="C32" s="50">
        <v>16.77</v>
      </c>
      <c r="D32" s="50">
        <v>18.059999999999999</v>
      </c>
      <c r="E32" s="50">
        <v>9.26</v>
      </c>
      <c r="F32" s="50">
        <v>3.48</v>
      </c>
      <c r="G32" s="50">
        <v>52.49</v>
      </c>
      <c r="H32" s="50">
        <v>20.6</v>
      </c>
      <c r="I32" s="50">
        <v>7.07</v>
      </c>
      <c r="J32" s="50">
        <v>0.17</v>
      </c>
      <c r="K32" s="50">
        <v>202.79</v>
      </c>
      <c r="L32" s="50">
        <v>21.78</v>
      </c>
      <c r="M32" s="50">
        <v>66.739999999999995</v>
      </c>
      <c r="N32" s="50">
        <v>0</v>
      </c>
      <c r="O32" s="50">
        <v>0</v>
      </c>
      <c r="P32" s="50">
        <v>0.81</v>
      </c>
      <c r="Q32" s="50">
        <v>4.7699999999999996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</v>
      </c>
      <c r="C34" s="40">
        <f t="shared" si="0"/>
        <v>15.09</v>
      </c>
      <c r="D34" s="40">
        <f t="shared" si="0"/>
        <v>14.59</v>
      </c>
      <c r="E34" s="40">
        <f t="shared" si="0"/>
        <v>7.49</v>
      </c>
      <c r="F34" s="40">
        <f t="shared" si="0"/>
        <v>3.38</v>
      </c>
      <c r="G34" s="40">
        <f t="shared" si="0"/>
        <v>38.369999999999997</v>
      </c>
      <c r="H34" s="40">
        <f t="shared" si="0"/>
        <v>11.42</v>
      </c>
      <c r="I34" s="40">
        <f t="shared" si="0"/>
        <v>4.38</v>
      </c>
      <c r="J34" s="40">
        <f t="shared" si="0"/>
        <v>0.13</v>
      </c>
      <c r="K34" s="40">
        <f t="shared" si="0"/>
        <v>184.94</v>
      </c>
      <c r="L34" s="40">
        <f t="shared" si="0"/>
        <v>21.02</v>
      </c>
      <c r="M34" s="40">
        <f t="shared" si="0"/>
        <v>21.52</v>
      </c>
      <c r="N34" s="40">
        <f t="shared" si="0"/>
        <v>0</v>
      </c>
      <c r="O34" s="40">
        <f t="shared" si="0"/>
        <v>0</v>
      </c>
      <c r="P34" s="40">
        <f t="shared" si="0"/>
        <v>0.52</v>
      </c>
      <c r="Q34" s="40">
        <f t="shared" si="0"/>
        <v>4.6900000000000004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18.38</v>
      </c>
      <c r="C35" s="33">
        <f t="shared" si="1"/>
        <v>23.6</v>
      </c>
      <c r="D35" s="33">
        <f t="shared" si="1"/>
        <v>28.14</v>
      </c>
      <c r="E35" s="33">
        <f t="shared" si="1"/>
        <v>11.32</v>
      </c>
      <c r="F35" s="33">
        <f t="shared" si="1"/>
        <v>9.6300000000000008</v>
      </c>
      <c r="G35" s="33">
        <f t="shared" si="1"/>
        <v>88.52</v>
      </c>
      <c r="H35" s="33">
        <f t="shared" si="1"/>
        <v>31.7</v>
      </c>
      <c r="I35" s="33">
        <f t="shared" si="1"/>
        <v>10.25</v>
      </c>
      <c r="J35" s="33">
        <f t="shared" si="1"/>
        <v>1.63</v>
      </c>
      <c r="K35" s="33">
        <f t="shared" si="1"/>
        <v>351.72</v>
      </c>
      <c r="L35" s="33">
        <f t="shared" si="1"/>
        <v>33.64</v>
      </c>
      <c r="M35" s="33">
        <f t="shared" si="1"/>
        <v>80.239999999999995</v>
      </c>
      <c r="N35" s="33">
        <f t="shared" si="1"/>
        <v>668.1</v>
      </c>
      <c r="O35" s="33">
        <f t="shared" si="1"/>
        <v>0</v>
      </c>
      <c r="P35" s="33">
        <f t="shared" si="1"/>
        <v>1.04</v>
      </c>
      <c r="Q35" s="33">
        <f t="shared" si="1"/>
        <v>4.78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10.040416666666665</v>
      </c>
      <c r="C36" s="40">
        <f t="shared" si="2"/>
        <v>18.001666666666662</v>
      </c>
      <c r="D36" s="40">
        <f t="shared" si="2"/>
        <v>18.674999999999997</v>
      </c>
      <c r="E36" s="40">
        <f t="shared" si="2"/>
        <v>9.3933333333333344</v>
      </c>
      <c r="F36" s="40">
        <f t="shared" si="2"/>
        <v>5.0570833333333329</v>
      </c>
      <c r="G36" s="40">
        <f t="shared" si="2"/>
        <v>56.648333333333333</v>
      </c>
      <c r="H36" s="40">
        <f t="shared" si="2"/>
        <v>21.955416666666668</v>
      </c>
      <c r="I36" s="40">
        <f t="shared" si="2"/>
        <v>7.5166666666666684</v>
      </c>
      <c r="J36" s="40">
        <f t="shared" si="2"/>
        <v>0.73958333333333348</v>
      </c>
      <c r="K36" s="40">
        <f t="shared" si="2"/>
        <v>262.37416666666667</v>
      </c>
      <c r="L36" s="40">
        <f t="shared" si="2"/>
        <v>26.762083333333337</v>
      </c>
      <c r="M36" s="40">
        <f t="shared" si="2"/>
        <v>51.682916666666671</v>
      </c>
      <c r="N36" s="40">
        <f t="shared" si="2"/>
        <v>172.62083333333331</v>
      </c>
      <c r="O36" s="40">
        <f t="shared" si="2"/>
        <v>0</v>
      </c>
      <c r="P36" s="40">
        <f t="shared" si="2"/>
        <v>0.76083333333333325</v>
      </c>
      <c r="Q36" s="40">
        <f t="shared" si="2"/>
        <v>4.7424999999999988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3.9447196177065469</v>
      </c>
      <c r="C37" s="40">
        <f t="shared" ref="C37:Q37" si="3">STDEV(C9:C32)</f>
        <v>2.413490466499554</v>
      </c>
      <c r="D37" s="40">
        <f t="shared" si="3"/>
        <v>4.0421378329876054</v>
      </c>
      <c r="E37" s="40">
        <f t="shared" si="3"/>
        <v>1.0414148681175102</v>
      </c>
      <c r="F37" s="40">
        <f t="shared" si="3"/>
        <v>2.166446658283653</v>
      </c>
      <c r="G37" s="40">
        <f t="shared" si="3"/>
        <v>11.641732900540882</v>
      </c>
      <c r="H37" s="40">
        <f t="shared" si="3"/>
        <v>6.0569033407930437</v>
      </c>
      <c r="I37" s="40">
        <f t="shared" si="3"/>
        <v>1.8809171367612916</v>
      </c>
      <c r="J37" s="40">
        <f t="shared" si="3"/>
        <v>0.59220647961057737</v>
      </c>
      <c r="K37" s="40">
        <f t="shared" si="3"/>
        <v>53.408919619549877</v>
      </c>
      <c r="L37" s="40">
        <f t="shared" si="3"/>
        <v>4.5613946943857986</v>
      </c>
      <c r="M37" s="40">
        <f t="shared" si="3"/>
        <v>21.868558823942479</v>
      </c>
      <c r="N37" s="40">
        <f t="shared" si="3"/>
        <v>254.07270609391333</v>
      </c>
      <c r="O37" s="40">
        <f t="shared" si="3"/>
        <v>0</v>
      </c>
      <c r="P37" s="40">
        <f t="shared" si="3"/>
        <v>0.14325157762745219</v>
      </c>
      <c r="Q37" s="40">
        <f t="shared" si="3"/>
        <v>2.0269917740765205E-2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45343.041666666664</v>
      </c>
      <c r="B9" s="53">
        <v>8.5</v>
      </c>
      <c r="C9" s="53">
        <v>17.25</v>
      </c>
      <c r="D9" s="53">
        <v>17.07</v>
      </c>
      <c r="E9" s="53">
        <v>8.84</v>
      </c>
      <c r="F9" s="53">
        <v>3.48</v>
      </c>
      <c r="G9" s="53">
        <v>54.59</v>
      </c>
      <c r="H9" s="53">
        <v>20.6</v>
      </c>
      <c r="I9" s="53">
        <v>7.7</v>
      </c>
      <c r="J9" s="53">
        <v>0.14000000000000001</v>
      </c>
      <c r="K9" s="53">
        <v>212.67</v>
      </c>
      <c r="L9" s="53">
        <v>21.12</v>
      </c>
      <c r="M9" s="53">
        <v>65.989999999999995</v>
      </c>
      <c r="N9" s="53">
        <v>0</v>
      </c>
      <c r="O9" s="53">
        <v>0</v>
      </c>
      <c r="P9" s="53">
        <v>0.82</v>
      </c>
      <c r="Q9" s="53">
        <v>4.76</v>
      </c>
    </row>
    <row r="10" spans="1:21" customFormat="1">
      <c r="A10" s="52">
        <v>45343.083333333336</v>
      </c>
      <c r="B10" s="53">
        <v>7.85</v>
      </c>
      <c r="C10" s="53">
        <v>17.2</v>
      </c>
      <c r="D10" s="53">
        <v>16.63</v>
      </c>
      <c r="E10" s="53">
        <v>9.24</v>
      </c>
      <c r="F10" s="53">
        <v>3.57</v>
      </c>
      <c r="G10" s="53">
        <v>54.59</v>
      </c>
      <c r="H10" s="53">
        <v>20.5</v>
      </c>
      <c r="I10" s="53">
        <v>7.71</v>
      </c>
      <c r="J10" s="53">
        <v>0.19</v>
      </c>
      <c r="K10" s="53">
        <v>165.25</v>
      </c>
      <c r="L10" s="53">
        <v>21.08</v>
      </c>
      <c r="M10" s="53">
        <v>67.03</v>
      </c>
      <c r="N10" s="53">
        <v>0</v>
      </c>
      <c r="O10" s="53">
        <v>0</v>
      </c>
      <c r="P10" s="53">
        <v>0.81</v>
      </c>
      <c r="Q10" s="53">
        <v>4.75</v>
      </c>
    </row>
    <row r="11" spans="1:21" customFormat="1">
      <c r="A11" s="52">
        <v>45343.125</v>
      </c>
      <c r="B11" s="53">
        <v>6.78</v>
      </c>
      <c r="C11" s="53">
        <v>17.45</v>
      </c>
      <c r="D11" s="53">
        <v>15.77</v>
      </c>
      <c r="E11" s="53">
        <v>9.2899999999999991</v>
      </c>
      <c r="F11" s="53">
        <v>3.61</v>
      </c>
      <c r="G11" s="53">
        <v>46.12</v>
      </c>
      <c r="H11" s="53">
        <v>19.27</v>
      </c>
      <c r="I11" s="53">
        <v>7.46</v>
      </c>
      <c r="J11" s="53">
        <v>0.23</v>
      </c>
      <c r="K11" s="53">
        <v>186.58</v>
      </c>
      <c r="L11" s="53">
        <v>21.08</v>
      </c>
      <c r="M11" s="53">
        <v>69.77</v>
      </c>
      <c r="N11" s="53">
        <v>0</v>
      </c>
      <c r="O11" s="53">
        <v>0</v>
      </c>
      <c r="P11" s="53">
        <v>0.78</v>
      </c>
      <c r="Q11" s="53">
        <v>4.74</v>
      </c>
    </row>
    <row r="12" spans="1:21" customFormat="1">
      <c r="A12" s="52">
        <v>45343.166666666664</v>
      </c>
      <c r="B12" s="53">
        <v>6.51</v>
      </c>
      <c r="C12" s="53">
        <v>17.5</v>
      </c>
      <c r="D12" s="53">
        <v>15.66</v>
      </c>
      <c r="E12" s="53">
        <v>9.5299999999999994</v>
      </c>
      <c r="F12" s="53">
        <v>3.57</v>
      </c>
      <c r="G12" s="53">
        <v>46</v>
      </c>
      <c r="H12" s="53">
        <v>19.27</v>
      </c>
      <c r="I12" s="53">
        <v>7.15</v>
      </c>
      <c r="J12" s="53">
        <v>0.22</v>
      </c>
      <c r="K12" s="53">
        <v>201.06</v>
      </c>
      <c r="L12" s="53">
        <v>20.84</v>
      </c>
      <c r="M12" s="53">
        <v>72.03</v>
      </c>
      <c r="N12" s="53">
        <v>0</v>
      </c>
      <c r="O12" s="53">
        <v>0</v>
      </c>
      <c r="P12" s="53">
        <v>0.76</v>
      </c>
      <c r="Q12" s="53">
        <v>4.72</v>
      </c>
    </row>
    <row r="13" spans="1:21" customFormat="1">
      <c r="A13" s="52">
        <v>45343.208333333336</v>
      </c>
      <c r="B13" s="53">
        <v>6.85</v>
      </c>
      <c r="C13" s="53">
        <v>17.399999999999999</v>
      </c>
      <c r="D13" s="53">
        <v>15.51</v>
      </c>
      <c r="E13" s="53">
        <v>9.49</v>
      </c>
      <c r="F13" s="53">
        <v>3.86</v>
      </c>
      <c r="G13" s="53">
        <v>39.380000000000003</v>
      </c>
      <c r="H13" s="53">
        <v>17.53</v>
      </c>
      <c r="I13" s="53">
        <v>6.96</v>
      </c>
      <c r="J13" s="53">
        <v>0.19</v>
      </c>
      <c r="K13" s="53">
        <v>258.67</v>
      </c>
      <c r="L13" s="53">
        <v>20.25</v>
      </c>
      <c r="M13" s="53">
        <v>71.28</v>
      </c>
      <c r="N13" s="53">
        <v>0</v>
      </c>
      <c r="O13" s="53">
        <v>0</v>
      </c>
      <c r="P13" s="53">
        <v>0.76</v>
      </c>
      <c r="Q13" s="53">
        <v>4.7</v>
      </c>
    </row>
    <row r="14" spans="1:21" customFormat="1">
      <c r="A14" s="52">
        <v>45343.25</v>
      </c>
      <c r="B14" s="53">
        <v>7.25</v>
      </c>
      <c r="C14" s="53">
        <v>15.04</v>
      </c>
      <c r="D14" s="53">
        <v>15</v>
      </c>
      <c r="E14" s="53">
        <v>8.69</v>
      </c>
      <c r="F14" s="53">
        <v>3.78</v>
      </c>
      <c r="G14" s="53">
        <v>35.6</v>
      </c>
      <c r="H14" s="53">
        <v>18.03</v>
      </c>
      <c r="I14" s="53">
        <v>6.97</v>
      </c>
      <c r="J14" s="53">
        <v>0.21</v>
      </c>
      <c r="K14" s="53">
        <v>217.63</v>
      </c>
      <c r="L14" s="53">
        <v>19.63</v>
      </c>
      <c r="M14" s="53">
        <v>78.58</v>
      </c>
      <c r="N14" s="53">
        <v>0</v>
      </c>
      <c r="O14" s="53">
        <v>0</v>
      </c>
      <c r="P14" s="53">
        <v>0.76</v>
      </c>
      <c r="Q14" s="53">
        <v>4.6900000000000004</v>
      </c>
    </row>
    <row r="15" spans="1:21" customFormat="1">
      <c r="A15" s="52">
        <v>45343.291666666664</v>
      </c>
      <c r="B15" s="53">
        <v>7.43</v>
      </c>
      <c r="C15" s="53">
        <v>14.4</v>
      </c>
      <c r="D15" s="53">
        <v>14.84</v>
      </c>
      <c r="E15" s="53">
        <v>9.0500000000000007</v>
      </c>
      <c r="F15" s="53">
        <v>3.6</v>
      </c>
      <c r="G15" s="53">
        <v>38.75</v>
      </c>
      <c r="H15" s="53">
        <v>18.14</v>
      </c>
      <c r="I15" s="53">
        <v>7.05</v>
      </c>
      <c r="J15" s="53">
        <v>0.17</v>
      </c>
      <c r="K15" s="53">
        <v>200.48</v>
      </c>
      <c r="L15" s="53">
        <v>19.27</v>
      </c>
      <c r="M15" s="53">
        <v>78.03</v>
      </c>
      <c r="N15" s="53">
        <v>14.1</v>
      </c>
      <c r="O15" s="53">
        <v>0</v>
      </c>
      <c r="P15" s="53">
        <v>0.75</v>
      </c>
      <c r="Q15" s="53">
        <v>4.7</v>
      </c>
    </row>
    <row r="16" spans="1:21" customFormat="1">
      <c r="A16" s="52">
        <v>45343.333333333336</v>
      </c>
      <c r="B16" s="53">
        <v>7.67</v>
      </c>
      <c r="C16" s="53">
        <v>14.38</v>
      </c>
      <c r="D16" s="53">
        <v>14.87</v>
      </c>
      <c r="E16" s="53">
        <v>8.8800000000000008</v>
      </c>
      <c r="F16" s="53">
        <v>3.71</v>
      </c>
      <c r="G16" s="53">
        <v>40.68</v>
      </c>
      <c r="H16" s="53">
        <v>19.399999999999999</v>
      </c>
      <c r="I16" s="53">
        <v>7.2</v>
      </c>
      <c r="J16" s="53">
        <v>0.22</v>
      </c>
      <c r="K16" s="53">
        <v>253.11</v>
      </c>
      <c r="L16" s="53">
        <v>22.58</v>
      </c>
      <c r="M16" s="53">
        <v>72.66</v>
      </c>
      <c r="N16" s="53">
        <v>88.5</v>
      </c>
      <c r="O16" s="53">
        <v>0</v>
      </c>
      <c r="P16" s="53">
        <v>0.75</v>
      </c>
      <c r="Q16" s="53">
        <v>4.72</v>
      </c>
    </row>
    <row r="17" spans="1:17" customFormat="1">
      <c r="A17" s="52">
        <v>45343.375</v>
      </c>
      <c r="B17" s="53">
        <v>7.52</v>
      </c>
      <c r="C17" s="53">
        <v>14.32</v>
      </c>
      <c r="D17" s="53">
        <v>14.81</v>
      </c>
      <c r="E17" s="53">
        <v>9.33</v>
      </c>
      <c r="F17" s="53">
        <v>3.93</v>
      </c>
      <c r="G17" s="53">
        <v>42.9</v>
      </c>
      <c r="H17" s="53">
        <v>20.07</v>
      </c>
      <c r="I17" s="53">
        <v>7.23</v>
      </c>
      <c r="J17" s="53">
        <v>0.72</v>
      </c>
      <c r="K17" s="53">
        <v>262.18</v>
      </c>
      <c r="L17" s="53">
        <v>26.02</v>
      </c>
      <c r="M17" s="53">
        <v>57.46</v>
      </c>
      <c r="N17" s="53">
        <v>322</v>
      </c>
      <c r="O17" s="53">
        <v>0</v>
      </c>
      <c r="P17" s="53">
        <v>0.76</v>
      </c>
      <c r="Q17" s="53">
        <v>4.7</v>
      </c>
    </row>
    <row r="18" spans="1:17" customFormat="1">
      <c r="A18" s="52">
        <v>45343.416666666664</v>
      </c>
      <c r="B18" s="53">
        <v>6.27</v>
      </c>
      <c r="C18" s="53">
        <v>14.88</v>
      </c>
      <c r="D18" s="53">
        <v>13.4</v>
      </c>
      <c r="E18" s="53">
        <v>9.3800000000000008</v>
      </c>
      <c r="F18" s="53">
        <v>5</v>
      </c>
      <c r="G18" s="53">
        <v>42.9</v>
      </c>
      <c r="H18" s="53">
        <v>20.07</v>
      </c>
      <c r="I18" s="53">
        <v>7.05</v>
      </c>
      <c r="J18" s="53">
        <v>1.07</v>
      </c>
      <c r="K18" s="53">
        <v>277.38</v>
      </c>
      <c r="L18" s="53">
        <v>29.36</v>
      </c>
      <c r="M18" s="53">
        <v>49.17</v>
      </c>
      <c r="N18" s="53">
        <v>438.1</v>
      </c>
      <c r="O18" s="53">
        <v>0</v>
      </c>
      <c r="P18" s="53">
        <v>0.71</v>
      </c>
      <c r="Q18" s="53">
        <v>4.71</v>
      </c>
    </row>
    <row r="19" spans="1:17" customFormat="1">
      <c r="A19" s="52">
        <v>45343.458333333336</v>
      </c>
      <c r="B19" s="53">
        <v>4.1100000000000003</v>
      </c>
      <c r="C19" s="53">
        <v>15.36</v>
      </c>
      <c r="D19" s="53">
        <v>12.67</v>
      </c>
      <c r="E19" s="53">
        <v>13.24</v>
      </c>
      <c r="F19" s="53">
        <v>6.47</v>
      </c>
      <c r="G19" s="53">
        <v>44.05</v>
      </c>
      <c r="H19" s="53">
        <v>16.23</v>
      </c>
      <c r="I19" s="53">
        <v>6.5</v>
      </c>
      <c r="J19" s="53">
        <v>1.59</v>
      </c>
      <c r="K19" s="53">
        <v>282.52</v>
      </c>
      <c r="L19" s="53">
        <v>31.07</v>
      </c>
      <c r="M19" s="53">
        <v>36.83</v>
      </c>
      <c r="N19" s="53">
        <v>618.20000000000005</v>
      </c>
      <c r="O19" s="53">
        <v>0</v>
      </c>
      <c r="P19" s="53">
        <v>0.67</v>
      </c>
      <c r="Q19" s="53">
        <v>4.7</v>
      </c>
    </row>
    <row r="20" spans="1:17" customFormat="1">
      <c r="A20" s="52">
        <v>45343.5</v>
      </c>
      <c r="B20" s="53">
        <v>3.71</v>
      </c>
      <c r="C20" s="53">
        <v>16.22</v>
      </c>
      <c r="D20" s="53">
        <v>12.8</v>
      </c>
      <c r="E20" s="53">
        <v>13.4</v>
      </c>
      <c r="F20" s="53">
        <v>8.4499999999999993</v>
      </c>
      <c r="G20" s="53">
        <v>48.57</v>
      </c>
      <c r="H20" s="53">
        <v>17.690000000000001</v>
      </c>
      <c r="I20" s="53">
        <v>5.77</v>
      </c>
      <c r="J20" s="53">
        <v>1.87</v>
      </c>
      <c r="K20" s="53">
        <v>310.68</v>
      </c>
      <c r="L20" s="53">
        <v>31.68</v>
      </c>
      <c r="M20" s="53">
        <v>30.03</v>
      </c>
      <c r="N20" s="53">
        <v>681.4</v>
      </c>
      <c r="O20" s="53">
        <v>0</v>
      </c>
      <c r="P20" s="53">
        <v>0.6</v>
      </c>
      <c r="Q20" s="53">
        <v>4.7</v>
      </c>
    </row>
    <row r="21" spans="1:17" customFormat="1">
      <c r="A21" s="52">
        <v>45343.541666666664</v>
      </c>
      <c r="B21" s="53">
        <v>3.94</v>
      </c>
      <c r="C21" s="53">
        <v>16.62</v>
      </c>
      <c r="D21" s="53">
        <v>13.12</v>
      </c>
      <c r="E21" s="53">
        <v>13.34</v>
      </c>
      <c r="F21" s="53">
        <v>8.8000000000000007</v>
      </c>
      <c r="G21" s="53">
        <v>49.8</v>
      </c>
      <c r="H21" s="53">
        <v>17.73</v>
      </c>
      <c r="I21" s="53">
        <v>5.32</v>
      </c>
      <c r="J21" s="53">
        <v>1.83</v>
      </c>
      <c r="K21" s="53">
        <v>312.02999999999997</v>
      </c>
      <c r="L21" s="53">
        <v>32.74</v>
      </c>
      <c r="M21" s="53">
        <v>28.92</v>
      </c>
      <c r="N21" s="53">
        <v>701.7</v>
      </c>
      <c r="O21" s="53">
        <v>0</v>
      </c>
      <c r="P21" s="53">
        <v>0.59</v>
      </c>
      <c r="Q21" s="53">
        <v>4.7300000000000004</v>
      </c>
    </row>
    <row r="22" spans="1:17" customFormat="1">
      <c r="A22" s="52">
        <v>45343.583333333336</v>
      </c>
      <c r="B22" s="53">
        <v>3.8</v>
      </c>
      <c r="C22" s="53">
        <v>17.07</v>
      </c>
      <c r="D22" s="53">
        <v>13.31</v>
      </c>
      <c r="E22" s="53">
        <v>12.44</v>
      </c>
      <c r="F22" s="53">
        <v>8.16</v>
      </c>
      <c r="G22" s="53">
        <v>49.8</v>
      </c>
      <c r="H22" s="53">
        <v>17.98</v>
      </c>
      <c r="I22" s="53">
        <v>4.8</v>
      </c>
      <c r="J22" s="53">
        <v>1.51</v>
      </c>
      <c r="K22" s="53">
        <v>318.67</v>
      </c>
      <c r="L22" s="53">
        <v>32.92</v>
      </c>
      <c r="M22" s="53">
        <v>25.01</v>
      </c>
      <c r="N22" s="53">
        <v>685</v>
      </c>
      <c r="O22" s="53">
        <v>0</v>
      </c>
      <c r="P22" s="53">
        <v>0.56000000000000005</v>
      </c>
      <c r="Q22" s="53">
        <v>4.7</v>
      </c>
    </row>
    <row r="23" spans="1:17" customFormat="1">
      <c r="A23" s="52">
        <v>45343.625</v>
      </c>
      <c r="B23" s="53">
        <v>3.7</v>
      </c>
      <c r="C23" s="53">
        <v>17.21</v>
      </c>
      <c r="D23" s="53">
        <v>13.26</v>
      </c>
      <c r="E23" s="53">
        <v>12.75</v>
      </c>
      <c r="F23" s="53">
        <v>7.15</v>
      </c>
      <c r="G23" s="53">
        <v>45.42</v>
      </c>
      <c r="H23" s="53">
        <v>17.98</v>
      </c>
      <c r="I23" s="53">
        <v>4.7</v>
      </c>
      <c r="J23" s="53">
        <v>1.26</v>
      </c>
      <c r="K23" s="53">
        <v>308.58</v>
      </c>
      <c r="L23" s="53">
        <v>33.380000000000003</v>
      </c>
      <c r="M23" s="53">
        <v>23.75</v>
      </c>
      <c r="N23" s="53">
        <v>583.20000000000005</v>
      </c>
      <c r="O23" s="53">
        <v>0</v>
      </c>
      <c r="P23" s="53">
        <v>0.59</v>
      </c>
      <c r="Q23" s="53">
        <v>4.68</v>
      </c>
    </row>
    <row r="24" spans="1:17" customFormat="1">
      <c r="A24" s="52">
        <v>45343.666666666664</v>
      </c>
      <c r="B24" s="53">
        <v>3.43</v>
      </c>
      <c r="C24" s="53">
        <v>14.21</v>
      </c>
      <c r="D24" s="53">
        <v>11.53</v>
      </c>
      <c r="E24" s="53">
        <v>11.79</v>
      </c>
      <c r="F24" s="53">
        <v>6.51</v>
      </c>
      <c r="G24" s="53">
        <v>44.44</v>
      </c>
      <c r="H24" s="53">
        <v>14.51</v>
      </c>
      <c r="I24" s="53">
        <v>4.75</v>
      </c>
      <c r="J24" s="53">
        <v>1.24</v>
      </c>
      <c r="K24" s="53">
        <v>296.60000000000002</v>
      </c>
      <c r="L24" s="53">
        <v>32.619999999999997</v>
      </c>
      <c r="M24" s="53">
        <v>23.23</v>
      </c>
      <c r="N24" s="53">
        <v>92.6</v>
      </c>
      <c r="O24" s="53">
        <v>0</v>
      </c>
      <c r="P24" s="53">
        <v>0.57999999999999996</v>
      </c>
      <c r="Q24" s="53">
        <v>4.66</v>
      </c>
    </row>
    <row r="25" spans="1:17" customFormat="1">
      <c r="A25" s="52">
        <v>45343.708333333336</v>
      </c>
      <c r="B25" s="53">
        <v>3.5</v>
      </c>
      <c r="C25" s="53">
        <v>13.58</v>
      </c>
      <c r="D25" s="53">
        <v>11.25</v>
      </c>
      <c r="E25" s="53">
        <v>11.88</v>
      </c>
      <c r="F25" s="53">
        <v>6.26</v>
      </c>
      <c r="G25" s="53">
        <v>37.880000000000003</v>
      </c>
      <c r="H25" s="53">
        <v>12.78</v>
      </c>
      <c r="I25" s="53">
        <v>4.68</v>
      </c>
      <c r="J25" s="53">
        <v>1.26</v>
      </c>
      <c r="K25" s="53">
        <v>296.24</v>
      </c>
      <c r="L25" s="53">
        <v>32.119999999999997</v>
      </c>
      <c r="M25" s="53">
        <v>25.36</v>
      </c>
      <c r="N25" s="53">
        <v>99.9</v>
      </c>
      <c r="O25" s="53">
        <v>0</v>
      </c>
      <c r="P25" s="53">
        <v>0.56000000000000005</v>
      </c>
      <c r="Q25" s="53">
        <v>4.67</v>
      </c>
    </row>
    <row r="26" spans="1:17" customFormat="1">
      <c r="A26" s="52">
        <v>45343.75</v>
      </c>
      <c r="B26" s="53">
        <v>3.72</v>
      </c>
      <c r="C26" s="53">
        <v>13.12</v>
      </c>
      <c r="D26" s="53">
        <v>11.1</v>
      </c>
      <c r="E26" s="53">
        <v>11.19</v>
      </c>
      <c r="F26" s="53">
        <v>5.7</v>
      </c>
      <c r="G26" s="53">
        <v>33.92</v>
      </c>
      <c r="H26" s="53">
        <v>12.83</v>
      </c>
      <c r="I26" s="53">
        <v>4.43</v>
      </c>
      <c r="J26" s="53">
        <v>0.61</v>
      </c>
      <c r="K26" s="53">
        <v>278.61</v>
      </c>
      <c r="L26" s="53">
        <v>30.86</v>
      </c>
      <c r="M26" s="53">
        <v>31.19</v>
      </c>
      <c r="N26" s="53">
        <v>46.8</v>
      </c>
      <c r="O26" s="53">
        <v>0</v>
      </c>
      <c r="P26" s="53">
        <v>0.55000000000000004</v>
      </c>
      <c r="Q26" s="53">
        <v>4.68</v>
      </c>
    </row>
    <row r="27" spans="1:17" customFormat="1">
      <c r="A27" s="52">
        <v>45343.791666666664</v>
      </c>
      <c r="B27" s="53">
        <v>4.6100000000000003</v>
      </c>
      <c r="C27" s="53">
        <v>13.23</v>
      </c>
      <c r="D27" s="53">
        <v>11.96</v>
      </c>
      <c r="E27" s="53">
        <v>6.82</v>
      </c>
      <c r="F27" s="53">
        <v>4.3</v>
      </c>
      <c r="G27" s="53">
        <v>46.37</v>
      </c>
      <c r="H27" s="53">
        <v>17.670000000000002</v>
      </c>
      <c r="I27" s="53">
        <v>4.49</v>
      </c>
      <c r="J27" s="53">
        <v>0.28000000000000003</v>
      </c>
      <c r="K27" s="53">
        <v>206.38</v>
      </c>
      <c r="L27" s="53">
        <v>28.55</v>
      </c>
      <c r="M27" s="53">
        <v>49.63</v>
      </c>
      <c r="N27" s="53">
        <v>0</v>
      </c>
      <c r="O27" s="53">
        <v>0</v>
      </c>
      <c r="P27" s="53">
        <v>0.56000000000000005</v>
      </c>
      <c r="Q27" s="53">
        <v>4.7</v>
      </c>
    </row>
    <row r="28" spans="1:17" customFormat="1">
      <c r="A28" s="52">
        <v>45343.833333333336</v>
      </c>
      <c r="B28" s="53">
        <v>6.51</v>
      </c>
      <c r="C28" s="53">
        <v>17.64</v>
      </c>
      <c r="D28" s="53">
        <v>15.79</v>
      </c>
      <c r="E28" s="53">
        <v>8.02</v>
      </c>
      <c r="F28" s="53">
        <v>3.69</v>
      </c>
      <c r="G28" s="53">
        <v>59.88</v>
      </c>
      <c r="H28" s="53">
        <v>21.89</v>
      </c>
      <c r="I28" s="53">
        <v>5.08</v>
      </c>
      <c r="J28" s="53">
        <v>0.28999999999999998</v>
      </c>
      <c r="K28" s="53">
        <v>221.96</v>
      </c>
      <c r="L28" s="53">
        <v>26.79</v>
      </c>
      <c r="M28" s="53">
        <v>55.43</v>
      </c>
      <c r="N28" s="53">
        <v>0</v>
      </c>
      <c r="O28" s="53">
        <v>0</v>
      </c>
      <c r="P28" s="53">
        <v>0.67</v>
      </c>
      <c r="Q28" s="53">
        <v>4.7300000000000004</v>
      </c>
    </row>
    <row r="29" spans="1:17" customFormat="1">
      <c r="A29" s="52">
        <v>45343.875</v>
      </c>
      <c r="B29" s="53">
        <v>6.76</v>
      </c>
      <c r="C29" s="53">
        <v>18.579999999999998</v>
      </c>
      <c r="D29" s="53">
        <v>16.48</v>
      </c>
      <c r="E29" s="53">
        <v>8.43</v>
      </c>
      <c r="F29" s="53">
        <v>3.82</v>
      </c>
      <c r="G29" s="53">
        <v>59.9</v>
      </c>
      <c r="H29" s="53">
        <v>21.89</v>
      </c>
      <c r="I29" s="53">
        <v>5.79</v>
      </c>
      <c r="J29" s="53">
        <v>0.3</v>
      </c>
      <c r="K29" s="53">
        <v>233.19</v>
      </c>
      <c r="L29" s="53">
        <v>25.23</v>
      </c>
      <c r="M29" s="53">
        <v>55.94</v>
      </c>
      <c r="N29" s="53">
        <v>0</v>
      </c>
      <c r="O29" s="53">
        <v>0</v>
      </c>
      <c r="P29" s="53">
        <v>0.76</v>
      </c>
      <c r="Q29" s="53">
        <v>4.7300000000000004</v>
      </c>
    </row>
    <row r="30" spans="1:17" customFormat="1">
      <c r="A30" s="52">
        <v>45343.916666666664</v>
      </c>
      <c r="B30" s="53">
        <v>6.86</v>
      </c>
      <c r="C30" s="53">
        <v>18.850000000000001</v>
      </c>
      <c r="D30" s="53">
        <v>16.7</v>
      </c>
      <c r="E30" s="53">
        <v>8.27</v>
      </c>
      <c r="F30" s="53">
        <v>3.47</v>
      </c>
      <c r="G30" s="53">
        <v>59.9</v>
      </c>
      <c r="H30" s="53">
        <v>21.67</v>
      </c>
      <c r="I30" s="53">
        <v>6.67</v>
      </c>
      <c r="J30" s="53">
        <v>0.2</v>
      </c>
      <c r="K30" s="53">
        <v>233.25</v>
      </c>
      <c r="L30" s="53">
        <v>24.66</v>
      </c>
      <c r="M30" s="53">
        <v>59.1</v>
      </c>
      <c r="N30" s="53">
        <v>0</v>
      </c>
      <c r="O30" s="53">
        <v>0</v>
      </c>
      <c r="P30" s="53">
        <v>0.81</v>
      </c>
      <c r="Q30" s="53">
        <v>4.74</v>
      </c>
    </row>
    <row r="31" spans="1:17" customFormat="1">
      <c r="A31" s="52">
        <v>45343.958333333336</v>
      </c>
      <c r="B31" s="53">
        <v>6.82</v>
      </c>
      <c r="C31" s="53">
        <v>18.760000000000002</v>
      </c>
      <c r="D31" s="53">
        <v>16.62</v>
      </c>
      <c r="E31" s="53">
        <v>8.6</v>
      </c>
      <c r="F31" s="53">
        <v>3.55</v>
      </c>
      <c r="G31" s="53">
        <v>59.73</v>
      </c>
      <c r="H31" s="53">
        <v>21.67</v>
      </c>
      <c r="I31" s="53">
        <v>7.21</v>
      </c>
      <c r="J31" s="53">
        <v>0.18</v>
      </c>
      <c r="K31" s="53">
        <v>241.26</v>
      </c>
      <c r="L31" s="53">
        <v>24.14</v>
      </c>
      <c r="M31" s="53">
        <v>58.26</v>
      </c>
      <c r="N31" s="53">
        <v>0</v>
      </c>
      <c r="O31" s="53">
        <v>0</v>
      </c>
      <c r="P31" s="53">
        <v>0.85</v>
      </c>
      <c r="Q31" s="53">
        <v>4.74</v>
      </c>
    </row>
    <row r="32" spans="1:17" customFormat="1">
      <c r="A32" s="52">
        <v>45344</v>
      </c>
      <c r="B32" s="53">
        <v>6.75</v>
      </c>
      <c r="C32" s="53">
        <v>18.72</v>
      </c>
      <c r="D32" s="53">
        <v>16.46</v>
      </c>
      <c r="E32" s="53">
        <v>8.5299999999999994</v>
      </c>
      <c r="F32" s="53">
        <v>3.52</v>
      </c>
      <c r="G32" s="53">
        <v>59.54</v>
      </c>
      <c r="H32" s="53">
        <v>22.1</v>
      </c>
      <c r="I32" s="53">
        <v>7.51</v>
      </c>
      <c r="J32" s="53">
        <v>0.19</v>
      </c>
      <c r="K32" s="53">
        <v>190.44</v>
      </c>
      <c r="L32" s="53">
        <v>24.3</v>
      </c>
      <c r="M32" s="53">
        <v>61.3</v>
      </c>
      <c r="N32" s="53">
        <v>0</v>
      </c>
      <c r="O32" s="53">
        <v>0</v>
      </c>
      <c r="P32" s="53">
        <v>0.85</v>
      </c>
      <c r="Q32" s="53">
        <v>4.72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3.43</v>
      </c>
      <c r="C34" s="40">
        <f t="shared" si="0"/>
        <v>13.12</v>
      </c>
      <c r="D34" s="40">
        <f t="shared" si="0"/>
        <v>11.1</v>
      </c>
      <c r="E34" s="40">
        <f t="shared" si="0"/>
        <v>6.82</v>
      </c>
      <c r="F34" s="40">
        <f t="shared" si="0"/>
        <v>3.47</v>
      </c>
      <c r="G34" s="40">
        <f t="shared" si="0"/>
        <v>33.92</v>
      </c>
      <c r="H34" s="40">
        <f t="shared" si="0"/>
        <v>12.78</v>
      </c>
      <c r="I34" s="40">
        <f t="shared" si="0"/>
        <v>4.43</v>
      </c>
      <c r="J34" s="40">
        <f t="shared" si="0"/>
        <v>0.14000000000000001</v>
      </c>
      <c r="K34" s="40">
        <f t="shared" si="0"/>
        <v>165.25</v>
      </c>
      <c r="L34" s="40">
        <f t="shared" si="0"/>
        <v>19.27</v>
      </c>
      <c r="M34" s="40">
        <f t="shared" si="0"/>
        <v>23.23</v>
      </c>
      <c r="N34" s="40">
        <f t="shared" si="0"/>
        <v>0</v>
      </c>
      <c r="O34" s="40">
        <f t="shared" si="0"/>
        <v>0</v>
      </c>
      <c r="P34" s="40">
        <f t="shared" si="0"/>
        <v>0.55000000000000004</v>
      </c>
      <c r="Q34" s="40">
        <f t="shared" si="0"/>
        <v>4.66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8.5</v>
      </c>
      <c r="C35" s="33">
        <f t="shared" si="1"/>
        <v>18.850000000000001</v>
      </c>
      <c r="D35" s="33">
        <f t="shared" si="1"/>
        <v>17.07</v>
      </c>
      <c r="E35" s="33">
        <f t="shared" si="1"/>
        <v>13.4</v>
      </c>
      <c r="F35" s="33">
        <f t="shared" si="1"/>
        <v>8.8000000000000007</v>
      </c>
      <c r="G35" s="33">
        <f t="shared" si="1"/>
        <v>59.9</v>
      </c>
      <c r="H35" s="33">
        <f t="shared" si="1"/>
        <v>22.1</v>
      </c>
      <c r="I35" s="33">
        <f t="shared" si="1"/>
        <v>7.71</v>
      </c>
      <c r="J35" s="33">
        <f t="shared" si="1"/>
        <v>1.87</v>
      </c>
      <c r="K35" s="33">
        <f t="shared" si="1"/>
        <v>318.67</v>
      </c>
      <c r="L35" s="33">
        <f t="shared" si="1"/>
        <v>33.380000000000003</v>
      </c>
      <c r="M35" s="33">
        <f t="shared" si="1"/>
        <v>78.58</v>
      </c>
      <c r="N35" s="33">
        <f t="shared" si="1"/>
        <v>701.7</v>
      </c>
      <c r="O35" s="33">
        <f t="shared" si="1"/>
        <v>0</v>
      </c>
      <c r="P35" s="33">
        <f t="shared" si="1"/>
        <v>0.85</v>
      </c>
      <c r="Q35" s="33">
        <f t="shared" si="1"/>
        <v>4.76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5.8687499999999995</v>
      </c>
      <c r="C36" s="40">
        <f t="shared" si="2"/>
        <v>16.207916666666666</v>
      </c>
      <c r="D36" s="40">
        <f t="shared" si="2"/>
        <v>14.442083333333334</v>
      </c>
      <c r="E36" s="40">
        <f t="shared" si="2"/>
        <v>10.0175</v>
      </c>
      <c r="F36" s="40">
        <f t="shared" si="2"/>
        <v>4.915</v>
      </c>
      <c r="G36" s="40">
        <f t="shared" si="2"/>
        <v>47.529583333333328</v>
      </c>
      <c r="H36" s="40">
        <f t="shared" si="2"/>
        <v>18.645833333333332</v>
      </c>
      <c r="I36" s="40">
        <f t="shared" si="2"/>
        <v>6.2574999999999994</v>
      </c>
      <c r="J36" s="40">
        <f t="shared" si="2"/>
        <v>0.66541666666666655</v>
      </c>
      <c r="K36" s="40">
        <f t="shared" si="2"/>
        <v>248.55916666666664</v>
      </c>
      <c r="L36" s="40">
        <f t="shared" si="2"/>
        <v>26.345416666666665</v>
      </c>
      <c r="M36" s="40">
        <f t="shared" si="2"/>
        <v>51.915833333333325</v>
      </c>
      <c r="N36" s="40">
        <f t="shared" si="2"/>
        <v>182.14583333333334</v>
      </c>
      <c r="O36" s="40">
        <f t="shared" si="2"/>
        <v>0</v>
      </c>
      <c r="P36" s="40">
        <f t="shared" si="2"/>
        <v>0.70250000000000012</v>
      </c>
      <c r="Q36" s="40">
        <f t="shared" si="2"/>
        <v>4.7112500000000006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1.6890576546907949</v>
      </c>
      <c r="C37" s="40">
        <f t="shared" ref="C37:Q37" si="3">STDEV(C9:C32)</f>
        <v>1.8582834041515155</v>
      </c>
      <c r="D37" s="40">
        <f t="shared" si="3"/>
        <v>1.912214694073834</v>
      </c>
      <c r="E37" s="40">
        <f t="shared" si="3"/>
        <v>1.934836809206627</v>
      </c>
      <c r="F37" s="40">
        <f t="shared" si="3"/>
        <v>1.7866339495165802</v>
      </c>
      <c r="G37" s="40">
        <f t="shared" si="3"/>
        <v>8.205202209397541</v>
      </c>
      <c r="H37" s="40">
        <f t="shared" si="3"/>
        <v>2.6422781946591143</v>
      </c>
      <c r="I37" s="40">
        <f t="shared" si="3"/>
        <v>1.1744758312800199</v>
      </c>
      <c r="J37" s="40">
        <f t="shared" si="3"/>
        <v>0.60616384043365323</v>
      </c>
      <c r="K37" s="40">
        <f t="shared" si="3"/>
        <v>45.761673247443809</v>
      </c>
      <c r="L37" s="40">
        <f t="shared" si="3"/>
        <v>4.9537723694580329</v>
      </c>
      <c r="M37" s="40">
        <f t="shared" si="3"/>
        <v>19.008381427484945</v>
      </c>
      <c r="N37" s="40">
        <f t="shared" si="3"/>
        <v>269.97169735583105</v>
      </c>
      <c r="O37" s="40">
        <f t="shared" si="3"/>
        <v>0</v>
      </c>
      <c r="P37" s="40">
        <f t="shared" si="3"/>
        <v>0.10313562198260551</v>
      </c>
      <c r="Q37" s="40">
        <f t="shared" si="3"/>
        <v>2.5760181608865659E-2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:XFD32"/>
      <selection pane="topRight" activeCell="A9" sqref="A9:XFD32"/>
      <selection pane="bottomLeft" activeCell="A9" sqref="A9:XFD32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45344.041666666664</v>
      </c>
      <c r="B9" s="53">
        <v>7.98</v>
      </c>
      <c r="C9" s="53">
        <v>18.649999999999999</v>
      </c>
      <c r="D9" s="53">
        <v>17.23</v>
      </c>
      <c r="E9" s="53">
        <v>8.25</v>
      </c>
      <c r="F9" s="53">
        <v>3.86</v>
      </c>
      <c r="G9" s="53">
        <v>55.42</v>
      </c>
      <c r="H9" s="53">
        <v>22.1</v>
      </c>
      <c r="I9" s="53">
        <v>7.55</v>
      </c>
      <c r="J9" s="53">
        <v>0.17</v>
      </c>
      <c r="K9" s="53">
        <v>255.21</v>
      </c>
      <c r="L9" s="53">
        <v>23.05</v>
      </c>
      <c r="M9" s="53">
        <v>64.59</v>
      </c>
      <c r="N9" s="53">
        <v>0</v>
      </c>
      <c r="O9" s="53">
        <v>0</v>
      </c>
      <c r="P9" s="53">
        <v>0.86</v>
      </c>
      <c r="Q9" s="53">
        <v>4.68</v>
      </c>
    </row>
    <row r="10" spans="1:21" customFormat="1">
      <c r="A10" s="52">
        <v>45344.083333333336</v>
      </c>
      <c r="B10" s="53">
        <v>8.0500000000000007</v>
      </c>
      <c r="C10" s="53">
        <v>13.82</v>
      </c>
      <c r="D10" s="53">
        <v>14.96</v>
      </c>
      <c r="E10" s="53">
        <v>7.89</v>
      </c>
      <c r="F10" s="53">
        <v>3.72</v>
      </c>
      <c r="G10" s="53">
        <v>50.13</v>
      </c>
      <c r="H10" s="53">
        <v>21.47</v>
      </c>
      <c r="I10" s="53">
        <v>7.34</v>
      </c>
      <c r="J10" s="53">
        <v>0.16</v>
      </c>
      <c r="K10" s="53">
        <v>271.29000000000002</v>
      </c>
      <c r="L10" s="53">
        <v>22.7</v>
      </c>
      <c r="M10" s="53">
        <v>61.7</v>
      </c>
      <c r="N10" s="53">
        <v>0</v>
      </c>
      <c r="O10" s="53">
        <v>0</v>
      </c>
      <c r="P10" s="53">
        <v>0.82</v>
      </c>
      <c r="Q10" s="53">
        <v>4.6900000000000004</v>
      </c>
    </row>
    <row r="11" spans="1:21" customFormat="1">
      <c r="A11" s="52">
        <v>45344.125</v>
      </c>
      <c r="B11" s="53">
        <v>8.1199999999999992</v>
      </c>
      <c r="C11" s="53">
        <v>12.56</v>
      </c>
      <c r="D11" s="53">
        <v>14.39</v>
      </c>
      <c r="E11" s="53">
        <v>7.54</v>
      </c>
      <c r="F11" s="53">
        <v>3.64</v>
      </c>
      <c r="G11" s="53">
        <v>43.89</v>
      </c>
      <c r="H11" s="53">
        <v>19.559999999999999</v>
      </c>
      <c r="I11" s="53">
        <v>6.97</v>
      </c>
      <c r="J11" s="53">
        <v>0.16</v>
      </c>
      <c r="K11" s="53">
        <v>221.19</v>
      </c>
      <c r="L11" s="53">
        <v>22.45</v>
      </c>
      <c r="M11" s="53">
        <v>64.69</v>
      </c>
      <c r="N11" s="53">
        <v>0</v>
      </c>
      <c r="O11" s="53">
        <v>0</v>
      </c>
      <c r="P11" s="53">
        <v>0.78</v>
      </c>
      <c r="Q11" s="53">
        <v>4.7</v>
      </c>
    </row>
    <row r="12" spans="1:21" customFormat="1">
      <c r="A12" s="52">
        <v>45344.166666666664</v>
      </c>
      <c r="B12" s="53">
        <v>8.0500000000000007</v>
      </c>
      <c r="C12" s="53">
        <v>13.66</v>
      </c>
      <c r="D12" s="53">
        <v>14.95</v>
      </c>
      <c r="E12" s="53">
        <v>7.65</v>
      </c>
      <c r="F12" s="53">
        <v>3.7</v>
      </c>
      <c r="G12" s="53">
        <v>43.89</v>
      </c>
      <c r="H12" s="53">
        <v>18.579999999999998</v>
      </c>
      <c r="I12" s="53">
        <v>6.65</v>
      </c>
      <c r="J12" s="53">
        <v>0.23</v>
      </c>
      <c r="K12" s="53">
        <v>201</v>
      </c>
      <c r="L12" s="53">
        <v>21.38</v>
      </c>
      <c r="M12" s="53">
        <v>77.39</v>
      </c>
      <c r="N12" s="53">
        <v>0</v>
      </c>
      <c r="O12" s="53">
        <v>0</v>
      </c>
      <c r="P12" s="53">
        <v>0.74</v>
      </c>
      <c r="Q12" s="53">
        <v>4.71</v>
      </c>
    </row>
    <row r="13" spans="1:21" customFormat="1">
      <c r="A13" s="52">
        <v>45344.208333333336</v>
      </c>
      <c r="B13" s="53">
        <v>7.89</v>
      </c>
      <c r="C13" s="53">
        <v>13.54</v>
      </c>
      <c r="D13" s="53">
        <v>14.74</v>
      </c>
      <c r="E13" s="53">
        <v>7.68</v>
      </c>
      <c r="F13" s="53">
        <v>3.9</v>
      </c>
      <c r="G13" s="53">
        <v>34</v>
      </c>
      <c r="H13" s="53">
        <v>15.14</v>
      </c>
      <c r="I13" s="53">
        <v>6.27</v>
      </c>
      <c r="J13" s="53">
        <v>0.19</v>
      </c>
      <c r="K13" s="53">
        <v>199.52</v>
      </c>
      <c r="L13" s="53">
        <v>19.899999999999999</v>
      </c>
      <c r="M13" s="53">
        <v>76.510000000000005</v>
      </c>
      <c r="N13" s="53">
        <v>0</v>
      </c>
      <c r="O13" s="53">
        <v>0</v>
      </c>
      <c r="P13" s="53">
        <v>0.71</v>
      </c>
      <c r="Q13" s="53">
        <v>4.72</v>
      </c>
    </row>
    <row r="14" spans="1:21" customFormat="1">
      <c r="A14" s="52">
        <v>45344.25</v>
      </c>
      <c r="B14" s="53">
        <v>7.48</v>
      </c>
      <c r="C14" s="53">
        <v>14.72</v>
      </c>
      <c r="D14" s="53">
        <v>14.49</v>
      </c>
      <c r="E14" s="53">
        <v>8.18</v>
      </c>
      <c r="F14" s="53">
        <v>3.88</v>
      </c>
      <c r="G14" s="53">
        <v>33.15</v>
      </c>
      <c r="H14" s="53">
        <v>15.14</v>
      </c>
      <c r="I14" s="53">
        <v>6.02</v>
      </c>
      <c r="J14" s="53">
        <v>0.21</v>
      </c>
      <c r="K14" s="53">
        <v>200.31</v>
      </c>
      <c r="L14" s="53">
        <v>19.739999999999998</v>
      </c>
      <c r="M14" s="53">
        <v>79.11</v>
      </c>
      <c r="N14" s="53">
        <v>0</v>
      </c>
      <c r="O14" s="53">
        <v>0</v>
      </c>
      <c r="P14" s="53">
        <v>0.65</v>
      </c>
      <c r="Q14" s="53">
        <v>4.7300000000000004</v>
      </c>
    </row>
    <row r="15" spans="1:21" customFormat="1">
      <c r="A15" s="52">
        <v>45344.291666666664</v>
      </c>
      <c r="B15" s="53">
        <v>6.72</v>
      </c>
      <c r="C15" s="53">
        <v>15.13</v>
      </c>
      <c r="D15" s="53">
        <v>14.6</v>
      </c>
      <c r="E15" s="53">
        <v>7.98</v>
      </c>
      <c r="F15" s="53">
        <v>3.67</v>
      </c>
      <c r="G15" s="53">
        <v>28.14</v>
      </c>
      <c r="H15" s="53">
        <v>15.51</v>
      </c>
      <c r="I15" s="53">
        <v>5.56</v>
      </c>
      <c r="J15" s="53">
        <v>0.21</v>
      </c>
      <c r="K15" s="53">
        <v>186.76</v>
      </c>
      <c r="L15" s="53">
        <v>19.23</v>
      </c>
      <c r="M15" s="53">
        <v>81.209999999999994</v>
      </c>
      <c r="N15" s="53">
        <v>15.6</v>
      </c>
      <c r="O15" s="53">
        <v>0</v>
      </c>
      <c r="P15" s="53">
        <v>0.62</v>
      </c>
      <c r="Q15" s="53">
        <v>4.71</v>
      </c>
    </row>
    <row r="16" spans="1:21" customFormat="1">
      <c r="A16" s="52">
        <v>45344.333333333336</v>
      </c>
      <c r="B16" s="53">
        <v>6.68</v>
      </c>
      <c r="C16" s="53">
        <v>16.11</v>
      </c>
      <c r="D16" s="53">
        <v>15.01</v>
      </c>
      <c r="E16" s="53">
        <v>8.51</v>
      </c>
      <c r="F16" s="53">
        <v>3.77</v>
      </c>
      <c r="G16" s="53">
        <v>32.82</v>
      </c>
      <c r="H16" s="53">
        <v>15.51</v>
      </c>
      <c r="I16" s="53">
        <v>5.26</v>
      </c>
      <c r="J16" s="53">
        <v>0.94</v>
      </c>
      <c r="K16" s="53">
        <v>281.02</v>
      </c>
      <c r="L16" s="53">
        <v>23.42</v>
      </c>
      <c r="M16" s="53">
        <v>75.28</v>
      </c>
      <c r="N16" s="53">
        <v>93.8</v>
      </c>
      <c r="O16" s="53">
        <v>0</v>
      </c>
      <c r="P16" s="53">
        <v>0.61</v>
      </c>
      <c r="Q16" s="53">
        <v>4.72</v>
      </c>
    </row>
    <row r="17" spans="1:17" customFormat="1">
      <c r="A17" s="52">
        <v>45344.375</v>
      </c>
      <c r="B17" s="53">
        <v>6.67</v>
      </c>
      <c r="C17" s="53">
        <v>18.11</v>
      </c>
      <c r="D17" s="53">
        <v>16.16</v>
      </c>
      <c r="E17" s="53">
        <v>9.2899999999999991</v>
      </c>
      <c r="F17" s="53">
        <v>3.89</v>
      </c>
      <c r="G17" s="53">
        <v>33.6</v>
      </c>
      <c r="H17" s="53">
        <v>15.74</v>
      </c>
      <c r="I17" s="53">
        <v>5.86</v>
      </c>
      <c r="J17" s="53">
        <v>1.19</v>
      </c>
      <c r="K17" s="53">
        <v>299.56</v>
      </c>
      <c r="L17" s="53">
        <v>26.89</v>
      </c>
      <c r="M17" s="53">
        <v>46.56</v>
      </c>
      <c r="N17" s="53">
        <v>344.5</v>
      </c>
      <c r="O17" s="53">
        <v>0</v>
      </c>
      <c r="P17" s="53">
        <v>0.67</v>
      </c>
      <c r="Q17" s="53">
        <v>4.72</v>
      </c>
    </row>
    <row r="18" spans="1:17" customFormat="1">
      <c r="A18" s="52">
        <v>45344.416666666664</v>
      </c>
      <c r="B18" s="53">
        <v>8.16</v>
      </c>
      <c r="C18" s="53">
        <v>20.25</v>
      </c>
      <c r="D18" s="53">
        <v>18.47</v>
      </c>
      <c r="E18" s="53">
        <v>9.2200000000000006</v>
      </c>
      <c r="F18" s="53">
        <v>4.16</v>
      </c>
      <c r="G18" s="53">
        <v>38.53</v>
      </c>
      <c r="H18" s="53">
        <v>15.74</v>
      </c>
      <c r="I18" s="53">
        <v>6.02</v>
      </c>
      <c r="J18" s="53">
        <v>1.83</v>
      </c>
      <c r="K18" s="53">
        <v>316.2</v>
      </c>
      <c r="L18" s="53">
        <v>28.37</v>
      </c>
      <c r="M18" s="53">
        <v>34.18</v>
      </c>
      <c r="N18" s="53">
        <v>446.4</v>
      </c>
      <c r="O18" s="53">
        <v>0</v>
      </c>
      <c r="P18" s="53">
        <v>0.66</v>
      </c>
      <c r="Q18" s="53">
        <v>4.72</v>
      </c>
    </row>
    <row r="19" spans="1:17" customFormat="1">
      <c r="A19" s="52">
        <v>45344.458333333336</v>
      </c>
      <c r="B19" s="53">
        <v>8.43</v>
      </c>
      <c r="C19" s="53">
        <v>19.559999999999999</v>
      </c>
      <c r="D19" s="53">
        <v>18.32</v>
      </c>
      <c r="E19" s="53">
        <v>8.68</v>
      </c>
      <c r="F19" s="53">
        <v>5.05</v>
      </c>
      <c r="G19" s="53">
        <v>42.35</v>
      </c>
      <c r="H19" s="53">
        <v>14</v>
      </c>
      <c r="I19" s="53">
        <v>5.86</v>
      </c>
      <c r="J19" s="53">
        <v>1.71</v>
      </c>
      <c r="K19" s="53">
        <v>326.08999999999997</v>
      </c>
      <c r="L19" s="53">
        <v>29.25</v>
      </c>
      <c r="M19" s="53">
        <v>29.68</v>
      </c>
      <c r="N19" s="53">
        <v>641.70000000000005</v>
      </c>
      <c r="O19" s="53">
        <v>0</v>
      </c>
      <c r="P19" s="53">
        <v>0.66</v>
      </c>
      <c r="Q19" s="53">
        <v>4.7</v>
      </c>
    </row>
    <row r="20" spans="1:17" customFormat="1">
      <c r="A20" s="52">
        <v>45344.5</v>
      </c>
      <c r="B20" s="53">
        <v>7.8</v>
      </c>
      <c r="C20" s="53">
        <v>17.39</v>
      </c>
      <c r="D20" s="53">
        <v>16.329999999999998</v>
      </c>
      <c r="E20" s="53">
        <v>8.1199999999999992</v>
      </c>
      <c r="F20" s="53">
        <v>5.2</v>
      </c>
      <c r="G20" s="53">
        <v>42.99</v>
      </c>
      <c r="H20" s="53">
        <v>14.23</v>
      </c>
      <c r="I20" s="53">
        <v>5.46</v>
      </c>
      <c r="J20" s="53">
        <v>1.48</v>
      </c>
      <c r="K20" s="53">
        <v>325.77999999999997</v>
      </c>
      <c r="L20" s="53">
        <v>30.23</v>
      </c>
      <c r="M20" s="53">
        <v>28.07</v>
      </c>
      <c r="N20" s="53">
        <v>714</v>
      </c>
      <c r="O20" s="53">
        <v>0</v>
      </c>
      <c r="P20" s="53">
        <v>0.64</v>
      </c>
      <c r="Q20" s="53">
        <v>4.71</v>
      </c>
    </row>
    <row r="21" spans="1:17" customFormat="1">
      <c r="A21" s="52">
        <v>45344.541666666664</v>
      </c>
      <c r="B21" s="53">
        <v>7.08</v>
      </c>
      <c r="C21" s="53">
        <v>18.29</v>
      </c>
      <c r="D21" s="53">
        <v>16.399999999999999</v>
      </c>
      <c r="E21" s="53">
        <v>7.31</v>
      </c>
      <c r="F21" s="53">
        <v>4.59</v>
      </c>
      <c r="G21" s="53">
        <v>42.99</v>
      </c>
      <c r="H21" s="53">
        <v>15.06</v>
      </c>
      <c r="I21" s="53">
        <v>5.05</v>
      </c>
      <c r="J21" s="53">
        <v>1.65</v>
      </c>
      <c r="K21" s="53">
        <v>308.86</v>
      </c>
      <c r="L21" s="53">
        <v>30.47</v>
      </c>
      <c r="M21" s="53">
        <v>28.74</v>
      </c>
      <c r="N21" s="53">
        <v>720.1</v>
      </c>
      <c r="O21" s="53">
        <v>0</v>
      </c>
      <c r="P21" s="53">
        <v>0.61</v>
      </c>
      <c r="Q21" s="53">
        <v>4.67</v>
      </c>
    </row>
    <row r="22" spans="1:17" customFormat="1">
      <c r="A22" s="52">
        <v>45344.583333333336</v>
      </c>
      <c r="B22" s="53">
        <v>6.43</v>
      </c>
      <c r="C22" s="53">
        <v>17.95</v>
      </c>
      <c r="D22" s="53">
        <v>15.88</v>
      </c>
      <c r="E22" s="53">
        <v>6.93</v>
      </c>
      <c r="F22" s="53">
        <v>4.45</v>
      </c>
      <c r="G22" s="53">
        <v>41.5</v>
      </c>
      <c r="H22" s="53">
        <v>15.81</v>
      </c>
      <c r="I22" s="53">
        <v>4.8899999999999997</v>
      </c>
      <c r="J22" s="53">
        <v>1.5</v>
      </c>
      <c r="K22" s="53">
        <v>308.72000000000003</v>
      </c>
      <c r="L22" s="53">
        <v>30.88</v>
      </c>
      <c r="M22" s="53">
        <v>28.54</v>
      </c>
      <c r="N22" s="53">
        <v>671.7</v>
      </c>
      <c r="O22" s="53">
        <v>0</v>
      </c>
      <c r="P22" s="53">
        <v>0.61</v>
      </c>
      <c r="Q22" s="53">
        <v>4.6900000000000004</v>
      </c>
    </row>
    <row r="23" spans="1:17" customFormat="1">
      <c r="A23" s="52">
        <v>45344.625</v>
      </c>
      <c r="B23" s="53">
        <v>5.64</v>
      </c>
      <c r="C23" s="53">
        <v>17.7</v>
      </c>
      <c r="D23" s="53">
        <v>15.07</v>
      </c>
      <c r="E23" s="53">
        <v>7.28</v>
      </c>
      <c r="F23" s="53">
        <v>4.82</v>
      </c>
      <c r="G23" s="53">
        <v>44.02</v>
      </c>
      <c r="H23" s="53">
        <v>17.07</v>
      </c>
      <c r="I23" s="53">
        <v>4.8</v>
      </c>
      <c r="J23" s="53">
        <v>1.5</v>
      </c>
      <c r="K23" s="53">
        <v>302.51</v>
      </c>
      <c r="L23" s="53">
        <v>31.11</v>
      </c>
      <c r="M23" s="53">
        <v>27.16</v>
      </c>
      <c r="N23" s="53">
        <v>590.5</v>
      </c>
      <c r="O23" s="53">
        <v>0</v>
      </c>
      <c r="P23" s="53">
        <v>0.47</v>
      </c>
      <c r="Q23" s="53">
        <v>4.75</v>
      </c>
    </row>
    <row r="24" spans="1:17" customFormat="1">
      <c r="A24" s="52">
        <v>45344.666666666664</v>
      </c>
      <c r="B24" s="53">
        <v>5.4</v>
      </c>
      <c r="C24" s="53">
        <v>17.86</v>
      </c>
      <c r="D24" s="53">
        <v>14.86</v>
      </c>
      <c r="E24" s="53">
        <v>8.3800000000000008</v>
      </c>
      <c r="F24" s="53">
        <v>7.21</v>
      </c>
      <c r="G24" s="53">
        <v>44.02</v>
      </c>
      <c r="H24" s="53">
        <v>20.99</v>
      </c>
      <c r="I24" s="53">
        <v>4.63</v>
      </c>
      <c r="J24" s="53">
        <v>1.24</v>
      </c>
      <c r="K24" s="53">
        <v>312.98</v>
      </c>
      <c r="L24" s="53">
        <v>30.71</v>
      </c>
      <c r="M24" s="53">
        <v>27.11</v>
      </c>
      <c r="N24" s="53">
        <v>110.4</v>
      </c>
      <c r="O24" s="53">
        <v>0</v>
      </c>
      <c r="P24" s="53">
        <v>0.36</v>
      </c>
      <c r="Q24" s="53">
        <v>4.75</v>
      </c>
    </row>
    <row r="25" spans="1:17" customFormat="1">
      <c r="A25" s="52">
        <v>45344.708333333336</v>
      </c>
      <c r="B25" s="53">
        <v>6.01</v>
      </c>
      <c r="C25" s="53">
        <v>17.8</v>
      </c>
      <c r="D25" s="53">
        <v>15.47</v>
      </c>
      <c r="E25" s="53">
        <v>8.4</v>
      </c>
      <c r="F25" s="53">
        <v>6.06</v>
      </c>
      <c r="G25" s="53">
        <v>41.12</v>
      </c>
      <c r="H25" s="53">
        <v>20.99</v>
      </c>
      <c r="I25" s="53">
        <v>4.18</v>
      </c>
      <c r="J25" s="53">
        <v>1.38</v>
      </c>
      <c r="K25" s="53">
        <v>310.64</v>
      </c>
      <c r="L25" s="53">
        <v>30.28</v>
      </c>
      <c r="M25" s="53">
        <v>27.96</v>
      </c>
      <c r="N25" s="53">
        <v>111</v>
      </c>
      <c r="O25" s="53">
        <v>0</v>
      </c>
      <c r="P25" s="53">
        <v>0.38</v>
      </c>
      <c r="Q25" s="53">
        <v>4.71</v>
      </c>
    </row>
    <row r="26" spans="1:17" customFormat="1">
      <c r="A26" s="52">
        <v>45344.75</v>
      </c>
      <c r="B26" s="53">
        <v>7.01</v>
      </c>
      <c r="C26" s="53">
        <v>19.7</v>
      </c>
      <c r="D26" s="53">
        <v>17.27</v>
      </c>
      <c r="E26" s="53">
        <v>8.39</v>
      </c>
      <c r="F26" s="53">
        <v>6.17</v>
      </c>
      <c r="G26" s="53">
        <v>44.41</v>
      </c>
      <c r="H26" s="53">
        <v>17.34</v>
      </c>
      <c r="I26" s="53">
        <v>4.07</v>
      </c>
      <c r="J26" s="53">
        <v>1.1000000000000001</v>
      </c>
      <c r="K26" s="53">
        <v>317.10000000000002</v>
      </c>
      <c r="L26" s="53">
        <v>29.18</v>
      </c>
      <c r="M26" s="53">
        <v>31.77</v>
      </c>
      <c r="N26" s="53">
        <v>57.4</v>
      </c>
      <c r="O26" s="53">
        <v>0</v>
      </c>
      <c r="P26" s="53">
        <v>0.4</v>
      </c>
      <c r="Q26" s="53">
        <v>4.72</v>
      </c>
    </row>
    <row r="27" spans="1:17" customFormat="1">
      <c r="A27" s="52">
        <v>45344.791666666664</v>
      </c>
      <c r="B27" s="53">
        <v>8.42</v>
      </c>
      <c r="C27" s="53">
        <v>22.1</v>
      </c>
      <c r="D27" s="53">
        <v>19.649999999999999</v>
      </c>
      <c r="E27" s="53">
        <v>7.86</v>
      </c>
      <c r="F27" s="53">
        <v>4.82</v>
      </c>
      <c r="G27" s="53">
        <v>55.64</v>
      </c>
      <c r="H27" s="53">
        <v>15.82</v>
      </c>
      <c r="I27" s="53">
        <v>4.24</v>
      </c>
      <c r="J27" s="53">
        <v>0.68</v>
      </c>
      <c r="K27" s="53">
        <v>322.94</v>
      </c>
      <c r="L27" s="53">
        <v>27.57</v>
      </c>
      <c r="M27" s="53">
        <v>36.6</v>
      </c>
      <c r="N27" s="53">
        <v>0</v>
      </c>
      <c r="O27" s="53">
        <v>0</v>
      </c>
      <c r="P27" s="53">
        <v>0.46</v>
      </c>
      <c r="Q27" s="53">
        <v>4.7300000000000004</v>
      </c>
    </row>
    <row r="28" spans="1:17" customFormat="1">
      <c r="A28" s="52">
        <v>45344.833333333336</v>
      </c>
      <c r="B28" s="53">
        <v>10.71</v>
      </c>
      <c r="C28" s="53">
        <v>24.16</v>
      </c>
      <c r="D28" s="53">
        <v>22.56</v>
      </c>
      <c r="E28" s="53">
        <v>7.03</v>
      </c>
      <c r="F28" s="53">
        <v>3.67</v>
      </c>
      <c r="G28" s="53">
        <v>74.06</v>
      </c>
      <c r="H28" s="53">
        <v>26.55</v>
      </c>
      <c r="I28" s="53">
        <v>4.7699999999999996</v>
      </c>
      <c r="J28" s="53">
        <v>0.22</v>
      </c>
      <c r="K28" s="53">
        <v>334.13</v>
      </c>
      <c r="L28" s="53">
        <v>26.48</v>
      </c>
      <c r="M28" s="53">
        <v>38.53</v>
      </c>
      <c r="N28" s="53">
        <v>0</v>
      </c>
      <c r="O28" s="53">
        <v>0</v>
      </c>
      <c r="P28" s="53">
        <v>0.56000000000000005</v>
      </c>
      <c r="Q28" s="53">
        <v>4.76</v>
      </c>
    </row>
    <row r="29" spans="1:17" customFormat="1">
      <c r="A29" s="52">
        <v>45344.875</v>
      </c>
      <c r="B29" s="53">
        <v>13.26</v>
      </c>
      <c r="C29" s="53">
        <v>22.76</v>
      </c>
      <c r="D29" s="53">
        <v>22.52</v>
      </c>
      <c r="E29" s="53">
        <v>6.86</v>
      </c>
      <c r="F29" s="53">
        <v>3.64</v>
      </c>
      <c r="G29" s="53">
        <v>95.58</v>
      </c>
      <c r="H29" s="53">
        <v>31.11</v>
      </c>
      <c r="I29" s="53">
        <v>5.37</v>
      </c>
      <c r="J29" s="53">
        <v>0.44</v>
      </c>
      <c r="K29" s="53">
        <v>321.57</v>
      </c>
      <c r="L29" s="53">
        <v>25.8</v>
      </c>
      <c r="M29" s="53">
        <v>46.7</v>
      </c>
      <c r="N29" s="53">
        <v>0</v>
      </c>
      <c r="O29" s="53">
        <v>0</v>
      </c>
      <c r="P29" s="53">
        <v>0.6</v>
      </c>
      <c r="Q29" s="53">
        <v>4.76</v>
      </c>
    </row>
    <row r="30" spans="1:17" customFormat="1">
      <c r="A30" s="52">
        <v>45344.916666666664</v>
      </c>
      <c r="B30" s="53">
        <v>15.61</v>
      </c>
      <c r="C30" s="53">
        <v>19.48</v>
      </c>
      <c r="D30" s="53">
        <v>23.6</v>
      </c>
      <c r="E30" s="53">
        <v>6.37</v>
      </c>
      <c r="F30" s="53">
        <v>3.68</v>
      </c>
      <c r="G30" s="53">
        <v>99.67</v>
      </c>
      <c r="H30" s="53">
        <v>31.95</v>
      </c>
      <c r="I30" s="53">
        <v>5.8</v>
      </c>
      <c r="J30" s="53">
        <v>0.28999999999999998</v>
      </c>
      <c r="K30" s="53">
        <v>167.28</v>
      </c>
      <c r="L30" s="53">
        <v>25.5</v>
      </c>
      <c r="M30" s="53">
        <v>54.18</v>
      </c>
      <c r="N30" s="53">
        <v>0</v>
      </c>
      <c r="O30" s="53">
        <v>0</v>
      </c>
      <c r="P30" s="53">
        <v>0.64</v>
      </c>
      <c r="Q30" s="53">
        <v>4.76</v>
      </c>
    </row>
    <row r="31" spans="1:17" customFormat="1">
      <c r="A31" s="52">
        <v>45344.958333333336</v>
      </c>
      <c r="B31" s="53">
        <v>16.25</v>
      </c>
      <c r="C31" s="53">
        <v>19.71</v>
      </c>
      <c r="D31" s="53">
        <v>24.68</v>
      </c>
      <c r="E31" s="53">
        <v>6.51</v>
      </c>
      <c r="F31" s="53">
        <v>3.5</v>
      </c>
      <c r="G31" s="53">
        <v>102.34</v>
      </c>
      <c r="H31" s="53">
        <v>34.78</v>
      </c>
      <c r="I31" s="53">
        <v>6.4</v>
      </c>
      <c r="J31" s="53">
        <v>0.42</v>
      </c>
      <c r="K31" s="53">
        <v>179.97</v>
      </c>
      <c r="L31" s="53">
        <v>22.55</v>
      </c>
      <c r="M31" s="53">
        <v>64.86</v>
      </c>
      <c r="N31" s="53">
        <v>0</v>
      </c>
      <c r="O31" s="53">
        <v>0</v>
      </c>
      <c r="P31" s="53">
        <v>0.69</v>
      </c>
      <c r="Q31" s="53">
        <v>4.78</v>
      </c>
    </row>
    <row r="32" spans="1:17" customFormat="1">
      <c r="A32" s="52">
        <v>45345</v>
      </c>
      <c r="B32" s="53">
        <v>16.86</v>
      </c>
      <c r="C32" s="53">
        <v>19.18</v>
      </c>
      <c r="D32" s="53">
        <v>24.87</v>
      </c>
      <c r="E32" s="53">
        <v>6.33</v>
      </c>
      <c r="F32" s="53">
        <v>3.84</v>
      </c>
      <c r="G32" s="53">
        <v>102.34</v>
      </c>
      <c r="H32" s="53">
        <v>34.78</v>
      </c>
      <c r="I32" s="53">
        <v>6.77</v>
      </c>
      <c r="J32" s="53">
        <v>0.36</v>
      </c>
      <c r="K32" s="53">
        <v>48.27</v>
      </c>
      <c r="L32" s="53">
        <v>23.98</v>
      </c>
      <c r="M32" s="53">
        <v>43.06</v>
      </c>
      <c r="N32" s="53">
        <v>0</v>
      </c>
      <c r="O32" s="53">
        <v>0</v>
      </c>
      <c r="P32" s="53">
        <v>0.69</v>
      </c>
      <c r="Q32" s="53">
        <v>4.7699999999999996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5.4</v>
      </c>
      <c r="C34" s="40">
        <f t="shared" si="0"/>
        <v>12.56</v>
      </c>
      <c r="D34" s="40">
        <f t="shared" si="0"/>
        <v>14.39</v>
      </c>
      <c r="E34" s="40">
        <f t="shared" si="0"/>
        <v>6.33</v>
      </c>
      <c r="F34" s="40">
        <f t="shared" si="0"/>
        <v>3.5</v>
      </c>
      <c r="G34" s="40">
        <f t="shared" si="0"/>
        <v>28.14</v>
      </c>
      <c r="H34" s="40">
        <f t="shared" si="0"/>
        <v>14</v>
      </c>
      <c r="I34" s="40">
        <f t="shared" si="0"/>
        <v>4.07</v>
      </c>
      <c r="J34" s="40">
        <f t="shared" si="0"/>
        <v>0.16</v>
      </c>
      <c r="K34" s="40">
        <f t="shared" si="0"/>
        <v>48.27</v>
      </c>
      <c r="L34" s="40">
        <f t="shared" si="0"/>
        <v>19.23</v>
      </c>
      <c r="M34" s="40">
        <f t="shared" si="0"/>
        <v>27.11</v>
      </c>
      <c r="N34" s="40">
        <f t="shared" si="0"/>
        <v>0</v>
      </c>
      <c r="O34" s="40">
        <f t="shared" si="0"/>
        <v>0</v>
      </c>
      <c r="P34" s="40">
        <f t="shared" si="0"/>
        <v>0.36</v>
      </c>
      <c r="Q34" s="40">
        <f t="shared" si="0"/>
        <v>4.67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16.86</v>
      </c>
      <c r="C35" s="33">
        <f t="shared" si="1"/>
        <v>24.16</v>
      </c>
      <c r="D35" s="33">
        <f t="shared" si="1"/>
        <v>24.87</v>
      </c>
      <c r="E35" s="33">
        <f t="shared" si="1"/>
        <v>9.2899999999999991</v>
      </c>
      <c r="F35" s="33">
        <f t="shared" si="1"/>
        <v>7.21</v>
      </c>
      <c r="G35" s="33">
        <f t="shared" si="1"/>
        <v>102.34</v>
      </c>
      <c r="H35" s="33">
        <f t="shared" si="1"/>
        <v>34.78</v>
      </c>
      <c r="I35" s="33">
        <f t="shared" si="1"/>
        <v>7.55</v>
      </c>
      <c r="J35" s="33">
        <f t="shared" si="1"/>
        <v>1.83</v>
      </c>
      <c r="K35" s="33">
        <f t="shared" si="1"/>
        <v>334.13</v>
      </c>
      <c r="L35" s="33">
        <f t="shared" si="1"/>
        <v>31.11</v>
      </c>
      <c r="M35" s="33">
        <f t="shared" si="1"/>
        <v>81.209999999999994</v>
      </c>
      <c r="N35" s="33">
        <f t="shared" si="1"/>
        <v>720.1</v>
      </c>
      <c r="O35" s="33">
        <f t="shared" si="1"/>
        <v>0</v>
      </c>
      <c r="P35" s="33">
        <f t="shared" si="1"/>
        <v>0.86</v>
      </c>
      <c r="Q35" s="33">
        <f t="shared" si="1"/>
        <v>4.78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8.7795833333333331</v>
      </c>
      <c r="C36" s="40">
        <f t="shared" si="2"/>
        <v>17.924583333333334</v>
      </c>
      <c r="D36" s="40">
        <f t="shared" si="2"/>
        <v>17.603333333333332</v>
      </c>
      <c r="E36" s="40">
        <f t="shared" si="2"/>
        <v>7.7766666666666682</v>
      </c>
      <c r="F36" s="40">
        <f t="shared" si="2"/>
        <v>4.3704166666666673</v>
      </c>
      <c r="G36" s="40">
        <f t="shared" si="2"/>
        <v>52.774999999999984</v>
      </c>
      <c r="H36" s="40">
        <f t="shared" si="2"/>
        <v>20.20708333333333</v>
      </c>
      <c r="I36" s="40">
        <f t="shared" si="2"/>
        <v>5.6579166666666652</v>
      </c>
      <c r="J36" s="40">
        <f t="shared" si="2"/>
        <v>0.8025000000000001</v>
      </c>
      <c r="K36" s="40">
        <f t="shared" si="2"/>
        <v>263.28750000000002</v>
      </c>
      <c r="L36" s="40">
        <f t="shared" si="2"/>
        <v>25.88</v>
      </c>
      <c r="M36" s="40">
        <f t="shared" si="2"/>
        <v>48.924166666666657</v>
      </c>
      <c r="N36" s="40">
        <f t="shared" si="2"/>
        <v>188.21249999999998</v>
      </c>
      <c r="O36" s="40">
        <f t="shared" si="2"/>
        <v>0</v>
      </c>
      <c r="P36" s="40">
        <f t="shared" si="2"/>
        <v>0.62041666666666673</v>
      </c>
      <c r="Q36" s="40">
        <f t="shared" si="2"/>
        <v>4.7233333333333336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3.3058570935823011</v>
      </c>
      <c r="C37" s="40">
        <f t="shared" ref="C37:Q37" si="3">STDEV(C9:C32)</f>
        <v>2.97506445551904</v>
      </c>
      <c r="D37" s="40">
        <f t="shared" si="3"/>
        <v>3.4759855238937352</v>
      </c>
      <c r="E37" s="40">
        <f t="shared" si="3"/>
        <v>0.82772956446175405</v>
      </c>
      <c r="F37" s="40">
        <f t="shared" si="3"/>
        <v>0.9681783844199191</v>
      </c>
      <c r="G37" s="40">
        <f t="shared" si="3"/>
        <v>23.477707835676661</v>
      </c>
      <c r="H37" s="40">
        <f t="shared" si="3"/>
        <v>6.6724152977611739</v>
      </c>
      <c r="I37" s="40">
        <f t="shared" si="3"/>
        <v>0.98218469513749462</v>
      </c>
      <c r="J37" s="40">
        <f t="shared" si="3"/>
        <v>0.60910661592632309</v>
      </c>
      <c r="K37" s="40">
        <f t="shared" si="3"/>
        <v>72.111607595448774</v>
      </c>
      <c r="L37" s="40">
        <f t="shared" si="3"/>
        <v>3.9366483205894771</v>
      </c>
      <c r="M37" s="40">
        <f t="shared" si="3"/>
        <v>19.772548144964222</v>
      </c>
      <c r="N37" s="40">
        <f t="shared" si="3"/>
        <v>275.41386140560871</v>
      </c>
      <c r="O37" s="40">
        <f t="shared" si="3"/>
        <v>0</v>
      </c>
      <c r="P37" s="40">
        <f t="shared" si="3"/>
        <v>0.13003274392534153</v>
      </c>
      <c r="Q37" s="40">
        <f t="shared" si="3"/>
        <v>2.9291142253124073E-2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:XFD32"/>
      <selection pane="topRight" activeCell="A9" sqref="A9:XFD32"/>
      <selection pane="bottomLeft" activeCell="A9" sqref="A9:XFD32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45345.041666666664</v>
      </c>
      <c r="B9" s="53">
        <v>17.100000000000001</v>
      </c>
      <c r="C9" s="53">
        <v>19.91</v>
      </c>
      <c r="D9" s="53">
        <v>24.98</v>
      </c>
      <c r="E9" s="53">
        <v>8.06</v>
      </c>
      <c r="F9" s="53">
        <v>3.58</v>
      </c>
      <c r="G9" s="53">
        <v>92.05</v>
      </c>
      <c r="H9" s="53">
        <v>29.78</v>
      </c>
      <c r="I9" s="53">
        <v>6.67</v>
      </c>
      <c r="J9" s="53">
        <v>0.53</v>
      </c>
      <c r="K9" s="53">
        <v>52.84</v>
      </c>
      <c r="L9" s="53">
        <v>22.93</v>
      </c>
      <c r="M9" s="53">
        <v>46.02</v>
      </c>
      <c r="N9" s="53">
        <v>0</v>
      </c>
      <c r="O9" s="53">
        <v>0</v>
      </c>
      <c r="P9" s="53">
        <v>0.66</v>
      </c>
      <c r="Q9" s="53">
        <v>4.7699999999999996</v>
      </c>
    </row>
    <row r="10" spans="1:21" customFormat="1">
      <c r="A10" s="52">
        <v>45345.083333333336</v>
      </c>
      <c r="B10" s="53">
        <v>16.86</v>
      </c>
      <c r="C10" s="53">
        <v>20.91</v>
      </c>
      <c r="D10" s="53">
        <v>25.5</v>
      </c>
      <c r="E10" s="53">
        <v>9.17</v>
      </c>
      <c r="F10" s="53">
        <v>3.56</v>
      </c>
      <c r="G10" s="53">
        <v>84.3</v>
      </c>
      <c r="H10" s="53">
        <v>29.78</v>
      </c>
      <c r="I10" s="53">
        <v>6.42</v>
      </c>
      <c r="J10" s="53">
        <v>0.97</v>
      </c>
      <c r="K10" s="53">
        <v>53.85</v>
      </c>
      <c r="L10" s="53">
        <v>22.18</v>
      </c>
      <c r="M10" s="53">
        <v>50.85</v>
      </c>
      <c r="N10" s="53">
        <v>0</v>
      </c>
      <c r="O10" s="53">
        <v>0</v>
      </c>
      <c r="P10" s="53">
        <v>0.65</v>
      </c>
      <c r="Q10" s="53">
        <v>4.8099999999999996</v>
      </c>
    </row>
    <row r="11" spans="1:21" customFormat="1">
      <c r="A11" s="52">
        <v>45345.125</v>
      </c>
      <c r="B11" s="53">
        <v>15.82</v>
      </c>
      <c r="C11" s="53">
        <v>21.02</v>
      </c>
      <c r="D11" s="53">
        <v>24.98</v>
      </c>
      <c r="E11" s="53">
        <v>8.7100000000000009</v>
      </c>
      <c r="F11" s="53">
        <v>3.54</v>
      </c>
      <c r="G11" s="53">
        <v>82.75</v>
      </c>
      <c r="H11" s="53">
        <v>29.31</v>
      </c>
      <c r="I11" s="53">
        <v>6.32</v>
      </c>
      <c r="J11" s="53">
        <v>1.43</v>
      </c>
      <c r="K11" s="53">
        <v>49.76</v>
      </c>
      <c r="L11" s="53">
        <v>21.1</v>
      </c>
      <c r="M11" s="53">
        <v>56.75</v>
      </c>
      <c r="N11" s="53">
        <v>0</v>
      </c>
      <c r="O11" s="53">
        <v>0</v>
      </c>
      <c r="P11" s="53">
        <v>0.61</v>
      </c>
      <c r="Q11" s="53">
        <v>4.82</v>
      </c>
    </row>
    <row r="12" spans="1:21" customFormat="1">
      <c r="A12" s="52">
        <v>45345.166666666664</v>
      </c>
      <c r="B12" s="53">
        <v>13.47</v>
      </c>
      <c r="C12" s="53">
        <v>20.91</v>
      </c>
      <c r="D12" s="53">
        <v>23.08</v>
      </c>
      <c r="E12" s="53">
        <v>8.31</v>
      </c>
      <c r="F12" s="53">
        <v>3.65</v>
      </c>
      <c r="G12" s="53">
        <v>79.23</v>
      </c>
      <c r="H12" s="53">
        <v>26.61</v>
      </c>
      <c r="I12" s="53">
        <v>6.22</v>
      </c>
      <c r="J12" s="53">
        <v>1.23</v>
      </c>
      <c r="K12" s="53">
        <v>65.489999999999995</v>
      </c>
      <c r="L12" s="53">
        <v>20.59</v>
      </c>
      <c r="M12" s="53">
        <v>60.51</v>
      </c>
      <c r="N12" s="53">
        <v>0</v>
      </c>
      <c r="O12" s="53">
        <v>0</v>
      </c>
      <c r="P12" s="53">
        <v>0.56999999999999995</v>
      </c>
      <c r="Q12" s="53">
        <v>4.79</v>
      </c>
    </row>
    <row r="13" spans="1:21" customFormat="1">
      <c r="A13" s="52">
        <v>45345.208333333336</v>
      </c>
      <c r="B13" s="53">
        <v>11.77</v>
      </c>
      <c r="C13" s="53">
        <v>21.06</v>
      </c>
      <c r="D13" s="53">
        <v>21.79</v>
      </c>
      <c r="E13" s="53">
        <v>8.07</v>
      </c>
      <c r="F13" s="53">
        <v>3.46</v>
      </c>
      <c r="G13" s="53">
        <v>66.44</v>
      </c>
      <c r="H13" s="53">
        <v>22.77</v>
      </c>
      <c r="I13" s="53">
        <v>5.89</v>
      </c>
      <c r="J13" s="53">
        <v>0.74</v>
      </c>
      <c r="K13" s="53">
        <v>75.27</v>
      </c>
      <c r="L13" s="53">
        <v>19.579999999999998</v>
      </c>
      <c r="M13" s="53">
        <v>64</v>
      </c>
      <c r="N13" s="53">
        <v>0</v>
      </c>
      <c r="O13" s="53">
        <v>0</v>
      </c>
      <c r="P13" s="53">
        <v>0.52</v>
      </c>
      <c r="Q13" s="53">
        <v>4.76</v>
      </c>
    </row>
    <row r="14" spans="1:21" customFormat="1">
      <c r="A14" s="52">
        <v>45345.25</v>
      </c>
      <c r="B14" s="53">
        <v>13.57</v>
      </c>
      <c r="C14" s="53">
        <v>22.38</v>
      </c>
      <c r="D14" s="53">
        <v>23.92</v>
      </c>
      <c r="E14" s="53">
        <v>7.8</v>
      </c>
      <c r="F14" s="53">
        <v>3.48</v>
      </c>
      <c r="G14" s="53">
        <v>56.48</v>
      </c>
      <c r="H14" s="53">
        <v>21.6</v>
      </c>
      <c r="I14" s="53">
        <v>5.53</v>
      </c>
      <c r="J14" s="53">
        <v>0.4</v>
      </c>
      <c r="K14" s="53">
        <v>216.17</v>
      </c>
      <c r="L14" s="53">
        <v>19.329999999999998</v>
      </c>
      <c r="M14" s="53">
        <v>74.400000000000006</v>
      </c>
      <c r="N14" s="53">
        <v>0</v>
      </c>
      <c r="O14" s="53">
        <v>0</v>
      </c>
      <c r="P14" s="53">
        <v>0.48</v>
      </c>
      <c r="Q14" s="53">
        <v>4.7699999999999996</v>
      </c>
    </row>
    <row r="15" spans="1:21" customFormat="1">
      <c r="A15" s="52">
        <v>45345.291666666664</v>
      </c>
      <c r="B15" s="53">
        <v>12.9</v>
      </c>
      <c r="C15" s="53">
        <v>19.579999999999998</v>
      </c>
      <c r="D15" s="53">
        <v>21.92</v>
      </c>
      <c r="E15" s="53">
        <v>7.6</v>
      </c>
      <c r="F15" s="53">
        <v>3.71</v>
      </c>
      <c r="G15" s="53">
        <v>56.48</v>
      </c>
      <c r="H15" s="53">
        <v>21.6</v>
      </c>
      <c r="I15" s="53">
        <v>5.3</v>
      </c>
      <c r="J15" s="53">
        <v>0.22</v>
      </c>
      <c r="K15" s="53">
        <v>220.07</v>
      </c>
      <c r="L15" s="53">
        <v>18.34</v>
      </c>
      <c r="M15" s="53">
        <v>79.77</v>
      </c>
      <c r="N15" s="53">
        <v>17</v>
      </c>
      <c r="O15" s="53">
        <v>0</v>
      </c>
      <c r="P15" s="53">
        <v>0.47</v>
      </c>
      <c r="Q15" s="53">
        <v>4.74</v>
      </c>
    </row>
    <row r="16" spans="1:21" customFormat="1">
      <c r="A16" s="52">
        <v>45345.333333333336</v>
      </c>
      <c r="B16" s="53">
        <v>12.68</v>
      </c>
      <c r="C16" s="53">
        <v>16.940000000000001</v>
      </c>
      <c r="D16" s="53">
        <v>19.87</v>
      </c>
      <c r="E16" s="53">
        <v>7.07</v>
      </c>
      <c r="F16" s="53">
        <v>3.53</v>
      </c>
      <c r="G16" s="53">
        <v>49.68</v>
      </c>
      <c r="H16" s="53">
        <v>16.78</v>
      </c>
      <c r="I16" s="53">
        <v>5.04</v>
      </c>
      <c r="J16" s="53">
        <v>1.04</v>
      </c>
      <c r="K16" s="53">
        <v>145.88999999999999</v>
      </c>
      <c r="L16" s="53">
        <v>20.6</v>
      </c>
      <c r="M16" s="53">
        <v>72.92</v>
      </c>
      <c r="N16" s="53">
        <v>98.8</v>
      </c>
      <c r="O16" s="53">
        <v>0</v>
      </c>
      <c r="P16" s="53">
        <v>0.43</v>
      </c>
      <c r="Q16" s="53">
        <v>4.75</v>
      </c>
    </row>
    <row r="17" spans="1:17" customFormat="1">
      <c r="A17" s="52">
        <v>45345.375</v>
      </c>
      <c r="B17" s="53">
        <v>13.49</v>
      </c>
      <c r="C17" s="53">
        <v>17.62</v>
      </c>
      <c r="D17" s="53">
        <v>21.28</v>
      </c>
      <c r="E17" s="53">
        <v>8.18</v>
      </c>
      <c r="F17" s="53">
        <v>3.6</v>
      </c>
      <c r="G17" s="53">
        <v>56.72</v>
      </c>
      <c r="H17" s="53">
        <v>19.559999999999999</v>
      </c>
      <c r="I17" s="53">
        <v>5.18</v>
      </c>
      <c r="J17" s="53">
        <v>1.21</v>
      </c>
      <c r="K17" s="53">
        <v>59.49</v>
      </c>
      <c r="L17" s="53">
        <v>22.86</v>
      </c>
      <c r="M17" s="53">
        <v>59.96</v>
      </c>
      <c r="N17" s="53">
        <v>333.5</v>
      </c>
      <c r="O17" s="53">
        <v>0</v>
      </c>
      <c r="P17" s="53">
        <v>0.46</v>
      </c>
      <c r="Q17" s="53">
        <v>4.74</v>
      </c>
    </row>
    <row r="18" spans="1:17" customFormat="1">
      <c r="A18" s="52">
        <v>45345.416666666664</v>
      </c>
      <c r="B18" s="53">
        <v>14.66</v>
      </c>
      <c r="C18" s="53">
        <v>17.41</v>
      </c>
      <c r="D18" s="53">
        <v>22.2</v>
      </c>
      <c r="E18" s="53">
        <v>9.1199999999999992</v>
      </c>
      <c r="F18" s="53">
        <v>3.73</v>
      </c>
      <c r="G18" s="53">
        <v>56.72</v>
      </c>
      <c r="H18" s="53">
        <v>19.84</v>
      </c>
      <c r="I18" s="53">
        <v>5.32</v>
      </c>
      <c r="J18" s="53">
        <v>1.23</v>
      </c>
      <c r="K18" s="53">
        <v>59.75</v>
      </c>
      <c r="L18" s="53">
        <v>25.13</v>
      </c>
      <c r="M18" s="53">
        <v>51.93</v>
      </c>
      <c r="N18" s="53">
        <v>446.7</v>
      </c>
      <c r="O18" s="53">
        <v>0</v>
      </c>
      <c r="P18" s="53">
        <v>0.49</v>
      </c>
      <c r="Q18" s="53">
        <v>4.75</v>
      </c>
    </row>
    <row r="19" spans="1:17" customFormat="1">
      <c r="A19" s="52">
        <v>45345.458333333336</v>
      </c>
      <c r="B19" s="53">
        <v>15.18</v>
      </c>
      <c r="C19" s="53">
        <v>19.45</v>
      </c>
      <c r="D19" s="53">
        <v>22.59</v>
      </c>
      <c r="E19" s="53">
        <v>11.93</v>
      </c>
      <c r="F19" s="53">
        <v>4.83</v>
      </c>
      <c r="G19" s="53">
        <v>62.55</v>
      </c>
      <c r="H19" s="53">
        <v>20.74</v>
      </c>
      <c r="I19" s="53">
        <v>5.39</v>
      </c>
      <c r="J19" s="53">
        <v>1.0900000000000001</v>
      </c>
      <c r="K19" s="53">
        <v>64.290000000000006</v>
      </c>
      <c r="L19" s="53">
        <v>26.99</v>
      </c>
      <c r="M19" s="53">
        <v>45.81</v>
      </c>
      <c r="N19" s="53">
        <v>618</v>
      </c>
      <c r="O19" s="53">
        <v>0</v>
      </c>
      <c r="P19" s="53">
        <v>0.49</v>
      </c>
      <c r="Q19" s="53">
        <v>4.78</v>
      </c>
    </row>
    <row r="20" spans="1:17" customFormat="1">
      <c r="A20" s="52">
        <v>45345.5</v>
      </c>
      <c r="B20" s="53">
        <v>12.94</v>
      </c>
      <c r="C20" s="53">
        <v>22.93</v>
      </c>
      <c r="D20" s="53">
        <v>22.36</v>
      </c>
      <c r="E20" s="53">
        <v>12.83</v>
      </c>
      <c r="F20" s="53">
        <v>6.82</v>
      </c>
      <c r="G20" s="53">
        <v>64.39</v>
      </c>
      <c r="H20" s="53">
        <v>20.74</v>
      </c>
      <c r="I20" s="53">
        <v>5.31</v>
      </c>
      <c r="J20" s="53">
        <v>1.05</v>
      </c>
      <c r="K20" s="53">
        <v>79.150000000000006</v>
      </c>
      <c r="L20" s="53">
        <v>28.87</v>
      </c>
      <c r="M20" s="53">
        <v>37.6</v>
      </c>
      <c r="N20" s="53">
        <v>693.3</v>
      </c>
      <c r="O20" s="53">
        <v>0</v>
      </c>
      <c r="P20" s="53">
        <v>0.48</v>
      </c>
      <c r="Q20" s="53">
        <v>4.79</v>
      </c>
    </row>
    <row r="21" spans="1:17" customFormat="1">
      <c r="A21" s="52">
        <v>45345.541666666664</v>
      </c>
      <c r="B21" s="53">
        <v>9.1</v>
      </c>
      <c r="C21" s="53">
        <v>22.02</v>
      </c>
      <c r="D21" s="53">
        <v>20.05</v>
      </c>
      <c r="E21" s="53">
        <v>11.88</v>
      </c>
      <c r="F21" s="53">
        <v>5.16</v>
      </c>
      <c r="G21" s="53">
        <v>64.39</v>
      </c>
      <c r="H21" s="53">
        <v>20.57</v>
      </c>
      <c r="I21" s="53">
        <v>5.03</v>
      </c>
      <c r="J21" s="53">
        <v>0.92</v>
      </c>
      <c r="K21" s="53">
        <v>328.96</v>
      </c>
      <c r="L21" s="53">
        <v>29.75</v>
      </c>
      <c r="M21" s="53">
        <v>30.99</v>
      </c>
      <c r="N21" s="53">
        <v>699.7</v>
      </c>
      <c r="O21" s="53">
        <v>0</v>
      </c>
      <c r="P21" s="53">
        <v>0.46</v>
      </c>
      <c r="Q21" s="53">
        <v>4.74</v>
      </c>
    </row>
    <row r="22" spans="1:17" customFormat="1">
      <c r="A22" s="52">
        <v>45345.583333333336</v>
      </c>
      <c r="B22" s="53">
        <v>7.62</v>
      </c>
      <c r="C22" s="53">
        <v>22.63</v>
      </c>
      <c r="D22" s="53">
        <v>19.239999999999998</v>
      </c>
      <c r="E22" s="53">
        <v>19.04</v>
      </c>
      <c r="F22" s="53">
        <v>7.61</v>
      </c>
      <c r="G22" s="53">
        <v>62.68</v>
      </c>
      <c r="H22" s="53">
        <v>22.63</v>
      </c>
      <c r="I22" s="53">
        <v>4.76</v>
      </c>
      <c r="J22" s="53">
        <v>1.65</v>
      </c>
      <c r="K22" s="53">
        <v>356.94</v>
      </c>
      <c r="L22" s="53">
        <v>30.28</v>
      </c>
      <c r="M22" s="53">
        <v>27.39</v>
      </c>
      <c r="N22" s="53">
        <v>669.6</v>
      </c>
      <c r="O22" s="53">
        <v>0</v>
      </c>
      <c r="P22" s="53">
        <v>0.44</v>
      </c>
      <c r="Q22" s="53">
        <v>4.75</v>
      </c>
    </row>
    <row r="23" spans="1:17" customFormat="1">
      <c r="A23" s="52">
        <v>45345.625</v>
      </c>
      <c r="B23" s="53">
        <v>7.24</v>
      </c>
      <c r="C23" s="53">
        <v>23.83</v>
      </c>
      <c r="D23" s="53">
        <v>19.61</v>
      </c>
      <c r="E23" s="53">
        <v>15.98</v>
      </c>
      <c r="F23" s="53">
        <v>7.78</v>
      </c>
      <c r="G23" s="53">
        <v>65.97</v>
      </c>
      <c r="H23" s="53">
        <v>22.63</v>
      </c>
      <c r="I23" s="53">
        <v>4.46</v>
      </c>
      <c r="J23" s="53">
        <v>1.24</v>
      </c>
      <c r="K23" s="53">
        <v>67.25</v>
      </c>
      <c r="L23" s="53">
        <v>30.12</v>
      </c>
      <c r="M23" s="53">
        <v>25.91</v>
      </c>
      <c r="N23" s="53">
        <v>560.9</v>
      </c>
      <c r="O23" s="53">
        <v>0</v>
      </c>
      <c r="P23" s="53">
        <v>0.49</v>
      </c>
      <c r="Q23" s="53">
        <v>4.75</v>
      </c>
    </row>
    <row r="24" spans="1:17" customFormat="1">
      <c r="A24" s="52">
        <v>45345.666666666664</v>
      </c>
      <c r="B24" s="53">
        <v>5.9</v>
      </c>
      <c r="C24" s="53">
        <v>21.76</v>
      </c>
      <c r="D24" s="53">
        <v>17.45</v>
      </c>
      <c r="E24" s="53">
        <v>12.63</v>
      </c>
      <c r="F24" s="53">
        <v>8.7899999999999991</v>
      </c>
      <c r="G24" s="53">
        <v>65.97</v>
      </c>
      <c r="H24" s="53">
        <v>22.39</v>
      </c>
      <c r="I24" s="53">
        <v>4.25</v>
      </c>
      <c r="J24" s="53">
        <v>1.49</v>
      </c>
      <c r="K24" s="53">
        <v>51.74</v>
      </c>
      <c r="L24" s="53">
        <v>29.6</v>
      </c>
      <c r="M24" s="53">
        <v>25.76</v>
      </c>
      <c r="N24" s="53">
        <v>114</v>
      </c>
      <c r="O24" s="53">
        <v>0</v>
      </c>
      <c r="P24" s="53">
        <v>0.51</v>
      </c>
      <c r="Q24" s="53">
        <v>4.7300000000000004</v>
      </c>
    </row>
    <row r="25" spans="1:17" customFormat="1">
      <c r="A25" s="52">
        <v>45345.708333333336</v>
      </c>
      <c r="B25" s="53">
        <v>5.98</v>
      </c>
      <c r="C25" s="53">
        <v>18.739999999999998</v>
      </c>
      <c r="D25" s="53">
        <v>15.54</v>
      </c>
      <c r="E25" s="53">
        <v>9.9600000000000009</v>
      </c>
      <c r="F25" s="53">
        <v>6.15</v>
      </c>
      <c r="G25" s="53">
        <v>63.68</v>
      </c>
      <c r="H25" s="53">
        <v>20.38</v>
      </c>
      <c r="I25" s="53">
        <v>4.07</v>
      </c>
      <c r="J25" s="53">
        <v>0.92</v>
      </c>
      <c r="K25" s="53">
        <v>64.69</v>
      </c>
      <c r="L25" s="53">
        <v>29.07</v>
      </c>
      <c r="M25" s="53">
        <v>26.6</v>
      </c>
      <c r="N25" s="53">
        <v>105.1</v>
      </c>
      <c r="O25" s="53">
        <v>0</v>
      </c>
      <c r="P25" s="53">
        <v>0.51</v>
      </c>
      <c r="Q25" s="53">
        <v>4.7</v>
      </c>
    </row>
    <row r="26" spans="1:17" customFormat="1">
      <c r="A26" s="52">
        <v>45345.75</v>
      </c>
      <c r="B26" s="53">
        <v>7.51</v>
      </c>
      <c r="C26" s="53">
        <v>18.920000000000002</v>
      </c>
      <c r="D26" s="53">
        <v>16.21</v>
      </c>
      <c r="E26" s="53">
        <v>10.14</v>
      </c>
      <c r="F26" s="53">
        <v>4.9800000000000004</v>
      </c>
      <c r="G26" s="53">
        <v>69.709999999999994</v>
      </c>
      <c r="H26" s="53">
        <v>22.66</v>
      </c>
      <c r="I26" s="53">
        <v>4.07</v>
      </c>
      <c r="J26" s="53">
        <v>0.89</v>
      </c>
      <c r="K26" s="53">
        <v>62.61</v>
      </c>
      <c r="L26" s="53">
        <v>28.49</v>
      </c>
      <c r="M26" s="53">
        <v>31.13</v>
      </c>
      <c r="N26" s="53">
        <v>44.3</v>
      </c>
      <c r="O26" s="53">
        <v>0</v>
      </c>
      <c r="P26" s="53">
        <v>0.54</v>
      </c>
      <c r="Q26" s="53">
        <v>4.71</v>
      </c>
    </row>
    <row r="27" spans="1:17" customFormat="1">
      <c r="A27" s="52">
        <v>45345.791666666664</v>
      </c>
      <c r="B27" s="53">
        <v>10.58</v>
      </c>
      <c r="C27" s="53">
        <v>17.579999999999998</v>
      </c>
      <c r="D27" s="53">
        <v>18.91</v>
      </c>
      <c r="E27" s="53">
        <v>10.28</v>
      </c>
      <c r="F27" s="53">
        <v>3.63</v>
      </c>
      <c r="G27" s="53">
        <v>81.94</v>
      </c>
      <c r="H27" s="53">
        <v>24.36</v>
      </c>
      <c r="I27" s="53">
        <v>4.29</v>
      </c>
      <c r="J27" s="53">
        <v>0.84</v>
      </c>
      <c r="K27" s="53">
        <v>76.56</v>
      </c>
      <c r="L27" s="53">
        <v>26.5</v>
      </c>
      <c r="M27" s="53">
        <v>37.67</v>
      </c>
      <c r="N27" s="53">
        <v>0</v>
      </c>
      <c r="O27" s="53">
        <v>0</v>
      </c>
      <c r="P27" s="53">
        <v>0.57999999999999996</v>
      </c>
      <c r="Q27" s="53">
        <v>4.75</v>
      </c>
    </row>
    <row r="28" spans="1:17" customFormat="1">
      <c r="A28" s="52">
        <v>45345.833333333336</v>
      </c>
      <c r="B28" s="53">
        <v>13.1</v>
      </c>
      <c r="C28" s="53">
        <v>17.579999999999998</v>
      </c>
      <c r="D28" s="53">
        <v>21.04</v>
      </c>
      <c r="E28" s="53">
        <v>10.52</v>
      </c>
      <c r="F28" s="53">
        <v>3.55</v>
      </c>
      <c r="G28" s="53">
        <v>96.06</v>
      </c>
      <c r="H28" s="53">
        <v>28.59</v>
      </c>
      <c r="I28" s="53">
        <v>4.97</v>
      </c>
      <c r="J28" s="53">
        <v>0.73</v>
      </c>
      <c r="K28" s="53">
        <v>77.92</v>
      </c>
      <c r="L28" s="53">
        <v>25.61</v>
      </c>
      <c r="M28" s="53">
        <v>39.590000000000003</v>
      </c>
      <c r="N28" s="53">
        <v>0</v>
      </c>
      <c r="O28" s="53">
        <v>0</v>
      </c>
      <c r="P28" s="53">
        <v>0.64</v>
      </c>
      <c r="Q28" s="53">
        <v>4.76</v>
      </c>
    </row>
    <row r="29" spans="1:17" customFormat="1">
      <c r="A29" s="52">
        <v>45345.875</v>
      </c>
      <c r="B29" s="53">
        <v>15.49</v>
      </c>
      <c r="C29" s="53">
        <v>21.55</v>
      </c>
      <c r="D29" s="53">
        <v>25.03</v>
      </c>
      <c r="E29" s="53">
        <v>12.49</v>
      </c>
      <c r="F29" s="53">
        <v>3.61</v>
      </c>
      <c r="G29" s="53">
        <v>135.13</v>
      </c>
      <c r="H29" s="53">
        <v>35.06</v>
      </c>
      <c r="I29" s="53">
        <v>5.44</v>
      </c>
      <c r="J29" s="53">
        <v>1.28</v>
      </c>
      <c r="K29" s="53">
        <v>77.349999999999994</v>
      </c>
      <c r="L29" s="53">
        <v>25.1</v>
      </c>
      <c r="M29" s="53">
        <v>40.549999999999997</v>
      </c>
      <c r="N29" s="53">
        <v>0</v>
      </c>
      <c r="O29" s="53">
        <v>0</v>
      </c>
      <c r="P29" s="53">
        <v>0.65</v>
      </c>
      <c r="Q29" s="53">
        <v>4.78</v>
      </c>
    </row>
    <row r="30" spans="1:17" customFormat="1">
      <c r="A30" s="52">
        <v>45345.916666666664</v>
      </c>
      <c r="B30" s="53">
        <v>16.57</v>
      </c>
      <c r="C30" s="53">
        <v>24.05</v>
      </c>
      <c r="D30" s="53">
        <v>27.07</v>
      </c>
      <c r="E30" s="53">
        <v>13.35</v>
      </c>
      <c r="F30" s="53">
        <v>3.52</v>
      </c>
      <c r="G30" s="53">
        <v>144.6</v>
      </c>
      <c r="H30" s="53">
        <v>37.700000000000003</v>
      </c>
      <c r="I30" s="53">
        <v>5.69</v>
      </c>
      <c r="J30" s="53">
        <v>0.62</v>
      </c>
      <c r="K30" s="53">
        <v>184.38</v>
      </c>
      <c r="L30" s="53">
        <v>23.86</v>
      </c>
      <c r="M30" s="53">
        <v>50.96</v>
      </c>
      <c r="N30" s="53">
        <v>0</v>
      </c>
      <c r="O30" s="53">
        <v>0</v>
      </c>
      <c r="P30" s="53">
        <v>0.69</v>
      </c>
      <c r="Q30" s="53">
        <v>4.8</v>
      </c>
    </row>
    <row r="31" spans="1:17" customFormat="1">
      <c r="A31" s="52">
        <v>45345.958333333336</v>
      </c>
      <c r="B31" s="53">
        <v>16.66</v>
      </c>
      <c r="C31" s="53">
        <v>24.81</v>
      </c>
      <c r="D31" s="53">
        <v>27.68</v>
      </c>
      <c r="E31" s="53">
        <v>12.42</v>
      </c>
      <c r="F31" s="53">
        <v>3.39</v>
      </c>
      <c r="G31" s="53">
        <v>144.6</v>
      </c>
      <c r="H31" s="53">
        <v>39.31</v>
      </c>
      <c r="I31" s="53">
        <v>5.8</v>
      </c>
      <c r="J31" s="53">
        <v>0.28000000000000003</v>
      </c>
      <c r="K31" s="53">
        <v>181.37</v>
      </c>
      <c r="L31" s="53">
        <v>22.02</v>
      </c>
      <c r="M31" s="53">
        <v>59.06</v>
      </c>
      <c r="N31" s="53">
        <v>0</v>
      </c>
      <c r="O31" s="53">
        <v>0</v>
      </c>
      <c r="P31" s="53">
        <v>0.7</v>
      </c>
      <c r="Q31" s="53">
        <v>4.8099999999999996</v>
      </c>
    </row>
    <row r="32" spans="1:17" customFormat="1">
      <c r="A32" s="52">
        <v>45346</v>
      </c>
      <c r="B32" s="53">
        <v>16.21</v>
      </c>
      <c r="C32" s="53">
        <v>24.71</v>
      </c>
      <c r="D32" s="53">
        <v>27.26</v>
      </c>
      <c r="E32" s="53">
        <v>12.2</v>
      </c>
      <c r="F32" s="53">
        <v>3.53</v>
      </c>
      <c r="G32" s="53">
        <v>143.56</v>
      </c>
      <c r="H32" s="53">
        <v>39.31</v>
      </c>
      <c r="I32" s="53">
        <v>5.86</v>
      </c>
      <c r="J32" s="53">
        <v>0.41</v>
      </c>
      <c r="K32" s="53">
        <v>206.14</v>
      </c>
      <c r="L32" s="53">
        <v>21.83</v>
      </c>
      <c r="M32" s="53">
        <v>56.71</v>
      </c>
      <c r="N32" s="53">
        <v>0</v>
      </c>
      <c r="O32" s="53">
        <v>0</v>
      </c>
      <c r="P32" s="53">
        <v>0.69</v>
      </c>
      <c r="Q32" s="53">
        <v>4.79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5.9</v>
      </c>
      <c r="C34" s="40">
        <f t="shared" si="0"/>
        <v>16.940000000000001</v>
      </c>
      <c r="D34" s="40">
        <f t="shared" si="0"/>
        <v>15.54</v>
      </c>
      <c r="E34" s="40">
        <f t="shared" si="0"/>
        <v>7.07</v>
      </c>
      <c r="F34" s="40">
        <f t="shared" si="0"/>
        <v>3.39</v>
      </c>
      <c r="G34" s="40">
        <f t="shared" si="0"/>
        <v>49.68</v>
      </c>
      <c r="H34" s="40">
        <f t="shared" si="0"/>
        <v>16.78</v>
      </c>
      <c r="I34" s="40">
        <f t="shared" si="0"/>
        <v>4.07</v>
      </c>
      <c r="J34" s="40">
        <f t="shared" si="0"/>
        <v>0.22</v>
      </c>
      <c r="K34" s="40">
        <f t="shared" si="0"/>
        <v>49.76</v>
      </c>
      <c r="L34" s="40">
        <f t="shared" si="0"/>
        <v>18.34</v>
      </c>
      <c r="M34" s="40">
        <f t="shared" si="0"/>
        <v>25.76</v>
      </c>
      <c r="N34" s="40">
        <f t="shared" si="0"/>
        <v>0</v>
      </c>
      <c r="O34" s="40">
        <f t="shared" si="0"/>
        <v>0</v>
      </c>
      <c r="P34" s="40">
        <f t="shared" si="0"/>
        <v>0.43</v>
      </c>
      <c r="Q34" s="40">
        <f t="shared" si="0"/>
        <v>4.7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17.100000000000001</v>
      </c>
      <c r="C35" s="33">
        <f t="shared" si="1"/>
        <v>24.81</v>
      </c>
      <c r="D35" s="33">
        <f t="shared" si="1"/>
        <v>27.68</v>
      </c>
      <c r="E35" s="33">
        <f t="shared" si="1"/>
        <v>19.04</v>
      </c>
      <c r="F35" s="33">
        <f t="shared" si="1"/>
        <v>8.7899999999999991</v>
      </c>
      <c r="G35" s="33">
        <f t="shared" si="1"/>
        <v>144.6</v>
      </c>
      <c r="H35" s="33">
        <f t="shared" si="1"/>
        <v>39.31</v>
      </c>
      <c r="I35" s="33">
        <f t="shared" si="1"/>
        <v>6.67</v>
      </c>
      <c r="J35" s="33">
        <f t="shared" si="1"/>
        <v>1.65</v>
      </c>
      <c r="K35" s="33">
        <f t="shared" si="1"/>
        <v>356.94</v>
      </c>
      <c r="L35" s="33">
        <f t="shared" si="1"/>
        <v>30.28</v>
      </c>
      <c r="M35" s="33">
        <f t="shared" si="1"/>
        <v>79.77</v>
      </c>
      <c r="N35" s="33">
        <f t="shared" si="1"/>
        <v>699.7</v>
      </c>
      <c r="O35" s="33">
        <f t="shared" si="1"/>
        <v>0</v>
      </c>
      <c r="P35" s="33">
        <f t="shared" si="1"/>
        <v>0.7</v>
      </c>
      <c r="Q35" s="33">
        <f t="shared" si="1"/>
        <v>4.82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12.600000000000001</v>
      </c>
      <c r="C36" s="40">
        <f t="shared" si="2"/>
        <v>20.762499999999999</v>
      </c>
      <c r="D36" s="40">
        <f t="shared" si="2"/>
        <v>22.065000000000001</v>
      </c>
      <c r="E36" s="40">
        <f t="shared" si="2"/>
        <v>10.739166666666668</v>
      </c>
      <c r="F36" s="40">
        <f t="shared" si="2"/>
        <v>4.5495833333333326</v>
      </c>
      <c r="G36" s="40">
        <f t="shared" si="2"/>
        <v>81.086666666666659</v>
      </c>
      <c r="H36" s="40">
        <f t="shared" si="2"/>
        <v>25.612500000000001</v>
      </c>
      <c r="I36" s="40">
        <f t="shared" si="2"/>
        <v>5.3033333333333328</v>
      </c>
      <c r="J36" s="40">
        <f t="shared" si="2"/>
        <v>0.9337500000000003</v>
      </c>
      <c r="K36" s="40">
        <f t="shared" si="2"/>
        <v>119.91375000000001</v>
      </c>
      <c r="L36" s="40">
        <f t="shared" si="2"/>
        <v>24.61375</v>
      </c>
      <c r="M36" s="40">
        <f t="shared" si="2"/>
        <v>48.034999999999989</v>
      </c>
      <c r="N36" s="40">
        <f t="shared" si="2"/>
        <v>183.37083333333337</v>
      </c>
      <c r="O36" s="40">
        <f t="shared" si="2"/>
        <v>0</v>
      </c>
      <c r="P36" s="40">
        <f t="shared" si="2"/>
        <v>0.55041666666666667</v>
      </c>
      <c r="Q36" s="40">
        <f t="shared" si="2"/>
        <v>4.7641666666666671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3.620103289422405</v>
      </c>
      <c r="C37" s="40">
        <f t="shared" ref="C37:Q37" si="3">STDEV(C9:C32)</f>
        <v>2.410977160730726</v>
      </c>
      <c r="D37" s="40">
        <f t="shared" si="3"/>
        <v>3.3541771491419587</v>
      </c>
      <c r="E37" s="40">
        <f t="shared" si="3"/>
        <v>2.8818214600381169</v>
      </c>
      <c r="F37" s="40">
        <f t="shared" si="3"/>
        <v>1.6379241346944324</v>
      </c>
      <c r="G37" s="40">
        <f t="shared" si="3"/>
        <v>30.20359634023832</v>
      </c>
      <c r="H37" s="40">
        <f t="shared" si="3"/>
        <v>6.5801785690055556</v>
      </c>
      <c r="I37" s="40">
        <f t="shared" si="3"/>
        <v>0.73933381686057309</v>
      </c>
      <c r="J37" s="40">
        <f t="shared" si="3"/>
        <v>0.38630706979540547</v>
      </c>
      <c r="K37" s="40">
        <f t="shared" si="3"/>
        <v>89.73300545470866</v>
      </c>
      <c r="L37" s="40">
        <f t="shared" si="3"/>
        <v>3.8533472885384912</v>
      </c>
      <c r="M37" s="40">
        <f t="shared" si="3"/>
        <v>16.123115461160531</v>
      </c>
      <c r="N37" s="40">
        <f t="shared" si="3"/>
        <v>268.24415627034341</v>
      </c>
      <c r="O37" s="40">
        <f t="shared" si="3"/>
        <v>0</v>
      </c>
      <c r="P37" s="40">
        <f t="shared" si="3"/>
        <v>8.8636000472212512E-2</v>
      </c>
      <c r="Q37" s="40">
        <f t="shared" si="3"/>
        <v>3.1056283641530315E-2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A9" sqref="A9:XFD32"/>
      <selection pane="topRight" activeCell="A9" sqref="A9:XFD32"/>
      <selection pane="bottomLeft" activeCell="A9" sqref="A9:XFD32"/>
      <selection pane="bottomRight" activeCell="H39" sqref="H39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45346.041666666664</v>
      </c>
      <c r="B9" s="53">
        <v>16.420000000000002</v>
      </c>
      <c r="C9" s="53">
        <v>25.86</v>
      </c>
      <c r="D9" s="53">
        <v>28.03</v>
      </c>
      <c r="E9" s="53">
        <v>11.42</v>
      </c>
      <c r="F9" s="53">
        <v>3.37</v>
      </c>
      <c r="G9" s="53">
        <v>125.99</v>
      </c>
      <c r="H9" s="53">
        <v>38.869999999999997</v>
      </c>
      <c r="I9" s="53">
        <v>5.64</v>
      </c>
      <c r="J9" s="53">
        <v>0.41</v>
      </c>
      <c r="K9" s="53">
        <v>230.56</v>
      </c>
      <c r="L9" s="53">
        <v>21.09</v>
      </c>
      <c r="M9" s="53">
        <v>61.77</v>
      </c>
      <c r="N9" s="53">
        <v>0</v>
      </c>
      <c r="O9" s="53">
        <v>0</v>
      </c>
      <c r="P9" s="53">
        <v>0.65</v>
      </c>
      <c r="Q9" s="53">
        <v>4.8</v>
      </c>
    </row>
    <row r="10" spans="1:21" customFormat="1">
      <c r="A10" s="52">
        <v>45346.083333333336</v>
      </c>
      <c r="B10" s="53">
        <v>17.47</v>
      </c>
      <c r="C10" s="53">
        <v>26.11</v>
      </c>
      <c r="D10" s="53">
        <v>28.96</v>
      </c>
      <c r="E10" s="53">
        <v>10.88</v>
      </c>
      <c r="F10" s="53">
        <v>3.56</v>
      </c>
      <c r="G10" s="53">
        <v>107.47</v>
      </c>
      <c r="H10" s="53">
        <v>31.27</v>
      </c>
      <c r="I10" s="53">
        <v>5.4</v>
      </c>
      <c r="J10" s="53">
        <v>0.59</v>
      </c>
      <c r="K10" s="53">
        <v>183.16</v>
      </c>
      <c r="L10" s="53">
        <v>20.76</v>
      </c>
      <c r="M10" s="53">
        <v>60.61</v>
      </c>
      <c r="N10" s="53">
        <v>0</v>
      </c>
      <c r="O10" s="53">
        <v>0</v>
      </c>
      <c r="P10" s="53">
        <v>0.65</v>
      </c>
      <c r="Q10" s="53">
        <v>4.8099999999999996</v>
      </c>
    </row>
    <row r="11" spans="1:21" customFormat="1">
      <c r="A11" s="52">
        <v>45346.125</v>
      </c>
      <c r="B11" s="53">
        <v>16.829999999999998</v>
      </c>
      <c r="C11" s="53">
        <v>22.57</v>
      </c>
      <c r="D11" s="53">
        <v>26.64</v>
      </c>
      <c r="E11" s="53">
        <v>10.96</v>
      </c>
      <c r="F11" s="53">
        <v>3.65</v>
      </c>
      <c r="G11" s="53">
        <v>94.55</v>
      </c>
      <c r="H11" s="53">
        <v>29.89</v>
      </c>
      <c r="I11" s="53">
        <v>5.35</v>
      </c>
      <c r="J11" s="53">
        <v>0.75</v>
      </c>
      <c r="K11" s="53">
        <v>53</v>
      </c>
      <c r="L11" s="53">
        <v>20.46</v>
      </c>
      <c r="M11" s="53">
        <v>60.4</v>
      </c>
      <c r="N11" s="53">
        <v>0</v>
      </c>
      <c r="O11" s="53">
        <v>0</v>
      </c>
      <c r="P11" s="53">
        <v>0.64</v>
      </c>
      <c r="Q11" s="53">
        <v>4.78</v>
      </c>
    </row>
    <row r="12" spans="1:21" customFormat="1">
      <c r="A12" s="52">
        <v>45346.166666666664</v>
      </c>
      <c r="B12" s="53">
        <v>15.67</v>
      </c>
      <c r="C12" s="53">
        <v>21.05</v>
      </c>
      <c r="D12" s="53">
        <v>24.72</v>
      </c>
      <c r="E12" s="53">
        <v>10.18</v>
      </c>
      <c r="F12" s="53">
        <v>3.47</v>
      </c>
      <c r="G12" s="53">
        <v>94.55</v>
      </c>
      <c r="H12" s="53">
        <v>29.89</v>
      </c>
      <c r="I12" s="53">
        <v>5.31</v>
      </c>
      <c r="J12" s="53">
        <v>0.73</v>
      </c>
      <c r="K12" s="53">
        <v>57.13</v>
      </c>
      <c r="L12" s="53">
        <v>19.97</v>
      </c>
      <c r="M12" s="53">
        <v>60.36</v>
      </c>
      <c r="N12" s="53">
        <v>0</v>
      </c>
      <c r="O12" s="53">
        <v>0</v>
      </c>
      <c r="P12" s="53">
        <v>0.62</v>
      </c>
      <c r="Q12" s="53">
        <v>4.79</v>
      </c>
    </row>
    <row r="13" spans="1:21" customFormat="1">
      <c r="A13" s="52">
        <v>45346.208333333336</v>
      </c>
      <c r="B13" s="53">
        <v>15.73</v>
      </c>
      <c r="C13" s="53">
        <v>20.65</v>
      </c>
      <c r="D13" s="53">
        <v>24.58</v>
      </c>
      <c r="E13" s="53">
        <v>9.92</v>
      </c>
      <c r="F13" s="53">
        <v>3.48</v>
      </c>
      <c r="G13" s="53">
        <v>93.01</v>
      </c>
      <c r="H13" s="53">
        <v>28.92</v>
      </c>
      <c r="I13" s="53">
        <v>5.36</v>
      </c>
      <c r="J13" s="53">
        <v>0.94</v>
      </c>
      <c r="K13" s="53">
        <v>60.39</v>
      </c>
      <c r="L13" s="53">
        <v>19.55</v>
      </c>
      <c r="M13" s="53">
        <v>59.42</v>
      </c>
      <c r="N13" s="53">
        <v>0</v>
      </c>
      <c r="O13" s="53">
        <v>0</v>
      </c>
      <c r="P13" s="53">
        <v>0.61</v>
      </c>
      <c r="Q13" s="53">
        <v>4.78</v>
      </c>
    </row>
    <row r="14" spans="1:21" customFormat="1">
      <c r="A14" s="52">
        <v>45346.25</v>
      </c>
      <c r="B14" s="53">
        <v>17.48</v>
      </c>
      <c r="C14" s="53">
        <v>21.18</v>
      </c>
      <c r="D14" s="53">
        <v>26.02</v>
      </c>
      <c r="E14" s="53">
        <v>10.52</v>
      </c>
      <c r="F14" s="53">
        <v>3.36</v>
      </c>
      <c r="G14" s="53">
        <v>84.27</v>
      </c>
      <c r="H14" s="53">
        <v>27.71</v>
      </c>
      <c r="I14" s="53">
        <v>5.45</v>
      </c>
      <c r="J14" s="53">
        <v>0.99</v>
      </c>
      <c r="K14" s="53">
        <v>55.26</v>
      </c>
      <c r="L14" s="53">
        <v>19.21</v>
      </c>
      <c r="M14" s="53">
        <v>59.2</v>
      </c>
      <c r="N14" s="53">
        <v>0</v>
      </c>
      <c r="O14" s="53">
        <v>0</v>
      </c>
      <c r="P14" s="53">
        <v>0.6</v>
      </c>
      <c r="Q14" s="53">
        <v>4.78</v>
      </c>
    </row>
    <row r="15" spans="1:21" customFormat="1">
      <c r="A15" s="52">
        <v>45346.291666666664</v>
      </c>
      <c r="B15" s="53">
        <v>18.5</v>
      </c>
      <c r="C15" s="53">
        <v>21.7</v>
      </c>
      <c r="D15" s="53">
        <v>27.52</v>
      </c>
      <c r="E15" s="53">
        <v>10.43</v>
      </c>
      <c r="F15" s="53">
        <v>3.42</v>
      </c>
      <c r="G15" s="53">
        <v>81.39</v>
      </c>
      <c r="H15" s="53">
        <v>28.11</v>
      </c>
      <c r="I15" s="53">
        <v>5.7</v>
      </c>
      <c r="J15" s="53">
        <v>0.9</v>
      </c>
      <c r="K15" s="53">
        <v>55.82</v>
      </c>
      <c r="L15" s="53">
        <v>18.920000000000002</v>
      </c>
      <c r="M15" s="53">
        <v>61.16</v>
      </c>
      <c r="N15" s="53">
        <v>17.399999999999999</v>
      </c>
      <c r="O15" s="53">
        <v>0</v>
      </c>
      <c r="P15" s="53">
        <v>0.6</v>
      </c>
      <c r="Q15" s="53">
        <v>4.8</v>
      </c>
    </row>
    <row r="16" spans="1:21" customFormat="1">
      <c r="A16" s="52">
        <v>45346.333333333336</v>
      </c>
      <c r="B16" s="53">
        <v>18.670000000000002</v>
      </c>
      <c r="C16" s="53">
        <v>23.06</v>
      </c>
      <c r="D16" s="53">
        <v>28.18</v>
      </c>
      <c r="E16" s="53">
        <v>10.95</v>
      </c>
      <c r="F16" s="53">
        <v>3.44</v>
      </c>
      <c r="G16" s="53">
        <v>83.53</v>
      </c>
      <c r="H16" s="53">
        <v>28.11</v>
      </c>
      <c r="I16" s="53">
        <v>6.17</v>
      </c>
      <c r="J16" s="53">
        <v>1.66</v>
      </c>
      <c r="K16" s="53">
        <v>58.72</v>
      </c>
      <c r="L16" s="53">
        <v>20.23</v>
      </c>
      <c r="M16" s="53">
        <v>60.63</v>
      </c>
      <c r="N16" s="53">
        <v>93.9</v>
      </c>
      <c r="O16" s="53">
        <v>0</v>
      </c>
      <c r="P16" s="53">
        <v>0.65</v>
      </c>
      <c r="Q16" s="53">
        <v>4.8099999999999996</v>
      </c>
    </row>
    <row r="17" spans="1:17" customFormat="1">
      <c r="A17" s="52">
        <v>45346.375</v>
      </c>
      <c r="B17" s="53">
        <v>17.16</v>
      </c>
      <c r="C17" s="53">
        <v>23.26</v>
      </c>
      <c r="D17" s="53">
        <v>27.22</v>
      </c>
      <c r="E17" s="53">
        <v>11.6</v>
      </c>
      <c r="F17" s="53">
        <v>3.76</v>
      </c>
      <c r="G17" s="53">
        <v>85.28</v>
      </c>
      <c r="H17" s="53">
        <v>27.55</v>
      </c>
      <c r="I17" s="53">
        <v>6.39</v>
      </c>
      <c r="J17" s="53">
        <v>1.58</v>
      </c>
      <c r="K17" s="53">
        <v>76.040000000000006</v>
      </c>
      <c r="L17" s="53">
        <v>23.61</v>
      </c>
      <c r="M17" s="53">
        <v>54.52</v>
      </c>
      <c r="N17" s="53">
        <v>289.60000000000002</v>
      </c>
      <c r="O17" s="53">
        <v>0</v>
      </c>
      <c r="P17" s="53">
        <v>0.65</v>
      </c>
      <c r="Q17" s="53">
        <v>4.8</v>
      </c>
    </row>
    <row r="18" spans="1:17" customFormat="1">
      <c r="A18" s="52">
        <v>45346.416666666664</v>
      </c>
      <c r="B18" s="53">
        <v>13.23</v>
      </c>
      <c r="C18" s="53">
        <v>23.5</v>
      </c>
      <c r="D18" s="53">
        <v>24.19</v>
      </c>
      <c r="E18" s="53">
        <v>12.06</v>
      </c>
      <c r="F18" s="53">
        <v>3.94</v>
      </c>
      <c r="G18" s="53">
        <v>85.28</v>
      </c>
      <c r="H18" s="53">
        <v>31.3</v>
      </c>
      <c r="I18" s="53">
        <v>6.41</v>
      </c>
      <c r="J18" s="53">
        <v>1.24</v>
      </c>
      <c r="K18" s="53">
        <v>77.12</v>
      </c>
      <c r="L18" s="53">
        <v>25.56</v>
      </c>
      <c r="M18" s="53">
        <v>48.2</v>
      </c>
      <c r="N18" s="53">
        <v>383.2</v>
      </c>
      <c r="O18" s="53">
        <v>0</v>
      </c>
      <c r="P18" s="53">
        <v>0.66</v>
      </c>
      <c r="Q18" s="53">
        <v>4.78</v>
      </c>
    </row>
    <row r="19" spans="1:17" customFormat="1">
      <c r="A19" s="52">
        <v>45346.458333333336</v>
      </c>
      <c r="B19" s="53">
        <v>9.2100000000000009</v>
      </c>
      <c r="C19" s="53">
        <v>23.32</v>
      </c>
      <c r="D19" s="53">
        <v>20.87</v>
      </c>
      <c r="E19" s="53">
        <v>8.08</v>
      </c>
      <c r="F19" s="53">
        <v>5.68</v>
      </c>
      <c r="G19" s="53">
        <v>76.7</v>
      </c>
      <c r="H19" s="53">
        <v>31.3</v>
      </c>
      <c r="I19" s="53">
        <v>6.4</v>
      </c>
      <c r="J19" s="53">
        <v>0.81</v>
      </c>
      <c r="K19" s="53">
        <v>107.97</v>
      </c>
      <c r="L19" s="53">
        <v>28.33</v>
      </c>
      <c r="M19" s="53">
        <v>47.59</v>
      </c>
      <c r="N19" s="53">
        <v>561.9</v>
      </c>
      <c r="O19" s="53">
        <v>0</v>
      </c>
      <c r="P19" s="53">
        <v>0.67</v>
      </c>
      <c r="Q19" s="53">
        <v>4.75</v>
      </c>
    </row>
    <row r="20" spans="1:17" customFormat="1">
      <c r="A20" s="52">
        <v>45346.5</v>
      </c>
      <c r="B20" s="53">
        <v>5.78</v>
      </c>
      <c r="C20" s="53">
        <v>22</v>
      </c>
      <c r="D20" s="53">
        <v>17.48</v>
      </c>
      <c r="E20" s="53">
        <v>8.07</v>
      </c>
      <c r="F20" s="53">
        <v>5.76</v>
      </c>
      <c r="G20" s="53">
        <v>74.489999999999995</v>
      </c>
      <c r="H20" s="53">
        <v>28.16</v>
      </c>
      <c r="I20" s="53">
        <v>6.3</v>
      </c>
      <c r="J20" s="53">
        <v>0.96</v>
      </c>
      <c r="K20" s="53">
        <v>160.86000000000001</v>
      </c>
      <c r="L20" s="53">
        <v>29.76</v>
      </c>
      <c r="M20" s="53">
        <v>42.38</v>
      </c>
      <c r="N20" s="53">
        <v>624.4</v>
      </c>
      <c r="O20" s="53">
        <v>0</v>
      </c>
      <c r="P20" s="53">
        <v>0.67</v>
      </c>
      <c r="Q20" s="53">
        <v>4.7300000000000004</v>
      </c>
    </row>
    <row r="21" spans="1:17" customFormat="1">
      <c r="A21" s="52">
        <v>45346.541666666664</v>
      </c>
      <c r="B21" s="53">
        <v>4.0599999999999996</v>
      </c>
      <c r="C21" s="53">
        <v>18.41</v>
      </c>
      <c r="D21" s="53">
        <v>14.23</v>
      </c>
      <c r="E21" s="53">
        <v>6.15</v>
      </c>
      <c r="F21" s="53">
        <v>6.15</v>
      </c>
      <c r="G21" s="53">
        <v>68.62</v>
      </c>
      <c r="H21" s="53">
        <v>26.35</v>
      </c>
      <c r="I21" s="53">
        <v>6.08</v>
      </c>
      <c r="J21" s="53">
        <v>0.45</v>
      </c>
      <c r="K21" s="53">
        <v>286.89999999999998</v>
      </c>
      <c r="L21" s="53">
        <v>31.2</v>
      </c>
      <c r="M21" s="53">
        <v>37.22</v>
      </c>
      <c r="N21" s="53">
        <v>635.79999999999995</v>
      </c>
      <c r="O21" s="53">
        <v>0</v>
      </c>
      <c r="P21" s="53">
        <v>0.67</v>
      </c>
      <c r="Q21" s="53">
        <v>4.6900000000000004</v>
      </c>
    </row>
    <row r="22" spans="1:17" customFormat="1">
      <c r="A22" s="52">
        <v>45346.583333333336</v>
      </c>
      <c r="B22" s="53">
        <v>3.25</v>
      </c>
      <c r="C22" s="53">
        <v>16.97</v>
      </c>
      <c r="D22" s="53">
        <v>12.69</v>
      </c>
      <c r="E22" s="53">
        <v>6.64</v>
      </c>
      <c r="F22" s="53">
        <v>13.36</v>
      </c>
      <c r="G22" s="53">
        <v>64.69</v>
      </c>
      <c r="H22" s="53">
        <v>26.35</v>
      </c>
      <c r="I22" s="53">
        <v>5.94</v>
      </c>
      <c r="J22" s="53">
        <v>0.88</v>
      </c>
      <c r="K22" s="53">
        <v>331.75</v>
      </c>
      <c r="L22" s="53">
        <v>31.8</v>
      </c>
      <c r="M22" s="53">
        <v>36.619999999999997</v>
      </c>
      <c r="N22" s="53">
        <v>614.5</v>
      </c>
      <c r="O22" s="53">
        <v>0</v>
      </c>
      <c r="P22" s="53">
        <v>0.65</v>
      </c>
      <c r="Q22" s="53">
        <v>4.68</v>
      </c>
    </row>
    <row r="23" spans="1:17" customFormat="1">
      <c r="A23" s="52">
        <v>45346.625</v>
      </c>
      <c r="B23" s="53">
        <v>6.31</v>
      </c>
      <c r="C23" s="53">
        <v>11.62</v>
      </c>
      <c r="D23" s="53">
        <v>12.1</v>
      </c>
      <c r="E23" s="11" t="s">
        <v>12</v>
      </c>
      <c r="F23" s="53">
        <v>24.12</v>
      </c>
      <c r="G23" s="11" t="s">
        <v>12</v>
      </c>
      <c r="H23" s="11" t="s">
        <v>12</v>
      </c>
      <c r="I23" s="53">
        <v>20.16</v>
      </c>
      <c r="J23" s="53">
        <v>0.74</v>
      </c>
      <c r="K23" s="53">
        <v>280.27</v>
      </c>
      <c r="L23" s="53">
        <v>31.94</v>
      </c>
      <c r="M23" s="53">
        <v>35.46</v>
      </c>
      <c r="N23" s="53">
        <v>560.29999999999995</v>
      </c>
      <c r="O23" s="53">
        <v>0</v>
      </c>
      <c r="P23" s="53">
        <v>0.42</v>
      </c>
      <c r="Q23" s="53">
        <v>4.6500000000000004</v>
      </c>
    </row>
    <row r="24" spans="1:17" customFormat="1">
      <c r="A24" s="52">
        <v>45346.666666666664</v>
      </c>
      <c r="B24" s="53">
        <v>4.32</v>
      </c>
      <c r="C24" s="53">
        <v>13.08</v>
      </c>
      <c r="D24" s="53">
        <v>11.17</v>
      </c>
      <c r="E24" s="53">
        <v>7.18</v>
      </c>
      <c r="F24" s="53">
        <v>27.64</v>
      </c>
      <c r="G24" s="53">
        <v>37.11</v>
      </c>
      <c r="H24" s="53">
        <v>0.85</v>
      </c>
      <c r="I24" s="53">
        <v>54.07</v>
      </c>
      <c r="J24" s="53">
        <v>0.57999999999999996</v>
      </c>
      <c r="K24" s="53">
        <v>317.11</v>
      </c>
      <c r="L24" s="53">
        <v>31.19</v>
      </c>
      <c r="M24" s="53">
        <v>33.46</v>
      </c>
      <c r="N24" s="53">
        <v>116.1</v>
      </c>
      <c r="O24" s="53">
        <v>0</v>
      </c>
      <c r="P24" s="53">
        <v>0.41</v>
      </c>
      <c r="Q24" s="53">
        <v>4.6500000000000004</v>
      </c>
    </row>
    <row r="25" spans="1:17" customFormat="1">
      <c r="A25" s="52">
        <v>45346.708333333336</v>
      </c>
      <c r="B25" s="53">
        <v>4.4000000000000004</v>
      </c>
      <c r="C25" s="53">
        <v>16.28</v>
      </c>
      <c r="D25" s="53">
        <v>13.39</v>
      </c>
      <c r="E25" s="53">
        <v>6.25</v>
      </c>
      <c r="F25" s="53">
        <v>8.9</v>
      </c>
      <c r="G25" s="53">
        <v>39.76</v>
      </c>
      <c r="H25" s="53">
        <v>4.3600000000000003</v>
      </c>
      <c r="I25" s="53">
        <v>51.92</v>
      </c>
      <c r="J25" s="53">
        <v>0.31</v>
      </c>
      <c r="K25" s="53">
        <v>290.42</v>
      </c>
      <c r="L25" s="53">
        <v>31.08</v>
      </c>
      <c r="M25" s="53">
        <v>33.03</v>
      </c>
      <c r="N25" s="53">
        <v>109.2</v>
      </c>
      <c r="O25" s="53">
        <v>0</v>
      </c>
      <c r="P25" s="53">
        <v>0.39</v>
      </c>
      <c r="Q25" s="53">
        <v>4.72</v>
      </c>
    </row>
    <row r="26" spans="1:17" customFormat="1">
      <c r="A26" s="52">
        <v>45346.75</v>
      </c>
      <c r="B26" s="53">
        <v>7.35</v>
      </c>
      <c r="C26" s="53">
        <v>22.39</v>
      </c>
      <c r="D26" s="53">
        <v>18.52</v>
      </c>
      <c r="E26" s="53">
        <v>8.9</v>
      </c>
      <c r="F26" s="53">
        <v>11.36</v>
      </c>
      <c r="G26" s="53">
        <v>55.22</v>
      </c>
      <c r="H26" s="53">
        <v>9.77</v>
      </c>
      <c r="I26" s="53">
        <v>41.35</v>
      </c>
      <c r="J26" s="53">
        <v>0.65</v>
      </c>
      <c r="K26" s="53">
        <v>59.03</v>
      </c>
      <c r="L26" s="53">
        <v>30.34</v>
      </c>
      <c r="M26" s="53">
        <v>37.31</v>
      </c>
      <c r="N26" s="53">
        <v>43.1</v>
      </c>
      <c r="O26" s="53">
        <v>0</v>
      </c>
      <c r="P26" s="53">
        <v>0.43</v>
      </c>
      <c r="Q26" s="53">
        <v>4.7</v>
      </c>
    </row>
    <row r="27" spans="1:17" customFormat="1">
      <c r="A27" s="52">
        <v>45346.791666666664</v>
      </c>
      <c r="B27" s="53">
        <v>8.89</v>
      </c>
      <c r="C27" s="53">
        <v>26.23</v>
      </c>
      <c r="D27" s="53">
        <v>22.19</v>
      </c>
      <c r="E27" s="53">
        <v>9.08</v>
      </c>
      <c r="F27" s="53">
        <v>8.17</v>
      </c>
      <c r="G27" s="53">
        <v>84.57</v>
      </c>
      <c r="H27" s="53">
        <v>25.39</v>
      </c>
      <c r="I27" s="53">
        <v>33.46</v>
      </c>
      <c r="J27" s="53">
        <v>0.82</v>
      </c>
      <c r="K27" s="53">
        <v>56.59</v>
      </c>
      <c r="L27" s="53">
        <v>28.23</v>
      </c>
      <c r="M27" s="53">
        <v>46.51</v>
      </c>
      <c r="N27" s="53">
        <v>0</v>
      </c>
      <c r="O27" s="53">
        <v>0</v>
      </c>
      <c r="P27" s="53">
        <v>0.56000000000000005</v>
      </c>
      <c r="Q27" s="53">
        <v>4.75</v>
      </c>
    </row>
    <row r="28" spans="1:17" customFormat="1">
      <c r="A28" s="52">
        <v>45346.833333333336</v>
      </c>
      <c r="B28" s="53">
        <v>9.14</v>
      </c>
      <c r="C28" s="53">
        <v>27.27</v>
      </c>
      <c r="D28" s="53">
        <v>22.86</v>
      </c>
      <c r="E28" s="53">
        <v>8.5500000000000007</v>
      </c>
      <c r="F28" s="53">
        <v>6.85</v>
      </c>
      <c r="G28" s="53">
        <v>104.98</v>
      </c>
      <c r="H28" s="53">
        <v>30.24</v>
      </c>
      <c r="I28" s="53">
        <v>26.91</v>
      </c>
      <c r="J28" s="53">
        <v>0.66</v>
      </c>
      <c r="K28" s="53">
        <v>63.62</v>
      </c>
      <c r="L28" s="53">
        <v>26.93</v>
      </c>
      <c r="M28" s="53">
        <v>52.45</v>
      </c>
      <c r="N28" s="53">
        <v>0</v>
      </c>
      <c r="O28" s="53">
        <v>0</v>
      </c>
      <c r="P28" s="53">
        <v>0.67</v>
      </c>
      <c r="Q28" s="53">
        <v>4.74</v>
      </c>
    </row>
    <row r="29" spans="1:17" customFormat="1">
      <c r="A29" s="52">
        <v>45346.875</v>
      </c>
      <c r="B29" s="53">
        <v>9.86</v>
      </c>
      <c r="C29" s="53">
        <v>28.12</v>
      </c>
      <c r="D29" s="53">
        <v>23.94</v>
      </c>
      <c r="E29" s="53">
        <v>8.25</v>
      </c>
      <c r="F29" s="53">
        <v>4.84</v>
      </c>
      <c r="G29" s="53">
        <v>118.25</v>
      </c>
      <c r="H29" s="53">
        <v>38.56</v>
      </c>
      <c r="I29" s="53">
        <v>24.48</v>
      </c>
      <c r="J29" s="53">
        <v>0.64</v>
      </c>
      <c r="K29" s="53">
        <v>154.15</v>
      </c>
      <c r="L29" s="53">
        <v>25.85</v>
      </c>
      <c r="M29" s="53">
        <v>63.88</v>
      </c>
      <c r="N29" s="53">
        <v>0</v>
      </c>
      <c r="O29" s="53">
        <v>0</v>
      </c>
      <c r="P29" s="53">
        <v>0.76</v>
      </c>
      <c r="Q29" s="53">
        <v>4.7300000000000004</v>
      </c>
    </row>
    <row r="30" spans="1:17" customFormat="1">
      <c r="A30" s="52">
        <v>45346.916666666664</v>
      </c>
      <c r="B30" s="53">
        <v>10.029999999999999</v>
      </c>
      <c r="C30" s="53">
        <v>27.46</v>
      </c>
      <c r="D30" s="53">
        <v>23.54</v>
      </c>
      <c r="E30" s="53">
        <v>8.4</v>
      </c>
      <c r="F30" s="53">
        <v>5.08</v>
      </c>
      <c r="G30" s="53">
        <v>118.25</v>
      </c>
      <c r="H30" s="53">
        <v>38.56</v>
      </c>
      <c r="I30" s="53">
        <v>22.23</v>
      </c>
      <c r="J30" s="53">
        <v>0.33</v>
      </c>
      <c r="K30" s="53">
        <v>156.65</v>
      </c>
      <c r="L30" s="53">
        <v>24.91</v>
      </c>
      <c r="M30" s="53">
        <v>62.85</v>
      </c>
      <c r="N30" s="53">
        <v>0</v>
      </c>
      <c r="O30" s="53">
        <v>0</v>
      </c>
      <c r="P30" s="53">
        <v>0.8</v>
      </c>
      <c r="Q30" s="53">
        <v>4.7300000000000004</v>
      </c>
    </row>
    <row r="31" spans="1:17" customFormat="1">
      <c r="A31" s="52">
        <v>45346.958333333336</v>
      </c>
      <c r="B31" s="53">
        <v>10.54</v>
      </c>
      <c r="C31" s="53">
        <v>20.16</v>
      </c>
      <c r="D31" s="53">
        <v>20.16</v>
      </c>
      <c r="E31" s="53">
        <v>6.33</v>
      </c>
      <c r="F31" s="53">
        <v>4.8600000000000003</v>
      </c>
      <c r="G31" s="53">
        <v>116.79</v>
      </c>
      <c r="H31" s="53">
        <v>40.98</v>
      </c>
      <c r="I31" s="53">
        <v>20.350000000000001</v>
      </c>
      <c r="J31" s="53">
        <v>1.05</v>
      </c>
      <c r="K31" s="53">
        <v>182.86</v>
      </c>
      <c r="L31" s="53">
        <v>23.77</v>
      </c>
      <c r="M31" s="53">
        <v>73.19</v>
      </c>
      <c r="N31" s="53">
        <v>0</v>
      </c>
      <c r="O31" s="53">
        <v>0</v>
      </c>
      <c r="P31" s="53">
        <v>0.8</v>
      </c>
      <c r="Q31" s="53">
        <v>4.72</v>
      </c>
    </row>
    <row r="32" spans="1:17" customFormat="1">
      <c r="A32" s="52">
        <v>45347</v>
      </c>
      <c r="B32" s="53">
        <v>10.87</v>
      </c>
      <c r="C32" s="53">
        <v>19.05</v>
      </c>
      <c r="D32" s="53">
        <v>19.920000000000002</v>
      </c>
      <c r="E32" s="53">
        <v>8.01</v>
      </c>
      <c r="F32" s="53">
        <v>5.24</v>
      </c>
      <c r="G32" s="53">
        <v>116.79</v>
      </c>
      <c r="H32" s="53">
        <v>40.98</v>
      </c>
      <c r="I32" s="53">
        <v>19.010000000000002</v>
      </c>
      <c r="J32" s="53">
        <v>1.87</v>
      </c>
      <c r="K32" s="53">
        <v>57.97</v>
      </c>
      <c r="L32" s="53">
        <v>23.69</v>
      </c>
      <c r="M32" s="53">
        <v>68.34</v>
      </c>
      <c r="N32" s="53">
        <v>0</v>
      </c>
      <c r="O32" s="53">
        <v>0</v>
      </c>
      <c r="P32" s="53">
        <v>0.79</v>
      </c>
      <c r="Q32" s="53">
        <v>4.71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3.25</v>
      </c>
      <c r="C34" s="40">
        <f t="shared" si="0"/>
        <v>11.62</v>
      </c>
      <c r="D34" s="40">
        <f t="shared" si="0"/>
        <v>11.17</v>
      </c>
      <c r="E34" s="40">
        <f t="shared" si="0"/>
        <v>6.15</v>
      </c>
      <c r="F34" s="40">
        <f t="shared" si="0"/>
        <v>3.36</v>
      </c>
      <c r="G34" s="40">
        <f t="shared" si="0"/>
        <v>37.11</v>
      </c>
      <c r="H34" s="40">
        <f t="shared" si="0"/>
        <v>0.85</v>
      </c>
      <c r="I34" s="40">
        <f t="shared" si="0"/>
        <v>5.31</v>
      </c>
      <c r="J34" s="40">
        <f t="shared" si="0"/>
        <v>0.31</v>
      </c>
      <c r="K34" s="40">
        <f t="shared" si="0"/>
        <v>53</v>
      </c>
      <c r="L34" s="40">
        <f t="shared" si="0"/>
        <v>18.920000000000002</v>
      </c>
      <c r="M34" s="40">
        <f t="shared" si="0"/>
        <v>33.03</v>
      </c>
      <c r="N34" s="40">
        <f t="shared" si="0"/>
        <v>0</v>
      </c>
      <c r="O34" s="40">
        <f t="shared" si="0"/>
        <v>0</v>
      </c>
      <c r="P34" s="40">
        <f t="shared" si="0"/>
        <v>0.39</v>
      </c>
      <c r="Q34" s="40">
        <f t="shared" si="0"/>
        <v>4.6500000000000004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18.670000000000002</v>
      </c>
      <c r="C35" s="33">
        <f t="shared" si="1"/>
        <v>28.12</v>
      </c>
      <c r="D35" s="33">
        <f t="shared" si="1"/>
        <v>28.96</v>
      </c>
      <c r="E35" s="33">
        <f t="shared" si="1"/>
        <v>12.06</v>
      </c>
      <c r="F35" s="33">
        <f t="shared" si="1"/>
        <v>27.64</v>
      </c>
      <c r="G35" s="33">
        <f t="shared" si="1"/>
        <v>125.99</v>
      </c>
      <c r="H35" s="33">
        <f t="shared" si="1"/>
        <v>40.98</v>
      </c>
      <c r="I35" s="33">
        <f t="shared" si="1"/>
        <v>54.07</v>
      </c>
      <c r="J35" s="33">
        <f t="shared" si="1"/>
        <v>1.87</v>
      </c>
      <c r="K35" s="33">
        <f t="shared" si="1"/>
        <v>331.75</v>
      </c>
      <c r="L35" s="33">
        <f t="shared" si="1"/>
        <v>31.94</v>
      </c>
      <c r="M35" s="33">
        <f t="shared" si="1"/>
        <v>73.19</v>
      </c>
      <c r="N35" s="33">
        <f t="shared" si="1"/>
        <v>635.79999999999995</v>
      </c>
      <c r="O35" s="33">
        <f t="shared" si="1"/>
        <v>0</v>
      </c>
      <c r="P35" s="33">
        <f t="shared" si="1"/>
        <v>0.8</v>
      </c>
      <c r="Q35" s="33">
        <f t="shared" si="1"/>
        <v>4.8099999999999996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11.29875</v>
      </c>
      <c r="C36" s="40">
        <f t="shared" si="2"/>
        <v>21.720833333333331</v>
      </c>
      <c r="D36" s="40">
        <f t="shared" si="2"/>
        <v>21.630000000000006</v>
      </c>
      <c r="E36" s="40">
        <f t="shared" si="2"/>
        <v>9.0786956521739146</v>
      </c>
      <c r="F36" s="40">
        <f t="shared" si="2"/>
        <v>7.2275000000000018</v>
      </c>
      <c r="G36" s="40">
        <f t="shared" si="2"/>
        <v>87.458260869565223</v>
      </c>
      <c r="H36" s="40">
        <f t="shared" si="2"/>
        <v>27.97695652173914</v>
      </c>
      <c r="I36" s="40">
        <f t="shared" si="2"/>
        <v>16.493333333333336</v>
      </c>
      <c r="J36" s="40">
        <f t="shared" si="2"/>
        <v>0.85583333333333345</v>
      </c>
      <c r="K36" s="40">
        <f t="shared" si="2"/>
        <v>142.22291666666669</v>
      </c>
      <c r="L36" s="40">
        <f t="shared" si="2"/>
        <v>25.349166666666662</v>
      </c>
      <c r="M36" s="40">
        <f t="shared" si="2"/>
        <v>52.356666666666676</v>
      </c>
      <c r="N36" s="40">
        <f t="shared" si="2"/>
        <v>168.72499999999999</v>
      </c>
      <c r="O36" s="40">
        <f t="shared" si="2"/>
        <v>0</v>
      </c>
      <c r="P36" s="40">
        <f t="shared" si="2"/>
        <v>0.62583333333333346</v>
      </c>
      <c r="Q36" s="40">
        <f t="shared" si="2"/>
        <v>4.7450000000000001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5.1911884477448904</v>
      </c>
      <c r="C37" s="40">
        <f t="shared" ref="C37:Q37" si="3">STDEV(C9:C32)</f>
        <v>4.2927004945875318</v>
      </c>
      <c r="D37" s="40">
        <f t="shared" si="3"/>
        <v>5.590712795808539</v>
      </c>
      <c r="E37" s="40">
        <f t="shared" si="3"/>
        <v>1.8480808334048586</v>
      </c>
      <c r="F37" s="40">
        <f t="shared" si="3"/>
        <v>6.3315608694442993</v>
      </c>
      <c r="G37" s="40">
        <f t="shared" si="3"/>
        <v>24.334193983732998</v>
      </c>
      <c r="H37" s="40">
        <f t="shared" si="3"/>
        <v>10.367151548294057</v>
      </c>
      <c r="I37" s="40">
        <f t="shared" si="3"/>
        <v>15.324097722688032</v>
      </c>
      <c r="J37" s="40">
        <f t="shared" si="3"/>
        <v>0.39995561347932446</v>
      </c>
      <c r="K37" s="40">
        <f t="shared" si="3"/>
        <v>98.136330040061495</v>
      </c>
      <c r="L37" s="40">
        <f t="shared" si="3"/>
        <v>4.6154249101734379</v>
      </c>
      <c r="M37" s="40">
        <f t="shared" si="3"/>
        <v>12.083419350018678</v>
      </c>
      <c r="N37" s="40">
        <f t="shared" si="3"/>
        <v>245.41462386886329</v>
      </c>
      <c r="O37" s="40">
        <f t="shared" si="3"/>
        <v>0</v>
      </c>
      <c r="P37" s="40">
        <f t="shared" si="3"/>
        <v>0.1154543639059495</v>
      </c>
      <c r="Q37" s="40">
        <f t="shared" si="3"/>
        <v>4.8900964692182448E-2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v>24</v>
      </c>
      <c r="F38" s="45">
        <f t="shared" si="4"/>
        <v>24</v>
      </c>
      <c r="G38" s="45">
        <v>24</v>
      </c>
      <c r="H38" s="45"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:XFD32"/>
      <selection pane="topRight" activeCell="A9" sqref="A9:XFD32"/>
      <selection pane="bottomLeft" activeCell="A9" sqref="A9:XFD32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45347.041666666664</v>
      </c>
      <c r="B9" s="53">
        <v>9.36</v>
      </c>
      <c r="C9" s="53">
        <v>16.86</v>
      </c>
      <c r="D9" s="53">
        <v>17.670000000000002</v>
      </c>
      <c r="E9" s="53">
        <v>6.42</v>
      </c>
      <c r="F9" s="53">
        <v>5.05</v>
      </c>
      <c r="G9" s="53">
        <v>111.8</v>
      </c>
      <c r="H9" s="53">
        <v>40.11</v>
      </c>
      <c r="I9" s="53">
        <v>17.649999999999999</v>
      </c>
      <c r="J9" s="53">
        <v>1.56</v>
      </c>
      <c r="K9" s="53">
        <v>66.37</v>
      </c>
      <c r="L9" s="53">
        <v>22.61</v>
      </c>
      <c r="M9" s="53">
        <v>66.55</v>
      </c>
      <c r="N9" s="53">
        <v>0</v>
      </c>
      <c r="O9" s="53">
        <v>0</v>
      </c>
      <c r="P9" s="53">
        <v>0.75</v>
      </c>
      <c r="Q9" s="53">
        <v>4.7300000000000004</v>
      </c>
    </row>
    <row r="10" spans="1:21" customFormat="1">
      <c r="A10" s="52">
        <v>45347.083333333336</v>
      </c>
      <c r="B10" s="53">
        <v>10.38</v>
      </c>
      <c r="C10" s="53">
        <v>19.14</v>
      </c>
      <c r="D10" s="53">
        <v>19.41</v>
      </c>
      <c r="E10" s="53">
        <v>6.99</v>
      </c>
      <c r="F10" s="53">
        <v>4.92</v>
      </c>
      <c r="G10" s="53">
        <v>91.26</v>
      </c>
      <c r="H10" s="53">
        <v>33.51</v>
      </c>
      <c r="I10" s="53">
        <v>15.88</v>
      </c>
      <c r="J10" s="53">
        <v>1.52</v>
      </c>
      <c r="K10" s="53">
        <v>64.5</v>
      </c>
      <c r="L10" s="53">
        <v>21.71</v>
      </c>
      <c r="M10" s="53">
        <v>58.55</v>
      </c>
      <c r="N10" s="53">
        <v>0</v>
      </c>
      <c r="O10" s="53">
        <v>0</v>
      </c>
      <c r="P10" s="53">
        <v>0.72</v>
      </c>
      <c r="Q10" s="53">
        <v>4.75</v>
      </c>
    </row>
    <row r="11" spans="1:21" customFormat="1">
      <c r="A11" s="52">
        <v>45347.125</v>
      </c>
      <c r="B11" s="53">
        <v>10.3</v>
      </c>
      <c r="C11" s="53">
        <v>19.61</v>
      </c>
      <c r="D11" s="53">
        <v>19.55</v>
      </c>
      <c r="E11" s="53">
        <v>8.0299999999999994</v>
      </c>
      <c r="F11" s="53">
        <v>4.95</v>
      </c>
      <c r="G11" s="53">
        <v>83.17</v>
      </c>
      <c r="H11" s="53">
        <v>30.75</v>
      </c>
      <c r="I11" s="53">
        <v>14.53</v>
      </c>
      <c r="J11" s="53">
        <v>1.61</v>
      </c>
      <c r="K11" s="53">
        <v>59.99</v>
      </c>
      <c r="L11" s="53">
        <v>20.86</v>
      </c>
      <c r="M11" s="53">
        <v>64.510000000000005</v>
      </c>
      <c r="N11" s="53">
        <v>0</v>
      </c>
      <c r="O11" s="53">
        <v>0</v>
      </c>
      <c r="P11" s="53">
        <v>0.66</v>
      </c>
      <c r="Q11" s="53">
        <v>4.75</v>
      </c>
    </row>
    <row r="12" spans="1:21" customFormat="1">
      <c r="A12" s="52">
        <v>45347.166666666664</v>
      </c>
      <c r="B12" s="53">
        <v>9.5299999999999994</v>
      </c>
      <c r="C12" s="53">
        <v>20.12</v>
      </c>
      <c r="D12" s="53">
        <v>19.32</v>
      </c>
      <c r="E12" s="53">
        <v>7.85</v>
      </c>
      <c r="F12" s="53">
        <v>5.22</v>
      </c>
      <c r="G12" s="53">
        <v>69.099999999999994</v>
      </c>
      <c r="H12" s="53">
        <v>28.81</v>
      </c>
      <c r="I12" s="53">
        <v>12.95</v>
      </c>
      <c r="J12" s="53">
        <v>1.92</v>
      </c>
      <c r="K12" s="53">
        <v>57.05</v>
      </c>
      <c r="L12" s="53">
        <v>20.52</v>
      </c>
      <c r="M12" s="53">
        <v>65.5</v>
      </c>
      <c r="N12" s="53">
        <v>0</v>
      </c>
      <c r="O12" s="53">
        <v>0</v>
      </c>
      <c r="P12" s="53">
        <v>0.62</v>
      </c>
      <c r="Q12" s="53">
        <v>4.7300000000000004</v>
      </c>
    </row>
    <row r="13" spans="1:21" customFormat="1">
      <c r="A13" s="52">
        <v>45347.208333333336</v>
      </c>
      <c r="B13" s="53">
        <v>7.46</v>
      </c>
      <c r="C13" s="53">
        <v>20.239999999999998</v>
      </c>
      <c r="D13" s="53">
        <v>17.809999999999999</v>
      </c>
      <c r="E13" s="53">
        <v>7.72</v>
      </c>
      <c r="F13" s="53">
        <v>5.13</v>
      </c>
      <c r="G13" s="53">
        <v>68.13</v>
      </c>
      <c r="H13" s="53">
        <v>27.96</v>
      </c>
      <c r="I13" s="53">
        <v>11.41</v>
      </c>
      <c r="J13" s="53">
        <v>1.48</v>
      </c>
      <c r="K13" s="53">
        <v>63.35</v>
      </c>
      <c r="L13" s="53">
        <v>20.21</v>
      </c>
      <c r="M13" s="53">
        <v>65.16</v>
      </c>
      <c r="N13" s="53">
        <v>0</v>
      </c>
      <c r="O13" s="53">
        <v>0</v>
      </c>
      <c r="P13" s="53">
        <v>0.59</v>
      </c>
      <c r="Q13" s="53">
        <v>4.75</v>
      </c>
    </row>
    <row r="14" spans="1:21" customFormat="1">
      <c r="A14" s="52">
        <v>45347.25</v>
      </c>
      <c r="B14" s="53">
        <v>7.96</v>
      </c>
      <c r="C14" s="53">
        <v>21.28</v>
      </c>
      <c r="D14" s="53">
        <v>18.86</v>
      </c>
      <c r="E14" s="53">
        <v>7.64</v>
      </c>
      <c r="F14" s="53">
        <v>4.82</v>
      </c>
      <c r="G14" s="53">
        <v>59.81</v>
      </c>
      <c r="H14" s="53">
        <v>23.58</v>
      </c>
      <c r="I14" s="53">
        <v>10.220000000000001</v>
      </c>
      <c r="J14" s="53">
        <v>1.17</v>
      </c>
      <c r="K14" s="53">
        <v>57.06</v>
      </c>
      <c r="L14" s="53">
        <v>19.11</v>
      </c>
      <c r="M14" s="53">
        <v>65.67</v>
      </c>
      <c r="N14" s="53">
        <v>0</v>
      </c>
      <c r="O14" s="53">
        <v>0</v>
      </c>
      <c r="P14" s="53">
        <v>0.56999999999999995</v>
      </c>
      <c r="Q14" s="53">
        <v>4.75</v>
      </c>
    </row>
    <row r="15" spans="1:21" customFormat="1">
      <c r="A15" s="52">
        <v>45347.291666666664</v>
      </c>
      <c r="B15" s="53">
        <v>10.55</v>
      </c>
      <c r="C15" s="53">
        <v>22.9</v>
      </c>
      <c r="D15" s="53">
        <v>21.78</v>
      </c>
      <c r="E15" s="53">
        <v>7.87</v>
      </c>
      <c r="F15" s="53">
        <v>4.68</v>
      </c>
      <c r="G15" s="53">
        <v>62.74</v>
      </c>
      <c r="H15" s="53">
        <v>24.67</v>
      </c>
      <c r="I15" s="53">
        <v>9.58</v>
      </c>
      <c r="J15" s="53">
        <v>0.79</v>
      </c>
      <c r="K15" s="53">
        <v>65.540000000000006</v>
      </c>
      <c r="L15" s="53">
        <v>18.91</v>
      </c>
      <c r="M15" s="53">
        <v>64.989999999999995</v>
      </c>
      <c r="N15" s="53">
        <v>16.600000000000001</v>
      </c>
      <c r="O15" s="53">
        <v>0</v>
      </c>
      <c r="P15" s="53">
        <v>0.57999999999999996</v>
      </c>
      <c r="Q15" s="53">
        <v>4.75</v>
      </c>
    </row>
    <row r="16" spans="1:21" customFormat="1">
      <c r="A16" s="52">
        <v>45347.333333333336</v>
      </c>
      <c r="B16" s="53">
        <v>13.51</v>
      </c>
      <c r="C16" s="53">
        <v>23.96</v>
      </c>
      <c r="D16" s="53">
        <v>24.09</v>
      </c>
      <c r="E16" s="53">
        <v>7.48</v>
      </c>
      <c r="F16" s="53">
        <v>4.88</v>
      </c>
      <c r="G16" s="53">
        <v>66.31</v>
      </c>
      <c r="H16" s="53">
        <v>24.67</v>
      </c>
      <c r="I16" s="53">
        <v>9.3699999999999992</v>
      </c>
      <c r="J16" s="53">
        <v>1.66</v>
      </c>
      <c r="K16" s="53">
        <v>60.41</v>
      </c>
      <c r="L16" s="53">
        <v>20.05</v>
      </c>
      <c r="M16" s="53">
        <v>63.11</v>
      </c>
      <c r="N16" s="53">
        <v>92.6</v>
      </c>
      <c r="O16" s="53">
        <v>0</v>
      </c>
      <c r="P16" s="53">
        <v>0.61</v>
      </c>
      <c r="Q16" s="53">
        <v>4.75</v>
      </c>
    </row>
    <row r="17" spans="1:17" customFormat="1">
      <c r="A17" s="52">
        <v>45347.375</v>
      </c>
      <c r="B17" s="53">
        <v>13.6</v>
      </c>
      <c r="C17" s="53">
        <v>20.96</v>
      </c>
      <c r="D17" s="53">
        <v>22.95</v>
      </c>
      <c r="E17" s="53">
        <v>7.44</v>
      </c>
      <c r="F17" s="53">
        <v>4.91</v>
      </c>
      <c r="G17" s="53">
        <v>69</v>
      </c>
      <c r="H17" s="53">
        <v>26.57</v>
      </c>
      <c r="I17" s="53">
        <v>9.4499999999999993</v>
      </c>
      <c r="J17" s="53">
        <v>1.57</v>
      </c>
      <c r="K17" s="53">
        <v>59.72</v>
      </c>
      <c r="L17" s="53">
        <v>22.05</v>
      </c>
      <c r="M17" s="53">
        <v>57.1</v>
      </c>
      <c r="N17" s="53">
        <v>258.8</v>
      </c>
      <c r="O17" s="53">
        <v>0</v>
      </c>
      <c r="P17" s="53">
        <v>0.63</v>
      </c>
      <c r="Q17" s="53">
        <v>4.75</v>
      </c>
    </row>
    <row r="18" spans="1:17" customFormat="1">
      <c r="A18" s="52">
        <v>45347.416666666664</v>
      </c>
      <c r="B18" s="53">
        <v>13.21</v>
      </c>
      <c r="C18" s="53">
        <v>20.67</v>
      </c>
      <c r="D18" s="53">
        <v>22.74</v>
      </c>
      <c r="E18" s="53">
        <v>7.79</v>
      </c>
      <c r="F18" s="53">
        <v>5.32</v>
      </c>
      <c r="G18" s="53">
        <v>73.89</v>
      </c>
      <c r="H18" s="53">
        <v>26.7</v>
      </c>
      <c r="I18" s="53">
        <v>9.31</v>
      </c>
      <c r="J18" s="53">
        <v>1.51</v>
      </c>
      <c r="K18" s="53">
        <v>64.33</v>
      </c>
      <c r="L18" s="53">
        <v>24.33</v>
      </c>
      <c r="M18" s="53">
        <v>53.74</v>
      </c>
      <c r="N18" s="53">
        <v>374</v>
      </c>
      <c r="O18" s="53">
        <v>0</v>
      </c>
      <c r="P18" s="53">
        <v>0.64</v>
      </c>
      <c r="Q18" s="53">
        <v>4.74</v>
      </c>
    </row>
    <row r="19" spans="1:17" customFormat="1">
      <c r="A19" s="52">
        <v>45347.458333333336</v>
      </c>
      <c r="B19" s="53">
        <v>11.71</v>
      </c>
      <c r="C19" s="53">
        <v>17.66</v>
      </c>
      <c r="D19" s="53">
        <v>19.97</v>
      </c>
      <c r="E19" s="53">
        <v>12.17</v>
      </c>
      <c r="F19" s="53">
        <v>5.39</v>
      </c>
      <c r="G19" s="53">
        <v>73.89</v>
      </c>
      <c r="H19" s="53">
        <v>26.7</v>
      </c>
      <c r="I19" s="53">
        <v>9.11</v>
      </c>
      <c r="J19" s="53">
        <v>1.52</v>
      </c>
      <c r="K19" s="53">
        <v>69.86</v>
      </c>
      <c r="L19" s="53">
        <v>25.19</v>
      </c>
      <c r="M19" s="53">
        <v>51.91</v>
      </c>
      <c r="N19" s="53">
        <v>361.3</v>
      </c>
      <c r="O19" s="53">
        <v>0</v>
      </c>
      <c r="P19" s="53">
        <v>0.64</v>
      </c>
      <c r="Q19" s="53">
        <v>4.7300000000000004</v>
      </c>
    </row>
    <row r="20" spans="1:17" customFormat="1">
      <c r="A20" s="52">
        <v>45347.5</v>
      </c>
      <c r="B20" s="53">
        <v>9.1</v>
      </c>
      <c r="C20" s="53">
        <v>17.07</v>
      </c>
      <c r="D20" s="53">
        <v>17.57</v>
      </c>
      <c r="E20" s="53">
        <v>12.73</v>
      </c>
      <c r="F20" s="53">
        <v>6.93</v>
      </c>
      <c r="G20" s="53">
        <v>71.540000000000006</v>
      </c>
      <c r="H20" s="53">
        <v>28.11</v>
      </c>
      <c r="I20" s="53">
        <v>8.85</v>
      </c>
      <c r="J20" s="53">
        <v>0.99</v>
      </c>
      <c r="K20" s="53">
        <v>83.24</v>
      </c>
      <c r="L20" s="53">
        <v>27.45</v>
      </c>
      <c r="M20" s="53">
        <v>49.77</v>
      </c>
      <c r="N20" s="53">
        <v>556.6</v>
      </c>
      <c r="O20" s="53">
        <v>0</v>
      </c>
      <c r="P20" s="53">
        <v>0.64</v>
      </c>
      <c r="Q20" s="53">
        <v>4.72</v>
      </c>
    </row>
    <row r="21" spans="1:17" customFormat="1">
      <c r="A21" s="52">
        <v>45347.541666666664</v>
      </c>
      <c r="B21" s="53">
        <v>6.81</v>
      </c>
      <c r="C21" s="53">
        <v>18.97</v>
      </c>
      <c r="D21" s="53">
        <v>16.149999999999999</v>
      </c>
      <c r="E21" s="53">
        <v>14.98</v>
      </c>
      <c r="F21" s="53">
        <v>10.09</v>
      </c>
      <c r="G21" s="53">
        <v>73.94</v>
      </c>
      <c r="H21" s="53">
        <v>28.11</v>
      </c>
      <c r="I21" s="53">
        <v>8.51</v>
      </c>
      <c r="J21" s="53">
        <v>1.31</v>
      </c>
      <c r="K21" s="53">
        <v>41.55</v>
      </c>
      <c r="L21" s="53">
        <v>28.4</v>
      </c>
      <c r="M21" s="53">
        <v>45.42</v>
      </c>
      <c r="N21" s="53">
        <v>567.20000000000005</v>
      </c>
      <c r="O21" s="53">
        <v>0</v>
      </c>
      <c r="P21" s="53">
        <v>0.64</v>
      </c>
      <c r="Q21" s="53">
        <v>4.72</v>
      </c>
    </row>
    <row r="22" spans="1:17" customFormat="1">
      <c r="A22" s="52">
        <v>45347.583333333336</v>
      </c>
      <c r="B22" s="53">
        <v>6.26</v>
      </c>
      <c r="C22" s="53">
        <v>21.87</v>
      </c>
      <c r="D22" s="53">
        <v>17.8</v>
      </c>
      <c r="E22" s="53">
        <v>16.98</v>
      </c>
      <c r="F22" s="53">
        <v>10.16</v>
      </c>
      <c r="G22" s="53">
        <v>73.94</v>
      </c>
      <c r="H22" s="53">
        <v>26.98</v>
      </c>
      <c r="I22" s="53">
        <v>8.0399999999999991</v>
      </c>
      <c r="J22" s="53">
        <v>1.1499999999999999</v>
      </c>
      <c r="K22" s="53">
        <v>37.85</v>
      </c>
      <c r="L22" s="53">
        <v>28.64</v>
      </c>
      <c r="M22" s="53">
        <v>46.47</v>
      </c>
      <c r="N22" s="53">
        <v>483.9</v>
      </c>
      <c r="O22" s="53">
        <v>0</v>
      </c>
      <c r="P22" s="53">
        <v>0.63</v>
      </c>
      <c r="Q22" s="53">
        <v>4.7300000000000004</v>
      </c>
    </row>
    <row r="23" spans="1:17" customFormat="1">
      <c r="A23" s="52">
        <v>45347.625</v>
      </c>
      <c r="B23" s="53">
        <v>7.38</v>
      </c>
      <c r="C23" s="53">
        <v>24.11</v>
      </c>
      <c r="D23" s="53">
        <v>19.7</v>
      </c>
      <c r="E23" s="53">
        <v>16.71</v>
      </c>
      <c r="F23" s="53">
        <v>7.97</v>
      </c>
      <c r="G23" s="53">
        <v>75.16</v>
      </c>
      <c r="H23" s="53">
        <v>29.04</v>
      </c>
      <c r="I23" s="53">
        <v>7.66</v>
      </c>
      <c r="J23" s="53">
        <v>1.34</v>
      </c>
      <c r="K23" s="53">
        <v>62.26</v>
      </c>
      <c r="L23" s="53">
        <v>28.48</v>
      </c>
      <c r="M23" s="53">
        <v>46.06</v>
      </c>
      <c r="N23" s="53">
        <v>377.6</v>
      </c>
      <c r="O23" s="53">
        <v>0</v>
      </c>
      <c r="P23" s="53">
        <v>0.73</v>
      </c>
      <c r="Q23" s="53">
        <v>4.7300000000000004</v>
      </c>
    </row>
    <row r="24" spans="1:17" customFormat="1">
      <c r="A24" s="52">
        <v>45347.666666666664</v>
      </c>
      <c r="B24" s="53">
        <v>7.05</v>
      </c>
      <c r="C24" s="53">
        <v>25.62</v>
      </c>
      <c r="D24" s="53">
        <v>20.39</v>
      </c>
      <c r="E24" s="53">
        <v>17.68</v>
      </c>
      <c r="F24" s="53">
        <v>7.18</v>
      </c>
      <c r="G24" s="53">
        <v>77.08</v>
      </c>
      <c r="H24" s="53">
        <v>29.34</v>
      </c>
      <c r="I24" s="53">
        <v>7.36</v>
      </c>
      <c r="J24" s="53">
        <v>1.45</v>
      </c>
      <c r="K24" s="53">
        <v>59.39</v>
      </c>
      <c r="L24" s="53">
        <v>28.53</v>
      </c>
      <c r="M24" s="53">
        <v>46.69</v>
      </c>
      <c r="N24" s="53">
        <v>179.7</v>
      </c>
      <c r="O24" s="53">
        <v>0</v>
      </c>
      <c r="P24" s="53">
        <v>0.73</v>
      </c>
      <c r="Q24" s="53">
        <v>4.7300000000000004</v>
      </c>
    </row>
    <row r="25" spans="1:17" customFormat="1">
      <c r="A25" s="52">
        <v>45347.708333333336</v>
      </c>
      <c r="B25" s="53">
        <v>6.22</v>
      </c>
      <c r="C25" s="53">
        <v>24.9</v>
      </c>
      <c r="D25" s="53">
        <v>19.260000000000002</v>
      </c>
      <c r="E25" s="53">
        <v>15.68</v>
      </c>
      <c r="F25" s="53">
        <v>7.56</v>
      </c>
      <c r="G25" s="53">
        <v>78.27</v>
      </c>
      <c r="H25" s="53">
        <v>29.34</v>
      </c>
      <c r="I25" s="53">
        <v>7.1</v>
      </c>
      <c r="J25" s="53">
        <v>1.62</v>
      </c>
      <c r="K25" s="53">
        <v>52.12</v>
      </c>
      <c r="L25" s="53">
        <v>28.15</v>
      </c>
      <c r="M25" s="53">
        <v>49.23</v>
      </c>
      <c r="N25" s="53">
        <v>136.6</v>
      </c>
      <c r="O25" s="53">
        <v>0</v>
      </c>
      <c r="P25" s="53">
        <v>0.73</v>
      </c>
      <c r="Q25" s="53">
        <v>4.74</v>
      </c>
    </row>
    <row r="26" spans="1:17" customFormat="1">
      <c r="A26" s="52">
        <v>45347.75</v>
      </c>
      <c r="B26" s="53">
        <v>5.69</v>
      </c>
      <c r="C26" s="53">
        <v>25.23</v>
      </c>
      <c r="D26" s="53">
        <v>19.05</v>
      </c>
      <c r="E26" s="53">
        <v>14.22</v>
      </c>
      <c r="F26" s="53">
        <v>6.87</v>
      </c>
      <c r="G26" s="53">
        <v>79.03</v>
      </c>
      <c r="H26" s="53">
        <v>28.23</v>
      </c>
      <c r="I26" s="53">
        <v>6.9</v>
      </c>
      <c r="J26" s="53">
        <v>1.46</v>
      </c>
      <c r="K26" s="53">
        <v>58.59</v>
      </c>
      <c r="L26" s="53">
        <v>27.25</v>
      </c>
      <c r="M26" s="53">
        <v>52.69</v>
      </c>
      <c r="N26" s="53">
        <v>29.3</v>
      </c>
      <c r="O26" s="53">
        <v>0</v>
      </c>
      <c r="P26" s="53">
        <v>0.74</v>
      </c>
      <c r="Q26" s="53">
        <v>4.6900000000000004</v>
      </c>
    </row>
    <row r="27" spans="1:17" customFormat="1">
      <c r="A27" s="52">
        <v>45347.791666666664</v>
      </c>
      <c r="B27" s="53">
        <v>6.18</v>
      </c>
      <c r="C27" s="53">
        <v>18.89</v>
      </c>
      <c r="D27" s="53">
        <v>15.89</v>
      </c>
      <c r="E27" s="53">
        <v>9.1</v>
      </c>
      <c r="F27" s="53">
        <v>5.76</v>
      </c>
      <c r="G27" s="53">
        <v>79.03</v>
      </c>
      <c r="H27" s="53">
        <v>28.35</v>
      </c>
      <c r="I27" s="53">
        <v>6.88</v>
      </c>
      <c r="J27" s="53">
        <v>0.94</v>
      </c>
      <c r="K27" s="53">
        <v>64.41</v>
      </c>
      <c r="L27" s="53">
        <v>26.27</v>
      </c>
      <c r="M27" s="53">
        <v>55.78</v>
      </c>
      <c r="N27" s="53">
        <v>0</v>
      </c>
      <c r="O27" s="53">
        <v>0</v>
      </c>
      <c r="P27" s="53">
        <v>0.75</v>
      </c>
      <c r="Q27" s="53">
        <v>4.68</v>
      </c>
    </row>
    <row r="28" spans="1:17" customFormat="1">
      <c r="A28" s="52">
        <v>45347.833333333336</v>
      </c>
      <c r="B28" s="53">
        <v>6.57</v>
      </c>
      <c r="C28" s="53">
        <v>17.579999999999998</v>
      </c>
      <c r="D28" s="53">
        <v>15.72</v>
      </c>
      <c r="E28" s="53">
        <v>8.1199999999999992</v>
      </c>
      <c r="F28" s="53">
        <v>5.41</v>
      </c>
      <c r="G28" s="53">
        <v>85.68</v>
      </c>
      <c r="H28" s="53">
        <v>30.36</v>
      </c>
      <c r="I28" s="53">
        <v>7.02</v>
      </c>
      <c r="J28" s="53">
        <v>0.66</v>
      </c>
      <c r="K28" s="53">
        <v>120.43</v>
      </c>
      <c r="L28" s="53">
        <v>26.01</v>
      </c>
      <c r="M28" s="53">
        <v>57.07</v>
      </c>
      <c r="N28" s="53">
        <v>0</v>
      </c>
      <c r="O28" s="53">
        <v>0</v>
      </c>
      <c r="P28" s="53">
        <v>0.78</v>
      </c>
      <c r="Q28" s="53">
        <v>4.6900000000000004</v>
      </c>
    </row>
    <row r="29" spans="1:17" customFormat="1">
      <c r="A29" s="52">
        <v>45347.875</v>
      </c>
      <c r="B29" s="53">
        <v>6.12</v>
      </c>
      <c r="C29" s="53">
        <v>15.91</v>
      </c>
      <c r="D29" s="53">
        <v>14.57</v>
      </c>
      <c r="E29" s="53">
        <v>8.19</v>
      </c>
      <c r="F29" s="53">
        <v>5.19</v>
      </c>
      <c r="G29" s="53">
        <v>85.68</v>
      </c>
      <c r="H29" s="53">
        <v>32.659999999999997</v>
      </c>
      <c r="I29" s="53">
        <v>7.04</v>
      </c>
      <c r="J29" s="53">
        <v>1.02</v>
      </c>
      <c r="K29" s="53">
        <v>78.760000000000005</v>
      </c>
      <c r="L29" s="53">
        <v>25.39</v>
      </c>
      <c r="M29" s="53">
        <v>61.24</v>
      </c>
      <c r="N29" s="53">
        <v>0</v>
      </c>
      <c r="O29" s="53">
        <v>0</v>
      </c>
      <c r="P29" s="53">
        <v>0.77</v>
      </c>
      <c r="Q29" s="53">
        <v>4.71</v>
      </c>
    </row>
    <row r="30" spans="1:17" customFormat="1">
      <c r="A30" s="52">
        <v>45347.916666666664</v>
      </c>
      <c r="B30" s="53">
        <v>5.83</v>
      </c>
      <c r="C30" s="53">
        <v>15.12</v>
      </c>
      <c r="D30" s="53">
        <v>13.91</v>
      </c>
      <c r="E30" s="53">
        <v>8.3000000000000007</v>
      </c>
      <c r="F30" s="53">
        <v>5.21</v>
      </c>
      <c r="G30" s="53">
        <v>83.02</v>
      </c>
      <c r="H30" s="53">
        <v>34.78</v>
      </c>
      <c r="I30" s="53">
        <v>7.04</v>
      </c>
      <c r="J30" s="53">
        <v>0.71</v>
      </c>
      <c r="K30" s="53">
        <v>83.44</v>
      </c>
      <c r="L30" s="53">
        <v>24.73</v>
      </c>
      <c r="M30" s="53">
        <v>64.55</v>
      </c>
      <c r="N30" s="53">
        <v>0</v>
      </c>
      <c r="O30" s="53">
        <v>0</v>
      </c>
      <c r="P30" s="53">
        <v>0.78</v>
      </c>
      <c r="Q30" s="53">
        <v>4.72</v>
      </c>
    </row>
    <row r="31" spans="1:17" customFormat="1">
      <c r="A31" s="52">
        <v>45347.958333333336</v>
      </c>
      <c r="B31" s="53">
        <v>5.54</v>
      </c>
      <c r="C31" s="53">
        <v>17.649999999999999</v>
      </c>
      <c r="D31" s="53">
        <v>14.58</v>
      </c>
      <c r="E31" s="53">
        <v>8.98</v>
      </c>
      <c r="F31" s="53">
        <v>5.73</v>
      </c>
      <c r="G31" s="53">
        <v>74.349999999999994</v>
      </c>
      <c r="H31" s="53">
        <v>34.78</v>
      </c>
      <c r="I31" s="53">
        <v>7.03</v>
      </c>
      <c r="J31" s="53">
        <v>0.59</v>
      </c>
      <c r="K31" s="53">
        <v>157.96</v>
      </c>
      <c r="L31" s="53">
        <v>24.27</v>
      </c>
      <c r="M31" s="53">
        <v>66.510000000000005</v>
      </c>
      <c r="N31" s="53">
        <v>0</v>
      </c>
      <c r="O31" s="53">
        <v>0</v>
      </c>
      <c r="P31" s="53">
        <v>0.79</v>
      </c>
      <c r="Q31" s="53">
        <v>4.74</v>
      </c>
    </row>
    <row r="32" spans="1:17" customFormat="1">
      <c r="A32" s="52">
        <v>45348</v>
      </c>
      <c r="B32" s="53">
        <v>4.8499999999999996</v>
      </c>
      <c r="C32" s="53">
        <v>18.41</v>
      </c>
      <c r="D32" s="53">
        <v>14.81</v>
      </c>
      <c r="E32" s="53">
        <v>9.44</v>
      </c>
      <c r="F32" s="53">
        <v>5.31</v>
      </c>
      <c r="G32" s="53">
        <v>74.349999999999994</v>
      </c>
      <c r="H32" s="53">
        <v>34.369999999999997</v>
      </c>
      <c r="I32" s="53">
        <v>6.9</v>
      </c>
      <c r="J32" s="53">
        <v>1.03</v>
      </c>
      <c r="K32" s="53">
        <v>150.09</v>
      </c>
      <c r="L32" s="53">
        <v>23.74</v>
      </c>
      <c r="M32" s="53">
        <v>69.349999999999994</v>
      </c>
      <c r="N32" s="53">
        <v>0</v>
      </c>
      <c r="O32" s="53">
        <v>0</v>
      </c>
      <c r="P32" s="53">
        <v>0.79</v>
      </c>
      <c r="Q32" s="53">
        <v>4.75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4.8499999999999996</v>
      </c>
      <c r="C34" s="40">
        <f t="shared" si="0"/>
        <v>15.12</v>
      </c>
      <c r="D34" s="40">
        <f t="shared" si="0"/>
        <v>13.91</v>
      </c>
      <c r="E34" s="40">
        <f t="shared" si="0"/>
        <v>6.42</v>
      </c>
      <c r="F34" s="40">
        <f t="shared" si="0"/>
        <v>4.68</v>
      </c>
      <c r="G34" s="40">
        <f t="shared" si="0"/>
        <v>59.81</v>
      </c>
      <c r="H34" s="40">
        <f t="shared" si="0"/>
        <v>23.58</v>
      </c>
      <c r="I34" s="40">
        <f t="shared" si="0"/>
        <v>6.88</v>
      </c>
      <c r="J34" s="40">
        <f t="shared" si="0"/>
        <v>0.59</v>
      </c>
      <c r="K34" s="40">
        <f t="shared" si="0"/>
        <v>37.85</v>
      </c>
      <c r="L34" s="40">
        <f t="shared" si="0"/>
        <v>18.91</v>
      </c>
      <c r="M34" s="40">
        <f t="shared" si="0"/>
        <v>45.42</v>
      </c>
      <c r="N34" s="40">
        <f t="shared" si="0"/>
        <v>0</v>
      </c>
      <c r="O34" s="40">
        <f t="shared" si="0"/>
        <v>0</v>
      </c>
      <c r="P34" s="40">
        <f t="shared" si="0"/>
        <v>0.56999999999999995</v>
      </c>
      <c r="Q34" s="40">
        <f t="shared" si="0"/>
        <v>4.68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13.6</v>
      </c>
      <c r="C35" s="33">
        <f t="shared" si="1"/>
        <v>25.62</v>
      </c>
      <c r="D35" s="33">
        <f t="shared" si="1"/>
        <v>24.09</v>
      </c>
      <c r="E35" s="33">
        <f t="shared" si="1"/>
        <v>17.68</v>
      </c>
      <c r="F35" s="33">
        <f t="shared" si="1"/>
        <v>10.16</v>
      </c>
      <c r="G35" s="33">
        <f t="shared" si="1"/>
        <v>111.8</v>
      </c>
      <c r="H35" s="33">
        <f t="shared" si="1"/>
        <v>40.11</v>
      </c>
      <c r="I35" s="33">
        <f t="shared" si="1"/>
        <v>17.649999999999999</v>
      </c>
      <c r="J35" s="33">
        <f t="shared" si="1"/>
        <v>1.92</v>
      </c>
      <c r="K35" s="33">
        <f t="shared" si="1"/>
        <v>157.96</v>
      </c>
      <c r="L35" s="33">
        <f t="shared" si="1"/>
        <v>28.64</v>
      </c>
      <c r="M35" s="33">
        <f t="shared" si="1"/>
        <v>69.349999999999994</v>
      </c>
      <c r="N35" s="33">
        <f t="shared" si="1"/>
        <v>567.20000000000005</v>
      </c>
      <c r="O35" s="33">
        <f t="shared" si="1"/>
        <v>0</v>
      </c>
      <c r="P35" s="33">
        <f t="shared" si="1"/>
        <v>0.79</v>
      </c>
      <c r="Q35" s="33">
        <f t="shared" si="1"/>
        <v>4.75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8.382083333333334</v>
      </c>
      <c r="C36" s="40">
        <f t="shared" si="2"/>
        <v>20.197083333333335</v>
      </c>
      <c r="D36" s="40">
        <f t="shared" si="2"/>
        <v>18.481249999999999</v>
      </c>
      <c r="E36" s="40">
        <f t="shared" si="2"/>
        <v>10.354583333333334</v>
      </c>
      <c r="F36" s="40">
        <f t="shared" si="2"/>
        <v>6.0266666666666673</v>
      </c>
      <c r="G36" s="40">
        <f t="shared" si="2"/>
        <v>76.673749999999998</v>
      </c>
      <c r="H36" s="40">
        <f t="shared" si="2"/>
        <v>29.52</v>
      </c>
      <c r="I36" s="40">
        <f t="shared" si="2"/>
        <v>9.4079166666666669</v>
      </c>
      <c r="J36" s="40">
        <f t="shared" si="2"/>
        <v>1.2741666666666667</v>
      </c>
      <c r="K36" s="40">
        <f t="shared" si="2"/>
        <v>72.427916666666675</v>
      </c>
      <c r="L36" s="40">
        <f t="shared" si="2"/>
        <v>24.285833333333329</v>
      </c>
      <c r="M36" s="40">
        <f t="shared" si="2"/>
        <v>57.817499999999995</v>
      </c>
      <c r="N36" s="40">
        <f t="shared" si="2"/>
        <v>143.09166666666667</v>
      </c>
      <c r="O36" s="40">
        <f t="shared" si="2"/>
        <v>0</v>
      </c>
      <c r="P36" s="40">
        <f t="shared" si="2"/>
        <v>0.68791666666666662</v>
      </c>
      <c r="Q36" s="40">
        <f t="shared" si="2"/>
        <v>4.7304166666666667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2.6872079888542899</v>
      </c>
      <c r="C37" s="40">
        <f t="shared" ref="C37:Q37" si="3">STDEV(C9:C32)</f>
        <v>3.029786158570702</v>
      </c>
      <c r="D37" s="40">
        <f t="shared" si="3"/>
        <v>2.7869436469552964</v>
      </c>
      <c r="E37" s="40">
        <f t="shared" si="3"/>
        <v>3.6835698412494278</v>
      </c>
      <c r="F37" s="40">
        <f t="shared" si="3"/>
        <v>1.5677279784748193</v>
      </c>
      <c r="G37" s="40">
        <f t="shared" si="3"/>
        <v>10.529892361851257</v>
      </c>
      <c r="H37" s="40">
        <f t="shared" si="3"/>
        <v>3.8596778419290576</v>
      </c>
      <c r="I37" s="40">
        <f t="shared" si="3"/>
        <v>3.0252962185784291</v>
      </c>
      <c r="J37" s="40">
        <f t="shared" si="3"/>
        <v>0.36106023424578759</v>
      </c>
      <c r="K37" s="40">
        <f t="shared" si="3"/>
        <v>29.675847444647157</v>
      </c>
      <c r="L37" s="40">
        <f t="shared" si="3"/>
        <v>3.2655419906584893</v>
      </c>
      <c r="M37" s="40">
        <f t="shared" si="3"/>
        <v>7.8222176606405007</v>
      </c>
      <c r="N37" s="40">
        <f t="shared" si="3"/>
        <v>199.44559662848602</v>
      </c>
      <c r="O37" s="40">
        <f t="shared" si="3"/>
        <v>0</v>
      </c>
      <c r="P37" s="40">
        <f t="shared" si="3"/>
        <v>7.3365029382070027E-2</v>
      </c>
      <c r="Q37" s="40">
        <f t="shared" si="3"/>
        <v>2.0742555849952667E-2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:XFD32"/>
      <selection pane="topRight" activeCell="A9" sqref="A9:XFD32"/>
      <selection pane="bottomLeft" activeCell="A9" sqref="A9:XFD32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45348.041666666664</v>
      </c>
      <c r="B9" s="53">
        <v>5.23</v>
      </c>
      <c r="C9" s="53">
        <v>19.170000000000002</v>
      </c>
      <c r="D9" s="53">
        <v>15.57</v>
      </c>
      <c r="E9" s="53">
        <v>9.9600000000000009</v>
      </c>
      <c r="F9" s="53">
        <v>5.0599999999999996</v>
      </c>
      <c r="G9" s="53">
        <v>70.58</v>
      </c>
      <c r="H9" s="53">
        <v>32.26</v>
      </c>
      <c r="I9" s="53">
        <v>6.74</v>
      </c>
      <c r="J9" s="53">
        <v>0.97</v>
      </c>
      <c r="K9" s="53">
        <v>85.78</v>
      </c>
      <c r="L9" s="53">
        <v>23.35</v>
      </c>
      <c r="M9" s="53">
        <v>70.56</v>
      </c>
      <c r="N9" s="53">
        <v>0</v>
      </c>
      <c r="O9" s="53">
        <v>0</v>
      </c>
      <c r="P9" s="53">
        <v>0.77</v>
      </c>
      <c r="Q9" s="53">
        <v>4.71</v>
      </c>
    </row>
    <row r="10" spans="1:21" customFormat="1">
      <c r="A10" s="52">
        <v>45348.083333333336</v>
      </c>
      <c r="B10" s="53">
        <v>5.53</v>
      </c>
      <c r="C10" s="53">
        <v>19.579999999999998</v>
      </c>
      <c r="D10" s="53">
        <v>16.02</v>
      </c>
      <c r="E10" s="53">
        <v>9.91</v>
      </c>
      <c r="F10" s="53">
        <v>5.0199999999999996</v>
      </c>
      <c r="G10" s="53">
        <v>68.7</v>
      </c>
      <c r="H10" s="53">
        <v>31.53</v>
      </c>
      <c r="I10" s="53">
        <v>6.63</v>
      </c>
      <c r="J10" s="53">
        <v>0.89</v>
      </c>
      <c r="K10" s="53">
        <v>77.239999999999995</v>
      </c>
      <c r="L10" s="53">
        <v>23.06</v>
      </c>
      <c r="M10" s="53">
        <v>70.67</v>
      </c>
      <c r="N10" s="53">
        <v>0</v>
      </c>
      <c r="O10" s="53">
        <v>0</v>
      </c>
      <c r="P10" s="53">
        <v>0.76</v>
      </c>
      <c r="Q10" s="53">
        <v>4.6900000000000004</v>
      </c>
    </row>
    <row r="11" spans="1:21" customFormat="1">
      <c r="A11" s="52">
        <v>45348.125</v>
      </c>
      <c r="B11" s="53">
        <v>5.86</v>
      </c>
      <c r="C11" s="53">
        <v>20.09</v>
      </c>
      <c r="D11" s="53">
        <v>16.55</v>
      </c>
      <c r="E11" s="53">
        <v>8.0500000000000007</v>
      </c>
      <c r="F11" s="53">
        <v>4.93</v>
      </c>
      <c r="G11" s="53">
        <v>65.91</v>
      </c>
      <c r="H11" s="53">
        <v>29.5</v>
      </c>
      <c r="I11" s="53">
        <v>6.53</v>
      </c>
      <c r="J11" s="53">
        <v>1.34</v>
      </c>
      <c r="K11" s="53">
        <v>61.45</v>
      </c>
      <c r="L11" s="53">
        <v>22.64</v>
      </c>
      <c r="M11" s="53">
        <v>71.540000000000006</v>
      </c>
      <c r="N11" s="53">
        <v>0</v>
      </c>
      <c r="O11" s="53">
        <v>0</v>
      </c>
      <c r="P11" s="53">
        <v>0.75</v>
      </c>
      <c r="Q11" s="53">
        <v>4.6900000000000004</v>
      </c>
    </row>
    <row r="12" spans="1:21" customFormat="1">
      <c r="A12" s="52">
        <v>45348.166666666664</v>
      </c>
      <c r="B12" s="53">
        <v>6.32</v>
      </c>
      <c r="C12" s="53">
        <v>19.989999999999998</v>
      </c>
      <c r="D12" s="53">
        <v>16.57</v>
      </c>
      <c r="E12" s="53">
        <v>7.9</v>
      </c>
      <c r="F12" s="53">
        <v>4.9000000000000004</v>
      </c>
      <c r="G12" s="53">
        <v>64.08</v>
      </c>
      <c r="H12" s="53">
        <v>28.11</v>
      </c>
      <c r="I12" s="53">
        <v>6.45</v>
      </c>
      <c r="J12" s="53">
        <v>1.24</v>
      </c>
      <c r="K12" s="53">
        <v>72.209999999999994</v>
      </c>
      <c r="L12" s="53">
        <v>21.97</v>
      </c>
      <c r="M12" s="53">
        <v>76.28</v>
      </c>
      <c r="N12" s="53">
        <v>0</v>
      </c>
      <c r="O12" s="53">
        <v>0</v>
      </c>
      <c r="P12" s="53">
        <v>0.74</v>
      </c>
      <c r="Q12" s="53">
        <v>4.67</v>
      </c>
    </row>
    <row r="13" spans="1:21" customFormat="1">
      <c r="A13" s="52">
        <v>45348.208333333336</v>
      </c>
      <c r="B13" s="53">
        <v>7.07</v>
      </c>
      <c r="C13" s="53">
        <v>14.82</v>
      </c>
      <c r="D13" s="53">
        <v>14.37</v>
      </c>
      <c r="E13" s="53">
        <v>6.76</v>
      </c>
      <c r="F13" s="53">
        <v>4.82</v>
      </c>
      <c r="G13" s="53">
        <v>57.14</v>
      </c>
      <c r="H13" s="53">
        <v>24.18</v>
      </c>
      <c r="I13" s="53">
        <v>6.46</v>
      </c>
      <c r="J13" s="53">
        <v>1.1200000000000001</v>
      </c>
      <c r="K13" s="53">
        <v>72.239999999999995</v>
      </c>
      <c r="L13" s="53">
        <v>21.02</v>
      </c>
      <c r="M13" s="53">
        <v>79.87</v>
      </c>
      <c r="N13" s="53">
        <v>0</v>
      </c>
      <c r="O13" s="53">
        <v>0</v>
      </c>
      <c r="P13" s="53">
        <v>0.72</v>
      </c>
      <c r="Q13" s="53">
        <v>4.68</v>
      </c>
    </row>
    <row r="14" spans="1:21" customFormat="1">
      <c r="A14" s="52">
        <v>45348.25</v>
      </c>
      <c r="B14" s="53">
        <v>8.3000000000000007</v>
      </c>
      <c r="C14" s="53">
        <v>15.97</v>
      </c>
      <c r="D14" s="53">
        <v>16.350000000000001</v>
      </c>
      <c r="E14" s="53">
        <v>6.76</v>
      </c>
      <c r="F14" s="53">
        <v>4.72</v>
      </c>
      <c r="G14" s="53">
        <v>58.08</v>
      </c>
      <c r="H14" s="53">
        <v>28</v>
      </c>
      <c r="I14" s="53">
        <v>6.53</v>
      </c>
      <c r="J14" s="53">
        <v>0.86</v>
      </c>
      <c r="K14" s="53">
        <v>69.459999999999994</v>
      </c>
      <c r="L14" s="53">
        <v>20.53</v>
      </c>
      <c r="M14" s="53">
        <v>81.98</v>
      </c>
      <c r="N14" s="53">
        <v>0</v>
      </c>
      <c r="O14" s="53">
        <v>0</v>
      </c>
      <c r="P14" s="53">
        <v>0.73</v>
      </c>
      <c r="Q14" s="53">
        <v>4.7</v>
      </c>
    </row>
    <row r="15" spans="1:21" customFormat="1">
      <c r="A15" s="52">
        <v>45348.291666666664</v>
      </c>
      <c r="B15" s="53">
        <v>10.11</v>
      </c>
      <c r="C15" s="53">
        <v>15.62</v>
      </c>
      <c r="D15" s="53">
        <v>17.22</v>
      </c>
      <c r="E15" s="53">
        <v>6.37</v>
      </c>
      <c r="F15" s="53">
        <v>4.8499999999999996</v>
      </c>
      <c r="G15" s="53">
        <v>60.48</v>
      </c>
      <c r="H15" s="53">
        <v>28</v>
      </c>
      <c r="I15" s="53">
        <v>6.68</v>
      </c>
      <c r="J15" s="53">
        <v>1.1000000000000001</v>
      </c>
      <c r="K15" s="53">
        <v>61.01</v>
      </c>
      <c r="L15" s="53">
        <v>20.23</v>
      </c>
      <c r="M15" s="53">
        <v>83.71</v>
      </c>
      <c r="N15" s="53">
        <v>18.100000000000001</v>
      </c>
      <c r="O15" s="53">
        <v>0</v>
      </c>
      <c r="P15" s="53">
        <v>0.73</v>
      </c>
      <c r="Q15" s="53">
        <v>4.6900000000000004</v>
      </c>
    </row>
    <row r="16" spans="1:21" customFormat="1">
      <c r="A16" s="52">
        <v>45348.333333333336</v>
      </c>
      <c r="B16" s="53">
        <v>11.69</v>
      </c>
      <c r="C16" s="53">
        <v>16.940000000000001</v>
      </c>
      <c r="D16" s="53">
        <v>19.18</v>
      </c>
      <c r="E16" s="53">
        <v>7.01</v>
      </c>
      <c r="F16" s="53">
        <v>4.88</v>
      </c>
      <c r="G16" s="53">
        <v>61.93</v>
      </c>
      <c r="H16" s="53">
        <v>28.82</v>
      </c>
      <c r="I16" s="53">
        <v>6.95</v>
      </c>
      <c r="J16" s="53">
        <v>1.25</v>
      </c>
      <c r="K16" s="53">
        <v>71.63</v>
      </c>
      <c r="L16" s="53">
        <v>21.44</v>
      </c>
      <c r="M16" s="53">
        <v>83.55</v>
      </c>
      <c r="N16" s="53">
        <v>91.1</v>
      </c>
      <c r="O16" s="53">
        <v>0</v>
      </c>
      <c r="P16" s="53">
        <v>0.78</v>
      </c>
      <c r="Q16" s="53">
        <v>4.75</v>
      </c>
    </row>
    <row r="17" spans="1:17" customFormat="1">
      <c r="A17" s="52">
        <v>45348.375</v>
      </c>
      <c r="B17" s="53">
        <v>11.54</v>
      </c>
      <c r="C17" s="53">
        <v>19.05</v>
      </c>
      <c r="D17" s="53">
        <v>19.989999999999998</v>
      </c>
      <c r="E17" s="53">
        <v>7.5</v>
      </c>
      <c r="F17" s="53">
        <v>4.7699999999999996</v>
      </c>
      <c r="G17" s="53">
        <v>61.93</v>
      </c>
      <c r="H17" s="53">
        <v>29.75</v>
      </c>
      <c r="I17" s="53">
        <v>7.21</v>
      </c>
      <c r="J17" s="53">
        <v>1.1499999999999999</v>
      </c>
      <c r="K17" s="53">
        <v>78.44</v>
      </c>
      <c r="L17" s="53">
        <v>23.37</v>
      </c>
      <c r="M17" s="53">
        <v>78.48</v>
      </c>
      <c r="N17" s="53">
        <v>166.9</v>
      </c>
      <c r="O17" s="53">
        <v>0</v>
      </c>
      <c r="P17" s="53">
        <v>0.81</v>
      </c>
      <c r="Q17" s="53">
        <v>4.76</v>
      </c>
    </row>
    <row r="18" spans="1:17" customFormat="1">
      <c r="A18" s="52">
        <v>45348.416666666664</v>
      </c>
      <c r="B18" s="53">
        <v>11.29</v>
      </c>
      <c r="C18" s="53">
        <v>21.24</v>
      </c>
      <c r="D18" s="53">
        <v>21.5</v>
      </c>
      <c r="E18" s="53">
        <v>7.77</v>
      </c>
      <c r="F18" s="53">
        <v>4.6900000000000004</v>
      </c>
      <c r="G18" s="53">
        <v>60.79</v>
      </c>
      <c r="H18" s="53">
        <v>29.75</v>
      </c>
      <c r="I18" s="53">
        <v>7.26</v>
      </c>
      <c r="J18" s="53">
        <v>1.29</v>
      </c>
      <c r="K18" s="53">
        <v>70.489999999999995</v>
      </c>
      <c r="L18" s="53">
        <v>25.29</v>
      </c>
      <c r="M18" s="53">
        <v>75.94</v>
      </c>
      <c r="N18" s="53">
        <v>286.8</v>
      </c>
      <c r="O18" s="53">
        <v>0</v>
      </c>
      <c r="P18" s="53">
        <v>0.84</v>
      </c>
      <c r="Q18" s="53">
        <v>4.7699999999999996</v>
      </c>
    </row>
    <row r="19" spans="1:17" customFormat="1">
      <c r="A19" s="52">
        <v>45348.458333333336</v>
      </c>
      <c r="B19" s="53">
        <v>11.15</v>
      </c>
      <c r="C19" s="53">
        <v>22.29</v>
      </c>
      <c r="D19" s="53">
        <v>21.66</v>
      </c>
      <c r="E19" s="53">
        <v>9.2899999999999991</v>
      </c>
      <c r="F19" s="53">
        <v>5.05</v>
      </c>
      <c r="G19" s="53">
        <v>60.05</v>
      </c>
      <c r="H19" s="53">
        <v>29.72</v>
      </c>
      <c r="I19" s="53">
        <v>7.18</v>
      </c>
      <c r="J19" s="53">
        <v>1.1000000000000001</v>
      </c>
      <c r="K19" s="53">
        <v>87.13</v>
      </c>
      <c r="L19" s="53">
        <v>27.51</v>
      </c>
      <c r="M19" s="53">
        <v>69.44</v>
      </c>
      <c r="N19" s="53">
        <v>431.9</v>
      </c>
      <c r="O19" s="53">
        <v>0</v>
      </c>
      <c r="P19" s="53">
        <v>0.84</v>
      </c>
      <c r="Q19" s="53">
        <v>4.74</v>
      </c>
    </row>
    <row r="20" spans="1:17" customFormat="1">
      <c r="A20" s="52">
        <v>45348.5</v>
      </c>
      <c r="B20" s="53">
        <v>8.92</v>
      </c>
      <c r="C20" s="53">
        <v>22.38</v>
      </c>
      <c r="D20" s="53">
        <v>20.100000000000001</v>
      </c>
      <c r="E20" s="53">
        <v>9.68</v>
      </c>
      <c r="F20" s="53">
        <v>5.78</v>
      </c>
      <c r="G20" s="53">
        <v>60.93</v>
      </c>
      <c r="H20" s="53">
        <v>28.22</v>
      </c>
      <c r="I20" s="53">
        <v>7.04</v>
      </c>
      <c r="J20" s="53">
        <v>0.99</v>
      </c>
      <c r="K20" s="53">
        <v>72.37</v>
      </c>
      <c r="L20" s="53">
        <v>28.31</v>
      </c>
      <c r="M20" s="53">
        <v>60.91</v>
      </c>
      <c r="N20" s="53">
        <v>543.79999999999995</v>
      </c>
      <c r="O20" s="53">
        <v>0</v>
      </c>
      <c r="P20" s="53">
        <v>0.81</v>
      </c>
      <c r="Q20" s="53">
        <v>4.7</v>
      </c>
    </row>
    <row r="21" spans="1:17" customFormat="1">
      <c r="A21" s="52">
        <v>45348.541666666664</v>
      </c>
      <c r="B21" s="53">
        <v>7.01</v>
      </c>
      <c r="C21" s="53">
        <v>22.24</v>
      </c>
      <c r="D21" s="53">
        <v>18.54</v>
      </c>
      <c r="E21" s="53">
        <v>10.45</v>
      </c>
      <c r="F21" s="53">
        <v>7.6</v>
      </c>
      <c r="G21" s="53">
        <v>60.93</v>
      </c>
      <c r="H21" s="53">
        <v>28.22</v>
      </c>
      <c r="I21" s="53">
        <v>6.77</v>
      </c>
      <c r="J21" s="53">
        <v>1.1200000000000001</v>
      </c>
      <c r="K21" s="53">
        <v>64.28</v>
      </c>
      <c r="L21" s="53">
        <v>29.74</v>
      </c>
      <c r="M21" s="53">
        <v>57.42</v>
      </c>
      <c r="N21" s="53">
        <v>545.20000000000005</v>
      </c>
      <c r="O21" s="53">
        <v>0</v>
      </c>
      <c r="P21" s="53">
        <v>0.79</v>
      </c>
      <c r="Q21" s="53">
        <v>4.67</v>
      </c>
    </row>
    <row r="22" spans="1:17" customFormat="1">
      <c r="A22" s="52">
        <v>45348.583333333336</v>
      </c>
      <c r="B22" s="53">
        <v>5.66</v>
      </c>
      <c r="C22" s="53">
        <v>20.79</v>
      </c>
      <c r="D22" s="53">
        <v>16.75</v>
      </c>
      <c r="E22" s="53">
        <v>9.3800000000000008</v>
      </c>
      <c r="F22" s="53">
        <v>6.82</v>
      </c>
      <c r="G22" s="53">
        <v>60.05</v>
      </c>
      <c r="H22" s="53">
        <v>27.46</v>
      </c>
      <c r="I22" s="53">
        <v>6.57</v>
      </c>
      <c r="J22" s="53">
        <v>1.2</v>
      </c>
      <c r="K22" s="53">
        <v>130.85</v>
      </c>
      <c r="L22" s="53">
        <v>30.48</v>
      </c>
      <c r="M22" s="53">
        <v>52.01</v>
      </c>
      <c r="N22" s="53">
        <v>510.7</v>
      </c>
      <c r="O22" s="53">
        <v>0</v>
      </c>
      <c r="P22" s="53">
        <v>0.79</v>
      </c>
      <c r="Q22" s="53">
        <v>4.63</v>
      </c>
    </row>
    <row r="23" spans="1:17" customFormat="1">
      <c r="A23" s="52">
        <v>45348.625</v>
      </c>
      <c r="B23" s="53">
        <v>4.8899999999999997</v>
      </c>
      <c r="C23" s="53">
        <v>17.72</v>
      </c>
      <c r="D23" s="53">
        <v>14.52</v>
      </c>
      <c r="E23" s="53">
        <v>8.74</v>
      </c>
      <c r="F23" s="53">
        <v>7.45</v>
      </c>
      <c r="G23" s="53">
        <v>56.62</v>
      </c>
      <c r="H23" s="53">
        <v>26.74</v>
      </c>
      <c r="I23" s="53">
        <v>6.52</v>
      </c>
      <c r="J23" s="53">
        <v>1.23</v>
      </c>
      <c r="K23" s="53">
        <v>83.75</v>
      </c>
      <c r="L23" s="53">
        <v>30.61</v>
      </c>
      <c r="M23" s="53">
        <v>49.63</v>
      </c>
      <c r="N23" s="53">
        <v>362</v>
      </c>
      <c r="O23" s="53">
        <v>0</v>
      </c>
      <c r="P23" s="53">
        <v>0.7</v>
      </c>
      <c r="Q23" s="53">
        <v>4.63</v>
      </c>
    </row>
    <row r="24" spans="1:17" customFormat="1">
      <c r="A24" s="52">
        <v>45348.666666666664</v>
      </c>
      <c r="B24" s="53">
        <v>5.07</v>
      </c>
      <c r="C24" s="53">
        <v>16.72</v>
      </c>
      <c r="D24" s="53">
        <v>14.15</v>
      </c>
      <c r="E24" s="53">
        <v>8.17</v>
      </c>
      <c r="F24" s="53">
        <v>7.38</v>
      </c>
      <c r="G24" s="53">
        <v>54.95</v>
      </c>
      <c r="H24" s="53">
        <v>26.45</v>
      </c>
      <c r="I24" s="53">
        <v>6.37</v>
      </c>
      <c r="J24" s="53">
        <v>1.3</v>
      </c>
      <c r="K24" s="53">
        <v>76.88</v>
      </c>
      <c r="L24" s="53">
        <v>30.46</v>
      </c>
      <c r="M24" s="53">
        <v>49.8</v>
      </c>
      <c r="N24" s="53">
        <v>171.9</v>
      </c>
      <c r="O24" s="53">
        <v>0</v>
      </c>
      <c r="P24" s="53">
        <v>0.69</v>
      </c>
      <c r="Q24" s="53">
        <v>4.6500000000000004</v>
      </c>
    </row>
    <row r="25" spans="1:17" customFormat="1">
      <c r="A25" s="52">
        <v>45348.708333333336</v>
      </c>
      <c r="B25" s="53">
        <v>5.33</v>
      </c>
      <c r="C25" s="53">
        <v>16</v>
      </c>
      <c r="D25" s="53">
        <v>13.88</v>
      </c>
      <c r="E25" s="53">
        <v>11.07</v>
      </c>
      <c r="F25" s="53">
        <v>9.27</v>
      </c>
      <c r="G25" s="53">
        <v>62.86</v>
      </c>
      <c r="H25" s="53">
        <v>25.54</v>
      </c>
      <c r="I25" s="53">
        <v>6.24</v>
      </c>
      <c r="J25" s="53">
        <v>1.52</v>
      </c>
      <c r="K25" s="53">
        <v>53.49</v>
      </c>
      <c r="L25" s="53">
        <v>29.76</v>
      </c>
      <c r="M25" s="53">
        <v>52.29</v>
      </c>
      <c r="N25" s="53">
        <v>110.9</v>
      </c>
      <c r="O25" s="53">
        <v>0</v>
      </c>
      <c r="P25" s="53">
        <v>0.7</v>
      </c>
      <c r="Q25" s="53">
        <v>4.6900000000000004</v>
      </c>
    </row>
    <row r="26" spans="1:17" customFormat="1">
      <c r="A26" s="52">
        <v>45348.75</v>
      </c>
      <c r="B26" s="53">
        <v>5.75</v>
      </c>
      <c r="C26" s="53">
        <v>19.920000000000002</v>
      </c>
      <c r="D26" s="53">
        <v>16.25</v>
      </c>
      <c r="E26" s="53">
        <v>9.99</v>
      </c>
      <c r="F26" s="53">
        <v>7.47</v>
      </c>
      <c r="G26" s="53">
        <v>67.72</v>
      </c>
      <c r="H26" s="53">
        <v>28.44</v>
      </c>
      <c r="I26" s="53">
        <v>6.34</v>
      </c>
      <c r="J26" s="53">
        <v>1.62</v>
      </c>
      <c r="K26" s="53">
        <v>56.59</v>
      </c>
      <c r="L26" s="53">
        <v>28.7</v>
      </c>
      <c r="M26" s="53">
        <v>57.17</v>
      </c>
      <c r="N26" s="53">
        <v>29.9</v>
      </c>
      <c r="O26" s="53">
        <v>0</v>
      </c>
      <c r="P26" s="53">
        <v>0.74</v>
      </c>
      <c r="Q26" s="53">
        <v>4.75</v>
      </c>
    </row>
    <row r="27" spans="1:17" customFormat="1">
      <c r="A27" s="52">
        <v>45348.791666666664</v>
      </c>
      <c r="B27" s="53">
        <v>7.15</v>
      </c>
      <c r="C27" s="53">
        <v>25.86</v>
      </c>
      <c r="D27" s="53">
        <v>20.6</v>
      </c>
      <c r="E27" s="53">
        <v>9.84</v>
      </c>
      <c r="F27" s="53">
        <v>8</v>
      </c>
      <c r="G27" s="53">
        <v>76.89</v>
      </c>
      <c r="H27" s="53">
        <v>30.66</v>
      </c>
      <c r="I27" s="53">
        <v>6.69</v>
      </c>
      <c r="J27" s="53">
        <v>1.18</v>
      </c>
      <c r="K27" s="53">
        <v>61.49</v>
      </c>
      <c r="L27" s="53">
        <v>27.3</v>
      </c>
      <c r="M27" s="53">
        <v>59.97</v>
      </c>
      <c r="N27" s="53">
        <v>0</v>
      </c>
      <c r="O27" s="53">
        <v>0</v>
      </c>
      <c r="P27" s="53">
        <v>0.83</v>
      </c>
      <c r="Q27" s="53">
        <v>4.76</v>
      </c>
    </row>
    <row r="28" spans="1:17" customFormat="1">
      <c r="A28" s="52">
        <v>45348.833333333336</v>
      </c>
      <c r="B28" s="53">
        <v>7.01</v>
      </c>
      <c r="C28" s="53">
        <v>25.76</v>
      </c>
      <c r="D28" s="53">
        <v>20.43</v>
      </c>
      <c r="E28" s="53">
        <v>9.89</v>
      </c>
      <c r="F28" s="53">
        <v>6.25</v>
      </c>
      <c r="G28" s="53">
        <v>83.28</v>
      </c>
      <c r="H28" s="53">
        <v>34.36</v>
      </c>
      <c r="I28" s="53">
        <v>7.04</v>
      </c>
      <c r="J28" s="53">
        <v>1.3</v>
      </c>
      <c r="K28" s="53">
        <v>66.45</v>
      </c>
      <c r="L28" s="53">
        <v>26.84</v>
      </c>
      <c r="M28" s="53">
        <v>61.8</v>
      </c>
      <c r="N28" s="53">
        <v>0</v>
      </c>
      <c r="O28" s="53">
        <v>0</v>
      </c>
      <c r="P28" s="53">
        <v>0.87</v>
      </c>
      <c r="Q28" s="53">
        <v>4.7699999999999996</v>
      </c>
    </row>
    <row r="29" spans="1:17" customFormat="1">
      <c r="A29" s="52">
        <v>45348.875</v>
      </c>
      <c r="B29" s="53">
        <v>5.99</v>
      </c>
      <c r="C29" s="53">
        <v>25.14</v>
      </c>
      <c r="D29" s="53">
        <v>19.29</v>
      </c>
      <c r="E29" s="53">
        <v>9.6199999999999992</v>
      </c>
      <c r="F29" s="53">
        <v>6.23</v>
      </c>
      <c r="G29" s="53">
        <v>87.15</v>
      </c>
      <c r="H29" s="53">
        <v>36.07</v>
      </c>
      <c r="I29" s="53">
        <v>7.1</v>
      </c>
      <c r="J29" s="53">
        <v>0.78</v>
      </c>
      <c r="K29" s="53">
        <v>74.989999999999995</v>
      </c>
      <c r="L29" s="53">
        <v>26.28</v>
      </c>
      <c r="M29" s="53">
        <v>64.349999999999994</v>
      </c>
      <c r="N29" s="53">
        <v>0</v>
      </c>
      <c r="O29" s="53">
        <v>0</v>
      </c>
      <c r="P29" s="53">
        <v>0.89</v>
      </c>
      <c r="Q29" s="53">
        <v>4.76</v>
      </c>
    </row>
    <row r="30" spans="1:17" customFormat="1">
      <c r="A30" s="52">
        <v>45348.916666666664</v>
      </c>
      <c r="B30" s="53">
        <v>6.12</v>
      </c>
      <c r="C30" s="53">
        <v>25.19</v>
      </c>
      <c r="D30" s="53">
        <v>19.420000000000002</v>
      </c>
      <c r="E30" s="53">
        <v>9.4700000000000006</v>
      </c>
      <c r="F30" s="53">
        <v>5.36</v>
      </c>
      <c r="G30" s="53">
        <v>87.15</v>
      </c>
      <c r="H30" s="53">
        <v>37.49</v>
      </c>
      <c r="I30" s="53">
        <v>7.18</v>
      </c>
      <c r="J30" s="53">
        <v>0.88</v>
      </c>
      <c r="K30" s="53">
        <v>84.74</v>
      </c>
      <c r="L30" s="53">
        <v>25.88</v>
      </c>
      <c r="M30" s="53">
        <v>65</v>
      </c>
      <c r="N30" s="53">
        <v>0</v>
      </c>
      <c r="O30" s="53">
        <v>0</v>
      </c>
      <c r="P30" s="53">
        <v>0.89</v>
      </c>
      <c r="Q30" s="53">
        <v>4.7300000000000004</v>
      </c>
    </row>
    <row r="31" spans="1:17" customFormat="1">
      <c r="A31" s="52">
        <v>45348.958333333336</v>
      </c>
      <c r="B31" s="53">
        <v>5.57</v>
      </c>
      <c r="C31" s="53">
        <v>24.53</v>
      </c>
      <c r="D31" s="53">
        <v>18.63</v>
      </c>
      <c r="E31" s="53">
        <v>9.6</v>
      </c>
      <c r="F31" s="53">
        <v>5.28</v>
      </c>
      <c r="G31" s="53">
        <v>87.57</v>
      </c>
      <c r="H31" s="53">
        <v>39.11</v>
      </c>
      <c r="I31" s="53">
        <v>7.11</v>
      </c>
      <c r="J31" s="53">
        <v>0.79</v>
      </c>
      <c r="K31" s="53">
        <v>72.87</v>
      </c>
      <c r="L31" s="53">
        <v>25.27</v>
      </c>
      <c r="M31" s="53">
        <v>69.23</v>
      </c>
      <c r="N31" s="53">
        <v>0</v>
      </c>
      <c r="O31" s="53">
        <v>0</v>
      </c>
      <c r="P31" s="53">
        <v>0.86</v>
      </c>
      <c r="Q31" s="53">
        <v>4.72</v>
      </c>
    </row>
    <row r="32" spans="1:17" customFormat="1">
      <c r="A32" s="52">
        <v>45349</v>
      </c>
      <c r="B32" s="53">
        <v>6.55</v>
      </c>
      <c r="C32" s="53">
        <v>22.08</v>
      </c>
      <c r="D32" s="53">
        <v>17.62</v>
      </c>
      <c r="E32" s="53">
        <v>8.75</v>
      </c>
      <c r="F32" s="53">
        <v>5.17</v>
      </c>
      <c r="G32" s="53">
        <v>87.57</v>
      </c>
      <c r="H32" s="53">
        <v>39.11</v>
      </c>
      <c r="I32" s="53">
        <v>6.99</v>
      </c>
      <c r="J32" s="53">
        <v>0.83</v>
      </c>
      <c r="K32" s="53">
        <v>195.99</v>
      </c>
      <c r="L32" s="53">
        <v>24.43</v>
      </c>
      <c r="M32" s="53">
        <v>75.13</v>
      </c>
      <c r="N32" s="53">
        <v>0</v>
      </c>
      <c r="O32" s="53">
        <v>0</v>
      </c>
      <c r="P32" s="53">
        <v>0.85</v>
      </c>
      <c r="Q32" s="53">
        <v>4.67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4.8899999999999997</v>
      </c>
      <c r="C34" s="40">
        <f t="shared" si="0"/>
        <v>14.82</v>
      </c>
      <c r="D34" s="40">
        <f t="shared" si="0"/>
        <v>13.88</v>
      </c>
      <c r="E34" s="40">
        <f t="shared" si="0"/>
        <v>6.37</v>
      </c>
      <c r="F34" s="40">
        <f t="shared" si="0"/>
        <v>4.6900000000000004</v>
      </c>
      <c r="G34" s="40">
        <f t="shared" si="0"/>
        <v>54.95</v>
      </c>
      <c r="H34" s="40">
        <f t="shared" si="0"/>
        <v>24.18</v>
      </c>
      <c r="I34" s="40">
        <f t="shared" si="0"/>
        <v>6.24</v>
      </c>
      <c r="J34" s="40">
        <f t="shared" si="0"/>
        <v>0.78</v>
      </c>
      <c r="K34" s="40">
        <f t="shared" si="0"/>
        <v>53.49</v>
      </c>
      <c r="L34" s="40">
        <f t="shared" si="0"/>
        <v>20.23</v>
      </c>
      <c r="M34" s="40">
        <f t="shared" si="0"/>
        <v>49.63</v>
      </c>
      <c r="N34" s="40">
        <f t="shared" si="0"/>
        <v>0</v>
      </c>
      <c r="O34" s="40">
        <f t="shared" si="0"/>
        <v>0</v>
      </c>
      <c r="P34" s="40">
        <f t="shared" si="0"/>
        <v>0.69</v>
      </c>
      <c r="Q34" s="40">
        <f t="shared" si="0"/>
        <v>4.63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11.69</v>
      </c>
      <c r="C35" s="33">
        <f t="shared" si="1"/>
        <v>25.86</v>
      </c>
      <c r="D35" s="33">
        <f t="shared" si="1"/>
        <v>21.66</v>
      </c>
      <c r="E35" s="33">
        <f t="shared" si="1"/>
        <v>11.07</v>
      </c>
      <c r="F35" s="33">
        <f t="shared" si="1"/>
        <v>9.27</v>
      </c>
      <c r="G35" s="33">
        <f t="shared" si="1"/>
        <v>87.57</v>
      </c>
      <c r="H35" s="33">
        <f t="shared" si="1"/>
        <v>39.11</v>
      </c>
      <c r="I35" s="33">
        <f t="shared" si="1"/>
        <v>7.26</v>
      </c>
      <c r="J35" s="33">
        <f t="shared" si="1"/>
        <v>1.62</v>
      </c>
      <c r="K35" s="33">
        <f t="shared" si="1"/>
        <v>195.99</v>
      </c>
      <c r="L35" s="33">
        <f t="shared" si="1"/>
        <v>30.61</v>
      </c>
      <c r="M35" s="33">
        <f t="shared" si="1"/>
        <v>83.71</v>
      </c>
      <c r="N35" s="33">
        <f t="shared" si="1"/>
        <v>545.20000000000005</v>
      </c>
      <c r="O35" s="33">
        <f t="shared" si="1"/>
        <v>0</v>
      </c>
      <c r="P35" s="33">
        <f t="shared" si="1"/>
        <v>0.89</v>
      </c>
      <c r="Q35" s="33">
        <f t="shared" si="1"/>
        <v>4.7699999999999996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7.2962500000000015</v>
      </c>
      <c r="C36" s="40">
        <f t="shared" si="2"/>
        <v>20.37875</v>
      </c>
      <c r="D36" s="40">
        <f t="shared" si="2"/>
        <v>17.715</v>
      </c>
      <c r="E36" s="40">
        <f t="shared" si="2"/>
        <v>8.8304166666666664</v>
      </c>
      <c r="F36" s="40">
        <f t="shared" si="2"/>
        <v>5.9062499999999991</v>
      </c>
      <c r="G36" s="40">
        <f t="shared" si="2"/>
        <v>67.639166666666668</v>
      </c>
      <c r="H36" s="40">
        <f t="shared" si="2"/>
        <v>30.312083333333337</v>
      </c>
      <c r="I36" s="40">
        <f t="shared" si="2"/>
        <v>6.7741666666666669</v>
      </c>
      <c r="J36" s="40">
        <f t="shared" si="2"/>
        <v>1.1270833333333334</v>
      </c>
      <c r="K36" s="40">
        <f t="shared" si="2"/>
        <v>79.242499999999993</v>
      </c>
      <c r="L36" s="40">
        <f t="shared" si="2"/>
        <v>25.602916666666662</v>
      </c>
      <c r="M36" s="40">
        <f t="shared" si="2"/>
        <v>67.363749999999996</v>
      </c>
      <c r="N36" s="40">
        <f t="shared" si="2"/>
        <v>136.21666666666667</v>
      </c>
      <c r="O36" s="40">
        <f t="shared" si="2"/>
        <v>0</v>
      </c>
      <c r="P36" s="40">
        <f t="shared" si="2"/>
        <v>0.78666666666666663</v>
      </c>
      <c r="Q36" s="40">
        <f t="shared" si="2"/>
        <v>4.7075000000000005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2.251818226697468</v>
      </c>
      <c r="C37" s="40">
        <f t="shared" ref="C37:Q37" si="3">STDEV(C9:C32)</f>
        <v>3.3990130440928117</v>
      </c>
      <c r="D37" s="40">
        <f t="shared" si="3"/>
        <v>2.3742257319149087</v>
      </c>
      <c r="E37" s="40">
        <f t="shared" si="3"/>
        <v>1.305298497151772</v>
      </c>
      <c r="F37" s="40">
        <f t="shared" si="3"/>
        <v>1.3121665207819018</v>
      </c>
      <c r="G37" s="40">
        <f t="shared" si="3"/>
        <v>11.007766790323338</v>
      </c>
      <c r="H37" s="40">
        <f t="shared" si="3"/>
        <v>4.1131781631056725</v>
      </c>
      <c r="I37" s="40">
        <f t="shared" si="3"/>
        <v>0.316061588201142</v>
      </c>
      <c r="J37" s="40">
        <f t="shared" si="3"/>
        <v>0.22185932022571092</v>
      </c>
      <c r="K37" s="40">
        <f t="shared" si="3"/>
        <v>29.058941787788605</v>
      </c>
      <c r="L37" s="40">
        <f t="shared" si="3"/>
        <v>3.3967560985083947</v>
      </c>
      <c r="M37" s="40">
        <f t="shared" si="3"/>
        <v>10.861211723776268</v>
      </c>
      <c r="N37" s="40">
        <f t="shared" si="3"/>
        <v>196.43752777623877</v>
      </c>
      <c r="O37" s="40">
        <f t="shared" si="3"/>
        <v>0</v>
      </c>
      <c r="P37" s="40">
        <f t="shared" si="3"/>
        <v>6.1972410878914398E-2</v>
      </c>
      <c r="Q37" s="40">
        <f t="shared" si="3"/>
        <v>4.3263600525554675E-2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:XFD32"/>
      <selection pane="topRight" activeCell="A9" sqref="A9:XFD32"/>
      <selection pane="bottomLeft" activeCell="A9" sqref="A9:XFD32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45349.041666666664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45349.041666666664</v>
      </c>
      <c r="B9" s="53">
        <v>6.93</v>
      </c>
      <c r="C9" s="53">
        <v>16.22</v>
      </c>
      <c r="D9" s="53">
        <v>15.24</v>
      </c>
      <c r="E9" s="53">
        <v>7.06</v>
      </c>
      <c r="F9" s="53">
        <v>4.9400000000000004</v>
      </c>
      <c r="G9" s="53">
        <v>85.35</v>
      </c>
      <c r="H9" s="53">
        <v>36.79</v>
      </c>
      <c r="I9" s="53">
        <v>6.96</v>
      </c>
      <c r="J9" s="53">
        <v>0.33</v>
      </c>
      <c r="K9" s="53">
        <v>252.24</v>
      </c>
      <c r="L9" s="53">
        <v>23.42</v>
      </c>
      <c r="M9" s="53">
        <v>78.75</v>
      </c>
      <c r="N9" s="53">
        <v>0</v>
      </c>
      <c r="O9" s="53">
        <v>0</v>
      </c>
      <c r="P9" s="53">
        <v>0.82</v>
      </c>
      <c r="Q9" s="53">
        <v>4.7</v>
      </c>
    </row>
    <row r="10" spans="1:21" customFormat="1">
      <c r="A10" s="52">
        <v>45349.083333333336</v>
      </c>
      <c r="B10" s="53">
        <v>7.08</v>
      </c>
      <c r="C10" s="53">
        <v>15.12</v>
      </c>
      <c r="D10" s="53">
        <v>14.86</v>
      </c>
      <c r="E10" s="53">
        <v>7.19</v>
      </c>
      <c r="F10" s="53">
        <v>4.8499999999999996</v>
      </c>
      <c r="G10" s="53">
        <v>85.35</v>
      </c>
      <c r="H10" s="53">
        <v>36.79</v>
      </c>
      <c r="I10" s="53">
        <v>6.92</v>
      </c>
      <c r="J10" s="53">
        <v>0.23</v>
      </c>
      <c r="K10" s="53">
        <v>218.25</v>
      </c>
      <c r="L10" s="53">
        <v>22.85</v>
      </c>
      <c r="M10" s="53">
        <v>79.97</v>
      </c>
      <c r="N10" s="53">
        <v>0</v>
      </c>
      <c r="O10" s="53">
        <v>0</v>
      </c>
      <c r="P10" s="53">
        <v>0.8</v>
      </c>
      <c r="Q10" s="53">
        <v>4.7300000000000004</v>
      </c>
    </row>
    <row r="11" spans="1:21" customFormat="1">
      <c r="A11" s="52">
        <v>45349.125</v>
      </c>
      <c r="B11" s="53">
        <v>7.42</v>
      </c>
      <c r="C11" s="53">
        <v>13.69</v>
      </c>
      <c r="D11" s="53">
        <v>14.21</v>
      </c>
      <c r="E11" s="53">
        <v>9.8000000000000007</v>
      </c>
      <c r="F11" s="53">
        <v>4.79</v>
      </c>
      <c r="G11" s="53">
        <v>73.510000000000005</v>
      </c>
      <c r="H11" s="53">
        <v>35.1</v>
      </c>
      <c r="I11" s="53">
        <v>6.87</v>
      </c>
      <c r="J11" s="53">
        <v>0.3</v>
      </c>
      <c r="K11" s="53">
        <v>190.4</v>
      </c>
      <c r="L11" s="53">
        <v>22.82</v>
      </c>
      <c r="M11" s="53">
        <v>82.88</v>
      </c>
      <c r="N11" s="53">
        <v>0</v>
      </c>
      <c r="O11" s="53">
        <v>0</v>
      </c>
      <c r="P11" s="53">
        <v>0.77</v>
      </c>
      <c r="Q11" s="53">
        <v>4.7300000000000004</v>
      </c>
    </row>
    <row r="12" spans="1:21" customFormat="1">
      <c r="A12" s="52">
        <v>45349.166666666664</v>
      </c>
      <c r="B12" s="53">
        <v>8.5299999999999994</v>
      </c>
      <c r="C12" s="53">
        <v>16.510000000000002</v>
      </c>
      <c r="D12" s="53">
        <v>16.82</v>
      </c>
      <c r="E12" s="53">
        <v>10.9</v>
      </c>
      <c r="F12" s="53">
        <v>4.66</v>
      </c>
      <c r="G12" s="53">
        <v>65.010000000000005</v>
      </c>
      <c r="H12" s="53">
        <v>32.03</v>
      </c>
      <c r="I12" s="53">
        <v>6.95</v>
      </c>
      <c r="J12" s="53">
        <v>0.61</v>
      </c>
      <c r="K12" s="53">
        <v>180.99</v>
      </c>
      <c r="L12" s="53">
        <v>22.7</v>
      </c>
      <c r="M12" s="53">
        <v>81.650000000000006</v>
      </c>
      <c r="N12" s="53">
        <v>0</v>
      </c>
      <c r="O12" s="53">
        <v>0</v>
      </c>
      <c r="P12" s="53">
        <v>0.77</v>
      </c>
      <c r="Q12" s="53">
        <v>4.74</v>
      </c>
    </row>
    <row r="13" spans="1:21" customFormat="1">
      <c r="A13" s="52">
        <v>45349.208333333336</v>
      </c>
      <c r="B13" s="53">
        <v>9.39</v>
      </c>
      <c r="C13" s="53">
        <v>19.82</v>
      </c>
      <c r="D13" s="53">
        <v>19.23</v>
      </c>
      <c r="E13" s="53">
        <v>11.11</v>
      </c>
      <c r="F13" s="53">
        <v>4.67</v>
      </c>
      <c r="G13" s="53">
        <v>74.97</v>
      </c>
      <c r="H13" s="53">
        <v>36.56</v>
      </c>
      <c r="I13" s="53">
        <v>6.93</v>
      </c>
      <c r="J13" s="53">
        <v>0.7</v>
      </c>
      <c r="K13" s="53">
        <v>72.069999999999993</v>
      </c>
      <c r="L13" s="53">
        <v>22.44</v>
      </c>
      <c r="M13" s="53">
        <v>81.16</v>
      </c>
      <c r="N13" s="53">
        <v>0</v>
      </c>
      <c r="O13" s="53">
        <v>0</v>
      </c>
      <c r="P13" s="53">
        <v>0.76</v>
      </c>
      <c r="Q13" s="53">
        <v>4.7699999999999996</v>
      </c>
    </row>
    <row r="14" spans="1:21" customFormat="1">
      <c r="A14" s="52">
        <v>45349.25</v>
      </c>
      <c r="B14" s="53">
        <v>10.36</v>
      </c>
      <c r="C14" s="53">
        <v>21.55</v>
      </c>
      <c r="D14" s="53">
        <v>20.92</v>
      </c>
      <c r="E14" s="53">
        <v>11.73</v>
      </c>
      <c r="F14" s="53">
        <v>4.42</v>
      </c>
      <c r="G14" s="53">
        <v>82.13</v>
      </c>
      <c r="H14" s="53">
        <v>36.56</v>
      </c>
      <c r="I14" s="53">
        <v>7.15</v>
      </c>
      <c r="J14" s="53">
        <v>0.69</v>
      </c>
      <c r="K14" s="53">
        <v>81.430000000000007</v>
      </c>
      <c r="L14" s="53">
        <v>22.21</v>
      </c>
      <c r="M14" s="53">
        <v>82.72</v>
      </c>
      <c r="N14" s="53">
        <v>0</v>
      </c>
      <c r="O14" s="53">
        <v>0</v>
      </c>
      <c r="P14" s="53">
        <v>0.76</v>
      </c>
      <c r="Q14" s="53">
        <v>4.76</v>
      </c>
    </row>
    <row r="15" spans="1:21" customFormat="1">
      <c r="A15" s="52">
        <v>45349.291666666664</v>
      </c>
      <c r="B15" s="53">
        <v>11.37</v>
      </c>
      <c r="C15" s="53">
        <v>22.71</v>
      </c>
      <c r="D15" s="53">
        <v>22.3</v>
      </c>
      <c r="E15" s="53">
        <v>11.94</v>
      </c>
      <c r="F15" s="53">
        <v>4.42</v>
      </c>
      <c r="G15" s="53">
        <v>91.35</v>
      </c>
      <c r="H15" s="53">
        <v>39.11</v>
      </c>
      <c r="I15" s="53">
        <v>7.43</v>
      </c>
      <c r="J15" s="53">
        <v>0.24</v>
      </c>
      <c r="K15" s="53">
        <v>155.75</v>
      </c>
      <c r="L15" s="53">
        <v>22.44</v>
      </c>
      <c r="M15" s="53">
        <v>84.95</v>
      </c>
      <c r="N15" s="53">
        <v>39.1</v>
      </c>
      <c r="O15" s="53">
        <v>0</v>
      </c>
      <c r="P15" s="53">
        <v>0.79</v>
      </c>
      <c r="Q15" s="53">
        <v>4.74</v>
      </c>
    </row>
    <row r="16" spans="1:21" customFormat="1">
      <c r="A16" s="52">
        <v>45349.333333333336</v>
      </c>
      <c r="B16" s="53">
        <v>11.19</v>
      </c>
      <c r="C16" s="53">
        <v>22.9</v>
      </c>
      <c r="D16" s="53">
        <v>22.21</v>
      </c>
      <c r="E16" s="53">
        <v>12.13</v>
      </c>
      <c r="F16" s="53">
        <v>4.47</v>
      </c>
      <c r="G16" s="53">
        <v>95.4</v>
      </c>
      <c r="H16" s="53">
        <v>41.53</v>
      </c>
      <c r="I16" s="53">
        <v>7.8</v>
      </c>
      <c r="J16" s="53">
        <v>0.23</v>
      </c>
      <c r="K16" s="53">
        <v>178.16</v>
      </c>
      <c r="L16" s="53">
        <v>24.33</v>
      </c>
      <c r="M16" s="53">
        <v>79.37</v>
      </c>
      <c r="N16" s="53">
        <v>67.8</v>
      </c>
      <c r="O16" s="53">
        <v>0</v>
      </c>
      <c r="P16" s="53">
        <v>0.8</v>
      </c>
      <c r="Q16" s="53">
        <v>4.7300000000000004</v>
      </c>
    </row>
    <row r="17" spans="1:17" customFormat="1">
      <c r="A17" s="52">
        <v>45349.375</v>
      </c>
      <c r="B17" s="53">
        <v>10.36</v>
      </c>
      <c r="C17" s="53">
        <v>24.06</v>
      </c>
      <c r="D17" s="53">
        <v>21.88</v>
      </c>
      <c r="E17" s="53">
        <v>12.43</v>
      </c>
      <c r="F17" s="53">
        <v>4.83</v>
      </c>
      <c r="G17" s="53">
        <v>95.4</v>
      </c>
      <c r="H17" s="53">
        <v>41.53</v>
      </c>
      <c r="I17" s="53">
        <v>7.94</v>
      </c>
      <c r="J17" s="53">
        <v>0.62</v>
      </c>
      <c r="K17" s="53">
        <v>85.17</v>
      </c>
      <c r="L17" s="53">
        <v>25.6</v>
      </c>
      <c r="M17" s="53">
        <v>75.930000000000007</v>
      </c>
      <c r="N17" s="53">
        <v>255</v>
      </c>
      <c r="O17" s="53">
        <v>0</v>
      </c>
      <c r="P17" s="53">
        <v>0.81</v>
      </c>
      <c r="Q17" s="53">
        <v>4.7</v>
      </c>
    </row>
    <row r="18" spans="1:17" customFormat="1">
      <c r="A18" s="52">
        <v>45349.416666666664</v>
      </c>
      <c r="B18" s="53">
        <v>10.42</v>
      </c>
      <c r="C18" s="53">
        <v>19.7</v>
      </c>
      <c r="D18" s="53">
        <v>20</v>
      </c>
      <c r="E18" s="53">
        <v>11.56</v>
      </c>
      <c r="F18" s="53">
        <v>5.32</v>
      </c>
      <c r="G18" s="53">
        <v>92.9</v>
      </c>
      <c r="H18" s="53">
        <v>40.96</v>
      </c>
      <c r="I18" s="53">
        <v>8.02</v>
      </c>
      <c r="J18" s="53">
        <v>0.7</v>
      </c>
      <c r="K18" s="53">
        <v>103.25</v>
      </c>
      <c r="L18" s="53">
        <v>27.95</v>
      </c>
      <c r="M18" s="53">
        <v>67.23</v>
      </c>
      <c r="N18" s="53">
        <v>336.8</v>
      </c>
      <c r="O18" s="53">
        <v>0</v>
      </c>
      <c r="P18" s="53">
        <v>0.8</v>
      </c>
      <c r="Q18" s="53">
        <v>4.6900000000000004</v>
      </c>
    </row>
    <row r="19" spans="1:17" customFormat="1">
      <c r="A19" s="52">
        <v>45349.458333333336</v>
      </c>
      <c r="B19" s="53">
        <v>9.1199999999999992</v>
      </c>
      <c r="C19" s="53">
        <v>16.38</v>
      </c>
      <c r="D19" s="53">
        <v>17.22</v>
      </c>
      <c r="E19" s="53">
        <v>8.89</v>
      </c>
      <c r="F19" s="53">
        <v>5.87</v>
      </c>
      <c r="G19" s="53">
        <v>88.79</v>
      </c>
      <c r="H19" s="53">
        <v>38.14</v>
      </c>
      <c r="I19" s="53">
        <v>7.84</v>
      </c>
      <c r="J19" s="53">
        <v>0.42</v>
      </c>
      <c r="K19" s="53">
        <v>352.94</v>
      </c>
      <c r="L19" s="53">
        <v>30.5</v>
      </c>
      <c r="M19" s="53">
        <v>58.22</v>
      </c>
      <c r="N19" s="53">
        <v>474.4</v>
      </c>
      <c r="O19" s="53">
        <v>0</v>
      </c>
      <c r="P19" s="53">
        <v>0.77</v>
      </c>
      <c r="Q19" s="53">
        <v>4.6900000000000004</v>
      </c>
    </row>
    <row r="20" spans="1:17" customFormat="1">
      <c r="A20" s="52">
        <v>45349.5</v>
      </c>
      <c r="B20" s="53">
        <v>6.92</v>
      </c>
      <c r="C20" s="53">
        <v>16.05</v>
      </c>
      <c r="D20" s="53">
        <v>15.24</v>
      </c>
      <c r="E20" s="53">
        <v>9.24</v>
      </c>
      <c r="F20" s="53">
        <v>7.01</v>
      </c>
      <c r="G20" s="53">
        <v>81.790000000000006</v>
      </c>
      <c r="H20" s="53">
        <v>36.950000000000003</v>
      </c>
      <c r="I20" s="53">
        <v>7.64</v>
      </c>
      <c r="J20" s="53">
        <v>0.56999999999999995</v>
      </c>
      <c r="K20" s="53">
        <v>298.73</v>
      </c>
      <c r="L20" s="53">
        <v>31.18</v>
      </c>
      <c r="M20" s="53">
        <v>53.35</v>
      </c>
      <c r="N20" s="53">
        <v>481</v>
      </c>
      <c r="O20" s="53">
        <v>0</v>
      </c>
      <c r="P20" s="53">
        <v>0.77</v>
      </c>
      <c r="Q20" s="53">
        <v>4.71</v>
      </c>
    </row>
    <row r="21" spans="1:17" customFormat="1">
      <c r="A21" s="52">
        <v>45349.541666666664</v>
      </c>
      <c r="B21" s="53">
        <v>4.09</v>
      </c>
      <c r="C21" s="53">
        <v>16.25</v>
      </c>
      <c r="D21" s="53">
        <v>12.69</v>
      </c>
      <c r="E21" s="53">
        <v>9.64</v>
      </c>
      <c r="F21" s="53">
        <v>7.36</v>
      </c>
      <c r="G21" s="53">
        <v>69.73</v>
      </c>
      <c r="H21" s="53">
        <v>32.520000000000003</v>
      </c>
      <c r="I21" s="53">
        <v>7.38</v>
      </c>
      <c r="J21" s="53">
        <v>0.73</v>
      </c>
      <c r="K21" s="53">
        <v>293.33999999999997</v>
      </c>
      <c r="L21" s="53">
        <v>31.8</v>
      </c>
      <c r="M21" s="53">
        <v>52.45</v>
      </c>
      <c r="N21" s="53">
        <v>549.70000000000005</v>
      </c>
      <c r="O21" s="53">
        <v>0</v>
      </c>
      <c r="P21" s="53">
        <v>0.75</v>
      </c>
      <c r="Q21" s="53">
        <v>4.68</v>
      </c>
    </row>
    <row r="22" spans="1:17" customFormat="1">
      <c r="A22" s="52">
        <v>45349.583333333336</v>
      </c>
      <c r="B22" s="53">
        <v>2.79</v>
      </c>
      <c r="C22" s="53">
        <v>16.809999999999999</v>
      </c>
      <c r="D22" s="53">
        <v>12.37</v>
      </c>
      <c r="E22" s="53">
        <v>9.7200000000000006</v>
      </c>
      <c r="F22" s="53">
        <v>12.33</v>
      </c>
      <c r="G22" s="53">
        <v>62.58</v>
      </c>
      <c r="H22" s="53">
        <v>28.26</v>
      </c>
      <c r="I22" s="53">
        <v>7.12</v>
      </c>
      <c r="J22" s="53">
        <v>0.7</v>
      </c>
      <c r="K22" s="53">
        <v>332.07</v>
      </c>
      <c r="L22" s="53">
        <v>33.83</v>
      </c>
      <c r="M22" s="53">
        <v>47.64</v>
      </c>
      <c r="N22" s="53">
        <v>521.29999999999995</v>
      </c>
      <c r="O22" s="53">
        <v>0</v>
      </c>
      <c r="P22" s="53">
        <v>0.73</v>
      </c>
      <c r="Q22" s="53">
        <v>4.72</v>
      </c>
    </row>
    <row r="23" spans="1:17" customFormat="1">
      <c r="A23" s="52">
        <v>45349.625</v>
      </c>
      <c r="B23" s="53">
        <v>2.33</v>
      </c>
      <c r="C23" s="53">
        <v>7.33</v>
      </c>
      <c r="D23" s="53">
        <v>6.73</v>
      </c>
      <c r="E23" s="53">
        <v>10.050000000000001</v>
      </c>
      <c r="F23" s="53">
        <v>47.63</v>
      </c>
      <c r="G23" s="53">
        <v>56.16</v>
      </c>
      <c r="H23" s="53">
        <v>26.72</v>
      </c>
      <c r="I23" s="53">
        <v>6.44</v>
      </c>
      <c r="J23" s="53">
        <v>0.74</v>
      </c>
      <c r="K23" s="53">
        <v>300.91000000000003</v>
      </c>
      <c r="L23" s="53">
        <v>33.200000000000003</v>
      </c>
      <c r="M23" s="53">
        <v>44.1</v>
      </c>
      <c r="N23" s="53">
        <v>474</v>
      </c>
      <c r="O23" s="53">
        <v>0</v>
      </c>
      <c r="P23" s="53">
        <v>0.4</v>
      </c>
      <c r="Q23" s="53">
        <v>4.72</v>
      </c>
    </row>
    <row r="24" spans="1:17" customFormat="1">
      <c r="A24" s="52">
        <v>45349.666666666664</v>
      </c>
      <c r="B24" s="53">
        <v>3.06</v>
      </c>
      <c r="C24" s="53">
        <v>14.07</v>
      </c>
      <c r="D24" s="53">
        <v>11.16</v>
      </c>
      <c r="E24" s="53">
        <v>11.15</v>
      </c>
      <c r="F24" s="53">
        <v>16.989999999999998</v>
      </c>
      <c r="G24" s="53">
        <v>47.99</v>
      </c>
      <c r="H24" s="53">
        <v>20.22</v>
      </c>
      <c r="I24" s="53">
        <v>3.33</v>
      </c>
      <c r="J24" s="53">
        <v>0.66</v>
      </c>
      <c r="K24" s="53">
        <v>276.98</v>
      </c>
      <c r="L24" s="53">
        <v>32.97</v>
      </c>
      <c r="M24" s="53">
        <v>45.47</v>
      </c>
      <c r="N24" s="53">
        <v>199.5</v>
      </c>
      <c r="O24" s="53">
        <v>0</v>
      </c>
      <c r="P24" s="53">
        <v>0.41</v>
      </c>
      <c r="Q24" s="53">
        <v>4.66</v>
      </c>
    </row>
    <row r="25" spans="1:17" customFormat="1">
      <c r="A25" s="52">
        <v>45349.708333333336</v>
      </c>
      <c r="B25" s="53">
        <v>3.68</v>
      </c>
      <c r="C25" s="53">
        <v>17.28</v>
      </c>
      <c r="D25" s="53">
        <v>13.33</v>
      </c>
      <c r="E25" s="53">
        <v>12.16</v>
      </c>
      <c r="F25" s="53">
        <v>9.3699999999999992</v>
      </c>
      <c r="G25" s="53">
        <v>42.62</v>
      </c>
      <c r="H25" s="53">
        <v>17.41</v>
      </c>
      <c r="I25" s="53">
        <v>3.59</v>
      </c>
      <c r="J25" s="53">
        <v>0.66</v>
      </c>
      <c r="K25" s="53">
        <v>272.76</v>
      </c>
      <c r="L25" s="53">
        <v>32.200000000000003</v>
      </c>
      <c r="M25" s="53">
        <v>45.23</v>
      </c>
      <c r="N25" s="53">
        <v>119.3</v>
      </c>
      <c r="O25" s="53">
        <v>0</v>
      </c>
      <c r="P25" s="53">
        <v>0.42</v>
      </c>
      <c r="Q25" s="53">
        <v>4.66</v>
      </c>
    </row>
    <row r="26" spans="1:17" customFormat="1">
      <c r="A26" s="52">
        <v>45349.75</v>
      </c>
      <c r="B26" s="53">
        <v>4.24</v>
      </c>
      <c r="C26" s="53">
        <v>20.52</v>
      </c>
      <c r="D26" s="53">
        <v>15.47</v>
      </c>
      <c r="E26" s="53">
        <v>12.44</v>
      </c>
      <c r="F26" s="53">
        <v>6.95</v>
      </c>
      <c r="G26" s="53">
        <v>42.62</v>
      </c>
      <c r="H26" s="53">
        <v>17.41</v>
      </c>
      <c r="I26" s="53">
        <v>3.81</v>
      </c>
      <c r="J26" s="53">
        <v>0.88</v>
      </c>
      <c r="K26" s="53">
        <v>281.37</v>
      </c>
      <c r="L26" s="53">
        <v>31.19</v>
      </c>
      <c r="M26" s="53">
        <v>46.76</v>
      </c>
      <c r="N26" s="53">
        <v>46.3</v>
      </c>
      <c r="O26" s="53">
        <v>0</v>
      </c>
      <c r="P26" s="53">
        <v>0.44</v>
      </c>
      <c r="Q26" s="53">
        <v>4.6399999999999997</v>
      </c>
    </row>
    <row r="27" spans="1:17" customFormat="1">
      <c r="A27" s="52">
        <v>45349.791666666664</v>
      </c>
      <c r="B27" s="53">
        <v>9.14</v>
      </c>
      <c r="C27" s="53">
        <v>22.66</v>
      </c>
      <c r="D27" s="53">
        <v>20.52</v>
      </c>
      <c r="E27" s="53">
        <v>6.46</v>
      </c>
      <c r="F27" s="53">
        <v>6.32</v>
      </c>
      <c r="G27" s="53">
        <v>42.18</v>
      </c>
      <c r="H27" s="53">
        <v>17.95</v>
      </c>
      <c r="I27" s="53">
        <v>4.08</v>
      </c>
      <c r="J27" s="53">
        <v>0.35</v>
      </c>
      <c r="K27" s="53">
        <v>348.31</v>
      </c>
      <c r="L27" s="53">
        <v>29.5</v>
      </c>
      <c r="M27" s="53">
        <v>56.15</v>
      </c>
      <c r="N27" s="53">
        <v>0</v>
      </c>
      <c r="O27" s="53">
        <v>0</v>
      </c>
      <c r="P27" s="53">
        <v>0.56000000000000005</v>
      </c>
      <c r="Q27" s="53">
        <v>4.62</v>
      </c>
    </row>
    <row r="28" spans="1:17" customFormat="1">
      <c r="A28" s="52">
        <v>45349.833333333336</v>
      </c>
      <c r="B28" s="53">
        <v>8.89</v>
      </c>
      <c r="C28" s="53">
        <v>17.760000000000002</v>
      </c>
      <c r="D28" s="53">
        <v>17.63</v>
      </c>
      <c r="E28" s="53">
        <v>6.12</v>
      </c>
      <c r="F28" s="53">
        <v>6</v>
      </c>
      <c r="G28" s="53">
        <v>65.53</v>
      </c>
      <c r="H28" s="53">
        <v>27.36</v>
      </c>
      <c r="I28" s="53">
        <v>5.01</v>
      </c>
      <c r="J28" s="53">
        <v>0.4</v>
      </c>
      <c r="K28" s="53">
        <v>174.48</v>
      </c>
      <c r="L28" s="53">
        <v>28.27</v>
      </c>
      <c r="M28" s="53">
        <v>61.54</v>
      </c>
      <c r="N28" s="53">
        <v>0</v>
      </c>
      <c r="O28" s="53">
        <v>0</v>
      </c>
      <c r="P28" s="53">
        <v>0.67</v>
      </c>
      <c r="Q28" s="53">
        <v>4.6399999999999997</v>
      </c>
    </row>
    <row r="29" spans="1:17" customFormat="1">
      <c r="A29" s="52">
        <v>45349.875</v>
      </c>
      <c r="B29" s="53">
        <v>10.73</v>
      </c>
      <c r="C29" s="53">
        <v>17.91</v>
      </c>
      <c r="D29" s="53">
        <v>19.25</v>
      </c>
      <c r="E29" s="53">
        <v>5.8</v>
      </c>
      <c r="F29" s="53">
        <v>6.7</v>
      </c>
      <c r="G29" s="53">
        <v>91.76</v>
      </c>
      <c r="H29" s="53">
        <v>33.11</v>
      </c>
      <c r="I29" s="53">
        <v>6.31</v>
      </c>
      <c r="J29" s="53">
        <v>2.73</v>
      </c>
      <c r="K29" s="53">
        <v>63.83</v>
      </c>
      <c r="L29" s="53">
        <v>28.03</v>
      </c>
      <c r="M29" s="53">
        <v>68.319999999999993</v>
      </c>
      <c r="N29" s="53">
        <v>0</v>
      </c>
      <c r="O29" s="53">
        <v>0</v>
      </c>
      <c r="P29" s="53">
        <v>0.72</v>
      </c>
      <c r="Q29" s="53">
        <v>4.68</v>
      </c>
    </row>
    <row r="30" spans="1:17" customFormat="1">
      <c r="A30" s="52">
        <v>45349.916666666664</v>
      </c>
      <c r="B30" s="53">
        <v>9.61</v>
      </c>
      <c r="C30" s="53">
        <v>15.98</v>
      </c>
      <c r="D30" s="53">
        <v>17.41</v>
      </c>
      <c r="E30" s="53">
        <v>3.45</v>
      </c>
      <c r="F30" s="53">
        <v>6.33</v>
      </c>
      <c r="G30" s="53">
        <v>91.76</v>
      </c>
      <c r="H30" s="53">
        <v>33.11</v>
      </c>
      <c r="I30" s="53">
        <v>5.95</v>
      </c>
      <c r="J30" s="53">
        <v>2.35</v>
      </c>
      <c r="K30" s="53">
        <v>54.61</v>
      </c>
      <c r="L30" s="53">
        <v>24.02</v>
      </c>
      <c r="M30" s="53">
        <v>72.87</v>
      </c>
      <c r="N30" s="53">
        <v>0</v>
      </c>
      <c r="O30" s="53">
        <v>0</v>
      </c>
      <c r="P30" s="53">
        <v>0.65</v>
      </c>
      <c r="Q30" s="53">
        <v>4.6900000000000004</v>
      </c>
    </row>
    <row r="31" spans="1:17" customFormat="1">
      <c r="A31" s="52">
        <v>45349.958333333336</v>
      </c>
      <c r="B31" s="53">
        <v>7.89</v>
      </c>
      <c r="C31" s="53">
        <v>14.98</v>
      </c>
      <c r="D31" s="53">
        <v>15.5</v>
      </c>
      <c r="E31" s="53">
        <v>2.77</v>
      </c>
      <c r="F31" s="53">
        <v>5.49</v>
      </c>
      <c r="G31" s="53">
        <v>67.56</v>
      </c>
      <c r="H31" s="53">
        <v>22.97</v>
      </c>
      <c r="I31" s="53">
        <v>5.62</v>
      </c>
      <c r="J31" s="53">
        <v>1.59</v>
      </c>
      <c r="K31" s="53">
        <v>65.8</v>
      </c>
      <c r="L31" s="53">
        <v>23.05</v>
      </c>
      <c r="M31" s="53">
        <v>75.7</v>
      </c>
      <c r="N31" s="53">
        <v>0</v>
      </c>
      <c r="O31" s="53">
        <v>0</v>
      </c>
      <c r="P31" s="53">
        <v>0.61</v>
      </c>
      <c r="Q31" s="53">
        <v>4.66</v>
      </c>
    </row>
    <row r="32" spans="1:17" customFormat="1">
      <c r="A32" s="52">
        <v>45350</v>
      </c>
      <c r="B32" s="53">
        <v>7.88</v>
      </c>
      <c r="C32" s="53">
        <v>18.559999999999999</v>
      </c>
      <c r="D32" s="53">
        <v>17.36</v>
      </c>
      <c r="E32" s="53">
        <v>4.0999999999999996</v>
      </c>
      <c r="F32" s="53">
        <v>5.19</v>
      </c>
      <c r="G32" s="53">
        <v>50.28</v>
      </c>
      <c r="H32" s="53">
        <v>19.940000000000001</v>
      </c>
      <c r="I32" s="53">
        <v>5.34</v>
      </c>
      <c r="J32" s="53">
        <v>2.39</v>
      </c>
      <c r="K32" s="53">
        <v>73.17</v>
      </c>
      <c r="L32" s="53">
        <v>22.45</v>
      </c>
      <c r="M32" s="53">
        <v>78.53</v>
      </c>
      <c r="N32" s="53">
        <v>0</v>
      </c>
      <c r="O32" s="53">
        <v>0</v>
      </c>
      <c r="P32" s="53">
        <v>0.57999999999999996</v>
      </c>
      <c r="Q32" s="53">
        <v>4.7300000000000004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2.33</v>
      </c>
      <c r="C34" s="40">
        <f t="shared" si="0"/>
        <v>7.33</v>
      </c>
      <c r="D34" s="40">
        <f t="shared" si="0"/>
        <v>6.73</v>
      </c>
      <c r="E34" s="40">
        <f t="shared" si="0"/>
        <v>2.77</v>
      </c>
      <c r="F34" s="40">
        <f t="shared" si="0"/>
        <v>4.42</v>
      </c>
      <c r="G34" s="40">
        <f t="shared" si="0"/>
        <v>42.18</v>
      </c>
      <c r="H34" s="40">
        <f t="shared" si="0"/>
        <v>17.41</v>
      </c>
      <c r="I34" s="40">
        <f t="shared" si="0"/>
        <v>3.33</v>
      </c>
      <c r="J34" s="40">
        <f t="shared" si="0"/>
        <v>0.23</v>
      </c>
      <c r="K34" s="40">
        <f t="shared" si="0"/>
        <v>54.61</v>
      </c>
      <c r="L34" s="40">
        <f t="shared" si="0"/>
        <v>22.21</v>
      </c>
      <c r="M34" s="40">
        <f t="shared" si="0"/>
        <v>44.1</v>
      </c>
      <c r="N34" s="40">
        <f t="shared" si="0"/>
        <v>0</v>
      </c>
      <c r="O34" s="40">
        <f t="shared" si="0"/>
        <v>0</v>
      </c>
      <c r="P34" s="40">
        <f t="shared" si="0"/>
        <v>0.4</v>
      </c>
      <c r="Q34" s="40">
        <f t="shared" si="0"/>
        <v>4.62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11.37</v>
      </c>
      <c r="C35" s="33">
        <f t="shared" si="1"/>
        <v>24.06</v>
      </c>
      <c r="D35" s="33">
        <f t="shared" si="1"/>
        <v>22.3</v>
      </c>
      <c r="E35" s="33">
        <f t="shared" si="1"/>
        <v>12.44</v>
      </c>
      <c r="F35" s="33">
        <f t="shared" si="1"/>
        <v>47.63</v>
      </c>
      <c r="G35" s="33">
        <f t="shared" si="1"/>
        <v>95.4</v>
      </c>
      <c r="H35" s="33">
        <f t="shared" si="1"/>
        <v>41.53</v>
      </c>
      <c r="I35" s="33">
        <f t="shared" si="1"/>
        <v>8.02</v>
      </c>
      <c r="J35" s="33">
        <f t="shared" si="1"/>
        <v>2.73</v>
      </c>
      <c r="K35" s="33">
        <f t="shared" si="1"/>
        <v>352.94</v>
      </c>
      <c r="L35" s="33">
        <f t="shared" si="1"/>
        <v>33.83</v>
      </c>
      <c r="M35" s="33">
        <f t="shared" si="1"/>
        <v>84.95</v>
      </c>
      <c r="N35" s="33">
        <f t="shared" si="1"/>
        <v>549.70000000000005</v>
      </c>
      <c r="O35" s="33">
        <f t="shared" si="1"/>
        <v>0</v>
      </c>
      <c r="P35" s="33">
        <f t="shared" si="1"/>
        <v>0.82</v>
      </c>
      <c r="Q35" s="33">
        <f t="shared" si="1"/>
        <v>4.7699999999999996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7.6424999999999983</v>
      </c>
      <c r="C36" s="40">
        <f t="shared" si="2"/>
        <v>17.700833333333332</v>
      </c>
      <c r="D36" s="40">
        <f t="shared" si="2"/>
        <v>16.647916666666667</v>
      </c>
      <c r="E36" s="40">
        <f t="shared" si="2"/>
        <v>9.076666666666668</v>
      </c>
      <c r="F36" s="40">
        <f t="shared" si="2"/>
        <v>8.2045833333333338</v>
      </c>
      <c r="G36" s="40">
        <f t="shared" si="2"/>
        <v>72.613333333333316</v>
      </c>
      <c r="H36" s="40">
        <f t="shared" si="2"/>
        <v>31.209583333333338</v>
      </c>
      <c r="I36" s="40">
        <f t="shared" si="2"/>
        <v>6.3512499999999994</v>
      </c>
      <c r="J36" s="40">
        <f t="shared" si="2"/>
        <v>0.82583333333333331</v>
      </c>
      <c r="K36" s="40">
        <f t="shared" si="2"/>
        <v>196.12541666666667</v>
      </c>
      <c r="L36" s="40">
        <f t="shared" si="2"/>
        <v>27.039583333333329</v>
      </c>
      <c r="M36" s="40">
        <f t="shared" si="2"/>
        <v>66.705833333333331</v>
      </c>
      <c r="N36" s="40">
        <f t="shared" si="2"/>
        <v>148.50833333333335</v>
      </c>
      <c r="O36" s="40">
        <f t="shared" si="2"/>
        <v>0</v>
      </c>
      <c r="P36" s="40">
        <f t="shared" si="2"/>
        <v>0.68166666666666664</v>
      </c>
      <c r="Q36" s="40">
        <f t="shared" si="2"/>
        <v>4.6995833333333339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2.8465894925560424</v>
      </c>
      <c r="C37" s="40">
        <f t="shared" ref="C37:Q37" si="3">STDEV(C9:C32)</f>
        <v>3.6960459679367412</v>
      </c>
      <c r="D37" s="40">
        <f t="shared" si="3"/>
        <v>3.8439743689670127</v>
      </c>
      <c r="E37" s="40">
        <f t="shared" si="3"/>
        <v>2.9997531299391458</v>
      </c>
      <c r="F37" s="40">
        <f t="shared" si="3"/>
        <v>8.872685481010107</v>
      </c>
      <c r="G37" s="40">
        <f t="shared" si="3"/>
        <v>18.231863809578446</v>
      </c>
      <c r="H37" s="40">
        <f t="shared" si="3"/>
        <v>8.1074080343986221</v>
      </c>
      <c r="I37" s="40">
        <f t="shared" si="3"/>
        <v>1.4489645853385182</v>
      </c>
      <c r="J37" s="40">
        <f t="shared" si="3"/>
        <v>0.70471651202369345</v>
      </c>
      <c r="K37" s="40">
        <f t="shared" si="3"/>
        <v>102.63948481601564</v>
      </c>
      <c r="L37" s="40">
        <f t="shared" si="3"/>
        <v>4.2358916510824969</v>
      </c>
      <c r="M37" s="40">
        <f t="shared" si="3"/>
        <v>14.577340043835992</v>
      </c>
      <c r="N37" s="40">
        <f t="shared" si="3"/>
        <v>204.98823490453142</v>
      </c>
      <c r="O37" s="40">
        <f t="shared" si="3"/>
        <v>0</v>
      </c>
      <c r="P37" s="40">
        <f t="shared" si="3"/>
        <v>0.14029988585531544</v>
      </c>
      <c r="Q37" s="40">
        <f t="shared" si="3"/>
        <v>3.9395339237315759E-2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:XFD32"/>
      <selection pane="topRight" activeCell="A9" sqref="A9:XFD32"/>
      <selection pane="bottomLeft" activeCell="A9" sqref="A9:XFD32"/>
      <selection pane="bottomRight" activeCell="A9" sqref="A9:XFD32"/>
    </sheetView>
  </sheetViews>
  <sheetFormatPr defaultColWidth="8.85546875" defaultRowHeight="15"/>
  <cols>
    <col min="1" max="1" width="18.28515625" style="41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45350.041666666664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2">
        <v>45350.041666666664</v>
      </c>
      <c r="B9" s="53">
        <v>8.5299999999999994</v>
      </c>
      <c r="C9" s="53">
        <v>19.079999999999998</v>
      </c>
      <c r="D9" s="53">
        <v>18.14</v>
      </c>
      <c r="E9" s="53">
        <v>5.15</v>
      </c>
      <c r="F9" s="53">
        <v>5.63</v>
      </c>
      <c r="G9" s="53">
        <v>40.520000000000003</v>
      </c>
      <c r="H9" s="53">
        <v>16.600000000000001</v>
      </c>
      <c r="I9" s="53">
        <v>5.05</v>
      </c>
      <c r="J9" s="53">
        <v>2.1800000000000002</v>
      </c>
      <c r="K9" s="53">
        <v>93.5</v>
      </c>
      <c r="L9" s="53">
        <v>21.95</v>
      </c>
      <c r="M9" s="53">
        <v>75.430000000000007</v>
      </c>
      <c r="N9" s="53">
        <v>0</v>
      </c>
      <c r="O9" s="53">
        <v>0</v>
      </c>
      <c r="P9" s="53">
        <v>0.56000000000000005</v>
      </c>
      <c r="Q9" s="53">
        <v>4.74</v>
      </c>
    </row>
    <row r="10" spans="1:21" customFormat="1">
      <c r="A10" s="52">
        <v>45350.083333333336</v>
      </c>
      <c r="B10" s="53">
        <v>7.46</v>
      </c>
      <c r="C10" s="53">
        <v>18.87</v>
      </c>
      <c r="D10" s="53">
        <v>17.190000000000001</v>
      </c>
      <c r="E10" s="53">
        <v>3.33</v>
      </c>
      <c r="F10" s="53">
        <v>5.03</v>
      </c>
      <c r="G10" s="53">
        <v>40.520000000000003</v>
      </c>
      <c r="H10" s="53">
        <v>16.64</v>
      </c>
      <c r="I10" s="53">
        <v>4.8099999999999996</v>
      </c>
      <c r="J10" s="53">
        <v>0.32</v>
      </c>
      <c r="K10" s="53">
        <v>200.18</v>
      </c>
      <c r="L10" s="53">
        <v>21.87</v>
      </c>
      <c r="M10" s="53">
        <v>76.290000000000006</v>
      </c>
      <c r="N10" s="53">
        <v>0</v>
      </c>
      <c r="O10" s="53">
        <v>0</v>
      </c>
      <c r="P10" s="53">
        <v>0.52</v>
      </c>
      <c r="Q10" s="53">
        <v>4.7300000000000004</v>
      </c>
    </row>
    <row r="11" spans="1:21" customFormat="1">
      <c r="A11" s="52">
        <v>45350.125</v>
      </c>
      <c r="B11" s="53">
        <v>6.75</v>
      </c>
      <c r="C11" s="53">
        <v>18.62</v>
      </c>
      <c r="D11" s="53">
        <v>16.43</v>
      </c>
      <c r="E11" s="53">
        <v>8.2100000000000009</v>
      </c>
      <c r="F11" s="53">
        <v>5.58</v>
      </c>
      <c r="G11" s="53">
        <v>36.89</v>
      </c>
      <c r="H11" s="53">
        <v>16.87</v>
      </c>
      <c r="I11" s="53">
        <v>4.55</v>
      </c>
      <c r="J11" s="53">
        <v>0.23</v>
      </c>
      <c r="K11" s="53">
        <v>185.18</v>
      </c>
      <c r="L11" s="53">
        <v>20.96</v>
      </c>
      <c r="M11" s="53">
        <v>81.53</v>
      </c>
      <c r="N11" s="53">
        <v>0</v>
      </c>
      <c r="O11" s="53">
        <v>0</v>
      </c>
      <c r="P11" s="53">
        <v>0.5</v>
      </c>
      <c r="Q11" s="53">
        <v>4.71</v>
      </c>
    </row>
    <row r="12" spans="1:21" customFormat="1">
      <c r="A12" s="52">
        <v>45350.166666666664</v>
      </c>
      <c r="B12" s="53">
        <v>8.02</v>
      </c>
      <c r="C12" s="53">
        <v>19.38</v>
      </c>
      <c r="D12" s="53">
        <v>17.91</v>
      </c>
      <c r="E12" s="53">
        <v>8.77</v>
      </c>
      <c r="F12" s="53">
        <v>4.6399999999999997</v>
      </c>
      <c r="G12" s="53">
        <v>36.89</v>
      </c>
      <c r="H12" s="53">
        <v>16.87</v>
      </c>
      <c r="I12" s="53">
        <v>4.46</v>
      </c>
      <c r="J12" s="53">
        <v>0.21</v>
      </c>
      <c r="K12" s="53">
        <v>229.26</v>
      </c>
      <c r="L12" s="53">
        <v>20.75</v>
      </c>
      <c r="M12" s="53">
        <v>84.79</v>
      </c>
      <c r="N12" s="53">
        <v>0</v>
      </c>
      <c r="O12" s="53">
        <v>0</v>
      </c>
      <c r="P12" s="53">
        <v>0.49</v>
      </c>
      <c r="Q12" s="53">
        <v>4.7</v>
      </c>
    </row>
    <row r="13" spans="1:21" customFormat="1">
      <c r="A13" s="52">
        <v>45350.208333333336</v>
      </c>
      <c r="B13" s="53">
        <v>8.85</v>
      </c>
      <c r="C13" s="53">
        <v>19.309999999999999</v>
      </c>
      <c r="D13" s="53">
        <v>17.89</v>
      </c>
      <c r="E13" s="53">
        <v>8.56</v>
      </c>
      <c r="F13" s="53">
        <v>4.92</v>
      </c>
      <c r="G13" s="53">
        <v>31.07</v>
      </c>
      <c r="H13" s="53">
        <v>16.28</v>
      </c>
      <c r="I13" s="53">
        <v>4.41</v>
      </c>
      <c r="J13" s="53">
        <v>0.28000000000000003</v>
      </c>
      <c r="K13" s="53">
        <v>269.51</v>
      </c>
      <c r="L13" s="53">
        <v>20.74</v>
      </c>
      <c r="M13" s="53">
        <v>84.79</v>
      </c>
      <c r="N13" s="53">
        <v>0</v>
      </c>
      <c r="O13" s="53">
        <v>0</v>
      </c>
      <c r="P13" s="53">
        <v>0.48</v>
      </c>
      <c r="Q13" s="53">
        <v>4.72</v>
      </c>
    </row>
    <row r="14" spans="1:21" customFormat="1">
      <c r="A14" s="52">
        <v>45350.25</v>
      </c>
      <c r="B14" s="53">
        <v>11.22</v>
      </c>
      <c r="C14" s="53">
        <v>15.85</v>
      </c>
      <c r="D14" s="53">
        <v>17.829999999999998</v>
      </c>
      <c r="E14" s="53">
        <v>7.83</v>
      </c>
      <c r="F14" s="53">
        <v>4.92</v>
      </c>
      <c r="G14" s="53">
        <v>29.45</v>
      </c>
      <c r="H14" s="53">
        <v>15.21</v>
      </c>
      <c r="I14" s="53">
        <v>4.43</v>
      </c>
      <c r="J14" s="53">
        <v>0.65</v>
      </c>
      <c r="K14" s="53">
        <v>346.79</v>
      </c>
      <c r="L14" s="53">
        <v>20.87</v>
      </c>
      <c r="M14" s="53">
        <v>83.05</v>
      </c>
      <c r="N14" s="53">
        <v>0</v>
      </c>
      <c r="O14" s="53">
        <v>0</v>
      </c>
      <c r="P14" s="53">
        <v>0.47</v>
      </c>
      <c r="Q14" s="53">
        <v>4.7</v>
      </c>
    </row>
    <row r="15" spans="1:21" customFormat="1">
      <c r="A15" s="52">
        <v>45350.291666666664</v>
      </c>
      <c r="B15" s="53">
        <v>13.49</v>
      </c>
      <c r="C15" s="53">
        <v>14.36</v>
      </c>
      <c r="D15" s="53">
        <v>19.670000000000002</v>
      </c>
      <c r="E15" s="53">
        <v>7.28</v>
      </c>
      <c r="F15" s="53">
        <v>4.8099999999999996</v>
      </c>
      <c r="G15" s="53">
        <v>41.98</v>
      </c>
      <c r="H15" s="53">
        <v>15.22</v>
      </c>
      <c r="I15" s="53">
        <v>4.8</v>
      </c>
      <c r="J15" s="53">
        <v>0.7</v>
      </c>
      <c r="K15" s="53">
        <v>67.510000000000005</v>
      </c>
      <c r="L15" s="53">
        <v>19.78</v>
      </c>
      <c r="M15" s="53">
        <v>86.54</v>
      </c>
      <c r="N15" s="53">
        <v>20.399999999999999</v>
      </c>
      <c r="O15" s="53">
        <v>0</v>
      </c>
      <c r="P15" s="53">
        <v>0.5</v>
      </c>
      <c r="Q15" s="53">
        <v>4.78</v>
      </c>
    </row>
    <row r="16" spans="1:21" customFormat="1">
      <c r="A16" s="52">
        <v>45350.333333333336</v>
      </c>
      <c r="B16" s="53">
        <v>15.76</v>
      </c>
      <c r="C16" s="53">
        <v>15.96</v>
      </c>
      <c r="D16" s="53">
        <v>21.57</v>
      </c>
      <c r="E16" s="53">
        <v>7.34</v>
      </c>
      <c r="F16" s="53">
        <v>4.82</v>
      </c>
      <c r="G16" s="53">
        <v>46.93</v>
      </c>
      <c r="H16" s="53">
        <v>19.399999999999999</v>
      </c>
      <c r="I16" s="53">
        <v>5.37</v>
      </c>
      <c r="J16" s="53">
        <v>1.05</v>
      </c>
      <c r="K16" s="53">
        <v>50.12</v>
      </c>
      <c r="L16" s="53">
        <v>20.85</v>
      </c>
      <c r="M16" s="53">
        <v>85.89</v>
      </c>
      <c r="N16" s="53">
        <v>95.9</v>
      </c>
      <c r="O16" s="53">
        <v>0</v>
      </c>
      <c r="P16" s="53">
        <v>0.54</v>
      </c>
      <c r="Q16" s="53">
        <v>4.8</v>
      </c>
    </row>
    <row r="17" spans="1:17" customFormat="1">
      <c r="A17" s="52">
        <v>45350.375</v>
      </c>
      <c r="B17" s="53">
        <v>17.600000000000001</v>
      </c>
      <c r="C17" s="53">
        <v>15.83</v>
      </c>
      <c r="D17" s="53">
        <v>23.28</v>
      </c>
      <c r="E17" s="53">
        <v>7.73</v>
      </c>
      <c r="F17" s="53">
        <v>4.93</v>
      </c>
      <c r="G17" s="53">
        <v>52.09</v>
      </c>
      <c r="H17" s="53">
        <v>19.73</v>
      </c>
      <c r="I17" s="53">
        <v>5.68</v>
      </c>
      <c r="J17" s="53">
        <v>1.19</v>
      </c>
      <c r="K17" s="53">
        <v>57.45</v>
      </c>
      <c r="L17" s="53">
        <v>22.78</v>
      </c>
      <c r="M17" s="53">
        <v>80.739999999999995</v>
      </c>
      <c r="N17" s="53">
        <v>259.60000000000002</v>
      </c>
      <c r="O17" s="53">
        <v>0</v>
      </c>
      <c r="P17" s="53">
        <v>0.57999999999999996</v>
      </c>
      <c r="Q17" s="53">
        <v>4.8099999999999996</v>
      </c>
    </row>
    <row r="18" spans="1:17" customFormat="1">
      <c r="A18" s="52">
        <v>45350.416666666664</v>
      </c>
      <c r="B18" s="53">
        <v>19.43</v>
      </c>
      <c r="C18" s="53">
        <v>18.98</v>
      </c>
      <c r="D18" s="53">
        <v>26.85</v>
      </c>
      <c r="E18" s="53">
        <v>10.75</v>
      </c>
      <c r="F18" s="53">
        <v>4.87</v>
      </c>
      <c r="G18" s="53">
        <v>60.83</v>
      </c>
      <c r="H18" s="53">
        <v>23.81</v>
      </c>
      <c r="I18" s="53">
        <v>5.94</v>
      </c>
      <c r="J18" s="53">
        <v>0.88</v>
      </c>
      <c r="K18" s="53">
        <v>58.51</v>
      </c>
      <c r="L18" s="53">
        <v>25.59</v>
      </c>
      <c r="M18" s="53">
        <v>72.239999999999995</v>
      </c>
      <c r="N18" s="53">
        <v>339.8</v>
      </c>
      <c r="O18" s="53">
        <v>0</v>
      </c>
      <c r="P18" s="53">
        <v>0.65</v>
      </c>
      <c r="Q18" s="53">
        <v>4.82</v>
      </c>
    </row>
    <row r="19" spans="1:17" customFormat="1">
      <c r="A19" s="52">
        <v>45350.458333333336</v>
      </c>
      <c r="B19" s="53">
        <v>19.649999999999999</v>
      </c>
      <c r="C19" s="53">
        <v>23.34</v>
      </c>
      <c r="D19" s="53">
        <v>28.26</v>
      </c>
      <c r="E19" s="53">
        <v>13.07</v>
      </c>
      <c r="F19" s="53">
        <v>5.15</v>
      </c>
      <c r="G19" s="53">
        <v>86.27</v>
      </c>
      <c r="H19" s="53">
        <v>35.01</v>
      </c>
      <c r="I19" s="53">
        <v>6.5</v>
      </c>
      <c r="J19" s="53">
        <v>0.76</v>
      </c>
      <c r="K19" s="53">
        <v>340.12</v>
      </c>
      <c r="L19" s="53">
        <v>27.69</v>
      </c>
      <c r="M19" s="53">
        <v>62.75</v>
      </c>
      <c r="N19" s="53">
        <v>457</v>
      </c>
      <c r="O19" s="53">
        <v>0</v>
      </c>
      <c r="P19" s="53">
        <v>0.77</v>
      </c>
      <c r="Q19" s="53">
        <v>4.82</v>
      </c>
    </row>
    <row r="20" spans="1:17" customFormat="1">
      <c r="A20" s="52">
        <v>45350.5</v>
      </c>
      <c r="B20" s="53">
        <v>17.3</v>
      </c>
      <c r="C20" s="53">
        <v>25.32</v>
      </c>
      <c r="D20" s="53">
        <v>27.83</v>
      </c>
      <c r="E20" s="53">
        <v>13.21</v>
      </c>
      <c r="F20" s="53">
        <v>6.88</v>
      </c>
      <c r="G20" s="53">
        <v>101.99</v>
      </c>
      <c r="H20" s="53">
        <v>36.72</v>
      </c>
      <c r="I20" s="53">
        <v>7.13</v>
      </c>
      <c r="J20" s="53">
        <v>0.88</v>
      </c>
      <c r="K20" s="53">
        <v>343.13</v>
      </c>
      <c r="L20" s="53">
        <v>29.2</v>
      </c>
      <c r="M20" s="53">
        <v>55.05</v>
      </c>
      <c r="N20" s="53">
        <v>536.5</v>
      </c>
      <c r="O20" s="53">
        <v>0</v>
      </c>
      <c r="P20" s="53">
        <v>0.8</v>
      </c>
      <c r="Q20" s="53">
        <v>4.82</v>
      </c>
    </row>
    <row r="21" spans="1:17" customFormat="1">
      <c r="A21" s="52">
        <v>45350.541666666664</v>
      </c>
      <c r="B21" s="53">
        <v>11.54</v>
      </c>
      <c r="C21" s="53">
        <v>25.67</v>
      </c>
      <c r="D21" s="53">
        <v>23.69</v>
      </c>
      <c r="E21" s="53">
        <v>14.37</v>
      </c>
      <c r="F21" s="53">
        <v>8.84</v>
      </c>
      <c r="G21" s="53">
        <v>101.99</v>
      </c>
      <c r="H21" s="53">
        <v>36.72</v>
      </c>
      <c r="I21" s="53">
        <v>7.43</v>
      </c>
      <c r="J21" s="53">
        <v>1.08</v>
      </c>
      <c r="K21" s="53">
        <v>348.93</v>
      </c>
      <c r="L21" s="53">
        <v>30.16</v>
      </c>
      <c r="M21" s="53">
        <v>51.73</v>
      </c>
      <c r="N21" s="53">
        <v>519.70000000000005</v>
      </c>
      <c r="O21" s="53">
        <v>0</v>
      </c>
      <c r="P21" s="53">
        <v>0.8</v>
      </c>
      <c r="Q21" s="53">
        <v>4.75</v>
      </c>
    </row>
    <row r="22" spans="1:17" customFormat="1">
      <c r="A22" s="52">
        <v>45350.583333333336</v>
      </c>
      <c r="B22" s="53">
        <v>7.95</v>
      </c>
      <c r="C22" s="53">
        <v>24.6</v>
      </c>
      <c r="D22" s="53">
        <v>20.54</v>
      </c>
      <c r="E22" s="53">
        <v>15.41</v>
      </c>
      <c r="F22" s="53">
        <v>10.86</v>
      </c>
      <c r="G22" s="53">
        <v>94.23</v>
      </c>
      <c r="H22" s="53">
        <v>36.68</v>
      </c>
      <c r="I22" s="53">
        <v>7.51</v>
      </c>
      <c r="J22" s="53">
        <v>1.1499999999999999</v>
      </c>
      <c r="K22" s="53">
        <v>308.83</v>
      </c>
      <c r="L22" s="53">
        <v>30.94</v>
      </c>
      <c r="M22" s="53">
        <v>45.33</v>
      </c>
      <c r="N22" s="53">
        <v>533.9</v>
      </c>
      <c r="O22" s="53">
        <v>0</v>
      </c>
      <c r="P22" s="53">
        <v>0.77</v>
      </c>
      <c r="Q22" s="53">
        <v>4.7300000000000004</v>
      </c>
    </row>
    <row r="23" spans="1:17" customFormat="1">
      <c r="A23" s="52">
        <v>45350.625</v>
      </c>
      <c r="B23" s="53">
        <v>5.95</v>
      </c>
      <c r="C23" s="53">
        <v>23.23</v>
      </c>
      <c r="D23" s="53">
        <v>18.260000000000002</v>
      </c>
      <c r="E23" s="53">
        <v>13.12</v>
      </c>
      <c r="F23" s="53">
        <v>9.24</v>
      </c>
      <c r="G23" s="53">
        <v>92.82</v>
      </c>
      <c r="H23" s="53">
        <v>35.14</v>
      </c>
      <c r="I23" s="53">
        <v>7.21</v>
      </c>
      <c r="J23" s="53">
        <v>0.83</v>
      </c>
      <c r="K23" s="53">
        <v>348.26</v>
      </c>
      <c r="L23" s="53">
        <v>31.67</v>
      </c>
      <c r="M23" s="53">
        <v>40.799999999999997</v>
      </c>
      <c r="N23" s="53">
        <v>497.9</v>
      </c>
      <c r="O23" s="53">
        <v>0</v>
      </c>
      <c r="P23" s="53">
        <v>0.77</v>
      </c>
      <c r="Q23" s="53">
        <v>4.68</v>
      </c>
    </row>
    <row r="24" spans="1:17" customFormat="1">
      <c r="A24" s="52">
        <v>45350.666666666664</v>
      </c>
      <c r="B24" s="53">
        <v>5.74</v>
      </c>
      <c r="C24" s="53">
        <v>18.96</v>
      </c>
      <c r="D24" s="53">
        <v>15.86</v>
      </c>
      <c r="E24" s="53">
        <v>11.42</v>
      </c>
      <c r="F24" s="53">
        <v>9.7799999999999994</v>
      </c>
      <c r="G24" s="53">
        <v>80.209999999999994</v>
      </c>
      <c r="H24" s="53">
        <v>29.31</v>
      </c>
      <c r="I24" s="53">
        <v>7.15</v>
      </c>
      <c r="J24" s="53">
        <v>0.96</v>
      </c>
      <c r="K24" s="53">
        <v>353.33</v>
      </c>
      <c r="L24" s="53">
        <v>31.58</v>
      </c>
      <c r="M24" s="53">
        <v>40.22</v>
      </c>
      <c r="N24" s="53">
        <v>160.5</v>
      </c>
      <c r="O24" s="53">
        <v>0</v>
      </c>
      <c r="P24" s="53">
        <v>0.76</v>
      </c>
      <c r="Q24" s="53">
        <v>4.6500000000000004</v>
      </c>
    </row>
    <row r="25" spans="1:17" customFormat="1">
      <c r="A25" s="52">
        <v>45350.708333333336</v>
      </c>
      <c r="B25" s="53">
        <v>5.52</v>
      </c>
      <c r="C25" s="53">
        <v>16.46</v>
      </c>
      <c r="D25" s="53">
        <v>14.18</v>
      </c>
      <c r="E25" s="53">
        <v>11.33</v>
      </c>
      <c r="F25" s="53">
        <v>10.01</v>
      </c>
      <c r="G25" s="53">
        <v>65.7</v>
      </c>
      <c r="H25" s="53">
        <v>29.31</v>
      </c>
      <c r="I25" s="53">
        <v>6.83</v>
      </c>
      <c r="J25" s="53">
        <v>0.91</v>
      </c>
      <c r="K25" s="53">
        <v>344.31</v>
      </c>
      <c r="L25" s="53">
        <v>31.18</v>
      </c>
      <c r="M25" s="53">
        <v>40.46</v>
      </c>
      <c r="N25" s="53">
        <v>175.7</v>
      </c>
      <c r="O25" s="53">
        <v>0</v>
      </c>
      <c r="P25" s="53">
        <v>0.73</v>
      </c>
      <c r="Q25" s="53">
        <v>4.67</v>
      </c>
    </row>
    <row r="26" spans="1:17" customFormat="1">
      <c r="A26" s="52">
        <v>45350.75</v>
      </c>
      <c r="B26" s="53">
        <v>6.52</v>
      </c>
      <c r="C26" s="53">
        <v>16.899999999999999</v>
      </c>
      <c r="D26" s="53">
        <v>15.41</v>
      </c>
      <c r="E26" s="53">
        <v>10.15</v>
      </c>
      <c r="F26" s="53">
        <v>7.7</v>
      </c>
      <c r="G26" s="53">
        <v>59.56</v>
      </c>
      <c r="H26" s="53">
        <v>23.8</v>
      </c>
      <c r="I26" s="53">
        <v>6.55</v>
      </c>
      <c r="J26" s="53">
        <v>0.46</v>
      </c>
      <c r="K26" s="53">
        <v>348.26</v>
      </c>
      <c r="L26" s="53">
        <v>30.91</v>
      </c>
      <c r="M26" s="53">
        <v>44.28</v>
      </c>
      <c r="N26" s="53">
        <v>64.400000000000006</v>
      </c>
      <c r="O26" s="53">
        <v>0</v>
      </c>
      <c r="P26" s="53">
        <v>0.73</v>
      </c>
      <c r="Q26" s="53">
        <v>4.7300000000000004</v>
      </c>
    </row>
    <row r="27" spans="1:17" customFormat="1">
      <c r="A27" s="52">
        <v>45350.791666666664</v>
      </c>
      <c r="B27" s="53">
        <v>8.08</v>
      </c>
      <c r="C27" s="53">
        <v>16.68</v>
      </c>
      <c r="D27" s="53">
        <v>16.170000000000002</v>
      </c>
      <c r="E27" s="53">
        <v>8.15</v>
      </c>
      <c r="F27" s="53">
        <v>5.15</v>
      </c>
      <c r="G27" s="53">
        <v>80.5</v>
      </c>
      <c r="H27" s="53">
        <v>26.94</v>
      </c>
      <c r="I27" s="53">
        <v>6.67</v>
      </c>
      <c r="J27" s="53">
        <v>0.41</v>
      </c>
      <c r="K27" s="53">
        <v>182.5</v>
      </c>
      <c r="L27" s="53">
        <v>28.93</v>
      </c>
      <c r="M27" s="53">
        <v>62.11</v>
      </c>
      <c r="N27" s="53">
        <v>0</v>
      </c>
      <c r="O27" s="53">
        <v>0</v>
      </c>
      <c r="P27" s="53">
        <v>0.75</v>
      </c>
      <c r="Q27" s="53">
        <v>4.7300000000000004</v>
      </c>
    </row>
    <row r="28" spans="1:17" customFormat="1">
      <c r="A28" s="52">
        <v>45350.833333333336</v>
      </c>
      <c r="B28" s="53">
        <v>8.25</v>
      </c>
      <c r="C28" s="53">
        <v>17.71</v>
      </c>
      <c r="D28" s="53">
        <v>16.89</v>
      </c>
      <c r="E28" s="53">
        <v>8.69</v>
      </c>
      <c r="F28" s="53">
        <v>5.43</v>
      </c>
      <c r="G28" s="53">
        <v>80.5</v>
      </c>
      <c r="H28" s="53">
        <v>29.16</v>
      </c>
      <c r="I28" s="53">
        <v>6.9</v>
      </c>
      <c r="J28" s="53">
        <v>0.26</v>
      </c>
      <c r="K28" s="53">
        <v>210.21</v>
      </c>
      <c r="L28" s="53">
        <v>25.96</v>
      </c>
      <c r="M28" s="53">
        <v>67.97</v>
      </c>
      <c r="N28" s="53">
        <v>0</v>
      </c>
      <c r="O28" s="53">
        <v>0</v>
      </c>
      <c r="P28" s="53">
        <v>0.77</v>
      </c>
      <c r="Q28" s="53">
        <v>4.79</v>
      </c>
    </row>
    <row r="29" spans="1:17" customFormat="1">
      <c r="A29" s="52">
        <v>45350.875</v>
      </c>
      <c r="B29" s="53">
        <v>7.81</v>
      </c>
      <c r="C29" s="53">
        <v>18.809999999999999</v>
      </c>
      <c r="D29" s="53">
        <v>17.440000000000001</v>
      </c>
      <c r="E29" s="53">
        <v>8.99</v>
      </c>
      <c r="F29" s="53">
        <v>4.96</v>
      </c>
      <c r="G29" s="53">
        <v>88.21</v>
      </c>
      <c r="H29" s="53">
        <v>29.16</v>
      </c>
      <c r="I29" s="53">
        <v>7.1</v>
      </c>
      <c r="J29" s="53">
        <v>0.25</v>
      </c>
      <c r="K29" s="53">
        <v>233.27</v>
      </c>
      <c r="L29" s="53">
        <v>25.13</v>
      </c>
      <c r="M29" s="53">
        <v>70.38</v>
      </c>
      <c r="N29" s="53">
        <v>0</v>
      </c>
      <c r="O29" s="53">
        <v>0</v>
      </c>
      <c r="P29" s="53">
        <v>0.79</v>
      </c>
      <c r="Q29" s="53">
        <v>4.78</v>
      </c>
    </row>
    <row r="30" spans="1:17" customFormat="1">
      <c r="A30" s="52">
        <v>45350.916666666664</v>
      </c>
      <c r="B30" s="53">
        <v>16.82</v>
      </c>
      <c r="C30" s="53">
        <v>23.77</v>
      </c>
      <c r="D30" s="53">
        <v>27.26</v>
      </c>
      <c r="E30" s="53">
        <v>10.1</v>
      </c>
      <c r="F30" s="53">
        <v>4.53</v>
      </c>
      <c r="G30" s="53">
        <v>124.41</v>
      </c>
      <c r="H30" s="53">
        <v>34.14</v>
      </c>
      <c r="I30" s="53">
        <v>7.43</v>
      </c>
      <c r="J30" s="53">
        <v>0.23</v>
      </c>
      <c r="K30" s="53">
        <v>216.15</v>
      </c>
      <c r="L30" s="53">
        <v>24.41</v>
      </c>
      <c r="M30" s="53">
        <v>70.319999999999993</v>
      </c>
      <c r="N30" s="53">
        <v>0</v>
      </c>
      <c r="O30" s="53">
        <v>0</v>
      </c>
      <c r="P30" s="53">
        <v>0.88</v>
      </c>
      <c r="Q30" s="53">
        <v>4.8</v>
      </c>
    </row>
    <row r="31" spans="1:17" customFormat="1">
      <c r="A31" s="52">
        <v>45350.958333333336</v>
      </c>
      <c r="B31" s="53">
        <v>23.28</v>
      </c>
      <c r="C31" s="53">
        <v>25.84</v>
      </c>
      <c r="D31" s="53">
        <v>33.520000000000003</v>
      </c>
      <c r="E31" s="53">
        <v>9.93</v>
      </c>
      <c r="F31" s="53">
        <v>4.4400000000000004</v>
      </c>
      <c r="G31" s="53">
        <v>134.18</v>
      </c>
      <c r="H31" s="53">
        <v>37.44</v>
      </c>
      <c r="I31" s="53">
        <v>7.97</v>
      </c>
      <c r="J31" s="53">
        <v>0.21</v>
      </c>
      <c r="K31" s="53">
        <v>200.26</v>
      </c>
      <c r="L31" s="53">
        <v>23.73</v>
      </c>
      <c r="M31" s="53">
        <v>77.510000000000005</v>
      </c>
      <c r="N31" s="53">
        <v>0</v>
      </c>
      <c r="O31" s="53">
        <v>0</v>
      </c>
      <c r="P31" s="53">
        <v>0.96</v>
      </c>
      <c r="Q31" s="53">
        <v>4.8099999999999996</v>
      </c>
    </row>
    <row r="32" spans="1:17" customFormat="1">
      <c r="A32" s="52">
        <v>45351</v>
      </c>
      <c r="B32" s="53">
        <v>47.11</v>
      </c>
      <c r="C32" s="53">
        <v>30.89</v>
      </c>
      <c r="D32" s="53">
        <v>55.27</v>
      </c>
      <c r="E32" s="53">
        <v>10.36</v>
      </c>
      <c r="F32" s="53">
        <v>4.47</v>
      </c>
      <c r="G32" s="53">
        <v>146.30000000000001</v>
      </c>
      <c r="H32" s="53">
        <v>42.78</v>
      </c>
      <c r="I32" s="53">
        <v>9.58</v>
      </c>
      <c r="J32" s="53">
        <v>0.23</v>
      </c>
      <c r="K32" s="53">
        <v>193.54</v>
      </c>
      <c r="L32" s="53">
        <v>23.86</v>
      </c>
      <c r="M32" s="53">
        <v>75.17</v>
      </c>
      <c r="N32" s="53">
        <v>0</v>
      </c>
      <c r="O32" s="53">
        <v>0</v>
      </c>
      <c r="P32" s="53">
        <v>1.1499999999999999</v>
      </c>
      <c r="Q32" s="53">
        <v>4.8899999999999997</v>
      </c>
    </row>
    <row r="33" spans="1:21" s="1" customFormat="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 s="1" customFormat="1">
      <c r="A34" s="32" t="s">
        <v>48</v>
      </c>
      <c r="B34" s="40">
        <f t="shared" ref="B34:Q34" si="0">MIN(B9:B32)</f>
        <v>5.52</v>
      </c>
      <c r="C34" s="40">
        <f t="shared" si="0"/>
        <v>14.36</v>
      </c>
      <c r="D34" s="40">
        <f t="shared" si="0"/>
        <v>14.18</v>
      </c>
      <c r="E34" s="40">
        <f t="shared" si="0"/>
        <v>3.33</v>
      </c>
      <c r="F34" s="40">
        <f t="shared" si="0"/>
        <v>4.4400000000000004</v>
      </c>
      <c r="G34" s="40">
        <f t="shared" si="0"/>
        <v>29.45</v>
      </c>
      <c r="H34" s="40">
        <f t="shared" si="0"/>
        <v>15.21</v>
      </c>
      <c r="I34" s="40">
        <f t="shared" si="0"/>
        <v>4.41</v>
      </c>
      <c r="J34" s="40">
        <f t="shared" si="0"/>
        <v>0.21</v>
      </c>
      <c r="K34" s="40">
        <f t="shared" si="0"/>
        <v>50.12</v>
      </c>
      <c r="L34" s="40">
        <f t="shared" si="0"/>
        <v>19.78</v>
      </c>
      <c r="M34" s="40">
        <f t="shared" si="0"/>
        <v>40.22</v>
      </c>
      <c r="N34" s="40">
        <f t="shared" si="0"/>
        <v>0</v>
      </c>
      <c r="O34" s="40">
        <f t="shared" si="0"/>
        <v>0</v>
      </c>
      <c r="P34" s="40">
        <f t="shared" si="0"/>
        <v>0.47</v>
      </c>
      <c r="Q34" s="40">
        <f t="shared" si="0"/>
        <v>4.6500000000000004</v>
      </c>
      <c r="R34" s="40"/>
      <c r="S34" s="40"/>
      <c r="T34" s="40"/>
      <c r="U34" s="40"/>
    </row>
    <row r="35" spans="1:21" s="1" customFormat="1">
      <c r="A35" s="32" t="s">
        <v>49</v>
      </c>
      <c r="B35" s="33">
        <f t="shared" ref="B35:Q35" si="1">MAX(B9:B32)</f>
        <v>47.11</v>
      </c>
      <c r="C35" s="33">
        <f t="shared" si="1"/>
        <v>30.89</v>
      </c>
      <c r="D35" s="33">
        <f t="shared" si="1"/>
        <v>55.27</v>
      </c>
      <c r="E35" s="33">
        <f t="shared" si="1"/>
        <v>15.41</v>
      </c>
      <c r="F35" s="33">
        <f t="shared" si="1"/>
        <v>10.86</v>
      </c>
      <c r="G35" s="33">
        <f t="shared" si="1"/>
        <v>146.30000000000001</v>
      </c>
      <c r="H35" s="33">
        <f t="shared" si="1"/>
        <v>42.78</v>
      </c>
      <c r="I35" s="33">
        <f t="shared" si="1"/>
        <v>9.58</v>
      </c>
      <c r="J35" s="33">
        <f t="shared" si="1"/>
        <v>2.1800000000000002</v>
      </c>
      <c r="K35" s="33">
        <f t="shared" si="1"/>
        <v>353.33</v>
      </c>
      <c r="L35" s="33">
        <f t="shared" si="1"/>
        <v>31.67</v>
      </c>
      <c r="M35" s="33">
        <f t="shared" si="1"/>
        <v>86.54</v>
      </c>
      <c r="N35" s="33">
        <f t="shared" si="1"/>
        <v>536.5</v>
      </c>
      <c r="O35" s="33">
        <f t="shared" si="1"/>
        <v>0</v>
      </c>
      <c r="P35" s="33">
        <f t="shared" si="1"/>
        <v>1.1499999999999999</v>
      </c>
      <c r="Q35" s="33">
        <f t="shared" si="1"/>
        <v>4.8899999999999997</v>
      </c>
      <c r="R35" s="33"/>
      <c r="S35" s="33"/>
      <c r="T35" s="33"/>
      <c r="U35" s="33"/>
    </row>
    <row r="36" spans="1:21" s="1" customFormat="1">
      <c r="A36" s="32" t="s">
        <v>50</v>
      </c>
      <c r="B36" s="40">
        <f t="shared" ref="B36:Q36" si="2">AVERAGE(B9:B32)</f>
        <v>12.859583333333335</v>
      </c>
      <c r="C36" s="40">
        <f t="shared" si="2"/>
        <v>20.184166666666663</v>
      </c>
      <c r="D36" s="40">
        <f t="shared" si="2"/>
        <v>21.9725</v>
      </c>
      <c r="E36" s="40">
        <f t="shared" si="2"/>
        <v>9.7187500000000018</v>
      </c>
      <c r="F36" s="40">
        <f t="shared" si="2"/>
        <v>6.149583333333335</v>
      </c>
      <c r="G36" s="40">
        <f t="shared" si="2"/>
        <v>73.085000000000008</v>
      </c>
      <c r="H36" s="40">
        <f t="shared" si="2"/>
        <v>26.622500000000002</v>
      </c>
      <c r="I36" s="40">
        <f t="shared" si="2"/>
        <v>6.310833333333334</v>
      </c>
      <c r="J36" s="40">
        <f t="shared" si="2"/>
        <v>0.67958333333333343</v>
      </c>
      <c r="K36" s="40">
        <f t="shared" si="2"/>
        <v>230.37958333333333</v>
      </c>
      <c r="L36" s="40">
        <f t="shared" si="2"/>
        <v>25.478750000000005</v>
      </c>
      <c r="M36" s="40">
        <f t="shared" si="2"/>
        <v>67.307083333333324</v>
      </c>
      <c r="N36" s="40">
        <f t="shared" si="2"/>
        <v>152.55416666666667</v>
      </c>
      <c r="O36" s="40">
        <f t="shared" si="2"/>
        <v>0</v>
      </c>
      <c r="P36" s="40">
        <f t="shared" si="2"/>
        <v>0.69666666666666666</v>
      </c>
      <c r="Q36" s="40">
        <f t="shared" si="2"/>
        <v>4.7566666666666677</v>
      </c>
      <c r="R36" s="40"/>
      <c r="S36" s="40"/>
      <c r="T36" s="40"/>
      <c r="U36" s="40"/>
    </row>
    <row r="37" spans="1:21" s="1" customFormat="1">
      <c r="A37" s="32" t="s">
        <v>51</v>
      </c>
      <c r="B37" s="40">
        <f>STDEV(B9:B32)</f>
        <v>8.9757671243751886</v>
      </c>
      <c r="C37" s="40">
        <f t="shared" ref="C37:Q37" si="3">STDEV(C9:C32)</f>
        <v>4.1644112446410624</v>
      </c>
      <c r="D37" s="40">
        <f t="shared" si="3"/>
        <v>8.6813734888077434</v>
      </c>
      <c r="E37" s="40">
        <f t="shared" si="3"/>
        <v>2.8417788557903831</v>
      </c>
      <c r="F37" s="40">
        <f t="shared" si="3"/>
        <v>2.0444250369930521</v>
      </c>
      <c r="G37" s="40">
        <f t="shared" si="3"/>
        <v>33.420016131965994</v>
      </c>
      <c r="H37" s="40">
        <f t="shared" si="3"/>
        <v>8.8048668607073513</v>
      </c>
      <c r="I37" s="40">
        <f t="shared" si="3"/>
        <v>1.3553562556428265</v>
      </c>
      <c r="J37" s="40">
        <f t="shared" si="3"/>
        <v>0.47047135630285652</v>
      </c>
      <c r="K37" s="40">
        <f t="shared" si="3"/>
        <v>106.58043292475192</v>
      </c>
      <c r="L37" s="40">
        <f t="shared" si="3"/>
        <v>4.1716937572582609</v>
      </c>
      <c r="M37" s="40">
        <f t="shared" si="3"/>
        <v>16.048838906713009</v>
      </c>
      <c r="N37" s="40">
        <f t="shared" si="3"/>
        <v>207.93222762773422</v>
      </c>
      <c r="O37" s="40">
        <f t="shared" si="3"/>
        <v>0</v>
      </c>
      <c r="P37" s="40">
        <f t="shared" si="3"/>
        <v>0.17165857586111677</v>
      </c>
      <c r="Q37" s="40">
        <f t="shared" si="3"/>
        <v>5.8730531772825209E-2</v>
      </c>
      <c r="R37" s="40"/>
      <c r="S37" s="40"/>
      <c r="T37" s="40"/>
      <c r="U37" s="40"/>
    </row>
    <row r="38" spans="1:21" s="1" customFormat="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8"/>
      <c r="O41" s="48"/>
      <c r="P41" s="48"/>
      <c r="Q41" s="48"/>
      <c r="R41" s="48"/>
      <c r="S41" s="48"/>
      <c r="T41" s="48"/>
      <c r="U41" s="48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6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:XFD32"/>
    </sheetView>
  </sheetViews>
  <sheetFormatPr defaultColWidth="9" defaultRowHeight="15"/>
  <cols>
    <col min="1" max="1" width="15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2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45351.041666666664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3" t="s">
        <v>24</v>
      </c>
      <c r="D7" s="43" t="s">
        <v>25</v>
      </c>
      <c r="E7" s="43" t="s">
        <v>26</v>
      </c>
      <c r="F7" s="43" t="s">
        <v>27</v>
      </c>
      <c r="G7" s="43" t="s">
        <v>28</v>
      </c>
      <c r="H7" s="43" t="s">
        <v>29</v>
      </c>
      <c r="I7" s="43" t="s">
        <v>30</v>
      </c>
      <c r="J7" s="43" t="s">
        <v>31</v>
      </c>
      <c r="K7" s="43" t="s">
        <v>32</v>
      </c>
      <c r="L7" s="43" t="s">
        <v>33</v>
      </c>
      <c r="M7" s="43" t="s">
        <v>34</v>
      </c>
      <c r="N7" s="43" t="s">
        <v>35</v>
      </c>
      <c r="O7" s="43" t="s">
        <v>36</v>
      </c>
      <c r="P7" s="43" t="s">
        <v>37</v>
      </c>
      <c r="Q7" s="43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2">
        <v>45351.041666666664</v>
      </c>
      <c r="B9" s="53">
        <v>50.12</v>
      </c>
      <c r="C9" s="53">
        <v>29.8</v>
      </c>
      <c r="D9" s="53">
        <v>56.91</v>
      </c>
      <c r="E9" s="53">
        <v>10.32</v>
      </c>
      <c r="F9" s="53">
        <v>5.12</v>
      </c>
      <c r="G9" s="53">
        <v>146.30000000000001</v>
      </c>
      <c r="H9" s="53">
        <v>42.78</v>
      </c>
      <c r="I9" s="53">
        <v>11.08</v>
      </c>
      <c r="J9" s="53">
        <v>0.3</v>
      </c>
      <c r="K9" s="53">
        <v>192.41</v>
      </c>
      <c r="L9" s="53">
        <v>22.64</v>
      </c>
      <c r="M9" s="53">
        <v>83.04</v>
      </c>
      <c r="N9" s="53">
        <v>0</v>
      </c>
      <c r="O9" s="53">
        <v>0</v>
      </c>
      <c r="P9" s="53">
        <v>1.22</v>
      </c>
      <c r="Q9" s="53">
        <v>4.92</v>
      </c>
    </row>
    <row r="10" spans="1:21">
      <c r="A10" s="52">
        <v>45351.083333333336</v>
      </c>
      <c r="B10" s="53">
        <v>49.48</v>
      </c>
      <c r="C10" s="53">
        <v>22.17</v>
      </c>
      <c r="D10" s="53">
        <v>52.61</v>
      </c>
      <c r="E10" s="53">
        <v>9.16</v>
      </c>
      <c r="F10" s="53">
        <v>4.74</v>
      </c>
      <c r="G10" s="53">
        <v>126.52</v>
      </c>
      <c r="H10" s="53">
        <v>46.17</v>
      </c>
      <c r="I10" s="53">
        <v>11.53</v>
      </c>
      <c r="J10" s="53">
        <v>0.41</v>
      </c>
      <c r="K10" s="53">
        <v>160.91999999999999</v>
      </c>
      <c r="L10" s="53">
        <v>22.23</v>
      </c>
      <c r="M10" s="53">
        <v>83.3</v>
      </c>
      <c r="N10" s="53">
        <v>0</v>
      </c>
      <c r="O10" s="53">
        <v>0</v>
      </c>
      <c r="P10" s="53">
        <v>1.22</v>
      </c>
      <c r="Q10" s="53">
        <v>4.92</v>
      </c>
    </row>
    <row r="11" spans="1:21">
      <c r="A11" s="52">
        <v>45351.125</v>
      </c>
      <c r="B11" s="53">
        <v>48.5</v>
      </c>
      <c r="C11" s="53">
        <v>21.14</v>
      </c>
      <c r="D11" s="53">
        <v>50.7</v>
      </c>
      <c r="E11" s="53">
        <v>10.11</v>
      </c>
      <c r="F11" s="53">
        <v>4.68</v>
      </c>
      <c r="G11" s="53">
        <v>115.7</v>
      </c>
      <c r="H11" s="53">
        <v>46.17</v>
      </c>
      <c r="I11" s="53">
        <v>11.58</v>
      </c>
      <c r="J11" s="53">
        <v>0.24</v>
      </c>
      <c r="K11" s="53">
        <v>219.33</v>
      </c>
      <c r="L11" s="53">
        <v>21.24</v>
      </c>
      <c r="M11" s="53">
        <v>87.34</v>
      </c>
      <c r="N11" s="53">
        <v>0</v>
      </c>
      <c r="O11" s="53">
        <v>0</v>
      </c>
      <c r="P11" s="53">
        <v>1.2</v>
      </c>
      <c r="Q11" s="53">
        <v>4.9400000000000004</v>
      </c>
    </row>
    <row r="12" spans="1:21">
      <c r="A12" s="52">
        <v>45351.166666666664</v>
      </c>
      <c r="B12" s="53">
        <v>46.91</v>
      </c>
      <c r="C12" s="53">
        <v>20.85</v>
      </c>
      <c r="D12" s="53">
        <v>49.69</v>
      </c>
      <c r="E12" s="53">
        <v>10.33</v>
      </c>
      <c r="F12" s="53">
        <v>4.76</v>
      </c>
      <c r="G12" s="53">
        <v>111.64</v>
      </c>
      <c r="H12" s="53">
        <v>42.34</v>
      </c>
      <c r="I12" s="53">
        <v>11.55</v>
      </c>
      <c r="J12" s="53">
        <v>0.24</v>
      </c>
      <c r="K12" s="53">
        <v>197.31</v>
      </c>
      <c r="L12" s="53">
        <v>20.350000000000001</v>
      </c>
      <c r="M12" s="53">
        <v>91.18</v>
      </c>
      <c r="N12" s="53">
        <v>0</v>
      </c>
      <c r="O12" s="53">
        <v>0</v>
      </c>
      <c r="P12" s="53">
        <v>1.17</v>
      </c>
      <c r="Q12" s="53">
        <v>4.93</v>
      </c>
    </row>
    <row r="13" spans="1:21">
      <c r="A13" s="52">
        <v>45351.208333333336</v>
      </c>
      <c r="B13" s="53">
        <v>45.73</v>
      </c>
      <c r="C13" s="53">
        <v>20.21</v>
      </c>
      <c r="D13" s="53">
        <v>48.13</v>
      </c>
      <c r="E13" s="53">
        <v>10.01</v>
      </c>
      <c r="F13" s="53">
        <v>4.78</v>
      </c>
      <c r="G13" s="53">
        <v>100.9</v>
      </c>
      <c r="H13" s="53">
        <v>41.89</v>
      </c>
      <c r="I13" s="53">
        <v>11.48</v>
      </c>
      <c r="J13" s="53">
        <v>0.2</v>
      </c>
      <c r="K13" s="53">
        <v>248.69</v>
      </c>
      <c r="L13" s="53">
        <v>19.48</v>
      </c>
      <c r="M13" s="53">
        <v>92.44</v>
      </c>
      <c r="N13" s="53">
        <v>0</v>
      </c>
      <c r="O13" s="53">
        <v>0</v>
      </c>
      <c r="P13" s="53">
        <v>1.1399999999999999</v>
      </c>
      <c r="Q13" s="53">
        <v>4.92</v>
      </c>
    </row>
    <row r="14" spans="1:21">
      <c r="A14" s="52">
        <v>45351.25</v>
      </c>
      <c r="B14" s="53">
        <v>45.37</v>
      </c>
      <c r="C14" s="53">
        <v>20.75</v>
      </c>
      <c r="D14" s="53">
        <v>47.78</v>
      </c>
      <c r="E14" s="53">
        <v>9.98</v>
      </c>
      <c r="F14" s="53">
        <v>4.7</v>
      </c>
      <c r="G14" s="53">
        <v>98.66</v>
      </c>
      <c r="H14" s="53">
        <v>37.770000000000003</v>
      </c>
      <c r="I14" s="53">
        <v>11.36</v>
      </c>
      <c r="J14" s="53">
        <v>0.23</v>
      </c>
      <c r="K14" s="53">
        <v>202.46</v>
      </c>
      <c r="L14" s="53">
        <v>19.170000000000002</v>
      </c>
      <c r="M14" s="53">
        <v>93.17</v>
      </c>
      <c r="N14" s="53">
        <v>0</v>
      </c>
      <c r="O14" s="53">
        <v>0</v>
      </c>
      <c r="P14" s="53">
        <v>1.1100000000000001</v>
      </c>
      <c r="Q14" s="53">
        <v>4.93</v>
      </c>
    </row>
    <row r="15" spans="1:21">
      <c r="A15" s="52">
        <v>45351.291666666664</v>
      </c>
      <c r="B15" s="53">
        <v>43.97</v>
      </c>
      <c r="C15" s="53">
        <v>22.6</v>
      </c>
      <c r="D15" s="53">
        <v>48.42</v>
      </c>
      <c r="E15" s="53">
        <v>10.6</v>
      </c>
      <c r="F15" s="53">
        <v>4.46</v>
      </c>
      <c r="G15" s="53">
        <v>92.19</v>
      </c>
      <c r="H15" s="53">
        <v>37.97</v>
      </c>
      <c r="I15" s="53">
        <v>11.33</v>
      </c>
      <c r="J15" s="53">
        <v>0.97</v>
      </c>
      <c r="K15" s="53">
        <v>173.09</v>
      </c>
      <c r="L15" s="53">
        <v>20.27</v>
      </c>
      <c r="M15" s="53">
        <v>93.4</v>
      </c>
      <c r="N15" s="53">
        <v>18.399999999999999</v>
      </c>
      <c r="O15" s="53">
        <v>0</v>
      </c>
      <c r="P15" s="53">
        <v>1.1100000000000001</v>
      </c>
      <c r="Q15" s="53">
        <v>4.91</v>
      </c>
    </row>
    <row r="16" spans="1:21">
      <c r="A16" s="52">
        <v>45351.333333333336</v>
      </c>
      <c r="B16" s="53">
        <v>43.26</v>
      </c>
      <c r="C16" s="53">
        <v>25.39</v>
      </c>
      <c r="D16" s="53">
        <v>48.26</v>
      </c>
      <c r="E16" s="53">
        <v>11.03</v>
      </c>
      <c r="F16" s="53">
        <v>4.58</v>
      </c>
      <c r="G16" s="53">
        <v>95.02</v>
      </c>
      <c r="H16" s="53">
        <v>37.97</v>
      </c>
      <c r="I16" s="53">
        <v>11.34</v>
      </c>
      <c r="J16" s="53">
        <v>1.8</v>
      </c>
      <c r="K16" s="53">
        <v>66.88</v>
      </c>
      <c r="L16" s="53">
        <v>22.17</v>
      </c>
      <c r="M16" s="53">
        <v>79.349999999999994</v>
      </c>
      <c r="N16" s="53">
        <v>93.5</v>
      </c>
      <c r="O16" s="53">
        <v>0</v>
      </c>
      <c r="P16" s="53">
        <v>1.1000000000000001</v>
      </c>
      <c r="Q16" s="53">
        <v>4.91</v>
      </c>
    </row>
    <row r="17" spans="1:17">
      <c r="A17" s="52">
        <v>45351.375</v>
      </c>
      <c r="B17" s="53">
        <v>35.75</v>
      </c>
      <c r="C17" s="53">
        <v>26.79</v>
      </c>
      <c r="D17" s="53">
        <v>43.38</v>
      </c>
      <c r="E17" s="53">
        <v>12.02</v>
      </c>
      <c r="F17" s="53">
        <v>4.95</v>
      </c>
      <c r="G17" s="53">
        <v>95.02</v>
      </c>
      <c r="H17" s="53">
        <v>36.869999999999997</v>
      </c>
      <c r="I17" s="53">
        <v>11.07</v>
      </c>
      <c r="J17" s="53">
        <v>1.83</v>
      </c>
      <c r="K17" s="53">
        <v>61.22</v>
      </c>
      <c r="L17" s="53">
        <v>24.76</v>
      </c>
      <c r="M17" s="53">
        <v>63.77</v>
      </c>
      <c r="N17" s="53">
        <v>354.4</v>
      </c>
      <c r="O17" s="53">
        <v>0</v>
      </c>
      <c r="P17" s="53">
        <v>1.01</v>
      </c>
      <c r="Q17" s="53">
        <v>4.88</v>
      </c>
    </row>
    <row r="18" spans="1:17">
      <c r="A18" s="52">
        <v>45351.416666666664</v>
      </c>
      <c r="B18" s="53">
        <v>27.43</v>
      </c>
      <c r="C18" s="53">
        <v>28.09</v>
      </c>
      <c r="D18" s="53">
        <v>37.520000000000003</v>
      </c>
      <c r="E18" s="53">
        <v>12.22</v>
      </c>
      <c r="F18" s="53">
        <v>5.88</v>
      </c>
      <c r="G18" s="53">
        <v>85.65</v>
      </c>
      <c r="H18" s="53">
        <v>36.020000000000003</v>
      </c>
      <c r="I18" s="53">
        <v>10.09</v>
      </c>
      <c r="J18" s="53">
        <v>1.78</v>
      </c>
      <c r="K18" s="53">
        <v>69.92</v>
      </c>
      <c r="L18" s="53">
        <v>27.37</v>
      </c>
      <c r="M18" s="53">
        <v>57.09</v>
      </c>
      <c r="N18" s="53">
        <v>462.8</v>
      </c>
      <c r="O18" s="53">
        <v>0</v>
      </c>
      <c r="P18" s="53">
        <v>0.93</v>
      </c>
      <c r="Q18" s="53">
        <v>4.82</v>
      </c>
    </row>
    <row r="19" spans="1:17">
      <c r="A19" s="52">
        <v>45351.458333333336</v>
      </c>
      <c r="B19" s="53">
        <v>25.15</v>
      </c>
      <c r="C19" s="53">
        <v>29.26</v>
      </c>
      <c r="D19" s="53">
        <v>35.020000000000003</v>
      </c>
      <c r="E19" s="53">
        <v>19.87</v>
      </c>
      <c r="F19" s="53">
        <v>5.79</v>
      </c>
      <c r="G19" s="53">
        <v>83.9</v>
      </c>
      <c r="H19" s="53">
        <v>36.020000000000003</v>
      </c>
      <c r="I19" s="53">
        <v>9.2799999999999994</v>
      </c>
      <c r="J19" s="53">
        <v>1.67</v>
      </c>
      <c r="K19" s="53">
        <v>65.47</v>
      </c>
      <c r="L19" s="53">
        <v>29.15</v>
      </c>
      <c r="M19" s="53">
        <v>45.23</v>
      </c>
      <c r="N19" s="53">
        <v>607.4</v>
      </c>
      <c r="O19" s="53">
        <v>0</v>
      </c>
      <c r="P19" s="53">
        <v>0.89</v>
      </c>
      <c r="Q19" s="53">
        <v>4.7699999999999996</v>
      </c>
    </row>
    <row r="20" spans="1:17">
      <c r="A20" s="52">
        <v>45351.5</v>
      </c>
      <c r="B20" s="53">
        <v>24.8</v>
      </c>
      <c r="C20" s="53">
        <v>25.71</v>
      </c>
      <c r="D20" s="53">
        <v>34.51</v>
      </c>
      <c r="E20" s="53">
        <v>15.43</v>
      </c>
      <c r="F20" s="53">
        <v>6.87</v>
      </c>
      <c r="G20" s="53">
        <v>75.39</v>
      </c>
      <c r="H20" s="53">
        <v>30.89</v>
      </c>
      <c r="I20" s="53">
        <v>8.69</v>
      </c>
      <c r="J20" s="53">
        <v>1.48</v>
      </c>
      <c r="K20" s="53">
        <v>76.19</v>
      </c>
      <c r="L20" s="53">
        <v>31.27</v>
      </c>
      <c r="M20" s="53">
        <v>36.47</v>
      </c>
      <c r="N20" s="53">
        <v>663.3</v>
      </c>
      <c r="O20" s="53">
        <v>0</v>
      </c>
      <c r="P20" s="53">
        <v>0.85</v>
      </c>
      <c r="Q20" s="53">
        <v>4.78</v>
      </c>
    </row>
    <row r="21" spans="1:17">
      <c r="A21" s="52">
        <v>45351.541666666664</v>
      </c>
      <c r="B21" s="53">
        <v>19.63</v>
      </c>
      <c r="C21" s="53">
        <v>25.82</v>
      </c>
      <c r="D21" s="53">
        <v>30.51</v>
      </c>
      <c r="E21" s="53">
        <v>9.1199999999999992</v>
      </c>
      <c r="F21" s="53">
        <v>5.23</v>
      </c>
      <c r="G21" s="53">
        <v>70.11</v>
      </c>
      <c r="H21" s="53">
        <v>28.07</v>
      </c>
      <c r="I21" s="53">
        <v>8.2100000000000009</v>
      </c>
      <c r="J21" s="53">
        <v>1.1499999999999999</v>
      </c>
      <c r="K21" s="53">
        <v>94.65</v>
      </c>
      <c r="L21" s="53">
        <v>32.5</v>
      </c>
      <c r="M21" s="53">
        <v>31.49</v>
      </c>
      <c r="N21" s="53">
        <v>668.7</v>
      </c>
      <c r="O21" s="53">
        <v>0</v>
      </c>
      <c r="P21" s="53">
        <v>0.8</v>
      </c>
      <c r="Q21" s="53">
        <v>4.75</v>
      </c>
    </row>
    <row r="22" spans="1:17">
      <c r="A22" s="52">
        <v>45351.583333333336</v>
      </c>
      <c r="B22" s="53">
        <v>16.989999999999998</v>
      </c>
      <c r="C22" s="53">
        <v>26.21</v>
      </c>
      <c r="D22" s="53">
        <v>28.46</v>
      </c>
      <c r="E22" s="53">
        <v>9.7200000000000006</v>
      </c>
      <c r="F22" s="53">
        <v>5.62</v>
      </c>
      <c r="G22" s="53">
        <v>68.319999999999993</v>
      </c>
      <c r="H22" s="53">
        <v>26.55</v>
      </c>
      <c r="I22" s="53">
        <v>7.79</v>
      </c>
      <c r="J22" s="53">
        <v>0.99</v>
      </c>
      <c r="K22" s="53">
        <v>347.71</v>
      </c>
      <c r="L22" s="53">
        <v>32.68</v>
      </c>
      <c r="M22" s="53">
        <v>27.37</v>
      </c>
      <c r="N22" s="53">
        <v>633.79999999999995</v>
      </c>
      <c r="O22" s="53">
        <v>0</v>
      </c>
      <c r="P22" s="53">
        <v>0.76</v>
      </c>
      <c r="Q22" s="53">
        <v>4.75</v>
      </c>
    </row>
    <row r="23" spans="1:17">
      <c r="A23" s="52">
        <v>45351.625</v>
      </c>
      <c r="B23" s="53">
        <v>14.38</v>
      </c>
      <c r="C23" s="53">
        <v>26.17</v>
      </c>
      <c r="D23" s="53">
        <v>26.56</v>
      </c>
      <c r="E23" s="53">
        <v>8.4</v>
      </c>
      <c r="F23" s="53">
        <v>5.49</v>
      </c>
      <c r="G23" s="53">
        <v>65.66</v>
      </c>
      <c r="H23" s="53">
        <v>26.55</v>
      </c>
      <c r="I23" s="53">
        <v>7.35</v>
      </c>
      <c r="J23" s="53">
        <v>1.27</v>
      </c>
      <c r="K23" s="53">
        <v>62.15</v>
      </c>
      <c r="L23" s="53">
        <v>32.72</v>
      </c>
      <c r="M23" s="53">
        <v>24.48</v>
      </c>
      <c r="N23" s="53">
        <v>547.70000000000005</v>
      </c>
      <c r="O23" s="53">
        <v>0</v>
      </c>
      <c r="P23" s="53">
        <v>0.73</v>
      </c>
      <c r="Q23" s="53">
        <v>4.75</v>
      </c>
    </row>
    <row r="24" spans="1:17">
      <c r="A24" s="52">
        <v>45351.666666666664</v>
      </c>
      <c r="B24" s="53">
        <v>10.75</v>
      </c>
      <c r="C24" s="53">
        <v>25.2</v>
      </c>
      <c r="D24" s="53">
        <v>21.06</v>
      </c>
      <c r="E24" s="53">
        <v>9.49</v>
      </c>
      <c r="F24" s="53">
        <v>9.02</v>
      </c>
      <c r="G24" s="53">
        <v>63.34</v>
      </c>
      <c r="H24" s="53">
        <v>22.28</v>
      </c>
      <c r="I24" s="53">
        <v>7.15</v>
      </c>
      <c r="J24" s="53">
        <v>0.72</v>
      </c>
      <c r="K24" s="53">
        <v>347.21</v>
      </c>
      <c r="L24" s="53">
        <v>32.82</v>
      </c>
      <c r="M24" s="53">
        <v>21.68</v>
      </c>
      <c r="N24" s="53">
        <v>142</v>
      </c>
      <c r="O24" s="53">
        <v>0</v>
      </c>
      <c r="P24" s="53">
        <v>0.62</v>
      </c>
      <c r="Q24" s="53">
        <v>4.83</v>
      </c>
    </row>
    <row r="25" spans="1:17">
      <c r="A25" s="52">
        <v>45351.708333333336</v>
      </c>
      <c r="B25" s="53">
        <v>8.0299999999999994</v>
      </c>
      <c r="C25" s="53">
        <v>24.17</v>
      </c>
      <c r="D25" s="53">
        <v>20.420000000000002</v>
      </c>
      <c r="E25" s="53">
        <v>10.220000000000001</v>
      </c>
      <c r="F25" s="53">
        <v>9.94</v>
      </c>
      <c r="G25" s="53">
        <v>54.83</v>
      </c>
      <c r="H25" s="53">
        <v>19.3</v>
      </c>
      <c r="I25" s="53">
        <v>5.92</v>
      </c>
      <c r="J25" s="53">
        <v>0.73</v>
      </c>
      <c r="K25" s="53">
        <v>336.17</v>
      </c>
      <c r="L25" s="53">
        <v>32.869999999999997</v>
      </c>
      <c r="M25" s="53">
        <v>20.13</v>
      </c>
      <c r="N25" s="53">
        <v>210.9</v>
      </c>
      <c r="O25" s="53">
        <v>0</v>
      </c>
      <c r="P25" s="53">
        <v>0.53</v>
      </c>
      <c r="Q25" s="53">
        <v>4.8099999999999996</v>
      </c>
    </row>
    <row r="26" spans="1:17">
      <c r="A26" s="52">
        <v>45351.75</v>
      </c>
      <c r="B26" s="53">
        <v>10.1</v>
      </c>
      <c r="C26" s="53">
        <v>25.26</v>
      </c>
      <c r="D26" s="53">
        <v>22.65</v>
      </c>
      <c r="E26" s="53">
        <v>9.5500000000000007</v>
      </c>
      <c r="F26" s="53">
        <v>7.57</v>
      </c>
      <c r="G26" s="53">
        <v>60.88</v>
      </c>
      <c r="H26" s="53">
        <v>19.64</v>
      </c>
      <c r="I26" s="53">
        <v>5.45</v>
      </c>
      <c r="J26" s="53">
        <v>0.54</v>
      </c>
      <c r="K26" s="53">
        <v>176.84</v>
      </c>
      <c r="L26" s="53">
        <v>32.31</v>
      </c>
      <c r="M26" s="53">
        <v>35.1</v>
      </c>
      <c r="N26" s="53">
        <v>80.099999999999994</v>
      </c>
      <c r="O26" s="53">
        <v>0</v>
      </c>
      <c r="P26" s="53">
        <v>0.56000000000000005</v>
      </c>
      <c r="Q26" s="53">
        <v>4.79</v>
      </c>
    </row>
    <row r="27" spans="1:17">
      <c r="A27" s="52">
        <v>45351.791666666664</v>
      </c>
      <c r="B27" s="53">
        <v>9.08</v>
      </c>
      <c r="C27" s="53">
        <v>22.36</v>
      </c>
      <c r="D27" s="53">
        <v>20.18</v>
      </c>
      <c r="E27" s="53">
        <v>9.27</v>
      </c>
      <c r="F27" s="53">
        <v>5.52</v>
      </c>
      <c r="G27" s="53">
        <v>67.2</v>
      </c>
      <c r="H27" s="53">
        <v>21.95</v>
      </c>
      <c r="I27" s="53">
        <v>5.75</v>
      </c>
      <c r="J27" s="53">
        <v>0.31</v>
      </c>
      <c r="K27" s="53">
        <v>199.97</v>
      </c>
      <c r="L27" s="53">
        <v>27.79</v>
      </c>
      <c r="M27" s="53">
        <v>46.66</v>
      </c>
      <c r="N27" s="53">
        <v>0</v>
      </c>
      <c r="O27" s="53">
        <v>0</v>
      </c>
      <c r="P27" s="53">
        <v>0.57999999999999996</v>
      </c>
      <c r="Q27" s="53">
        <v>4.78</v>
      </c>
    </row>
    <row r="28" spans="1:17">
      <c r="A28" s="52">
        <v>45351.833333333336</v>
      </c>
      <c r="B28" s="53">
        <v>9.91</v>
      </c>
      <c r="C28" s="53">
        <v>21.4</v>
      </c>
      <c r="D28" s="53">
        <v>20.37</v>
      </c>
      <c r="E28" s="53">
        <v>8.18</v>
      </c>
      <c r="F28" s="53">
        <v>4.7699999999999996</v>
      </c>
      <c r="G28" s="53">
        <v>73.95</v>
      </c>
      <c r="H28" s="53">
        <v>25.29</v>
      </c>
      <c r="I28" s="53">
        <v>5.97</v>
      </c>
      <c r="J28" s="53">
        <v>0.22</v>
      </c>
      <c r="K28" s="53">
        <v>219.28</v>
      </c>
      <c r="L28" s="53">
        <v>25.7</v>
      </c>
      <c r="M28" s="53">
        <v>49.4</v>
      </c>
      <c r="N28" s="53">
        <v>0</v>
      </c>
      <c r="O28" s="53">
        <v>0</v>
      </c>
      <c r="P28" s="53">
        <v>0.61</v>
      </c>
      <c r="Q28" s="53">
        <v>4.76</v>
      </c>
    </row>
    <row r="29" spans="1:17">
      <c r="A29" s="52">
        <v>45351.875</v>
      </c>
      <c r="B29" s="53">
        <v>10.46</v>
      </c>
      <c r="C29" s="53">
        <v>20.73</v>
      </c>
      <c r="D29" s="53">
        <v>20.25</v>
      </c>
      <c r="E29" s="53">
        <v>7.37</v>
      </c>
      <c r="F29" s="53">
        <v>4.99</v>
      </c>
      <c r="G29" s="53">
        <v>85.93</v>
      </c>
      <c r="H29" s="53">
        <v>25.36</v>
      </c>
      <c r="I29" s="53">
        <v>6.09</v>
      </c>
      <c r="J29" s="53">
        <v>0.26</v>
      </c>
      <c r="K29" s="53">
        <v>213.59</v>
      </c>
      <c r="L29" s="53">
        <v>24.62</v>
      </c>
      <c r="M29" s="53">
        <v>54.24</v>
      </c>
      <c r="N29" s="53">
        <v>0</v>
      </c>
      <c r="O29" s="53">
        <v>0</v>
      </c>
      <c r="P29" s="53">
        <v>0.62</v>
      </c>
      <c r="Q29" s="53">
        <v>4.72</v>
      </c>
    </row>
    <row r="30" spans="1:17">
      <c r="A30" s="52">
        <v>45351.916666666664</v>
      </c>
      <c r="B30" s="53">
        <v>11.21</v>
      </c>
      <c r="C30" s="53">
        <v>15.86</v>
      </c>
      <c r="D30" s="53">
        <v>18.34</v>
      </c>
      <c r="E30" s="53">
        <v>6.81</v>
      </c>
      <c r="F30" s="53">
        <v>4.8499999999999996</v>
      </c>
      <c r="G30" s="53">
        <v>88.82</v>
      </c>
      <c r="H30" s="53">
        <v>25.36</v>
      </c>
      <c r="I30" s="53">
        <v>6.15</v>
      </c>
      <c r="J30" s="53">
        <v>0.27</v>
      </c>
      <c r="K30" s="53">
        <v>184.02</v>
      </c>
      <c r="L30" s="53">
        <v>23.93</v>
      </c>
      <c r="M30" s="53">
        <v>56.5</v>
      </c>
      <c r="N30" s="53">
        <v>0</v>
      </c>
      <c r="O30" s="53">
        <v>0</v>
      </c>
      <c r="P30" s="53">
        <v>0.62</v>
      </c>
      <c r="Q30" s="53">
        <v>4.7300000000000004</v>
      </c>
    </row>
    <row r="31" spans="1:17">
      <c r="A31" s="52">
        <v>45351.958333333336</v>
      </c>
      <c r="B31" s="53">
        <v>17.329999999999998</v>
      </c>
      <c r="C31" s="53">
        <v>17.18</v>
      </c>
      <c r="D31" s="53">
        <v>24.23</v>
      </c>
      <c r="E31" s="53">
        <v>7.28</v>
      </c>
      <c r="F31" s="53">
        <v>4.72</v>
      </c>
      <c r="G31" s="53">
        <v>93.95</v>
      </c>
      <c r="H31" s="53">
        <v>28.41</v>
      </c>
      <c r="I31" s="53">
        <v>6.44</v>
      </c>
      <c r="J31" s="53">
        <v>0.24</v>
      </c>
      <c r="K31" s="53">
        <v>231.3</v>
      </c>
      <c r="L31" s="53">
        <v>23.14</v>
      </c>
      <c r="M31" s="53">
        <v>58.82</v>
      </c>
      <c r="N31" s="53">
        <v>0</v>
      </c>
      <c r="O31" s="53">
        <v>0</v>
      </c>
      <c r="P31" s="53">
        <v>0.66</v>
      </c>
      <c r="Q31" s="53">
        <v>4.76</v>
      </c>
    </row>
    <row r="32" spans="1:17">
      <c r="A32" s="52">
        <v>45352</v>
      </c>
      <c r="B32" s="53">
        <v>24.66</v>
      </c>
      <c r="C32" s="53">
        <v>18.100000000000001</v>
      </c>
      <c r="D32" s="53">
        <v>30.58</v>
      </c>
      <c r="E32" s="53">
        <v>7.29</v>
      </c>
      <c r="F32" s="53">
        <v>4.66</v>
      </c>
      <c r="G32" s="53">
        <v>96.06</v>
      </c>
      <c r="H32" s="53">
        <v>30.96</v>
      </c>
      <c r="I32" s="53">
        <v>6.75</v>
      </c>
      <c r="J32" s="53">
        <v>0.26</v>
      </c>
      <c r="K32" s="53">
        <v>250.7</v>
      </c>
      <c r="L32" s="53">
        <v>23.09</v>
      </c>
      <c r="M32" s="53">
        <v>59.63</v>
      </c>
      <c r="N32" s="53">
        <v>0</v>
      </c>
      <c r="O32" s="53">
        <v>0</v>
      </c>
      <c r="P32" s="53">
        <v>0.68</v>
      </c>
      <c r="Q32" s="53">
        <v>4.79</v>
      </c>
    </row>
    <row r="33" spans="1:21">
      <c r="A33" s="41"/>
      <c r="B33" s="39"/>
      <c r="C33" s="39"/>
      <c r="D33" s="39"/>
      <c r="E33" s="39"/>
      <c r="F33" s="39"/>
      <c r="G33" s="41"/>
      <c r="H33" s="41"/>
      <c r="I33" s="41"/>
      <c r="J33" s="39"/>
      <c r="K33" s="39"/>
      <c r="L33" s="41"/>
      <c r="M33" s="41"/>
      <c r="N33" s="41"/>
      <c r="O33" s="41"/>
      <c r="P33" s="41"/>
      <c r="Q33" s="39"/>
      <c r="R33" s="39"/>
      <c r="S33" s="39"/>
      <c r="T33" s="39"/>
      <c r="U33" s="39"/>
    </row>
    <row r="34" spans="1:21">
      <c r="A34" s="32" t="s">
        <v>48</v>
      </c>
      <c r="B34" s="40">
        <f t="shared" ref="B34:Q34" si="0">MIN(B9:B32)</f>
        <v>8.0299999999999994</v>
      </c>
      <c r="C34" s="40">
        <f t="shared" si="0"/>
        <v>15.86</v>
      </c>
      <c r="D34" s="40">
        <f t="shared" si="0"/>
        <v>18.34</v>
      </c>
      <c r="E34" s="40">
        <f t="shared" si="0"/>
        <v>6.81</v>
      </c>
      <c r="F34" s="40">
        <f t="shared" si="0"/>
        <v>4.46</v>
      </c>
      <c r="G34" s="40">
        <f t="shared" si="0"/>
        <v>54.83</v>
      </c>
      <c r="H34" s="40">
        <f t="shared" si="0"/>
        <v>19.3</v>
      </c>
      <c r="I34" s="40">
        <f t="shared" si="0"/>
        <v>5.45</v>
      </c>
      <c r="J34" s="40">
        <f t="shared" si="0"/>
        <v>0.2</v>
      </c>
      <c r="K34" s="40">
        <f t="shared" si="0"/>
        <v>61.22</v>
      </c>
      <c r="L34" s="40">
        <f t="shared" si="0"/>
        <v>19.170000000000002</v>
      </c>
      <c r="M34" s="40">
        <f t="shared" si="0"/>
        <v>20.13</v>
      </c>
      <c r="N34" s="40">
        <f t="shared" si="0"/>
        <v>0</v>
      </c>
      <c r="O34" s="40">
        <f t="shared" si="0"/>
        <v>0</v>
      </c>
      <c r="P34" s="40">
        <f t="shared" si="0"/>
        <v>0.53</v>
      </c>
      <c r="Q34" s="40">
        <f t="shared" si="0"/>
        <v>4.72</v>
      </c>
      <c r="R34" s="40"/>
      <c r="S34" s="40"/>
      <c r="T34" s="40"/>
      <c r="U34" s="40"/>
    </row>
    <row r="35" spans="1:21">
      <c r="A35" s="32" t="s">
        <v>49</v>
      </c>
      <c r="B35" s="33">
        <f t="shared" ref="B35:Q35" si="1">MAX(B9:B32)</f>
        <v>50.12</v>
      </c>
      <c r="C35" s="33">
        <f t="shared" si="1"/>
        <v>29.8</v>
      </c>
      <c r="D35" s="33">
        <f t="shared" si="1"/>
        <v>56.91</v>
      </c>
      <c r="E35" s="33">
        <f t="shared" si="1"/>
        <v>19.87</v>
      </c>
      <c r="F35" s="33">
        <f t="shared" si="1"/>
        <v>9.94</v>
      </c>
      <c r="G35" s="33">
        <f t="shared" si="1"/>
        <v>146.30000000000001</v>
      </c>
      <c r="H35" s="33">
        <f t="shared" si="1"/>
        <v>46.17</v>
      </c>
      <c r="I35" s="33">
        <f t="shared" si="1"/>
        <v>11.58</v>
      </c>
      <c r="J35" s="33">
        <f t="shared" si="1"/>
        <v>1.83</v>
      </c>
      <c r="K35" s="33">
        <f t="shared" si="1"/>
        <v>347.71</v>
      </c>
      <c r="L35" s="33">
        <f t="shared" si="1"/>
        <v>32.869999999999997</v>
      </c>
      <c r="M35" s="33">
        <f t="shared" si="1"/>
        <v>93.4</v>
      </c>
      <c r="N35" s="33">
        <f t="shared" si="1"/>
        <v>668.7</v>
      </c>
      <c r="O35" s="33">
        <f t="shared" si="1"/>
        <v>0</v>
      </c>
      <c r="P35" s="33">
        <f t="shared" si="1"/>
        <v>1.22</v>
      </c>
      <c r="Q35" s="33">
        <f t="shared" si="1"/>
        <v>4.9400000000000004</v>
      </c>
      <c r="R35" s="33"/>
      <c r="S35" s="33"/>
      <c r="T35" s="33"/>
      <c r="U35" s="33"/>
    </row>
    <row r="36" spans="1:21">
      <c r="A36" s="32" t="s">
        <v>50</v>
      </c>
      <c r="B36" s="40">
        <f t="shared" ref="B36:Q36" si="2">AVERAGE(B9:B32)</f>
        <v>27.041666666666668</v>
      </c>
      <c r="C36" s="40">
        <f t="shared" si="2"/>
        <v>23.384166666666662</v>
      </c>
      <c r="D36" s="40">
        <f t="shared" si="2"/>
        <v>34.855833333333329</v>
      </c>
      <c r="E36" s="40">
        <f t="shared" si="2"/>
        <v>10.157500000000001</v>
      </c>
      <c r="F36" s="40">
        <f t="shared" si="2"/>
        <v>5.5704166666666657</v>
      </c>
      <c r="G36" s="40">
        <f t="shared" si="2"/>
        <v>88.164166666666674</v>
      </c>
      <c r="H36" s="40">
        <f t="shared" si="2"/>
        <v>32.19083333333333</v>
      </c>
      <c r="I36" s="40">
        <f t="shared" si="2"/>
        <v>8.7249999999999996</v>
      </c>
      <c r="J36" s="40">
        <f t="shared" si="2"/>
        <v>0.75458333333333327</v>
      </c>
      <c r="K36" s="40">
        <f t="shared" si="2"/>
        <v>183.22833333333335</v>
      </c>
      <c r="L36" s="40">
        <f t="shared" si="2"/>
        <v>26.01125</v>
      </c>
      <c r="M36" s="40">
        <f t="shared" si="2"/>
        <v>57.970000000000006</v>
      </c>
      <c r="N36" s="40">
        <f t="shared" si="2"/>
        <v>186.79166666666666</v>
      </c>
      <c r="O36" s="40">
        <f t="shared" si="2"/>
        <v>0</v>
      </c>
      <c r="P36" s="40">
        <f t="shared" si="2"/>
        <v>0.86333333333333329</v>
      </c>
      <c r="Q36" s="40">
        <f t="shared" si="2"/>
        <v>4.8270833333333343</v>
      </c>
      <c r="R36" s="40"/>
      <c r="S36" s="40"/>
      <c r="T36" s="40"/>
      <c r="U36" s="40"/>
    </row>
    <row r="37" spans="1:21">
      <c r="A37" s="32" t="s">
        <v>51</v>
      </c>
      <c r="B37" s="40">
        <f>STDEV(B9:B32)</f>
        <v>15.718362196645279</v>
      </c>
      <c r="C37" s="40">
        <f t="shared" ref="C37:Q37" si="3">STDEV(C9:C32)</f>
        <v>3.6925187782239668</v>
      </c>
      <c r="D37" s="40">
        <f t="shared" si="3"/>
        <v>12.816966648079074</v>
      </c>
      <c r="E37" s="40">
        <f t="shared" si="3"/>
        <v>2.7762208438654561</v>
      </c>
      <c r="F37" s="40">
        <f t="shared" si="3"/>
        <v>1.4191775915056914</v>
      </c>
      <c r="G37" s="40">
        <f t="shared" si="3"/>
        <v>22.038834482846848</v>
      </c>
      <c r="H37" s="40">
        <f t="shared" si="3"/>
        <v>8.3797057729123221</v>
      </c>
      <c r="I37" s="40">
        <f t="shared" si="3"/>
        <v>2.3647354847939113</v>
      </c>
      <c r="J37" s="40">
        <f t="shared" si="3"/>
        <v>0.59515419387983293</v>
      </c>
      <c r="K37" s="40">
        <f t="shared" si="3"/>
        <v>89.120208446924011</v>
      </c>
      <c r="L37" s="40">
        <f t="shared" si="3"/>
        <v>4.8880415856944337</v>
      </c>
      <c r="M37" s="40">
        <f t="shared" si="3"/>
        <v>24.922581867786501</v>
      </c>
      <c r="N37" s="40">
        <f t="shared" si="3"/>
        <v>258.78267349544342</v>
      </c>
      <c r="O37" s="40">
        <f t="shared" si="3"/>
        <v>0</v>
      </c>
      <c r="P37" s="40">
        <f t="shared" si="3"/>
        <v>0.24455223798086489</v>
      </c>
      <c r="Q37" s="40">
        <f t="shared" si="3"/>
        <v>7.6583524545934797E-2</v>
      </c>
      <c r="R37" s="40"/>
      <c r="S37" s="40"/>
      <c r="T37" s="40"/>
      <c r="U37" s="40"/>
    </row>
    <row r="38" spans="1:21">
      <c r="A38" s="44" t="s">
        <v>52</v>
      </c>
      <c r="B38" s="45">
        <f t="shared" ref="B38:Q38" si="4">COUNT(B9:B32)</f>
        <v>24</v>
      </c>
      <c r="C38" s="45">
        <f t="shared" si="4"/>
        <v>24</v>
      </c>
      <c r="D38" s="45">
        <f t="shared" si="4"/>
        <v>24</v>
      </c>
      <c r="E38" s="45">
        <f t="shared" si="4"/>
        <v>24</v>
      </c>
      <c r="F38" s="45">
        <f t="shared" si="4"/>
        <v>24</v>
      </c>
      <c r="G38" s="45">
        <f t="shared" si="4"/>
        <v>24</v>
      </c>
      <c r="H38" s="45">
        <f t="shared" si="4"/>
        <v>24</v>
      </c>
      <c r="I38" s="45">
        <f t="shared" si="4"/>
        <v>24</v>
      </c>
      <c r="J38" s="45">
        <f t="shared" si="4"/>
        <v>24</v>
      </c>
      <c r="K38" s="45">
        <f t="shared" si="4"/>
        <v>24</v>
      </c>
      <c r="L38" s="45">
        <f t="shared" si="4"/>
        <v>24</v>
      </c>
      <c r="M38" s="45">
        <f t="shared" si="4"/>
        <v>24</v>
      </c>
      <c r="N38" s="45">
        <f t="shared" si="4"/>
        <v>24</v>
      </c>
      <c r="O38" s="45">
        <f t="shared" si="4"/>
        <v>24</v>
      </c>
      <c r="P38" s="45">
        <f t="shared" si="4"/>
        <v>24</v>
      </c>
      <c r="Q38" s="45">
        <f t="shared" si="4"/>
        <v>24</v>
      </c>
      <c r="R38" s="45"/>
      <c r="S38" s="45"/>
      <c r="T38" s="45"/>
      <c r="U38" s="45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8"/>
      <c r="O41" s="48"/>
      <c r="P41" s="48"/>
      <c r="Q41" s="48"/>
      <c r="R41" s="48"/>
      <c r="S41" s="48"/>
      <c r="T41" s="48"/>
      <c r="U41" s="48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X53"/>
  <sheetViews>
    <sheetView tabSelected="1" zoomScale="85" zoomScaleNormal="85" workbookViewId="0">
      <pane xSplit="1" ySplit="8" topLeftCell="B33" activePane="bottomRight" state="frozen"/>
      <selection activeCell="G19" sqref="G19"/>
      <selection pane="topRight" activeCell="G19" sqref="G19"/>
      <selection pane="bottomLeft" activeCell="G19" sqref="G19"/>
      <selection pane="bottomRight" activeCell="A38" sqref="A38:XFD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45323.041666666664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45323.041666666664</v>
      </c>
      <c r="B9" s="17">
        <f>'01'!B36</f>
        <v>13.175833333333332</v>
      </c>
      <c r="C9" s="17">
        <f>'01'!C36</f>
        <v>23.274999999999995</v>
      </c>
      <c r="D9" s="17">
        <f>'01'!D36</f>
        <v>23.981249999999999</v>
      </c>
      <c r="E9" s="17">
        <f>'01'!E36</f>
        <v>6.6325000000000003</v>
      </c>
      <c r="F9" s="17">
        <f>'01'!F36</f>
        <v>4.1170833333333343</v>
      </c>
      <c r="G9" s="17">
        <f>'01'!G36</f>
        <v>86.696250000000006</v>
      </c>
      <c r="H9" s="17">
        <f>'01'!H36</f>
        <v>36.977916666666665</v>
      </c>
      <c r="I9" s="17">
        <f>'01'!I36</f>
        <v>9.699583333333333</v>
      </c>
      <c r="J9" s="17">
        <f>'01'!J36</f>
        <v>0.47958333333333325</v>
      </c>
      <c r="K9" s="17">
        <f>'01'!K36</f>
        <v>237.8587499999999</v>
      </c>
      <c r="L9" s="17">
        <f>'01'!L36</f>
        <v>23.209166666666665</v>
      </c>
      <c r="M9" s="17">
        <f>'01'!M36</f>
        <v>69.873333333333349</v>
      </c>
      <c r="N9" s="17">
        <f>'01'!N36</f>
        <v>116.40000000000002</v>
      </c>
      <c r="O9" s="17">
        <f>'01'!O36</f>
        <v>0</v>
      </c>
      <c r="P9" s="17">
        <f>'01'!P36</f>
        <v>0.8962500000000001</v>
      </c>
      <c r="Q9" s="17">
        <f>'01'!Q36</f>
        <v>4.8416666666666677</v>
      </c>
      <c r="R9" s="34"/>
      <c r="S9" s="34"/>
      <c r="T9" s="34"/>
      <c r="U9" s="35"/>
    </row>
    <row r="10" spans="1:21" s="2" customFormat="1">
      <c r="A10" s="16">
        <f>'02'!$B$2</f>
        <v>45324.041666666664</v>
      </c>
      <c r="B10" s="17">
        <f>'02'!B36</f>
        <v>17.16041666666667</v>
      </c>
      <c r="C10" s="17">
        <f>'02'!C36</f>
        <v>23.837499999999995</v>
      </c>
      <c r="D10" s="17">
        <f>'02'!D36</f>
        <v>27.285</v>
      </c>
      <c r="E10" s="17">
        <f>'02'!E36</f>
        <v>7.8550000000000004</v>
      </c>
      <c r="F10" s="17">
        <f>'02'!F36</f>
        <v>3.9133333333333327</v>
      </c>
      <c r="G10" s="17">
        <f>'02'!G36</f>
        <v>95.270833333333314</v>
      </c>
      <c r="H10" s="17">
        <f>'02'!H36</f>
        <v>39.278749999999995</v>
      </c>
      <c r="I10" s="17">
        <f>'02'!I36</f>
        <v>1.2925000000000002</v>
      </c>
      <c r="J10" s="17">
        <f>'02'!J36</f>
        <v>0.47</v>
      </c>
      <c r="K10" s="17">
        <f>'02'!K36</f>
        <v>210.04875000000001</v>
      </c>
      <c r="L10" s="17">
        <f>'02'!L36</f>
        <v>23.105416666666667</v>
      </c>
      <c r="M10" s="17">
        <f>'02'!M36</f>
        <v>73.775416666666658</v>
      </c>
      <c r="N10" s="17">
        <f>'02'!N36</f>
        <v>98.229166666666643</v>
      </c>
      <c r="O10" s="17">
        <f>'02'!O36</f>
        <v>0</v>
      </c>
      <c r="P10" s="17">
        <f>'02'!P36</f>
        <v>0.95166666666666655</v>
      </c>
      <c r="Q10" s="17">
        <f>'02'!Q36</f>
        <v>4.8862499999999995</v>
      </c>
      <c r="R10" s="36"/>
      <c r="S10" s="36"/>
      <c r="T10" s="36"/>
      <c r="U10" s="36"/>
    </row>
    <row r="11" spans="1:21" s="2" customFormat="1">
      <c r="A11" s="16">
        <f>'03'!$B$2</f>
        <v>45325.041666666664</v>
      </c>
      <c r="B11" s="17">
        <f>'03'!B36</f>
        <v>19.677499999999998</v>
      </c>
      <c r="C11" s="17">
        <f>'03'!C36</f>
        <v>25.900416666666668</v>
      </c>
      <c r="D11" s="17">
        <f>'03'!D36</f>
        <v>30.532916666666676</v>
      </c>
      <c r="E11" s="17">
        <f>'03'!E36</f>
        <v>7.4079166666666678</v>
      </c>
      <c r="F11" s="17">
        <f>'03'!F36</f>
        <v>3.9412499999999997</v>
      </c>
      <c r="G11" s="17">
        <f>'03'!G36</f>
        <v>77.512083333333337</v>
      </c>
      <c r="H11" s="17">
        <f>'03'!H36</f>
        <v>29.682916666666667</v>
      </c>
      <c r="I11" s="17">
        <f>'03'!I36</f>
        <v>0</v>
      </c>
      <c r="J11" s="17">
        <f>'03'!J36</f>
        <v>0.61750000000000005</v>
      </c>
      <c r="K11" s="17">
        <f>'03'!K36</f>
        <v>174.87</v>
      </c>
      <c r="L11" s="17">
        <f>'03'!L36</f>
        <v>22.68041666666667</v>
      </c>
      <c r="M11" s="17">
        <f>'03'!M36</f>
        <v>57.929583333333319</v>
      </c>
      <c r="N11" s="17">
        <f>'03'!N36</f>
        <v>157.29166666666669</v>
      </c>
      <c r="O11" s="17">
        <f>'03'!O36</f>
        <v>0</v>
      </c>
      <c r="P11" s="17">
        <f>'03'!P36</f>
        <v>0.81208333333333316</v>
      </c>
      <c r="Q11" s="17">
        <f>'03'!Q36</f>
        <v>4.9320833333333338</v>
      </c>
      <c r="R11" s="36"/>
      <c r="S11" s="36"/>
      <c r="T11" s="36"/>
      <c r="U11" s="36"/>
    </row>
    <row r="12" spans="1:21" s="2" customFormat="1">
      <c r="A12" s="16">
        <f>'04'!$B$2</f>
        <v>45326.041666666664</v>
      </c>
      <c r="B12" s="17">
        <f>'04'!B36</f>
        <v>25.597500000000007</v>
      </c>
      <c r="C12" s="17">
        <f>'04'!C36</f>
        <v>23.696666666666662</v>
      </c>
      <c r="D12" s="17">
        <f>'04'!D36</f>
        <v>34.178333333333335</v>
      </c>
      <c r="E12" s="17">
        <f>'04'!E36</f>
        <v>8.2070833333333351</v>
      </c>
      <c r="F12" s="17">
        <f>'04'!F36</f>
        <v>4.3737499999999994</v>
      </c>
      <c r="G12" s="17">
        <f>'04'!G36</f>
        <v>71.978333333333325</v>
      </c>
      <c r="H12" s="17">
        <f>'04'!H36</f>
        <v>28.180416666666662</v>
      </c>
      <c r="I12" s="17">
        <f>'04'!I36</f>
        <v>0</v>
      </c>
      <c r="J12" s="17">
        <f>'04'!J36</f>
        <v>0.35541666666666666</v>
      </c>
      <c r="K12" s="17">
        <f>'04'!K36</f>
        <v>228.41416666666666</v>
      </c>
      <c r="L12" s="17">
        <f>'04'!L36</f>
        <v>22.525416666666661</v>
      </c>
      <c r="M12" s="17">
        <f>'04'!M36</f>
        <v>60.198333333333331</v>
      </c>
      <c r="N12" s="17">
        <f>'04'!N36</f>
        <v>159.47499999999999</v>
      </c>
      <c r="O12" s="17">
        <f>'04'!O36</f>
        <v>0</v>
      </c>
      <c r="P12" s="17">
        <f>'04'!P36</f>
        <v>0.83791666666666664</v>
      </c>
      <c r="Q12" s="17">
        <f>'04'!Q36</f>
        <v>4.96</v>
      </c>
      <c r="R12" s="36"/>
      <c r="S12" s="36"/>
      <c r="T12" s="36"/>
      <c r="U12" s="36"/>
    </row>
    <row r="13" spans="1:21" s="2" customFormat="1">
      <c r="A13" s="16">
        <f>'05'!$B$2</f>
        <v>45327.041666666664</v>
      </c>
      <c r="B13" s="17">
        <f>'05'!B36</f>
        <v>7.893749999999998</v>
      </c>
      <c r="C13" s="17">
        <f>'05'!C36</f>
        <v>19.887499999999999</v>
      </c>
      <c r="D13" s="17">
        <f>'05'!D36</f>
        <v>17.97625</v>
      </c>
      <c r="E13" s="17">
        <f>'05'!E36</f>
        <v>7.3412499999999987</v>
      </c>
      <c r="F13" s="17">
        <f>'05'!F36</f>
        <v>5.1029166666666663</v>
      </c>
      <c r="G13" s="17">
        <f>'05'!G36</f>
        <v>55.872500000000002</v>
      </c>
      <c r="H13" s="17">
        <f>'05'!H36</f>
        <v>23.194166666666664</v>
      </c>
      <c r="I13" s="17">
        <f>'05'!I36</f>
        <v>0</v>
      </c>
      <c r="J13" s="17">
        <f>'05'!J36</f>
        <v>0.50791666666666668</v>
      </c>
      <c r="K13" s="17">
        <f>'05'!K36</f>
        <v>244.28958333333341</v>
      </c>
      <c r="L13" s="17">
        <f>'05'!L36</f>
        <v>24.170833333333331</v>
      </c>
      <c r="M13" s="17">
        <f>'05'!M36</f>
        <v>64.660833333333343</v>
      </c>
      <c r="N13" s="17">
        <f>'05'!N36</f>
        <v>150.74166666666665</v>
      </c>
      <c r="O13" s="17">
        <f>'05'!O36</f>
        <v>0</v>
      </c>
      <c r="P13" s="17">
        <f>'05'!P36</f>
        <v>0.74708333333333343</v>
      </c>
      <c r="Q13" s="17">
        <f>'05'!Q36</f>
        <v>4.7691666666666661</v>
      </c>
      <c r="R13" s="36"/>
      <c r="S13" s="36"/>
      <c r="T13" s="36"/>
      <c r="U13" s="36"/>
    </row>
    <row r="14" spans="1:21" s="2" customFormat="1">
      <c r="A14" s="16">
        <f>'06'!$B$2</f>
        <v>45328.041666666664</v>
      </c>
      <c r="B14" s="18">
        <f>'06'!B36</f>
        <v>11.987916666666665</v>
      </c>
      <c r="C14" s="18">
        <f>'06'!C36</f>
        <v>19.100833333333338</v>
      </c>
      <c r="D14" s="18">
        <f>'06'!D36</f>
        <v>20.80541666666667</v>
      </c>
      <c r="E14" s="18">
        <f>'06'!E36</f>
        <v>8.1012500000000021</v>
      </c>
      <c r="F14" s="18">
        <f>'06'!F36</f>
        <v>5.3441666666666663</v>
      </c>
      <c r="G14" s="18">
        <f>'06'!G36</f>
        <v>63.707500000000003</v>
      </c>
      <c r="H14" s="18">
        <f>'06'!H36</f>
        <v>27.432500000000005</v>
      </c>
      <c r="I14" s="18">
        <f>'06'!I36</f>
        <v>0</v>
      </c>
      <c r="J14" s="18">
        <f>'06'!J36</f>
        <v>0.73458333333333348</v>
      </c>
      <c r="K14" s="18">
        <f>'06'!K36</f>
        <v>213.1895833333333</v>
      </c>
      <c r="L14" s="18">
        <f>'06'!L36</f>
        <v>25.744166666666668</v>
      </c>
      <c r="M14" s="18">
        <f>'06'!M36</f>
        <v>66.757083333333327</v>
      </c>
      <c r="N14" s="18">
        <f>'06'!N36</f>
        <v>137.09583333333333</v>
      </c>
      <c r="O14" s="18">
        <f>'06'!O36</f>
        <v>0</v>
      </c>
      <c r="P14" s="18">
        <f>'06'!P36</f>
        <v>0.7333333333333335</v>
      </c>
      <c r="Q14" s="18">
        <f>'06'!Q36</f>
        <v>4.7795833333333322</v>
      </c>
      <c r="R14" s="36"/>
      <c r="S14" s="36"/>
      <c r="T14" s="36"/>
      <c r="U14" s="36"/>
    </row>
    <row r="15" spans="1:21" s="2" customFormat="1">
      <c r="A15" s="16">
        <f>'07'!$B$2</f>
        <v>45329.041666666664</v>
      </c>
      <c r="B15" s="18">
        <f>'07'!B36</f>
        <v>11.991250000000001</v>
      </c>
      <c r="C15" s="18">
        <f>'07'!C36</f>
        <v>21.472916666666674</v>
      </c>
      <c r="D15" s="18">
        <f>'07'!D36</f>
        <v>22.045416666666668</v>
      </c>
      <c r="E15" s="18">
        <f>'07'!E36</f>
        <v>8.0795833333333338</v>
      </c>
      <c r="F15" s="18">
        <f>'07'!F36</f>
        <v>4.5166666666666666</v>
      </c>
      <c r="G15" s="18">
        <f>'07'!G36</f>
        <v>71.849583333333342</v>
      </c>
      <c r="H15" s="18">
        <f>'07'!H36</f>
        <v>31.254166666666674</v>
      </c>
      <c r="I15" s="18">
        <f>'07'!I36</f>
        <v>0</v>
      </c>
      <c r="J15" s="18">
        <f>'07'!J36</f>
        <v>0.88291666666666646</v>
      </c>
      <c r="K15" s="18">
        <f>'07'!K36</f>
        <v>159.68625</v>
      </c>
      <c r="L15" s="18">
        <f>'07'!L36</f>
        <v>24.015833333333333</v>
      </c>
      <c r="M15" s="18">
        <f>'07'!M36</f>
        <v>67.109583333333333</v>
      </c>
      <c r="N15" s="18">
        <f>'07'!N36</f>
        <v>135.12916666666666</v>
      </c>
      <c r="O15" s="18">
        <f>'07'!O36</f>
        <v>0</v>
      </c>
      <c r="P15" s="18">
        <f>'07'!P36</f>
        <v>0.71666666666666667</v>
      </c>
      <c r="Q15" s="18">
        <f>'07'!Q36</f>
        <v>4.8204166666666666</v>
      </c>
      <c r="R15" s="36"/>
      <c r="S15" s="36"/>
      <c r="T15" s="36"/>
      <c r="U15" s="36"/>
    </row>
    <row r="16" spans="1:21" s="2" customFormat="1">
      <c r="A16" s="16">
        <f>'08'!$B$2</f>
        <v>45330.041666666664</v>
      </c>
      <c r="B16" s="18">
        <f>'08'!B36</f>
        <v>10.527391304347827</v>
      </c>
      <c r="C16" s="18">
        <f>'08'!C36</f>
        <v>23.288695652173917</v>
      </c>
      <c r="D16" s="18">
        <f>'08'!D36</f>
        <v>21.802173913043479</v>
      </c>
      <c r="E16" s="18">
        <f>'08'!E36</f>
        <v>7.2939130434782609</v>
      </c>
      <c r="F16" s="18">
        <f>'08'!F36</f>
        <v>5.3008333333333333</v>
      </c>
      <c r="G16" s="18">
        <f>'08'!G36</f>
        <v>60.196956521739139</v>
      </c>
      <c r="H16" s="18">
        <f>'08'!H36</f>
        <v>18.759565217391305</v>
      </c>
      <c r="I16" s="18">
        <f>'08'!I36</f>
        <v>10.604583333333332</v>
      </c>
      <c r="J16" s="18">
        <f>'08'!J36</f>
        <v>1.1079166666666667</v>
      </c>
      <c r="K16" s="18">
        <f>'08'!K36</f>
        <v>109.28541666666666</v>
      </c>
      <c r="L16" s="18">
        <f>'08'!L36</f>
        <v>21.779999999999998</v>
      </c>
      <c r="M16" s="18">
        <f>'08'!M36</f>
        <v>44.005416666666662</v>
      </c>
      <c r="N16" s="18">
        <f>'08'!N36</f>
        <v>156.20416666666665</v>
      </c>
      <c r="O16" s="18">
        <f>'08'!O36</f>
        <v>0</v>
      </c>
      <c r="P16" s="18">
        <f>'08'!P36</f>
        <v>0.62374999999999992</v>
      </c>
      <c r="Q16" s="18">
        <f>'08'!Q36</f>
        <v>4.8174999999999999</v>
      </c>
      <c r="R16" s="36"/>
      <c r="S16" s="36"/>
      <c r="T16" s="36"/>
      <c r="U16" s="36"/>
    </row>
    <row r="17" spans="1:24" s="2" customFormat="1">
      <c r="A17" s="16">
        <f>'09'!$B$2</f>
        <v>45331.041666666664</v>
      </c>
      <c r="B17" s="18">
        <f>'09'!B36</f>
        <v>17.104166666666668</v>
      </c>
      <c r="C17" s="18">
        <f>'09'!C36</f>
        <v>25.851666666666659</v>
      </c>
      <c r="D17" s="18">
        <f>'09'!D36</f>
        <v>28.478750000000002</v>
      </c>
      <c r="E17" s="18">
        <f>'09'!E36</f>
        <v>8.6474999999999991</v>
      </c>
      <c r="F17" s="18">
        <f>'09'!F36</f>
        <v>4.1708333333333334</v>
      </c>
      <c r="G17" s="18">
        <f>'09'!G36</f>
        <v>81.58208333333333</v>
      </c>
      <c r="H17" s="18">
        <f>'09'!H36</f>
        <v>27.767083333333332</v>
      </c>
      <c r="I17" s="18">
        <f>'09'!I36</f>
        <v>4.8762499999999998</v>
      </c>
      <c r="J17" s="18">
        <f>'09'!J36</f>
        <v>0.90375000000000005</v>
      </c>
      <c r="K17" s="18">
        <f>'09'!K36</f>
        <v>97.671666666666667</v>
      </c>
      <c r="L17" s="18">
        <f>'09'!L36</f>
        <v>21.102500000000003</v>
      </c>
      <c r="M17" s="18">
        <f>'09'!M36</f>
        <v>44.405833333333327</v>
      </c>
      <c r="N17" s="18">
        <f>'09'!N36</f>
        <v>167.30833333333331</v>
      </c>
      <c r="O17" s="18">
        <f>'09'!O36</f>
        <v>0</v>
      </c>
      <c r="P17" s="18">
        <f>'09'!P36</f>
        <v>0.66625000000000012</v>
      </c>
      <c r="Q17" s="18">
        <f>'09'!Q36</f>
        <v>4.8587499999999997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45332.041666666664</v>
      </c>
      <c r="B18" s="18">
        <f>'10'!B36</f>
        <v>15.868333333333332</v>
      </c>
      <c r="C18" s="18">
        <f>'10'!C36</f>
        <v>29.01499999999999</v>
      </c>
      <c r="D18" s="18">
        <f>'10'!D36</f>
        <v>29.056666666666658</v>
      </c>
      <c r="E18" s="18">
        <f>'10'!E36</f>
        <v>10.709166666666668</v>
      </c>
      <c r="F18" s="18">
        <f>'10'!F36</f>
        <v>7.0083333333333337</v>
      </c>
      <c r="G18" s="18">
        <f>'10'!G36</f>
        <v>93.352916666666673</v>
      </c>
      <c r="H18" s="18">
        <f>'10'!H36</f>
        <v>35.748333333333328</v>
      </c>
      <c r="I18" s="18">
        <f>'10'!I36</f>
        <v>2.6454166666666663</v>
      </c>
      <c r="J18" s="18">
        <f>'10'!J36</f>
        <v>0.71416666666666673</v>
      </c>
      <c r="K18" s="18">
        <f>'10'!K36</f>
        <v>136.94541666666669</v>
      </c>
      <c r="L18" s="18">
        <f>'10'!L36</f>
        <v>22.617499999999996</v>
      </c>
      <c r="M18" s="18">
        <f>'10'!M36</f>
        <v>47.678750000000001</v>
      </c>
      <c r="N18" s="18">
        <f>'10'!N36</f>
        <v>146.70833333333334</v>
      </c>
      <c r="O18" s="18">
        <f>'10'!O36</f>
        <v>0</v>
      </c>
      <c r="P18" s="18">
        <f>'10'!P36</f>
        <v>0.75624999999999998</v>
      </c>
      <c r="Q18" s="18">
        <f>'10'!Q36</f>
        <v>4.8654166666666674</v>
      </c>
      <c r="R18" s="36"/>
      <c r="S18" s="36"/>
      <c r="T18" s="36"/>
      <c r="U18" s="36"/>
    </row>
    <row r="19" spans="1:24" s="2" customFormat="1">
      <c r="A19" s="16">
        <f>'11'!$B$2</f>
        <v>45333.041666666664</v>
      </c>
      <c r="B19" s="18">
        <f>'11'!B36</f>
        <v>9.07</v>
      </c>
      <c r="C19" s="18">
        <f>'11'!C36</f>
        <v>22.467499999999998</v>
      </c>
      <c r="D19" s="18">
        <f>'11'!D36</f>
        <v>20.2575</v>
      </c>
      <c r="E19" s="18">
        <f>'11'!E36</f>
        <v>10.518333333333334</v>
      </c>
      <c r="F19" s="18">
        <f>'11'!F36</f>
        <v>5.61</v>
      </c>
      <c r="G19" s="18">
        <f>'11'!G36</f>
        <v>88.854166666666686</v>
      </c>
      <c r="H19" s="18">
        <f>'11'!H36</f>
        <v>38.57791666666666</v>
      </c>
      <c r="I19" s="18">
        <f>'11'!I36</f>
        <v>6.939583333333335</v>
      </c>
      <c r="J19" s="18">
        <f>'11'!J36</f>
        <v>0.88249999999999984</v>
      </c>
      <c r="K19" s="18">
        <f>'11'!K36</f>
        <v>155.13416666666666</v>
      </c>
      <c r="L19" s="18">
        <f>'11'!L36</f>
        <v>24.182916666666667</v>
      </c>
      <c r="M19" s="18">
        <f>'11'!M36</f>
        <v>59.182499999999997</v>
      </c>
      <c r="N19" s="18">
        <f>'11'!N36</f>
        <v>130.86666666666665</v>
      </c>
      <c r="O19" s="18">
        <f>'11'!O36</f>
        <v>0</v>
      </c>
      <c r="P19" s="18">
        <f>'11'!P36</f>
        <v>0.78458333333333341</v>
      </c>
      <c r="Q19" s="18">
        <f>'11'!Q36</f>
        <v>4.7904166666666672</v>
      </c>
      <c r="R19" s="36"/>
      <c r="S19" s="36"/>
      <c r="T19" s="36"/>
      <c r="U19" s="36"/>
    </row>
    <row r="20" spans="1:24" s="2" customFormat="1">
      <c r="A20" s="16">
        <f>'12'!$B$2</f>
        <v>45334.041666666664</v>
      </c>
      <c r="B20" s="18">
        <f>'12'!B36</f>
        <v>7.8562499999999993</v>
      </c>
      <c r="C20" s="18">
        <f>'12'!C36</f>
        <v>21.234583333333333</v>
      </c>
      <c r="D20" s="18">
        <f>'12'!D36</f>
        <v>18.662499999999998</v>
      </c>
      <c r="E20" s="18">
        <f>'12'!E36</f>
        <v>9.0408333333333335</v>
      </c>
      <c r="F20" s="18">
        <f>'12'!F36</f>
        <v>4.5100000000000007</v>
      </c>
      <c r="G20" s="18">
        <f>'12'!G36</f>
        <v>65.571250000000006</v>
      </c>
      <c r="H20" s="18">
        <f>'12'!H36</f>
        <v>32.433749999999996</v>
      </c>
      <c r="I20" s="18">
        <f>'12'!I36</f>
        <v>6.1120833333333344</v>
      </c>
      <c r="J20" s="18">
        <f>'12'!J36</f>
        <v>0.90458333333333341</v>
      </c>
      <c r="K20" s="18">
        <f>'12'!K36</f>
        <v>115.18500000000002</v>
      </c>
      <c r="L20" s="18">
        <f>'12'!L36</f>
        <v>23.171666666666663</v>
      </c>
      <c r="M20" s="18">
        <f>'12'!M36</f>
        <v>79.225000000000009</v>
      </c>
      <c r="N20" s="18">
        <f>'12'!N36</f>
        <v>143.84583333333333</v>
      </c>
      <c r="O20" s="18">
        <f>'12'!O36</f>
        <v>0.19999999999999998</v>
      </c>
      <c r="P20" s="18">
        <f>'12'!P36</f>
        <v>0.74791666666666667</v>
      </c>
      <c r="Q20" s="18">
        <f>'12'!Q36</f>
        <v>4.7687499999999998</v>
      </c>
      <c r="R20" s="36"/>
      <c r="S20" s="36"/>
      <c r="T20" s="36"/>
      <c r="U20" s="36"/>
    </row>
    <row r="21" spans="1:24" s="2" customFormat="1">
      <c r="A21" s="16">
        <f>'13'!$B$2</f>
        <v>45335.041666666664</v>
      </c>
      <c r="B21" s="18">
        <f>'13'!B36</f>
        <v>13.321666666666664</v>
      </c>
      <c r="C21" s="18">
        <f>'13'!C36</f>
        <v>19.011249999999997</v>
      </c>
      <c r="D21" s="18">
        <f>'13'!D36</f>
        <v>21.78583333333334</v>
      </c>
      <c r="E21" s="18">
        <f>'13'!E36</f>
        <v>9.088750000000001</v>
      </c>
      <c r="F21" s="18">
        <f>'13'!F36</f>
        <v>4.5766666666666671</v>
      </c>
      <c r="G21" s="18">
        <f>'13'!G36</f>
        <v>75.090833333333322</v>
      </c>
      <c r="H21" s="18">
        <f>'13'!H36</f>
        <v>30.349166666666672</v>
      </c>
      <c r="I21" s="18">
        <f>'13'!I36</f>
        <v>7.5724999999999989</v>
      </c>
      <c r="J21" s="18">
        <f>'13'!J36</f>
        <v>0.4729166666666666</v>
      </c>
      <c r="K21" s="18">
        <f>'13'!K36</f>
        <v>195.24333333333337</v>
      </c>
      <c r="L21" s="18">
        <f>'13'!L36</f>
        <v>24.297083333333333</v>
      </c>
      <c r="M21" s="18">
        <f>'13'!M36</f>
        <v>74.677499999999981</v>
      </c>
      <c r="N21" s="18">
        <f>'13'!N36</f>
        <v>142.72083333333333</v>
      </c>
      <c r="O21" s="18">
        <f>'13'!O36</f>
        <v>0</v>
      </c>
      <c r="P21" s="18">
        <f>'13'!P36</f>
        <v>0.81916666666666671</v>
      </c>
      <c r="Q21" s="18">
        <f>'13'!Q36</f>
        <v>4.8145833333333323</v>
      </c>
      <c r="R21" s="36"/>
      <c r="S21" s="36"/>
      <c r="T21" s="36"/>
      <c r="U21" s="36"/>
    </row>
    <row r="22" spans="1:24" s="2" customFormat="1">
      <c r="A22" s="16">
        <f>'14'!$B$2</f>
        <v>45336.041666666664</v>
      </c>
      <c r="B22" s="18">
        <f>'14'!B36</f>
        <v>12.782500000000001</v>
      </c>
      <c r="C22" s="18">
        <f>'14'!C36</f>
        <v>19.625416666666666</v>
      </c>
      <c r="D22" s="18">
        <f>'14'!D36</f>
        <v>21.688750000000002</v>
      </c>
      <c r="E22" s="18">
        <f>'14'!E36</f>
        <v>7.9345833333333333</v>
      </c>
      <c r="F22" s="18">
        <f>'14'!F36</f>
        <v>4.074583333333333</v>
      </c>
      <c r="G22" s="18">
        <f>'14'!G36</f>
        <v>80.764583333333334</v>
      </c>
      <c r="H22" s="18">
        <f>'14'!H36</f>
        <v>32.023333333333333</v>
      </c>
      <c r="I22" s="18">
        <f>'14'!I36</f>
        <v>10.292916666666665</v>
      </c>
      <c r="J22" s="18">
        <f>'14'!J36</f>
        <v>0.45624999999999999</v>
      </c>
      <c r="K22" s="18">
        <f>'14'!K36</f>
        <v>239.11125000000001</v>
      </c>
      <c r="L22" s="18">
        <f>'14'!L36</f>
        <v>23.989166666666673</v>
      </c>
      <c r="M22" s="18">
        <f>'14'!M36</f>
        <v>67.975833333333355</v>
      </c>
      <c r="N22" s="18">
        <f>'14'!N36</f>
        <v>146.95000000000002</v>
      </c>
      <c r="O22" s="18">
        <f>'14'!O36</f>
        <v>0</v>
      </c>
      <c r="P22" s="18">
        <f>'14'!P36</f>
        <v>0.90791666666666693</v>
      </c>
      <c r="Q22" s="18">
        <f>'14'!Q36</f>
        <v>4.8083333333333345</v>
      </c>
      <c r="R22" s="38"/>
      <c r="S22" s="38"/>
      <c r="T22" s="38"/>
      <c r="U22" s="38"/>
    </row>
    <row r="23" spans="1:24" s="2" customFormat="1">
      <c r="A23" s="16">
        <f>'15'!$B$2</f>
        <v>45337.041666666664</v>
      </c>
      <c r="B23" s="19">
        <f>'15'!B36</f>
        <v>18.600416666666671</v>
      </c>
      <c r="C23" s="19">
        <f>'15'!C36</f>
        <v>22.119583333333338</v>
      </c>
      <c r="D23" s="19">
        <f>'15'!D36</f>
        <v>27.57041666666667</v>
      </c>
      <c r="E23" s="19">
        <f>'15'!E36</f>
        <v>10.640833333333333</v>
      </c>
      <c r="F23" s="19">
        <f>'15'!F36</f>
        <v>4.6012500000000003</v>
      </c>
      <c r="G23" s="19">
        <f>'15'!G36</f>
        <v>88.290416666666658</v>
      </c>
      <c r="H23" s="19">
        <f>'15'!H36</f>
        <v>33.849999999999994</v>
      </c>
      <c r="I23" s="19">
        <f>'15'!I36</f>
        <v>9.8654166666666683</v>
      </c>
      <c r="J23" s="19">
        <f>'15'!J36</f>
        <v>0.69708333333333339</v>
      </c>
      <c r="K23" s="19">
        <f>'15'!K36</f>
        <v>175.0229166666667</v>
      </c>
      <c r="L23" s="19">
        <f>'15'!L36</f>
        <v>25.207916666666662</v>
      </c>
      <c r="M23" s="19">
        <f>'15'!M36</f>
        <v>66.264583333333334</v>
      </c>
      <c r="N23" s="19">
        <f>'15'!N36</f>
        <v>163.50833333333335</v>
      </c>
      <c r="O23" s="19">
        <f>'15'!O36</f>
        <v>0</v>
      </c>
      <c r="P23" s="19">
        <f>'15'!P36</f>
        <v>0.94125000000000014</v>
      </c>
      <c r="Q23" s="19">
        <f>'15'!Q36</f>
        <v>4.8241666666666667</v>
      </c>
      <c r="R23" s="38"/>
      <c r="S23" s="38"/>
      <c r="T23" s="38"/>
      <c r="U23" s="36"/>
    </row>
    <row r="24" spans="1:24" s="2" customFormat="1">
      <c r="A24" s="16">
        <f>'16'!$B$2</f>
        <v>45338.041666666664</v>
      </c>
      <c r="B24" s="18">
        <f>'16'!B36</f>
        <v>11.712916666666667</v>
      </c>
      <c r="C24" s="18">
        <f>'16'!C36</f>
        <v>20.411249999999995</v>
      </c>
      <c r="D24" s="18">
        <f>'16'!D36</f>
        <v>21.122083333333332</v>
      </c>
      <c r="E24" s="18">
        <f>'16'!E36</f>
        <v>12.586666666666666</v>
      </c>
      <c r="F24" s="18">
        <f>'16'!F36</f>
        <v>5.4745833333333342</v>
      </c>
      <c r="G24" s="18">
        <f>'16'!G36</f>
        <v>97.628333333333345</v>
      </c>
      <c r="H24" s="18">
        <f>'16'!H36</f>
        <v>38.388749999999995</v>
      </c>
      <c r="I24" s="18">
        <f>'16'!I36</f>
        <v>7.3816666666666677</v>
      </c>
      <c r="J24" s="18">
        <f>'16'!J36</f>
        <v>0.85625000000000007</v>
      </c>
      <c r="K24" s="18">
        <f>'16'!K36</f>
        <v>103.28583333333336</v>
      </c>
      <c r="L24" s="18">
        <f>'16'!L36</f>
        <v>25.507499999999997</v>
      </c>
      <c r="M24" s="18">
        <f>'16'!M36</f>
        <v>67.86333333333333</v>
      </c>
      <c r="N24" s="18">
        <f>'16'!N36</f>
        <v>147.42500000000001</v>
      </c>
      <c r="O24" s="18">
        <f>'16'!O36</f>
        <v>0</v>
      </c>
      <c r="P24" s="18">
        <f>'16'!P36</f>
        <v>0.80541666666666656</v>
      </c>
      <c r="Q24" s="18">
        <f>'16'!Q36</f>
        <v>4.7983333333333338</v>
      </c>
      <c r="R24" s="38"/>
      <c r="S24" s="38"/>
      <c r="T24" s="38"/>
      <c r="U24" s="36"/>
    </row>
    <row r="25" spans="1:24" s="2" customFormat="1">
      <c r="A25" s="16">
        <f>'17'!$B$2</f>
        <v>45339.041666666664</v>
      </c>
      <c r="B25" s="18">
        <f>'17'!B36</f>
        <v>13.562916666666666</v>
      </c>
      <c r="C25" s="18">
        <f>'17'!C36</f>
        <v>21.572916666666668</v>
      </c>
      <c r="D25" s="18">
        <f>'17'!D36</f>
        <v>23.232916666666668</v>
      </c>
      <c r="E25" s="18">
        <f>'17'!E36</f>
        <v>9.9370833333333337</v>
      </c>
      <c r="F25" s="18">
        <f>'17'!F36</f>
        <v>4.5125000000000002</v>
      </c>
      <c r="G25" s="18">
        <f>'17'!G36</f>
        <v>91.392083333333332</v>
      </c>
      <c r="H25" s="18">
        <f>'17'!H36</f>
        <v>40.302500000000002</v>
      </c>
      <c r="I25" s="18">
        <f>'17'!I36</f>
        <v>8.5820833333333333</v>
      </c>
      <c r="J25" s="18">
        <f>'17'!J36</f>
        <v>0.50750000000000017</v>
      </c>
      <c r="K25" s="18">
        <f>'17'!K36</f>
        <v>219.11833333333334</v>
      </c>
      <c r="L25" s="18">
        <f>'17'!L36</f>
        <v>25.907500000000002</v>
      </c>
      <c r="M25" s="18">
        <f>'17'!M36</f>
        <v>63.946666666666658</v>
      </c>
      <c r="N25" s="18">
        <f>'17'!N36</f>
        <v>163.74999999999997</v>
      </c>
      <c r="O25" s="18">
        <f>'17'!O36</f>
        <v>0</v>
      </c>
      <c r="P25" s="18">
        <f>'17'!P36</f>
        <v>0.94583333333333341</v>
      </c>
      <c r="Q25" s="18">
        <f>'17'!Q36</f>
        <v>4.7829166666666678</v>
      </c>
      <c r="R25" s="38"/>
      <c r="S25" s="38"/>
      <c r="T25" s="38"/>
      <c r="U25" s="36"/>
    </row>
    <row r="26" spans="1:24" s="2" customFormat="1">
      <c r="A26" s="16">
        <f>'18'!$B$2</f>
        <v>45340.041666666664</v>
      </c>
      <c r="B26" s="18">
        <f>'18'!B36</f>
        <v>12.854583333333336</v>
      </c>
      <c r="C26" s="18">
        <f>'18'!C36</f>
        <v>18.217083333333335</v>
      </c>
      <c r="D26" s="18">
        <f>'18'!D36</f>
        <v>21.023333333333337</v>
      </c>
      <c r="E26" s="18">
        <f>'18'!E36</f>
        <v>9.7999999999999989</v>
      </c>
      <c r="F26" s="18">
        <f>'18'!F36</f>
        <v>5.189166666666666</v>
      </c>
      <c r="G26" s="18">
        <f>'18'!G36</f>
        <v>78.567083333333315</v>
      </c>
      <c r="H26" s="18">
        <f>'18'!H36</f>
        <v>34.247500000000009</v>
      </c>
      <c r="I26" s="18">
        <f>'18'!I36</f>
        <v>10.73625</v>
      </c>
      <c r="J26" s="18">
        <f>'18'!J36</f>
        <v>0.39250000000000002</v>
      </c>
      <c r="K26" s="18">
        <f>'18'!K36</f>
        <v>244.11041666666674</v>
      </c>
      <c r="L26" s="18">
        <f>'18'!L36</f>
        <v>25.905833333333334</v>
      </c>
      <c r="M26" s="18">
        <f>'18'!M36</f>
        <v>62.431249999999977</v>
      </c>
      <c r="N26" s="18">
        <f>'18'!N36</f>
        <v>143.58333333333334</v>
      </c>
      <c r="O26" s="18">
        <f>'18'!O36</f>
        <v>0</v>
      </c>
      <c r="P26" s="18">
        <f>'18'!P36</f>
        <v>1.0349999999999999</v>
      </c>
      <c r="Q26" s="18">
        <f>'18'!Q36</f>
        <v>4.7716666666666656</v>
      </c>
      <c r="R26" s="38"/>
      <c r="S26" s="38"/>
      <c r="T26" s="38"/>
      <c r="U26" s="36"/>
    </row>
    <row r="27" spans="1:24" s="2" customFormat="1">
      <c r="A27" s="16">
        <f>'19'!$B$2</f>
        <v>45341.041666666664</v>
      </c>
      <c r="B27" s="18">
        <f>'19'!B36</f>
        <v>9.7070833333333333</v>
      </c>
      <c r="C27" s="18">
        <f>'19'!C36</f>
        <v>20.924166666666668</v>
      </c>
      <c r="D27" s="18">
        <f>'19'!D36</f>
        <v>19.814583333333331</v>
      </c>
      <c r="E27" s="18">
        <f>'19'!E36</f>
        <v>8.7945833333333336</v>
      </c>
      <c r="F27" s="18">
        <f>'19'!F36</f>
        <v>4.6795833333333334</v>
      </c>
      <c r="G27" s="18">
        <f>'19'!G36</f>
        <v>86.741249999999994</v>
      </c>
      <c r="H27" s="18">
        <f>'19'!H36</f>
        <v>32.768333333333338</v>
      </c>
      <c r="I27" s="18">
        <f>'19'!I36</f>
        <v>10.155416666666666</v>
      </c>
      <c r="J27" s="18">
        <f>'19'!J36</f>
        <v>0.44750000000000006</v>
      </c>
      <c r="K27" s="18">
        <f>'19'!K36</f>
        <v>264.83291666666668</v>
      </c>
      <c r="L27" s="18">
        <f>'19'!L36</f>
        <v>25.89833333333333</v>
      </c>
      <c r="M27" s="18">
        <f>'19'!M36</f>
        <v>61.512916666666655</v>
      </c>
      <c r="N27" s="18">
        <f>'19'!N36</f>
        <v>150.20833333333334</v>
      </c>
      <c r="O27" s="18">
        <f>'19'!O36</f>
        <v>0</v>
      </c>
      <c r="P27" s="18">
        <f>'19'!P36</f>
        <v>0.99624999999999997</v>
      </c>
      <c r="Q27" s="18">
        <f>'19'!Q36</f>
        <v>4.7508333333333335</v>
      </c>
      <c r="R27" s="38"/>
      <c r="S27" s="38"/>
      <c r="T27" s="38"/>
      <c r="U27" s="36"/>
    </row>
    <row r="28" spans="1:24" s="2" customFormat="1">
      <c r="A28" s="16">
        <f>'20'!$B$2</f>
        <v>45342.041666666664</v>
      </c>
      <c r="B28" s="18">
        <f>'20'!B36</f>
        <v>10.040416666666665</v>
      </c>
      <c r="C28" s="18">
        <f>'20'!C36</f>
        <v>18.001666666666662</v>
      </c>
      <c r="D28" s="18">
        <f>'20'!D36</f>
        <v>18.674999999999997</v>
      </c>
      <c r="E28" s="18">
        <f>'20'!E36</f>
        <v>9.3933333333333344</v>
      </c>
      <c r="F28" s="18">
        <f>'20'!F36</f>
        <v>5.0570833333333329</v>
      </c>
      <c r="G28" s="18">
        <f>'20'!G36</f>
        <v>56.648333333333333</v>
      </c>
      <c r="H28" s="18">
        <f>'20'!H36</f>
        <v>21.955416666666668</v>
      </c>
      <c r="I28" s="18">
        <f>'20'!I36</f>
        <v>7.5166666666666684</v>
      </c>
      <c r="J28" s="18">
        <f>'20'!J36</f>
        <v>0.73958333333333348</v>
      </c>
      <c r="K28" s="18">
        <f>'20'!K36</f>
        <v>262.37416666666667</v>
      </c>
      <c r="L28" s="18">
        <f>'20'!L36</f>
        <v>26.762083333333337</v>
      </c>
      <c r="M28" s="18">
        <f>'20'!M36</f>
        <v>51.682916666666671</v>
      </c>
      <c r="N28" s="18">
        <f>'20'!N36</f>
        <v>172.62083333333331</v>
      </c>
      <c r="O28" s="18">
        <f>'20'!O36</f>
        <v>0</v>
      </c>
      <c r="P28" s="18">
        <f>'20'!P36</f>
        <v>0.76083333333333325</v>
      </c>
      <c r="Q28" s="18">
        <f>'20'!Q36</f>
        <v>4.7424999999999988</v>
      </c>
      <c r="R28" s="38"/>
      <c r="S28" s="38"/>
      <c r="T28" s="38"/>
      <c r="U28" s="36"/>
    </row>
    <row r="29" spans="1:24" s="2" customFormat="1">
      <c r="A29" s="16">
        <f>'21'!$B$2</f>
        <v>45343.041666666664</v>
      </c>
      <c r="B29" s="18">
        <f>'21'!B36</f>
        <v>5.8687499999999995</v>
      </c>
      <c r="C29" s="18">
        <f>'21'!C36</f>
        <v>16.207916666666666</v>
      </c>
      <c r="D29" s="18">
        <f>'21'!D36</f>
        <v>14.442083333333334</v>
      </c>
      <c r="E29" s="18">
        <f>'21'!E36</f>
        <v>10.0175</v>
      </c>
      <c r="F29" s="18">
        <f>'21'!F36</f>
        <v>4.915</v>
      </c>
      <c r="G29" s="18">
        <f>'21'!G36</f>
        <v>47.529583333333328</v>
      </c>
      <c r="H29" s="18">
        <f>'21'!H36</f>
        <v>18.645833333333332</v>
      </c>
      <c r="I29" s="18">
        <f>'21'!I36</f>
        <v>6.2574999999999994</v>
      </c>
      <c r="J29" s="18">
        <f>'21'!J36</f>
        <v>0.66541666666666655</v>
      </c>
      <c r="K29" s="18">
        <f>'21'!K36</f>
        <v>248.55916666666664</v>
      </c>
      <c r="L29" s="18">
        <f>'21'!L36</f>
        <v>26.345416666666665</v>
      </c>
      <c r="M29" s="18">
        <f>'21'!M36</f>
        <v>51.915833333333325</v>
      </c>
      <c r="N29" s="18">
        <f>'21'!N36</f>
        <v>182.14583333333334</v>
      </c>
      <c r="O29" s="18">
        <f>'21'!O36</f>
        <v>0</v>
      </c>
      <c r="P29" s="18">
        <f>'21'!P36</f>
        <v>0.70250000000000012</v>
      </c>
      <c r="Q29" s="18">
        <f>'21'!Q36</f>
        <v>4.7112500000000006</v>
      </c>
      <c r="R29" s="38"/>
      <c r="S29" s="38"/>
      <c r="T29" s="38"/>
      <c r="U29" s="36"/>
    </row>
    <row r="30" spans="1:24" s="2" customFormat="1">
      <c r="A30" s="16">
        <f>'22'!$B$2</f>
        <v>45344.041666666664</v>
      </c>
      <c r="B30" s="18">
        <f>'22'!B36</f>
        <v>8.7795833333333331</v>
      </c>
      <c r="C30" s="18">
        <f>'22'!C36</f>
        <v>17.924583333333334</v>
      </c>
      <c r="D30" s="18">
        <f>'22'!D36</f>
        <v>17.603333333333332</v>
      </c>
      <c r="E30" s="18">
        <f>'22'!E36</f>
        <v>7.7766666666666682</v>
      </c>
      <c r="F30" s="18">
        <f>'22'!F36</f>
        <v>4.3704166666666673</v>
      </c>
      <c r="G30" s="18">
        <f>'22'!G36</f>
        <v>52.774999999999984</v>
      </c>
      <c r="H30" s="18">
        <f>'22'!H36</f>
        <v>20.20708333333333</v>
      </c>
      <c r="I30" s="18">
        <f>'22'!I36</f>
        <v>5.6579166666666652</v>
      </c>
      <c r="J30" s="18">
        <f>'22'!J36</f>
        <v>0.8025000000000001</v>
      </c>
      <c r="K30" s="18">
        <f>'22'!K36</f>
        <v>263.28750000000002</v>
      </c>
      <c r="L30" s="18">
        <f>'22'!L36</f>
        <v>25.88</v>
      </c>
      <c r="M30" s="18">
        <f>'22'!M36</f>
        <v>48.924166666666657</v>
      </c>
      <c r="N30" s="18">
        <f>'22'!N36</f>
        <v>188.21249999999998</v>
      </c>
      <c r="O30" s="18">
        <f>'22'!O36</f>
        <v>0</v>
      </c>
      <c r="P30" s="18">
        <f>'22'!P36</f>
        <v>0.62041666666666673</v>
      </c>
      <c r="Q30" s="18">
        <f>'22'!Q36</f>
        <v>4.7233333333333336</v>
      </c>
      <c r="R30" s="38"/>
      <c r="S30" s="36"/>
      <c r="T30" s="36"/>
      <c r="U30" s="36"/>
    </row>
    <row r="31" spans="1:24" s="2" customFormat="1">
      <c r="A31" s="16">
        <f>'23'!$B$2</f>
        <v>45345.041666666664</v>
      </c>
      <c r="B31" s="18">
        <f>'23'!B36</f>
        <v>12.600000000000001</v>
      </c>
      <c r="C31" s="18">
        <f>'23'!C36</f>
        <v>20.762499999999999</v>
      </c>
      <c r="D31" s="18">
        <f>'23'!D36</f>
        <v>22.065000000000001</v>
      </c>
      <c r="E31" s="18">
        <f>'23'!E36</f>
        <v>10.739166666666668</v>
      </c>
      <c r="F31" s="18">
        <f>'23'!F36</f>
        <v>4.5495833333333326</v>
      </c>
      <c r="G31" s="18">
        <f>'23'!G36</f>
        <v>81.086666666666659</v>
      </c>
      <c r="H31" s="18">
        <f>'23'!H36</f>
        <v>25.612500000000001</v>
      </c>
      <c r="I31" s="18">
        <f>'23'!I36</f>
        <v>5.3033333333333328</v>
      </c>
      <c r="J31" s="18">
        <f>'23'!J36</f>
        <v>0.9337500000000003</v>
      </c>
      <c r="K31" s="18">
        <f>'23'!K36</f>
        <v>119.91375000000001</v>
      </c>
      <c r="L31" s="18">
        <f>'23'!L36</f>
        <v>24.61375</v>
      </c>
      <c r="M31" s="18">
        <f>'23'!M36</f>
        <v>48.034999999999989</v>
      </c>
      <c r="N31" s="18">
        <f>'23'!N36</f>
        <v>183.37083333333337</v>
      </c>
      <c r="O31" s="18">
        <f>'23'!O36</f>
        <v>0</v>
      </c>
      <c r="P31" s="18">
        <f>'23'!P36</f>
        <v>0.55041666666666667</v>
      </c>
      <c r="Q31" s="18">
        <f>'23'!Q36</f>
        <v>4.7641666666666671</v>
      </c>
      <c r="R31" s="36"/>
      <c r="S31" s="36"/>
      <c r="T31" s="36"/>
      <c r="U31" s="36"/>
    </row>
    <row r="32" spans="1:24" s="2" customFormat="1">
      <c r="A32" s="16">
        <f>'24'!$B$2</f>
        <v>45346.041666666664</v>
      </c>
      <c r="B32" s="18">
        <f>'24'!B36</f>
        <v>11.29875</v>
      </c>
      <c r="C32" s="18">
        <f>'24'!C36</f>
        <v>21.720833333333331</v>
      </c>
      <c r="D32" s="18">
        <f>'24'!D36</f>
        <v>21.630000000000006</v>
      </c>
      <c r="E32" s="18">
        <f>'24'!E36</f>
        <v>9.0786956521739146</v>
      </c>
      <c r="F32" s="18">
        <f>'24'!F36</f>
        <v>7.2275000000000018</v>
      </c>
      <c r="G32" s="18">
        <f>'24'!G36</f>
        <v>87.458260869565223</v>
      </c>
      <c r="H32" s="18">
        <f>'24'!H36</f>
        <v>27.97695652173914</v>
      </c>
      <c r="I32" s="18">
        <f>'24'!I36</f>
        <v>16.493333333333336</v>
      </c>
      <c r="J32" s="18">
        <f>'24'!J36</f>
        <v>0.85583333333333345</v>
      </c>
      <c r="K32" s="18">
        <f>'24'!K36</f>
        <v>142.22291666666669</v>
      </c>
      <c r="L32" s="18">
        <f>'24'!L36</f>
        <v>25.349166666666662</v>
      </c>
      <c r="M32" s="18">
        <f>'24'!M36</f>
        <v>52.356666666666676</v>
      </c>
      <c r="N32" s="18">
        <f>'24'!N36</f>
        <v>168.72499999999999</v>
      </c>
      <c r="O32" s="18">
        <f>'24'!O36</f>
        <v>0</v>
      </c>
      <c r="P32" s="18">
        <f>'24'!P36</f>
        <v>0.62583333333333346</v>
      </c>
      <c r="Q32" s="18">
        <f>'24'!Q36</f>
        <v>4.7450000000000001</v>
      </c>
      <c r="R32" s="36"/>
      <c r="S32" s="36"/>
      <c r="T32" s="36"/>
      <c r="U32" s="36"/>
    </row>
    <row r="33" spans="1:21" s="2" customFormat="1">
      <c r="A33" s="16">
        <f>'25'!$B$2</f>
        <v>45347.041666666664</v>
      </c>
      <c r="B33" s="18">
        <f>'25'!B36</f>
        <v>8.382083333333334</v>
      </c>
      <c r="C33" s="18">
        <f>'25'!C36</f>
        <v>20.197083333333335</v>
      </c>
      <c r="D33" s="18">
        <f>'25'!D36</f>
        <v>18.481249999999999</v>
      </c>
      <c r="E33" s="18">
        <f>'25'!E36</f>
        <v>10.354583333333334</v>
      </c>
      <c r="F33" s="18">
        <f>'25'!F36</f>
        <v>6.0266666666666673</v>
      </c>
      <c r="G33" s="18">
        <f>'25'!G36</f>
        <v>76.673749999999998</v>
      </c>
      <c r="H33" s="18">
        <f>'25'!H36</f>
        <v>29.52</v>
      </c>
      <c r="I33" s="18">
        <f>'25'!I36</f>
        <v>9.4079166666666669</v>
      </c>
      <c r="J33" s="18">
        <f>'25'!J36</f>
        <v>1.2741666666666667</v>
      </c>
      <c r="K33" s="18">
        <f>'25'!K36</f>
        <v>72.427916666666675</v>
      </c>
      <c r="L33" s="18">
        <f>'25'!L36</f>
        <v>24.285833333333329</v>
      </c>
      <c r="M33" s="18">
        <f>'25'!M36</f>
        <v>57.817499999999995</v>
      </c>
      <c r="N33" s="18">
        <f>'25'!N36</f>
        <v>143.09166666666667</v>
      </c>
      <c r="O33" s="18">
        <f>'25'!O36</f>
        <v>0</v>
      </c>
      <c r="P33" s="18">
        <f>'25'!P36</f>
        <v>0.68791666666666662</v>
      </c>
      <c r="Q33" s="18">
        <f>'25'!Q36</f>
        <v>4.7304166666666667</v>
      </c>
      <c r="R33" s="36"/>
      <c r="S33" s="36"/>
      <c r="T33" s="36"/>
      <c r="U33" s="36"/>
    </row>
    <row r="34" spans="1:21" s="2" customFormat="1">
      <c r="A34" s="16">
        <f>'26'!$B$2</f>
        <v>45348.041666666664</v>
      </c>
      <c r="B34" s="18">
        <f>'26'!B36</f>
        <v>7.2962500000000015</v>
      </c>
      <c r="C34" s="18">
        <f>'26'!C36</f>
        <v>20.37875</v>
      </c>
      <c r="D34" s="18">
        <f>'26'!D36</f>
        <v>17.715</v>
      </c>
      <c r="E34" s="18">
        <f>'26'!E36</f>
        <v>8.8304166666666664</v>
      </c>
      <c r="F34" s="18">
        <f>'26'!F36</f>
        <v>5.9062499999999991</v>
      </c>
      <c r="G34" s="18">
        <f>'26'!G36</f>
        <v>67.639166666666668</v>
      </c>
      <c r="H34" s="18">
        <f>'26'!H36</f>
        <v>30.312083333333337</v>
      </c>
      <c r="I34" s="18">
        <f>'26'!I36</f>
        <v>6.7741666666666669</v>
      </c>
      <c r="J34" s="18">
        <f>'26'!J36</f>
        <v>1.1270833333333334</v>
      </c>
      <c r="K34" s="18">
        <f>'26'!K36</f>
        <v>79.242499999999993</v>
      </c>
      <c r="L34" s="18">
        <f>'26'!L36</f>
        <v>25.602916666666662</v>
      </c>
      <c r="M34" s="18">
        <f>'26'!M36</f>
        <v>67.363749999999996</v>
      </c>
      <c r="N34" s="18">
        <f>'26'!N36</f>
        <v>136.21666666666667</v>
      </c>
      <c r="O34" s="18">
        <f>'26'!O36</f>
        <v>0</v>
      </c>
      <c r="P34" s="18">
        <f>'26'!P36</f>
        <v>0.78666666666666663</v>
      </c>
      <c r="Q34" s="18">
        <f>'26'!Q36</f>
        <v>4.7075000000000005</v>
      </c>
      <c r="R34" s="36"/>
      <c r="S34" s="36"/>
      <c r="T34" s="36"/>
      <c r="U34" s="36"/>
    </row>
    <row r="35" spans="1:21" s="2" customFormat="1">
      <c r="A35" s="16">
        <f>'27'!$B$2</f>
        <v>45349.041666666664</v>
      </c>
      <c r="B35" s="18">
        <f>'27'!B36</f>
        <v>7.6424999999999983</v>
      </c>
      <c r="C35" s="18">
        <f>'27'!C36</f>
        <v>17.700833333333332</v>
      </c>
      <c r="D35" s="18">
        <f>'27'!D36</f>
        <v>16.647916666666667</v>
      </c>
      <c r="E35" s="18">
        <f>'27'!E36</f>
        <v>9.076666666666668</v>
      </c>
      <c r="F35" s="18">
        <f>'27'!F36</f>
        <v>8.2045833333333338</v>
      </c>
      <c r="G35" s="18">
        <f>'27'!G36</f>
        <v>72.613333333333316</v>
      </c>
      <c r="H35" s="18">
        <f>'27'!H36</f>
        <v>31.209583333333338</v>
      </c>
      <c r="I35" s="18">
        <f>'27'!I36</f>
        <v>6.3512499999999994</v>
      </c>
      <c r="J35" s="18">
        <f>'27'!J36</f>
        <v>0.82583333333333331</v>
      </c>
      <c r="K35" s="18">
        <f>'27'!K36</f>
        <v>196.12541666666667</v>
      </c>
      <c r="L35" s="18">
        <f>'27'!L36</f>
        <v>27.039583333333329</v>
      </c>
      <c r="M35" s="18">
        <f>'27'!M36</f>
        <v>66.705833333333331</v>
      </c>
      <c r="N35" s="18">
        <f>'27'!N36</f>
        <v>148.50833333333335</v>
      </c>
      <c r="O35" s="18">
        <f>'27'!O36</f>
        <v>0</v>
      </c>
      <c r="P35" s="18">
        <f>'27'!P36</f>
        <v>0.68166666666666664</v>
      </c>
      <c r="Q35" s="18">
        <f>'27'!Q36</f>
        <v>4.6995833333333339</v>
      </c>
      <c r="R35" s="36"/>
      <c r="S35" s="36"/>
      <c r="T35" s="36"/>
      <c r="U35" s="36"/>
    </row>
    <row r="36" spans="1:21" s="2" customFormat="1">
      <c r="A36" s="16">
        <f>'28'!$B$2</f>
        <v>45350.041666666664</v>
      </c>
      <c r="B36" s="18">
        <f>'28'!B36</f>
        <v>12.859583333333335</v>
      </c>
      <c r="C36" s="18">
        <f>'28'!C36</f>
        <v>20.184166666666663</v>
      </c>
      <c r="D36" s="18">
        <f>'28'!D36</f>
        <v>21.9725</v>
      </c>
      <c r="E36" s="18">
        <f>'28'!E36</f>
        <v>9.7187500000000018</v>
      </c>
      <c r="F36" s="18">
        <f>'28'!F36</f>
        <v>6.149583333333335</v>
      </c>
      <c r="G36" s="18">
        <f>'28'!G36</f>
        <v>73.085000000000008</v>
      </c>
      <c r="H36" s="18">
        <f>'28'!H36</f>
        <v>26.622500000000002</v>
      </c>
      <c r="I36" s="18">
        <f>'28'!I36</f>
        <v>6.310833333333334</v>
      </c>
      <c r="J36" s="18">
        <f>'28'!J36</f>
        <v>0.67958333333333343</v>
      </c>
      <c r="K36" s="18">
        <f>'28'!K36</f>
        <v>230.37958333333333</v>
      </c>
      <c r="L36" s="18">
        <f>'28'!L36</f>
        <v>25.478750000000005</v>
      </c>
      <c r="M36" s="18">
        <f>'28'!M36</f>
        <v>67.307083333333324</v>
      </c>
      <c r="N36" s="18">
        <f>'28'!N36</f>
        <v>152.55416666666667</v>
      </c>
      <c r="O36" s="18">
        <f>'28'!O36</f>
        <v>0</v>
      </c>
      <c r="P36" s="18">
        <f>'28'!P36</f>
        <v>0.69666666666666666</v>
      </c>
      <c r="Q36" s="18">
        <f>'28'!Q36</f>
        <v>4.7566666666666677</v>
      </c>
      <c r="R36" s="36"/>
      <c r="S36" s="36"/>
      <c r="T36" s="36"/>
      <c r="U36" s="36"/>
    </row>
    <row r="37" spans="1:21" s="2" customFormat="1">
      <c r="A37" s="16">
        <f>'29'!$B$2</f>
        <v>45351.041666666664</v>
      </c>
      <c r="B37" s="18">
        <f>'29'!B36</f>
        <v>27.041666666666668</v>
      </c>
      <c r="C37" s="18">
        <f>'29'!C36</f>
        <v>23.384166666666662</v>
      </c>
      <c r="D37" s="18">
        <f>'29'!D36</f>
        <v>34.855833333333329</v>
      </c>
      <c r="E37" s="18">
        <f>'29'!E36</f>
        <v>10.157500000000001</v>
      </c>
      <c r="F37" s="18">
        <f>'29'!F36</f>
        <v>5.5704166666666657</v>
      </c>
      <c r="G37" s="18">
        <f>'29'!G36</f>
        <v>88.164166666666674</v>
      </c>
      <c r="H37" s="18">
        <f>'29'!H36</f>
        <v>32.19083333333333</v>
      </c>
      <c r="I37" s="18">
        <f>'29'!I36</f>
        <v>8.7249999999999996</v>
      </c>
      <c r="J37" s="18">
        <f>'29'!J36</f>
        <v>0.75458333333333327</v>
      </c>
      <c r="K37" s="18">
        <f>'29'!K36</f>
        <v>183.22833333333335</v>
      </c>
      <c r="L37" s="18">
        <f>'29'!L36</f>
        <v>26.01125</v>
      </c>
      <c r="M37" s="18">
        <f>'29'!M36</f>
        <v>57.970000000000006</v>
      </c>
      <c r="N37" s="18">
        <f>'29'!N36</f>
        <v>186.79166666666666</v>
      </c>
      <c r="O37" s="18">
        <f>'29'!O36</f>
        <v>0</v>
      </c>
      <c r="P37" s="18">
        <f>'29'!P36</f>
        <v>0.86333333333333329</v>
      </c>
      <c r="Q37" s="18">
        <f>'29'!Q36</f>
        <v>4.8270833333333343</v>
      </c>
      <c r="R37" s="36"/>
      <c r="S37" s="36"/>
      <c r="T37" s="36"/>
      <c r="U37" s="36"/>
    </row>
    <row r="38" spans="1:21" s="1" customFormat="1">
      <c r="A38"/>
      <c r="R38" s="40"/>
      <c r="S38" s="40"/>
      <c r="T38" s="40"/>
      <c r="U38" s="40"/>
    </row>
    <row r="39" spans="1:21" s="1" customFormat="1">
      <c r="A39" s="3" t="s">
        <v>48</v>
      </c>
      <c r="B39" s="20">
        <f>MIN(B9:B37)</f>
        <v>5.8687499999999995</v>
      </c>
      <c r="C39" s="20">
        <f>MIN(C9:C37)</f>
        <v>16.207916666666666</v>
      </c>
      <c r="D39" s="20">
        <f>MIN(D9:D37)</f>
        <v>14.442083333333334</v>
      </c>
      <c r="E39" s="20">
        <f>MIN(E9:E37)</f>
        <v>6.6325000000000003</v>
      </c>
      <c r="F39" s="20">
        <f>MIN(F9:F37)</f>
        <v>3.9133333333333327</v>
      </c>
      <c r="G39" s="20">
        <f>MIN(G9:G37)</f>
        <v>47.529583333333328</v>
      </c>
      <c r="H39" s="20">
        <f>MIN(H9:H37)</f>
        <v>18.645833333333332</v>
      </c>
      <c r="I39" s="20">
        <f>MIN(I9:I37)</f>
        <v>0</v>
      </c>
      <c r="J39" s="20">
        <f>MIN(J9:J37)</f>
        <v>0.35541666666666666</v>
      </c>
      <c r="K39" s="20">
        <f>MIN(K9:K37)</f>
        <v>72.427916666666675</v>
      </c>
      <c r="L39" s="20">
        <f>MIN(L9:L37)</f>
        <v>21.102500000000003</v>
      </c>
      <c r="M39" s="20">
        <f>MIN(M9:M37)</f>
        <v>44.005416666666662</v>
      </c>
      <c r="N39" s="20">
        <f>MIN(N9:N37)</f>
        <v>98.229166666666643</v>
      </c>
      <c r="O39" s="20">
        <f>MIN(O9:O37)</f>
        <v>0</v>
      </c>
      <c r="P39" s="20">
        <f>MIN(P9:P37)</f>
        <v>0.55041666666666667</v>
      </c>
      <c r="Q39" s="20">
        <f>MIN(Q9:Q37)</f>
        <v>4.6995833333333339</v>
      </c>
      <c r="R39" s="40"/>
      <c r="S39" s="40"/>
      <c r="T39" s="40"/>
      <c r="U39" s="40"/>
    </row>
    <row r="40" spans="1:21" s="1" customFormat="1">
      <c r="A40" s="3" t="s">
        <v>49</v>
      </c>
      <c r="B40" s="20">
        <f>MAX(B9:B37)</f>
        <v>27.041666666666668</v>
      </c>
      <c r="C40" s="20">
        <f>MAX(C9:C37)</f>
        <v>29.01499999999999</v>
      </c>
      <c r="D40" s="20">
        <f>MAX(D9:D37)</f>
        <v>34.855833333333329</v>
      </c>
      <c r="E40" s="20">
        <f>MAX(E9:E37)</f>
        <v>12.586666666666666</v>
      </c>
      <c r="F40" s="20">
        <f>MAX(F9:F37)</f>
        <v>8.2045833333333338</v>
      </c>
      <c r="G40" s="20">
        <f>MAX(G9:G37)</f>
        <v>97.628333333333345</v>
      </c>
      <c r="H40" s="20">
        <f>MAX(H9:H37)</f>
        <v>40.302500000000002</v>
      </c>
      <c r="I40" s="20">
        <f>MAX(I9:I37)</f>
        <v>16.493333333333336</v>
      </c>
      <c r="J40" s="20">
        <f>MAX(J9:J37)</f>
        <v>1.2741666666666667</v>
      </c>
      <c r="K40" s="20">
        <f>MAX(K9:K37)</f>
        <v>264.83291666666668</v>
      </c>
      <c r="L40" s="20">
        <f>MAX(L9:L37)</f>
        <v>27.039583333333329</v>
      </c>
      <c r="M40" s="20">
        <f>MAX(M9:M37)</f>
        <v>79.225000000000009</v>
      </c>
      <c r="N40" s="20">
        <f>MAX(N9:N37)</f>
        <v>188.21249999999998</v>
      </c>
      <c r="O40" s="20">
        <f>MAX(O9:O37)</f>
        <v>0.19999999999999998</v>
      </c>
      <c r="P40" s="20">
        <f>MAX(P9:P37)</f>
        <v>1.0349999999999999</v>
      </c>
      <c r="Q40" s="20">
        <f>MAX(Q9:Q37)</f>
        <v>4.96</v>
      </c>
      <c r="R40" s="40"/>
      <c r="S40" s="40"/>
      <c r="T40" s="40"/>
      <c r="U40" s="40"/>
    </row>
    <row r="41" spans="1:21" s="1" customFormat="1">
      <c r="A41" s="3" t="s">
        <v>50</v>
      </c>
      <c r="B41" s="20">
        <f>AVERAGE(B9:B37)</f>
        <v>12.836619815092453</v>
      </c>
      <c r="C41" s="20">
        <f>AVERAGE(C9:C37)</f>
        <v>21.288705022488756</v>
      </c>
      <c r="D41" s="20">
        <f>AVERAGE(D9:D37)</f>
        <v>22.599586456771618</v>
      </c>
      <c r="E41" s="20">
        <f>AVERAGE(E9:E37)</f>
        <v>9.0951761619190439</v>
      </c>
      <c r="F41" s="20">
        <f>AVERAGE(F9:F37)</f>
        <v>5.1377442528735635</v>
      </c>
      <c r="G41" s="20">
        <f>AVERAGE(G9:G37)</f>
        <v>76.365251749125434</v>
      </c>
      <c r="H41" s="20">
        <f>AVERAGE(H9:H37)</f>
        <v>30.188615692153924</v>
      </c>
      <c r="I41" s="20">
        <f>AVERAGE(I9:I37)</f>
        <v>6.3984195402298845</v>
      </c>
      <c r="J41" s="20">
        <f>AVERAGE(J9:J37)</f>
        <v>0.72583333333333333</v>
      </c>
      <c r="K41" s="20">
        <f>AVERAGE(K9:K37)</f>
        <v>183.48500000000001</v>
      </c>
      <c r="L41" s="20">
        <f>AVERAGE(L9:L37)</f>
        <v>24.565100574712648</v>
      </c>
      <c r="M41" s="20">
        <f>AVERAGE(M9:M37)</f>
        <v>61.019051724137938</v>
      </c>
      <c r="N41" s="20">
        <f>AVERAGE(N9:N37)</f>
        <v>152.40272988505751</v>
      </c>
      <c r="O41" s="20">
        <f>AVERAGE(O9:O37)</f>
        <v>6.8965517241379301E-3</v>
      </c>
      <c r="P41" s="20">
        <f>AVERAGE(P9:P37)</f>
        <v>0.78278735632183905</v>
      </c>
      <c r="Q41" s="20">
        <f>AVERAGE(Q9:Q37)</f>
        <v>4.7947701149425273</v>
      </c>
      <c r="R41" s="40"/>
      <c r="S41" s="40"/>
      <c r="T41" s="40"/>
      <c r="U41" s="40"/>
    </row>
    <row r="42" spans="1:21" s="1" customFormat="1">
      <c r="A42" s="3" t="s">
        <v>51</v>
      </c>
      <c r="B42" s="20">
        <f>STDEV(B9:B37)</f>
        <v>5.0907415038139252</v>
      </c>
      <c r="C42" s="20">
        <f>STDEV(C9:C37)</f>
        <v>2.7913529613466364</v>
      </c>
      <c r="D42" s="20">
        <f>STDEV(D9:D37)</f>
        <v>5.0626841223325441</v>
      </c>
      <c r="E42" s="20">
        <f>STDEV(E9:E37)</f>
        <v>1.3388382730086825</v>
      </c>
      <c r="F42" s="20">
        <f>STDEV(F9:F37)</f>
        <v>1.0328291691871041</v>
      </c>
      <c r="G42" s="20">
        <f>STDEV(G9:G37)</f>
        <v>13.431012606717948</v>
      </c>
      <c r="H42" s="20">
        <f>STDEV(H9:H37)</f>
        <v>5.9391603653072531</v>
      </c>
      <c r="I42" s="20">
        <f>STDEV(I9:I37)</f>
        <v>4.0660377581053861</v>
      </c>
      <c r="J42" s="20">
        <f>STDEV(J9:J37)</f>
        <v>0.23274434058725657</v>
      </c>
      <c r="K42" s="20">
        <f>STDEV(K9:K37)</f>
        <v>60.009912235338717</v>
      </c>
      <c r="L42" s="20">
        <f>STDEV(L9:L37)</f>
        <v>1.54439901712496</v>
      </c>
      <c r="M42" s="20">
        <f>STDEV(M9:M37)</f>
        <v>9.3055667069398176</v>
      </c>
      <c r="N42" s="20">
        <f>STDEV(N9:N37)</f>
        <v>20.245828962328009</v>
      </c>
      <c r="O42" s="20">
        <f>STDEV(O9:O37)</f>
        <v>3.7139067635410368E-2</v>
      </c>
      <c r="P42" s="20">
        <f>STDEV(P9:P37)</f>
        <v>0.12212614556132617</v>
      </c>
      <c r="Q42" s="20">
        <f>STDEV(Q9:Q37)</f>
        <v>6.3852876279094126E-2</v>
      </c>
      <c r="R42" s="33"/>
      <c r="S42" s="33"/>
      <c r="T42" s="33"/>
      <c r="U42" s="33"/>
    </row>
    <row r="43" spans="1:21" s="1" customFormat="1">
      <c r="A43" s="3" t="s">
        <v>52</v>
      </c>
      <c r="B43" s="6">
        <f>COUNT(B9:B37)</f>
        <v>29</v>
      </c>
      <c r="C43" s="6">
        <f>COUNT(C9:C37)</f>
        <v>29</v>
      </c>
      <c r="D43" s="6">
        <f>COUNT(D9:D37)</f>
        <v>29</v>
      </c>
      <c r="E43" s="6">
        <f>COUNT(E9:E37)</f>
        <v>29</v>
      </c>
      <c r="F43" s="6">
        <f>COUNT(F9:F37)</f>
        <v>29</v>
      </c>
      <c r="G43" s="6">
        <f>COUNT(G9:G37)</f>
        <v>29</v>
      </c>
      <c r="H43" s="6">
        <f>COUNT(H9:H37)</f>
        <v>29</v>
      </c>
      <c r="I43" s="6">
        <f>COUNT(I9:I37)</f>
        <v>29</v>
      </c>
      <c r="J43" s="6">
        <f>COUNT(J9:J37)</f>
        <v>29</v>
      </c>
      <c r="K43" s="6">
        <f>COUNT(K9:K37)</f>
        <v>29</v>
      </c>
      <c r="L43" s="6">
        <f>COUNT(L9:L37)</f>
        <v>29</v>
      </c>
      <c r="M43" s="6">
        <f>COUNT(M9:M37)</f>
        <v>29</v>
      </c>
      <c r="N43" s="6">
        <f>COUNT(N9:N37)</f>
        <v>29</v>
      </c>
      <c r="O43" s="6">
        <f>COUNT(O9:O37)</f>
        <v>29</v>
      </c>
      <c r="P43" s="6">
        <f>COUNT(P9:P37)</f>
        <v>29</v>
      </c>
      <c r="Q43" s="6">
        <f>COUNT(Q9:Q37)</f>
        <v>29</v>
      </c>
      <c r="R43" s="33"/>
      <c r="S43" s="33"/>
      <c r="T43" s="33"/>
      <c r="U43" s="33"/>
    </row>
    <row r="44" spans="1:21" s="1" customFormat="1">
      <c r="A44" s="3" t="s">
        <v>53</v>
      </c>
      <c r="B44" s="6" t="str">
        <f>IF(B43&gt;=28,"&gt;90%",IF(B43&lt;=28,"&lt;90%"))</f>
        <v>&gt;90%</v>
      </c>
      <c r="C44" s="6" t="str">
        <f t="shared" ref="C44:Q44" si="0">IF(C43&gt;=28,"&gt;90%",IF(C43&lt;=28,"&lt;90%"))</f>
        <v>&gt;90%</v>
      </c>
      <c r="D44" s="6" t="str">
        <f t="shared" si="0"/>
        <v>&gt;90%</v>
      </c>
      <c r="E44" s="6" t="str">
        <f t="shared" si="0"/>
        <v>&gt;90%</v>
      </c>
      <c r="F44" s="6" t="str">
        <f t="shared" si="0"/>
        <v>&gt;90%</v>
      </c>
      <c r="G44" s="6" t="str">
        <f t="shared" si="0"/>
        <v>&gt;90%</v>
      </c>
      <c r="H44" s="6" t="str">
        <f t="shared" si="0"/>
        <v>&gt;90%</v>
      </c>
      <c r="I44" s="6" t="str">
        <f t="shared" si="0"/>
        <v>&gt;90%</v>
      </c>
      <c r="J44" s="6" t="str">
        <f t="shared" si="0"/>
        <v>&gt;90%</v>
      </c>
      <c r="K44" s="6" t="str">
        <f t="shared" si="0"/>
        <v>&gt;90%</v>
      </c>
      <c r="L44" s="6" t="str">
        <f t="shared" si="0"/>
        <v>&gt;90%</v>
      </c>
      <c r="M44" s="6" t="str">
        <f t="shared" si="0"/>
        <v>&gt;90%</v>
      </c>
      <c r="N44" s="6" t="str">
        <f t="shared" si="0"/>
        <v>&gt;90%</v>
      </c>
      <c r="O44" s="6" t="str">
        <f t="shared" si="0"/>
        <v>&gt;90%</v>
      </c>
      <c r="P44" s="6" t="str">
        <f t="shared" si="0"/>
        <v>&gt;90%</v>
      </c>
      <c r="Q44" s="6" t="str">
        <f t="shared" si="0"/>
        <v>&gt;90%</v>
      </c>
      <c r="R44" s="33"/>
      <c r="S44" s="33"/>
      <c r="T44" s="33"/>
      <c r="U44" s="33"/>
    </row>
    <row r="45" spans="1:21">
      <c r="A45" s="3" t="s">
        <v>54</v>
      </c>
      <c r="B45" s="6" t="str">
        <f>IF(B43&gt;=28,"OK",IF(B43&lt;=28,"LESS"))</f>
        <v>OK</v>
      </c>
      <c r="C45" s="6" t="str">
        <f t="shared" ref="C45:Q45" si="1">IF(C43&gt;=28,"OK",IF(C43&lt;=28,"LESS"))</f>
        <v>OK</v>
      </c>
      <c r="D45" s="6" t="str">
        <f t="shared" si="1"/>
        <v>OK</v>
      </c>
      <c r="E45" s="6" t="str">
        <f t="shared" si="1"/>
        <v>OK</v>
      </c>
      <c r="F45" s="6" t="str">
        <f t="shared" si="1"/>
        <v>OK</v>
      </c>
      <c r="G45" s="6" t="str">
        <f t="shared" si="1"/>
        <v>OK</v>
      </c>
      <c r="H45" s="6" t="str">
        <f t="shared" si="1"/>
        <v>OK</v>
      </c>
      <c r="I45" s="6" t="str">
        <f t="shared" si="1"/>
        <v>OK</v>
      </c>
      <c r="J45" s="6" t="str">
        <f t="shared" si="1"/>
        <v>OK</v>
      </c>
      <c r="K45" s="6" t="str">
        <f t="shared" si="1"/>
        <v>OK</v>
      </c>
      <c r="L45" s="6" t="str">
        <f t="shared" si="1"/>
        <v>OK</v>
      </c>
      <c r="M45" s="6" t="str">
        <f t="shared" si="1"/>
        <v>OK</v>
      </c>
      <c r="N45" s="6" t="str">
        <f t="shared" si="1"/>
        <v>OK</v>
      </c>
      <c r="O45" s="6" t="str">
        <f t="shared" si="1"/>
        <v>OK</v>
      </c>
      <c r="P45" s="6" t="str">
        <f t="shared" si="1"/>
        <v>OK</v>
      </c>
      <c r="Q45" s="6" t="str">
        <f t="shared" si="1"/>
        <v>OK</v>
      </c>
      <c r="R45" s="1"/>
      <c r="S45" s="1"/>
      <c r="T45" s="1"/>
    </row>
    <row r="46" spans="1:2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8" spans="1:21">
      <c r="A48" s="3" t="s">
        <v>55</v>
      </c>
      <c r="B48" s="21" t="s">
        <v>56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22"/>
      <c r="B49" s="1"/>
      <c r="C49" s="1"/>
      <c r="D49" s="23"/>
      <c r="E49" s="23"/>
      <c r="F49" s="23"/>
      <c r="G49" s="23"/>
      <c r="H49" s="23"/>
      <c r="I49" s="23"/>
      <c r="J49" s="1"/>
      <c r="K49" s="1"/>
      <c r="L49" s="1"/>
      <c r="M49" s="1"/>
      <c r="N49" s="1"/>
      <c r="O49" s="1"/>
      <c r="P49" s="1"/>
    </row>
    <row r="50" spans="1:16" ht="15.75">
      <c r="A50" s="24" t="s">
        <v>57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</row>
    <row r="51" spans="1:16">
      <c r="A51" s="2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2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</sheetData>
  <mergeCells count="1">
    <mergeCell ref="B50:P5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2024-03-02T12:29:42Z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