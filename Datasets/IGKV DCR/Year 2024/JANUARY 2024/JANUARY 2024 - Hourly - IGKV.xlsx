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F45"/>
  <c r="G45"/>
  <c r="H45"/>
  <c r="I45"/>
  <c r="J45"/>
  <c r="K45"/>
  <c r="L45"/>
  <c r="M45"/>
  <c r="N45"/>
  <c r="O45"/>
  <c r="P45"/>
  <c r="Q45"/>
  <c r="B45"/>
  <c r="Q38" i="16" l="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N36"/>
  <c r="M36"/>
  <c r="L36"/>
  <c r="L19" i="39" s="1"/>
  <c r="K36" i="16"/>
  <c r="J36"/>
  <c r="J19" i="39" s="1"/>
  <c r="I36" i="16"/>
  <c r="I19" i="39" s="1"/>
  <c r="H36" i="16"/>
  <c r="G36"/>
  <c r="F36"/>
  <c r="F19" i="39" s="1"/>
  <c r="E36" i="16"/>
  <c r="D36"/>
  <c r="D19" i="39" s="1"/>
  <c r="C36" i="16"/>
  <c r="C19" i="39" s="1"/>
  <c r="B36" i="1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C39" i="39"/>
  <c r="D39"/>
  <c r="F39"/>
  <c r="J39"/>
  <c r="L39"/>
  <c r="O39"/>
  <c r="A39"/>
  <c r="K38"/>
  <c r="I38"/>
  <c r="E38"/>
  <c r="D38"/>
  <c r="B38"/>
  <c r="N37"/>
  <c r="M37"/>
  <c r="F37"/>
  <c r="C37"/>
  <c r="N36"/>
  <c r="H36"/>
  <c r="D36"/>
  <c r="C36"/>
  <c r="Q34"/>
  <c r="L34"/>
  <c r="K34"/>
  <c r="G34"/>
  <c r="F34"/>
  <c r="A34"/>
  <c r="O33"/>
  <c r="M33"/>
  <c r="L33"/>
  <c r="G33"/>
  <c r="D33"/>
  <c r="K32"/>
  <c r="H32"/>
  <c r="G32"/>
  <c r="F32"/>
  <c r="C32"/>
  <c r="B32"/>
  <c r="O31"/>
  <c r="I31"/>
  <c r="F31"/>
  <c r="J30"/>
  <c r="I30"/>
  <c r="K29"/>
  <c r="J29"/>
  <c r="P28"/>
  <c r="O28"/>
  <c r="L28"/>
  <c r="K28"/>
  <c r="E28"/>
  <c r="M27"/>
  <c r="L27"/>
  <c r="F27"/>
  <c r="Q26"/>
  <c r="N26"/>
  <c r="M26"/>
  <c r="A26"/>
  <c r="O25"/>
  <c r="N25"/>
  <c r="P24"/>
  <c r="O24"/>
  <c r="Q23"/>
  <c r="A23"/>
  <c r="Q22"/>
  <c r="B22"/>
  <c r="A22"/>
  <c r="C21"/>
  <c r="D20"/>
  <c r="C20"/>
  <c r="B20"/>
  <c r="O19"/>
  <c r="N19"/>
  <c r="M19"/>
  <c r="K19"/>
  <c r="H19"/>
  <c r="G19"/>
  <c r="E19"/>
  <c r="B19"/>
  <c r="K18"/>
  <c r="F18"/>
  <c r="E18"/>
  <c r="C18"/>
  <c r="M17"/>
  <c r="G17"/>
  <c r="D17"/>
  <c r="C17"/>
  <c r="H16"/>
  <c r="G16"/>
  <c r="M15"/>
  <c r="E15"/>
  <c r="P14"/>
  <c r="N14"/>
  <c r="J14"/>
  <c r="G14"/>
  <c r="K13"/>
  <c r="Q11"/>
  <c r="M11"/>
  <c r="N10"/>
  <c r="M10"/>
  <c r="Q38" i="4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N36"/>
  <c r="N39" i="39" s="1"/>
  <c r="M36" i="41"/>
  <c r="M39" i="39" s="1"/>
  <c r="L36" i="41"/>
  <c r="K36"/>
  <c r="K39" i="39" s="1"/>
  <c r="J36" i="41"/>
  <c r="I36"/>
  <c r="I39" i="39" s="1"/>
  <c r="H36" i="41"/>
  <c r="H39" i="39" s="1"/>
  <c r="G36" i="41"/>
  <c r="G39" i="39" s="1"/>
  <c r="F36" i="41"/>
  <c r="E36"/>
  <c r="E39" i="39" s="1"/>
  <c r="D36" i="41"/>
  <c r="C36"/>
  <c r="B36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J36"/>
  <c r="J38" i="39" s="1"/>
  <c r="I36" i="40"/>
  <c r="H36"/>
  <c r="H38" i="39" s="1"/>
  <c r="G36" i="40"/>
  <c r="G38" i="39" s="1"/>
  <c r="F36" i="40"/>
  <c r="F38" i="39" s="1"/>
  <c r="E36" i="40"/>
  <c r="D36"/>
  <c r="C36"/>
  <c r="C38" i="39" s="1"/>
  <c r="B36" i="4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B39" i="43"/>
  <c r="Q38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P37" i="39" s="1"/>
  <c r="O36" i="43"/>
  <c r="O37" i="39" s="1"/>
  <c r="N36" i="43"/>
  <c r="M36"/>
  <c r="L36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E36"/>
  <c r="E37" i="39" s="1"/>
  <c r="D36" i="43"/>
  <c r="D37" i="39" s="1"/>
  <c r="C36" i="43"/>
  <c r="B36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39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M36"/>
  <c r="M36" i="39" s="1"/>
  <c r="L36" i="33"/>
  <c r="L36" i="39" s="1"/>
  <c r="K36" i="33"/>
  <c r="K36" i="39" s="1"/>
  <c r="J36" i="33"/>
  <c r="J36" i="39" s="1"/>
  <c r="I36" i="33"/>
  <c r="I36" i="39" s="1"/>
  <c r="H36" i="33"/>
  <c r="G36"/>
  <c r="G36" i="39" s="1"/>
  <c r="F36" i="33"/>
  <c r="F36" i="39" s="1"/>
  <c r="E36" i="33"/>
  <c r="E36" i="39" s="1"/>
  <c r="D36" i="33"/>
  <c r="C36"/>
  <c r="B36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39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4" i="39" s="1"/>
  <c r="O36" i="31"/>
  <c r="O34" i="39" s="1"/>
  <c r="N36" i="31"/>
  <c r="N34" i="39" s="1"/>
  <c r="M36" i="31"/>
  <c r="M34" i="39" s="1"/>
  <c r="L36" i="31"/>
  <c r="K36"/>
  <c r="J36"/>
  <c r="J34" i="39" s="1"/>
  <c r="I36" i="31"/>
  <c r="I34" i="39" s="1"/>
  <c r="H36" i="31"/>
  <c r="H34" i="39" s="1"/>
  <c r="G36" i="31"/>
  <c r="F36"/>
  <c r="E36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N36"/>
  <c r="N33" i="39" s="1"/>
  <c r="M36" i="30"/>
  <c r="L36"/>
  <c r="K36"/>
  <c r="K33" i="39" s="1"/>
  <c r="J36" i="30"/>
  <c r="J33" i="39" s="1"/>
  <c r="I36" i="30"/>
  <c r="I33" i="39" s="1"/>
  <c r="H36" i="30"/>
  <c r="H33" i="39" s="1"/>
  <c r="G36" i="30"/>
  <c r="F36"/>
  <c r="F33" i="39" s="1"/>
  <c r="E36" i="30"/>
  <c r="E33" i="39" s="1"/>
  <c r="D36" i="30"/>
  <c r="C36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39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J36"/>
  <c r="J32" i="39" s="1"/>
  <c r="I36" i="29"/>
  <c r="I32" i="39" s="1"/>
  <c r="H36" i="29"/>
  <c r="G36"/>
  <c r="F36"/>
  <c r="E36"/>
  <c r="E32" i="39" s="1"/>
  <c r="D36" i="29"/>
  <c r="D32" i="39" s="1"/>
  <c r="C36" i="29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L40" i="28"/>
  <c r="Q3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N36"/>
  <c r="N31" i="39" s="1"/>
  <c r="M36" i="28"/>
  <c r="M31" i="39" s="1"/>
  <c r="L36" i="28"/>
  <c r="L31" i="39" s="1"/>
  <c r="K36" i="28"/>
  <c r="K31" i="39" s="1"/>
  <c r="J36" i="28"/>
  <c r="J31" i="39" s="1"/>
  <c r="I36" i="28"/>
  <c r="H36"/>
  <c r="H31" i="39" s="1"/>
  <c r="G36" i="28"/>
  <c r="G31" i="39" s="1"/>
  <c r="F36" i="28"/>
  <c r="E36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I36"/>
  <c r="H36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39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J36"/>
  <c r="I3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O36"/>
  <c r="N36"/>
  <c r="N28" i="39" s="1"/>
  <c r="M36" i="25"/>
  <c r="M28" i="39" s="1"/>
  <c r="L36" i="25"/>
  <c r="K36"/>
  <c r="J36"/>
  <c r="J28" i="39" s="1"/>
  <c r="I36" i="25"/>
  <c r="I28" i="39" s="1"/>
  <c r="H36" i="25"/>
  <c r="H28" i="39" s="1"/>
  <c r="G36" i="25"/>
  <c r="G28" i="39" s="1"/>
  <c r="F36" i="25"/>
  <c r="F28" i="39" s="1"/>
  <c r="E36" i="25"/>
  <c r="D36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L36"/>
  <c r="K36"/>
  <c r="K27" i="39" s="1"/>
  <c r="J36" i="24"/>
  <c r="J27" i="39" s="1"/>
  <c r="I36" i="24"/>
  <c r="I27" i="39" s="1"/>
  <c r="H36" i="24"/>
  <c r="H27" i="39" s="1"/>
  <c r="G36" i="24"/>
  <c r="G27" i="39" s="1"/>
  <c r="F36" i="24"/>
  <c r="E36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E40" i="2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39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6" i="39" s="1"/>
  <c r="O36" i="23"/>
  <c r="O26" i="39" s="1"/>
  <c r="N36" i="23"/>
  <c r="M36"/>
  <c r="L36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F39" i="22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N36"/>
  <c r="M36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O36"/>
  <c r="N36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39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F40" i="18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E21" i="39" s="1"/>
  <c r="D36" i="18"/>
  <c r="D21" i="39" s="1"/>
  <c r="C36" i="18"/>
  <c r="B36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D40" i="17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39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B2" i="16"/>
  <c r="A19" i="39" s="1"/>
  <c r="L39" i="15"/>
  <c r="J39"/>
  <c r="Q38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J36"/>
  <c r="J18" i="39" s="1"/>
  <c r="I36" i="15"/>
  <c r="I18" i="39" s="1"/>
  <c r="H36" i="15"/>
  <c r="H18" i="39" s="1"/>
  <c r="G36" i="15"/>
  <c r="G18" i="39" s="1"/>
  <c r="F36" i="15"/>
  <c r="E36"/>
  <c r="D36"/>
  <c r="D18" i="39" s="1"/>
  <c r="C36" i="15"/>
  <c r="B36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9" i="14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L36"/>
  <c r="L17" i="39" s="1"/>
  <c r="K36" i="14"/>
  <c r="K17" i="39" s="1"/>
  <c r="J36" i="14"/>
  <c r="J17" i="39" s="1"/>
  <c r="I36" i="14"/>
  <c r="I17" i="39" s="1"/>
  <c r="H36" i="14"/>
  <c r="H17" i="39" s="1"/>
  <c r="G36" i="14"/>
  <c r="F36"/>
  <c r="F17" i="39" s="1"/>
  <c r="E36" i="14"/>
  <c r="E17" i="39" s="1"/>
  <c r="D36" i="14"/>
  <c r="C36"/>
  <c r="B36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G36"/>
  <c r="F36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L36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D36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39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O36"/>
  <c r="O14" i="39" s="1"/>
  <c r="N36" i="11"/>
  <c r="M36"/>
  <c r="M14" i="39" s="1"/>
  <c r="L36" i="11"/>
  <c r="L14" i="39" s="1"/>
  <c r="K36" i="11"/>
  <c r="K14" i="39" s="1"/>
  <c r="J36" i="11"/>
  <c r="I36"/>
  <c r="I14" i="39" s="1"/>
  <c r="H36" i="11"/>
  <c r="H14" i="39" s="1"/>
  <c r="G36" i="11"/>
  <c r="F36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J36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39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11" i="39" s="1"/>
  <c r="O36" i="8"/>
  <c r="O11" i="39" s="1"/>
  <c r="N36" i="8"/>
  <c r="N11" i="39" s="1"/>
  <c r="M36" i="8"/>
  <c r="L36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M36"/>
  <c r="L36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39" s="1"/>
  <c r="N38"/>
  <c r="N39" s="1"/>
  <c r="M38"/>
  <c r="M40" s="1"/>
  <c r="L38"/>
  <c r="L39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N39" i="41" l="1"/>
  <c r="M39"/>
  <c r="L39"/>
  <c r="K39"/>
  <c r="J39"/>
  <c r="I39"/>
  <c r="H39"/>
  <c r="G39"/>
  <c r="F39"/>
  <c r="E39"/>
  <c r="D39"/>
  <c r="C39"/>
  <c r="B39"/>
  <c r="Q39"/>
  <c r="P39"/>
  <c r="O39"/>
  <c r="J39" i="40"/>
  <c r="I39"/>
  <c r="H39"/>
  <c r="G39"/>
  <c r="F39"/>
  <c r="E39"/>
  <c r="D39"/>
  <c r="C39"/>
  <c r="B39"/>
  <c r="Q39"/>
  <c r="P39"/>
  <c r="O39"/>
  <c r="N39"/>
  <c r="M39"/>
  <c r="L39"/>
  <c r="K39"/>
  <c r="G40" i="43"/>
  <c r="F39"/>
  <c r="E39"/>
  <c r="H40"/>
  <c r="D39"/>
  <c r="C39"/>
  <c r="Q39"/>
  <c r="P40"/>
  <c r="O39"/>
  <c r="N39"/>
  <c r="M39"/>
  <c r="L39"/>
  <c r="K39"/>
  <c r="J39"/>
  <c r="I39"/>
  <c r="D39" i="33"/>
  <c r="C39"/>
  <c r="E39"/>
  <c r="B39"/>
  <c r="Q39"/>
  <c r="O39"/>
  <c r="F40"/>
  <c r="N39"/>
  <c r="P40"/>
  <c r="M39"/>
  <c r="L39"/>
  <c r="K39"/>
  <c r="I39"/>
  <c r="J40"/>
  <c r="H39"/>
  <c r="G39"/>
  <c r="G40" i="32"/>
  <c r="F39"/>
  <c r="E39"/>
  <c r="D39"/>
  <c r="H40"/>
  <c r="C39"/>
  <c r="B39"/>
  <c r="Q39"/>
  <c r="P39"/>
  <c r="O39"/>
  <c r="N39"/>
  <c r="M39"/>
  <c r="L39"/>
  <c r="K39"/>
  <c r="J39"/>
  <c r="I39"/>
  <c r="C40" i="31"/>
  <c r="B39"/>
  <c r="D40"/>
  <c r="Q39"/>
  <c r="P39"/>
  <c r="O40"/>
  <c r="N39"/>
  <c r="M39"/>
  <c r="L39"/>
  <c r="K39"/>
  <c r="J39"/>
  <c r="I40"/>
  <c r="H39"/>
  <c r="G39"/>
  <c r="F39"/>
  <c r="E39"/>
  <c r="Q39" i="30"/>
  <c r="P39"/>
  <c r="O39"/>
  <c r="N39"/>
  <c r="M39"/>
  <c r="L39"/>
  <c r="K39"/>
  <c r="J39"/>
  <c r="I39"/>
  <c r="H39"/>
  <c r="G39"/>
  <c r="F39"/>
  <c r="E39"/>
  <c r="D39"/>
  <c r="C39"/>
  <c r="B39"/>
  <c r="L39" i="29"/>
  <c r="K39"/>
  <c r="J39"/>
  <c r="I39"/>
  <c r="H39"/>
  <c r="M40"/>
  <c r="F39"/>
  <c r="G40"/>
  <c r="E39"/>
  <c r="D39"/>
  <c r="C39"/>
  <c r="B39"/>
  <c r="Q39"/>
  <c r="P40"/>
  <c r="O39"/>
  <c r="N39"/>
  <c r="K39" i="28"/>
  <c r="J39"/>
  <c r="I39"/>
  <c r="H39"/>
  <c r="G39"/>
  <c r="F39"/>
  <c r="E39"/>
  <c r="D39"/>
  <c r="C39"/>
  <c r="B39"/>
  <c r="Q39"/>
  <c r="P39"/>
  <c r="O39"/>
  <c r="N39"/>
  <c r="M39"/>
  <c r="J39" i="27"/>
  <c r="L40"/>
  <c r="I39"/>
  <c r="H39"/>
  <c r="G39"/>
  <c r="K39"/>
  <c r="F39"/>
  <c r="E39"/>
  <c r="D39"/>
  <c r="C39"/>
  <c r="B39"/>
  <c r="Q39"/>
  <c r="P39"/>
  <c r="O39"/>
  <c r="N39"/>
  <c r="M39"/>
  <c r="L40" i="26"/>
  <c r="J39"/>
  <c r="I39"/>
  <c r="H39"/>
  <c r="G39"/>
  <c r="F39"/>
  <c r="E39"/>
  <c r="D39"/>
  <c r="K40"/>
  <c r="C39"/>
  <c r="B39"/>
  <c r="Q39"/>
  <c r="P39"/>
  <c r="O39"/>
  <c r="N39"/>
  <c r="M39"/>
  <c r="G39" i="25"/>
  <c r="H39"/>
  <c r="F39"/>
  <c r="I39"/>
  <c r="E39"/>
  <c r="D39"/>
  <c r="C39"/>
  <c r="B39"/>
  <c r="Q39"/>
  <c r="P39"/>
  <c r="O39"/>
  <c r="N39"/>
  <c r="M39"/>
  <c r="L39"/>
  <c r="K39"/>
  <c r="J39"/>
  <c r="G39" i="24"/>
  <c r="F39"/>
  <c r="E39"/>
  <c r="D39"/>
  <c r="C39"/>
  <c r="Q39"/>
  <c r="H40"/>
  <c r="B40"/>
  <c r="P39"/>
  <c r="O39"/>
  <c r="N39"/>
  <c r="M39"/>
  <c r="L39"/>
  <c r="K39"/>
  <c r="J39"/>
  <c r="I39"/>
  <c r="D39" i="23"/>
  <c r="C39"/>
  <c r="B39"/>
  <c r="Q39"/>
  <c r="P39"/>
  <c r="F40"/>
  <c r="O39"/>
  <c r="N39"/>
  <c r="M39"/>
  <c r="L39"/>
  <c r="K39"/>
  <c r="J39"/>
  <c r="I40"/>
  <c r="H39"/>
  <c r="G39"/>
  <c r="D39" i="22"/>
  <c r="C39"/>
  <c r="E39"/>
  <c r="B39"/>
  <c r="Q39"/>
  <c r="P39"/>
  <c r="O39"/>
  <c r="N39"/>
  <c r="M39"/>
  <c r="L39"/>
  <c r="K39"/>
  <c r="J39"/>
  <c r="I39"/>
  <c r="H39"/>
  <c r="G39"/>
  <c r="D39" i="21"/>
  <c r="F40"/>
  <c r="C39"/>
  <c r="B39"/>
  <c r="Q39"/>
  <c r="P39"/>
  <c r="O39"/>
  <c r="E40"/>
  <c r="N39"/>
  <c r="M39"/>
  <c r="L39"/>
  <c r="K39"/>
  <c r="J39"/>
  <c r="I39"/>
  <c r="H39"/>
  <c r="G39"/>
  <c r="E39" i="20"/>
  <c r="D39"/>
  <c r="F40"/>
  <c r="C39"/>
  <c r="B39"/>
  <c r="Q39"/>
  <c r="P39"/>
  <c r="O39"/>
  <c r="N39"/>
  <c r="M39"/>
  <c r="L39"/>
  <c r="K39"/>
  <c r="J39"/>
  <c r="I39"/>
  <c r="H39"/>
  <c r="G39"/>
  <c r="E40" i="19"/>
  <c r="C39"/>
  <c r="B39"/>
  <c r="Q39"/>
  <c r="P39"/>
  <c r="O39"/>
  <c r="N39"/>
  <c r="D39"/>
  <c r="M39"/>
  <c r="L39"/>
  <c r="K39"/>
  <c r="J39"/>
  <c r="I39"/>
  <c r="H39"/>
  <c r="G39"/>
  <c r="F39"/>
  <c r="E39" i="18"/>
  <c r="D39"/>
  <c r="C39"/>
  <c r="B39"/>
  <c r="Q39"/>
  <c r="P39"/>
  <c r="O39"/>
  <c r="N39"/>
  <c r="M39"/>
  <c r="L39"/>
  <c r="K39"/>
  <c r="J39"/>
  <c r="I39"/>
  <c r="H39"/>
  <c r="G39"/>
  <c r="C40" i="17"/>
  <c r="B39"/>
  <c r="Q39"/>
  <c r="P39"/>
  <c r="O39"/>
  <c r="N39"/>
  <c r="E39"/>
  <c r="M39"/>
  <c r="L39"/>
  <c r="K39"/>
  <c r="J39"/>
  <c r="I39"/>
  <c r="H39"/>
  <c r="G39"/>
  <c r="F39"/>
  <c r="Q39" i="16"/>
  <c r="P39"/>
  <c r="O39"/>
  <c r="N39"/>
  <c r="M39"/>
  <c r="L39"/>
  <c r="K39"/>
  <c r="J39"/>
  <c r="I39"/>
  <c r="H39"/>
  <c r="G39"/>
  <c r="F39"/>
  <c r="E39"/>
  <c r="D39"/>
  <c r="C39"/>
  <c r="B39"/>
  <c r="K39" i="15"/>
  <c r="I39"/>
  <c r="H39"/>
  <c r="G39"/>
  <c r="M40"/>
  <c r="F39"/>
  <c r="E39"/>
  <c r="D39"/>
  <c r="C39"/>
  <c r="B39"/>
  <c r="Q39"/>
  <c r="P39"/>
  <c r="O39"/>
  <c r="N39"/>
  <c r="K39" i="14"/>
  <c r="J39"/>
  <c r="I39"/>
  <c r="H39"/>
  <c r="G40"/>
  <c r="F39"/>
  <c r="E39"/>
  <c r="D39"/>
  <c r="C39"/>
  <c r="B39"/>
  <c r="P39"/>
  <c r="O39"/>
  <c r="N39"/>
  <c r="M39"/>
  <c r="L39"/>
  <c r="I40" i="13"/>
  <c r="H39"/>
  <c r="G39"/>
  <c r="F39"/>
  <c r="E39"/>
  <c r="D39"/>
  <c r="C39"/>
  <c r="B39"/>
  <c r="K39"/>
  <c r="Q39"/>
  <c r="P39"/>
  <c r="J39"/>
  <c r="O39"/>
  <c r="N39"/>
  <c r="M39"/>
  <c r="L39"/>
  <c r="K39" i="12"/>
  <c r="J39"/>
  <c r="I39"/>
  <c r="H39"/>
  <c r="G39"/>
  <c r="F39"/>
  <c r="E39"/>
  <c r="D39"/>
  <c r="C39"/>
  <c r="B39"/>
  <c r="Q39"/>
  <c r="P39"/>
  <c r="O39"/>
  <c r="N39"/>
  <c r="M39"/>
  <c r="L39"/>
  <c r="I40" i="11"/>
  <c r="H39"/>
  <c r="G39"/>
  <c r="F39"/>
  <c r="E39"/>
  <c r="D39"/>
  <c r="C39"/>
  <c r="B39"/>
  <c r="Q39"/>
  <c r="P39"/>
  <c r="O39"/>
  <c r="N39"/>
  <c r="M40"/>
  <c r="L39"/>
  <c r="K39"/>
  <c r="J39"/>
  <c r="J39" i="10"/>
  <c r="H39"/>
  <c r="G39"/>
  <c r="F39"/>
  <c r="I39"/>
  <c r="E39"/>
  <c r="D39"/>
  <c r="C39"/>
  <c r="B39"/>
  <c r="Q39"/>
  <c r="P39"/>
  <c r="O39"/>
  <c r="N39"/>
  <c r="M39"/>
  <c r="L39"/>
  <c r="K39"/>
  <c r="I39" i="9"/>
  <c r="H39"/>
  <c r="G39"/>
  <c r="F39"/>
  <c r="E39"/>
  <c r="D39"/>
  <c r="K40"/>
  <c r="J39"/>
  <c r="C39"/>
  <c r="B39"/>
  <c r="Q39"/>
  <c r="L40"/>
  <c r="P39"/>
  <c r="O39"/>
  <c r="N39"/>
  <c r="M39"/>
  <c r="L40" i="8"/>
  <c r="K39"/>
  <c r="M47" i="39"/>
  <c r="J39" i="8"/>
  <c r="I39"/>
  <c r="H39"/>
  <c r="G39"/>
  <c r="F39"/>
  <c r="E39"/>
  <c r="D39"/>
  <c r="C39"/>
  <c r="B39"/>
  <c r="Q39"/>
  <c r="P39"/>
  <c r="O39"/>
  <c r="N39"/>
  <c r="M39"/>
  <c r="K47" i="39"/>
  <c r="J39" i="3"/>
  <c r="K40"/>
  <c r="I39"/>
  <c r="I47" i="39"/>
  <c r="H39" i="3"/>
  <c r="H46" i="39"/>
  <c r="G39" i="3"/>
  <c r="G46" i="39"/>
  <c r="F39" i="3"/>
  <c r="F46" i="39"/>
  <c r="E39" i="3"/>
  <c r="D39"/>
  <c r="J46" i="39"/>
  <c r="E47"/>
  <c r="D46"/>
  <c r="C39" i="3"/>
  <c r="L39"/>
  <c r="C46" i="39"/>
  <c r="B39" i="3"/>
  <c r="Q39"/>
  <c r="L46" i="39"/>
  <c r="B46"/>
  <c r="Q47"/>
  <c r="P39" i="3"/>
  <c r="P46" i="39"/>
  <c r="O39" i="3"/>
  <c r="O46" i="39"/>
  <c r="N39" i="3"/>
  <c r="N47" i="39"/>
  <c r="M39" i="3"/>
  <c r="M39" i="2"/>
  <c r="O40"/>
  <c r="N40"/>
  <c r="L40"/>
  <c r="K39"/>
  <c r="J39"/>
  <c r="I39"/>
  <c r="H39"/>
  <c r="G40"/>
  <c r="F39"/>
  <c r="E39"/>
  <c r="D39"/>
  <c r="C39"/>
  <c r="B39"/>
  <c r="Q39"/>
  <c r="P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G47" l="1"/>
  <c r="N46"/>
  <c r="J47"/>
  <c r="P47"/>
  <c r="O47"/>
  <c r="L47"/>
  <c r="M46"/>
  <c r="Q46"/>
  <c r="I46"/>
  <c r="H47"/>
  <c r="F47"/>
  <c r="B47"/>
  <c r="E46"/>
  <c r="D47"/>
  <c r="C47"/>
  <c r="K46"/>
</calcChain>
</file>

<file path=xl/sharedStrings.xml><?xml version="1.0" encoding="utf-8"?>
<sst xmlns="http://schemas.openxmlformats.org/spreadsheetml/2006/main" count="2469" uniqueCount="415">
  <si>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</si>
  <si>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</si>
  <si>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</si>
  <si>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</si>
  <si>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</si>
  <si>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</si>
  <si>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</si>
  <si>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</si>
  <si>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</si>
  <si>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</si>
  <si>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</si>
  <si>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</si>
  <si>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</si>
  <si>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</si>
  <si>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</si>
  <si>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</si>
  <si>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</si>
  <si>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</si>
  <si>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</si>
  <si>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</si>
  <si>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</si>
  <si>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</si>
  <si>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</si>
  <si>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</si>
  <si>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</si>
  <si>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</si>
  <si>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</si>
  <si>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</si>
  <si>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</si>
  <si>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</si>
  <si>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</si>
  <si>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</si>
  <si>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</si>
  <si>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</si>
  <si>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</si>
  <si>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</si>
  <si>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</si>
  <si>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</si>
  <si>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</si>
  <si>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</si>
  <si>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</si>
  <si>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</si>
  <si>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</si>
  <si>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</si>
  <si>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</si>
  <si>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</si>
  <si>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</si>
  <si>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</si>
  <si>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</si>
  <si>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</si>
  <si>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</si>
  <si>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</si>
  <si>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</si>
  <si>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</si>
  <si>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</si>
  <si>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</si>
  <si>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</si>
  <si>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</si>
  <si>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</si>
  <si>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</si>
  <si>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01/01/2024 01:00</t>
  </si>
  <si>
    <t>01/01/2024 02:00</t>
  </si>
  <si>
    <t>01/01/2024 03:00</t>
  </si>
  <si>
    <t>01/01/2024 04:00</t>
  </si>
  <si>
    <t>01/01/2024 05:00</t>
  </si>
  <si>
    <t>01/01/2024 06:00</t>
  </si>
  <si>
    <t>01/01/2024 07:00</t>
  </si>
  <si>
    <t>01/01/2024 08:00</t>
  </si>
  <si>
    <t>01/01/2024 09:00</t>
  </si>
  <si>
    <t>01/01/2024 10:00</t>
  </si>
  <si>
    <t>01/01/2024 11:00</t>
  </si>
  <si>
    <t>01/01/2024 12:00</t>
  </si>
  <si>
    <t>01/01/2024 13:00</t>
  </si>
  <si>
    <t>01/01/2024 14:00</t>
  </si>
  <si>
    <t>01/01/2024 15:00</t>
  </si>
  <si>
    <t>01/01/2024 16:00</t>
  </si>
  <si>
    <t>01/01/2024 17:00</t>
  </si>
  <si>
    <t>01/01/2024 18:00</t>
  </si>
  <si>
    <t>01/01/2024 19:00</t>
  </si>
  <si>
    <t>01/01/2024 20:00</t>
  </si>
  <si>
    <t>01/01/2024 21:00</t>
  </si>
  <si>
    <t>01/01/2024 22:00</t>
  </si>
  <si>
    <t>01/01/2024 23:00</t>
  </si>
  <si>
    <t>01/01/2024 24:00</t>
  </si>
  <si>
    <t>02/01/2024 01:00</t>
  </si>
  <si>
    <t>02/01/2024 02:00</t>
  </si>
  <si>
    <t>02/01/2024 03:00</t>
  </si>
  <si>
    <t>02/01/2024 04:00</t>
  </si>
  <si>
    <t>02/01/2024 05:00</t>
  </si>
  <si>
    <t>02/01/2024 06:00</t>
  </si>
  <si>
    <t>02/01/2024 07:00</t>
  </si>
  <si>
    <t>02/01/2024 08:00</t>
  </si>
  <si>
    <t>02/01/2024 09:00</t>
  </si>
  <si>
    <t>02/01/2024 10:00</t>
  </si>
  <si>
    <t>02/01/2024 11:00</t>
  </si>
  <si>
    <t>02/01/2024 12:00</t>
  </si>
  <si>
    <t>02/01/2024 13:00</t>
  </si>
  <si>
    <t>02/01/2024 14:00</t>
  </si>
  <si>
    <t>02/01/2024 15:00</t>
  </si>
  <si>
    <t>02/01/2024 16:00</t>
  </si>
  <si>
    <t>02/01/2024 17:00</t>
  </si>
  <si>
    <t>02/01/2024 18:00</t>
  </si>
  <si>
    <t>02/01/2024 19:00</t>
  </si>
  <si>
    <t>02/01/2024 20:00</t>
  </si>
  <si>
    <t>02/01/2024 21:00</t>
  </si>
  <si>
    <t>02/01/2024 22:00</t>
  </si>
  <si>
    <t>02/01/2024 23:00</t>
  </si>
  <si>
    <t>02/01/2024 24:00</t>
  </si>
  <si>
    <t>03/01/2024 01:00</t>
  </si>
  <si>
    <t>03/01/2024 02:00</t>
  </si>
  <si>
    <t>03/01/2024 03:00</t>
  </si>
  <si>
    <t>03/01/2024 04:00</t>
  </si>
  <si>
    <t>03/01/2024 05:00</t>
  </si>
  <si>
    <t>03/01/2024 06:00</t>
  </si>
  <si>
    <t>03/01/2024 07:00</t>
  </si>
  <si>
    <t>03/01/2024 08:00</t>
  </si>
  <si>
    <t>03/01/2024 09:00</t>
  </si>
  <si>
    <t>03/01/2024 10:00</t>
  </si>
  <si>
    <t>03/01/2024 11:00</t>
  </si>
  <si>
    <t>03/01/2024 12:00</t>
  </si>
  <si>
    <t>03/01/2024 13:00</t>
  </si>
  <si>
    <t>03/01/2024 14:00</t>
  </si>
  <si>
    <t>03/01/2024 15:00</t>
  </si>
  <si>
    <t>03/01/2024 16:00</t>
  </si>
  <si>
    <t>03/01/2024 17:00</t>
  </si>
  <si>
    <t>03/01/2024 18:00</t>
  </si>
  <si>
    <t>03/01/2024 19:00</t>
  </si>
  <si>
    <t>03/01/2024 20:00</t>
  </si>
  <si>
    <t>03/01/2024 21:00</t>
  </si>
  <si>
    <t>03/01/2024 22:00</t>
  </si>
  <si>
    <t>03/01/2024 23:00</t>
  </si>
  <si>
    <t>03/01/2024 24:00</t>
  </si>
  <si>
    <t>04/01/2024 01:00</t>
  </si>
  <si>
    <t>04/01/2024 02:00</t>
  </si>
  <si>
    <t>04/01/2024 03:00</t>
  </si>
  <si>
    <t>04/01/2024 04:00</t>
  </si>
  <si>
    <t>04/01/2024 05:00</t>
  </si>
  <si>
    <t>04/01/2024 06:00</t>
  </si>
  <si>
    <t>04/01/2024 07:00</t>
  </si>
  <si>
    <t>04/01/2024 08:00</t>
  </si>
  <si>
    <t>04/01/2024 09:00</t>
  </si>
  <si>
    <t>04/01/2024 10:00</t>
  </si>
  <si>
    <t>04/01/2024 11:00</t>
  </si>
  <si>
    <t>04/01/2024 12:00</t>
  </si>
  <si>
    <t>04/01/2024 13:00</t>
  </si>
  <si>
    <t>04/01/2024 14:00</t>
  </si>
  <si>
    <t>04/01/2024 15:00</t>
  </si>
  <si>
    <t>04/01/2024 16:00</t>
  </si>
  <si>
    <t>04/01/2024 17:00</t>
  </si>
  <si>
    <t>04/01/2024 18:00</t>
  </si>
  <si>
    <t>04/01/2024 19:00</t>
  </si>
  <si>
    <t>04/01/2024 20:00</t>
  </si>
  <si>
    <t>04/01/2024 21:00</t>
  </si>
  <si>
    <t>04/01/2024 22:00</t>
  </si>
  <si>
    <t>04/01/2024 23:00</t>
  </si>
  <si>
    <t>04/01/2024 24:00</t>
  </si>
  <si>
    <t>05/01/2024 01:00</t>
  </si>
  <si>
    <t>05/01/2024 02:00</t>
  </si>
  <si>
    <t>05/01/2024 03:00</t>
  </si>
  <si>
    <t>05/01/2024 04:00</t>
  </si>
  <si>
    <t>05/01/2024 05:00</t>
  </si>
  <si>
    <t>05/01/2024 06:00</t>
  </si>
  <si>
    <t>05/01/2024 07:00</t>
  </si>
  <si>
    <t>05/01/2024 08:00</t>
  </si>
  <si>
    <t>05/01/2024 09:00</t>
  </si>
  <si>
    <t>05/01/2024 10:00</t>
  </si>
  <si>
    <t>05/01/2024 11:00</t>
  </si>
  <si>
    <t>05/01/2024 12:00</t>
  </si>
  <si>
    <t>05/01/2024 13:00</t>
  </si>
  <si>
    <t>05/01/2024 14:00</t>
  </si>
  <si>
    <t>05/01/2024 15:00</t>
  </si>
  <si>
    <t>05/01/2024 16:00</t>
  </si>
  <si>
    <t>05/01/2024 17:00</t>
  </si>
  <si>
    <t>05/01/2024 18:00</t>
  </si>
  <si>
    <t>05/01/2024 19:00</t>
  </si>
  <si>
    <t>05/01/2024 20:00</t>
  </si>
  <si>
    <t>05/01/2024 21:00</t>
  </si>
  <si>
    <t>05/01/2024 22:00</t>
  </si>
  <si>
    <t>05/01/2024 23:00</t>
  </si>
  <si>
    <t>05/01/2024 24:00</t>
  </si>
  <si>
    <t>06/01/2024 01:00</t>
  </si>
  <si>
    <t>06/01/2024 02:00</t>
  </si>
  <si>
    <t>06/01/2024 03:00</t>
  </si>
  <si>
    <t>06/01/2024 04:00</t>
  </si>
  <si>
    <t>06/01/2024 05:00</t>
  </si>
  <si>
    <t>06/01/2024 06:00</t>
  </si>
  <si>
    <t>06/01/2024 07:00</t>
  </si>
  <si>
    <t>06/01/2024 08:00</t>
  </si>
  <si>
    <t>06/01/2024 09:00</t>
  </si>
  <si>
    <t>06/01/2024 10:00</t>
  </si>
  <si>
    <t>06/01/2024 11:00</t>
  </si>
  <si>
    <t>06/01/2024 12:00</t>
  </si>
  <si>
    <t>06/01/2024 13:00</t>
  </si>
  <si>
    <t>06/01/2024 14:00</t>
  </si>
  <si>
    <t>06/01/2024 15:00</t>
  </si>
  <si>
    <t>06/01/2024 16:00</t>
  </si>
  <si>
    <t>06/01/2024 17:00</t>
  </si>
  <si>
    <t>06/01/2024 18:00</t>
  </si>
  <si>
    <t>06/01/2024 19:00</t>
  </si>
  <si>
    <t>06/01/2024 20:00</t>
  </si>
  <si>
    <t>06/01/2024 21:00</t>
  </si>
  <si>
    <t>06/01/2024 22:00</t>
  </si>
  <si>
    <t>06/01/2024 23:00</t>
  </si>
  <si>
    <t>06/01/2024 24:00</t>
  </si>
  <si>
    <t>07/01/2024 01:00</t>
  </si>
  <si>
    <t>07/01/2024 02:00</t>
  </si>
  <si>
    <t>07/01/2024 03:00</t>
  </si>
  <si>
    <t>07/01/2024 04:00</t>
  </si>
  <si>
    <t>07/01/2024 05:00</t>
  </si>
  <si>
    <t>07/01/2024 06:00</t>
  </si>
  <si>
    <t>07/01/2024 07:00</t>
  </si>
  <si>
    <t>07/01/2024 08:00</t>
  </si>
  <si>
    <t>07/01/2024 09:00</t>
  </si>
  <si>
    <t>07/01/2024 10:00</t>
  </si>
  <si>
    <t>07/01/2024 11:00</t>
  </si>
  <si>
    <t>07/01/2024 12:00</t>
  </si>
  <si>
    <t>07/01/2024 13:00</t>
  </si>
  <si>
    <t>07/01/2024 14:00</t>
  </si>
  <si>
    <t>07/01/2024 15:00</t>
  </si>
  <si>
    <t>07/01/2024 16:00</t>
  </si>
  <si>
    <t>07/01/2024 17:00</t>
  </si>
  <si>
    <t>07/01/2024 18:00</t>
  </si>
  <si>
    <t>07/01/2024 19:00</t>
  </si>
  <si>
    <t>07/01/2024 20:00</t>
  </si>
  <si>
    <t>07/01/2024 21:00</t>
  </si>
  <si>
    <t>07/01/2024 22:00</t>
  </si>
  <si>
    <t>07/01/2024 23:00</t>
  </si>
  <si>
    <t>07/01/2024 24:00</t>
  </si>
  <si>
    <t>08/01/2024 01:00</t>
  </si>
  <si>
    <t>08/01/2024 02:00</t>
  </si>
  <si>
    <t>08/01/2024 03:00</t>
  </si>
  <si>
    <t>08/01/2024 04:00</t>
  </si>
  <si>
    <t>08/01/2024 05:00</t>
  </si>
  <si>
    <t>08/01/2024 06:00</t>
  </si>
  <si>
    <t>08/01/2024 07:00</t>
  </si>
  <si>
    <t>08/01/2024 08:00</t>
  </si>
  <si>
    <t>08/01/2024 09:00</t>
  </si>
  <si>
    <t>08/01/2024 10:00</t>
  </si>
  <si>
    <t>08/01/2024 11:00</t>
  </si>
  <si>
    <t>08/01/2024 12:00</t>
  </si>
  <si>
    <t>08/01/2024 13:00</t>
  </si>
  <si>
    <t>08/01/2024 14:00</t>
  </si>
  <si>
    <t>08/01/2024 15:00</t>
  </si>
  <si>
    <t>08/01/2024 16:00</t>
  </si>
  <si>
    <t>08/01/2024 17:00</t>
  </si>
  <si>
    <t>08/01/2024 18:00</t>
  </si>
  <si>
    <t>08/01/2024 19:00</t>
  </si>
  <si>
    <t>08/01/2024 20:00</t>
  </si>
  <si>
    <t>08/01/2024 21:00</t>
  </si>
  <si>
    <t>08/01/2024 22:00</t>
  </si>
  <si>
    <t>08/01/2024 23:00</t>
  </si>
  <si>
    <t>08/01/2024 24:00</t>
  </si>
  <si>
    <t>09/01/2024 01:00</t>
  </si>
  <si>
    <t>09/01/2024 02:00</t>
  </si>
  <si>
    <t>09/01/2024 03:00</t>
  </si>
  <si>
    <t>09/01/2024 04:00</t>
  </si>
  <si>
    <t>09/01/2024 05:00</t>
  </si>
  <si>
    <t>09/01/2024 06:00</t>
  </si>
  <si>
    <t>09/01/2024 07:00</t>
  </si>
  <si>
    <t>09/01/2024 08:00</t>
  </si>
  <si>
    <t>09/01/2024 09:00</t>
  </si>
  <si>
    <t>09/01/2024 10:00</t>
  </si>
  <si>
    <t>09/01/2024 11:00</t>
  </si>
  <si>
    <t>09/01/2024 12:00</t>
  </si>
  <si>
    <t>09/01/2024 13:00</t>
  </si>
  <si>
    <t>09/01/2024 14:00</t>
  </si>
  <si>
    <t>09/01/2024 15:00</t>
  </si>
  <si>
    <t>09/01/2024 16:00</t>
  </si>
  <si>
    <t>09/01/2024 17:00</t>
  </si>
  <si>
    <t>09/01/2024 18:00</t>
  </si>
  <si>
    <t>09/01/2024 19:00</t>
  </si>
  <si>
    <t>09/01/2024 20:00</t>
  </si>
  <si>
    <t>09/01/2024 21:00</t>
  </si>
  <si>
    <t>09/01/2024 22:00</t>
  </si>
  <si>
    <t>09/01/2024 23:00</t>
  </si>
  <si>
    <t>09/01/2024 24:00</t>
  </si>
  <si>
    <t>10/01/2024 01:00</t>
  </si>
  <si>
    <t>10/01/2024 02:00</t>
  </si>
  <si>
    <t>10/01/2024 03:00</t>
  </si>
  <si>
    <t>10/01/2024 04:00</t>
  </si>
  <si>
    <t>10/01/2024 05:00</t>
  </si>
  <si>
    <t>10/01/2024 06:00</t>
  </si>
  <si>
    <t>10/01/2024 07:00</t>
  </si>
  <si>
    <t>10/01/2024 08:00</t>
  </si>
  <si>
    <t>10/01/2024 09:00</t>
  </si>
  <si>
    <t>10/01/2024 10:00</t>
  </si>
  <si>
    <t>10/01/2024 11:00</t>
  </si>
  <si>
    <t>10/01/2024 12:00</t>
  </si>
  <si>
    <t>10/01/2024 13:00</t>
  </si>
  <si>
    <t>10/01/2024 14:00</t>
  </si>
  <si>
    <t>10/01/2024 15:00</t>
  </si>
  <si>
    <t>10/01/2024 16:00</t>
  </si>
  <si>
    <t>10/01/2024 17:00</t>
  </si>
  <si>
    <t>10/01/2024 18:00</t>
  </si>
  <si>
    <t>10/01/2024 19:00</t>
  </si>
  <si>
    <t>10/01/2024 20:00</t>
  </si>
  <si>
    <t>10/01/2024 21:00</t>
  </si>
  <si>
    <t>10/01/2024 22:00</t>
  </si>
  <si>
    <t>10/01/2024 23:00</t>
  </si>
  <si>
    <t>10/01/2024 24:00</t>
  </si>
  <si>
    <t>14/01/2024 01:00</t>
  </si>
  <si>
    <t>14/01/2024 02:00</t>
  </si>
  <si>
    <t>14/01/2024 03:00</t>
  </si>
  <si>
    <t>14/01/2024 04:00</t>
  </si>
  <si>
    <t>14/01/2024 05:00</t>
  </si>
  <si>
    <t>14/01/2024 06:00</t>
  </si>
  <si>
    <t>14/01/2024 07:00</t>
  </si>
  <si>
    <t>14/01/2024 08:00</t>
  </si>
  <si>
    <t>14/01/2024 09:00</t>
  </si>
  <si>
    <t>14/01/2024 10:00</t>
  </si>
  <si>
    <t>14/01/2024 11:00</t>
  </si>
  <si>
    <t>14/01/2024 12:00</t>
  </si>
  <si>
    <t>14/01/2024 13:00</t>
  </si>
  <si>
    <t>14/01/2024 14:00</t>
  </si>
  <si>
    <t>14/01/2024 15:00</t>
  </si>
  <si>
    <t>14/01/2024 16:00</t>
  </si>
  <si>
    <t>14/01/2024 17:00</t>
  </si>
  <si>
    <t>14/01/2024 18:00</t>
  </si>
  <si>
    <t>14/01/2024 19:00</t>
  </si>
  <si>
    <t>14/01/2024 20:00</t>
  </si>
  <si>
    <t>14/01/2024 21:00</t>
  </si>
  <si>
    <t>14/01/2024 22:00</t>
  </si>
  <si>
    <t>14/01/2024 23:00</t>
  </si>
  <si>
    <t>11/01/2024 01:00</t>
  </si>
  <si>
    <t>11/01/2024 02:00</t>
  </si>
  <si>
    <t>11/01/2024 03:00</t>
  </si>
  <si>
    <t>11/01/2024 04:00</t>
  </si>
  <si>
    <t>11/01/2024 05:00</t>
  </si>
  <si>
    <t>11/01/2024 06:00</t>
  </si>
  <si>
    <t>11/01/2024 07:00</t>
  </si>
  <si>
    <t>11/01/2024 08:00</t>
  </si>
  <si>
    <t>11/01/2024 09:00</t>
  </si>
  <si>
    <t>11/01/2024 10:00</t>
  </si>
  <si>
    <t>11/01/2024 11:00</t>
  </si>
  <si>
    <t>11/01/2024 12:00</t>
  </si>
  <si>
    <t>11/01/2024 13:00</t>
  </si>
  <si>
    <t>11/01/2024 14:00</t>
  </si>
  <si>
    <t>11/01/2024 15:00</t>
  </si>
  <si>
    <t>11/01/2024 16:00</t>
  </si>
  <si>
    <t>11/01/2024 17:00</t>
  </si>
  <si>
    <t>11/01/2024 18:00</t>
  </si>
  <si>
    <t>11/01/2024 19:00</t>
  </si>
  <si>
    <t>11/01/2024 20:00</t>
  </si>
  <si>
    <t>11/01/2024 21:00</t>
  </si>
  <si>
    <t>11/01/2024 22:00</t>
  </si>
  <si>
    <t>11/01/2024 23:00</t>
  </si>
  <si>
    <t>12/01/2024 01:00</t>
  </si>
  <si>
    <t>12/01/2024 02:00</t>
  </si>
  <si>
    <t>12/01/2024 03:00</t>
  </si>
  <si>
    <t>12/01/2024 04:00</t>
  </si>
  <si>
    <t>12/01/2024 05:00</t>
  </si>
  <si>
    <t>12/01/2024 06:00</t>
  </si>
  <si>
    <t>12/01/2024 07:00</t>
  </si>
  <si>
    <t>12/01/2024 08:00</t>
  </si>
  <si>
    <t>12/01/2024 09:00</t>
  </si>
  <si>
    <t>12/01/2024 10:00</t>
  </si>
  <si>
    <t>12/01/2024 11:00</t>
  </si>
  <si>
    <t>12/01/2024 12:00</t>
  </si>
  <si>
    <t>12/01/2024 13:00</t>
  </si>
  <si>
    <t>12/01/2024 14:00</t>
  </si>
  <si>
    <t>12/01/2024 15:00</t>
  </si>
  <si>
    <t>12/01/2024 16:00</t>
  </si>
  <si>
    <t>12/01/2024 17:00</t>
  </si>
  <si>
    <t>12/01/2024 18:00</t>
  </si>
  <si>
    <t>12/01/2024 19:00</t>
  </si>
  <si>
    <t>12/01/2024 20:00</t>
  </si>
  <si>
    <t>12/01/2024 21:00</t>
  </si>
  <si>
    <t>12/01/2024 22:00</t>
  </si>
  <si>
    <t>12/01/2024 23:00</t>
  </si>
  <si>
    <t>13/01/2024 01:00</t>
  </si>
  <si>
    <t>13/01/2024 02:00</t>
  </si>
  <si>
    <t>13/01/2024 03:00</t>
  </si>
  <si>
    <t>13/01/2024 04:00</t>
  </si>
  <si>
    <t>13/01/2024 05:00</t>
  </si>
  <si>
    <t>13/01/2024 06:00</t>
  </si>
  <si>
    <t>13/01/2024 07:00</t>
  </si>
  <si>
    <t>13/01/2024 08:00</t>
  </si>
  <si>
    <t>13/01/2024 09:00</t>
  </si>
  <si>
    <t>13/01/2024 10:00</t>
  </si>
  <si>
    <t>13/01/2024 11:00</t>
  </si>
  <si>
    <t>13/01/2024 12:00</t>
  </si>
  <si>
    <t>13/01/2024 13:00</t>
  </si>
  <si>
    <t>13/01/2024 14:00</t>
  </si>
  <si>
    <t>13/01/2024 15:00</t>
  </si>
  <si>
    <t>13/01/2024 16:00</t>
  </si>
  <si>
    <t>13/01/2024 17:00</t>
  </si>
  <si>
    <t>13/01/2024 18:00</t>
  </si>
  <si>
    <t>13/01/2024 19:00</t>
  </si>
  <si>
    <t>13/01/2024 20:00</t>
  </si>
  <si>
    <t>13/01/2024 21:00</t>
  </si>
  <si>
    <t>13/01/2024 22:00</t>
  </si>
  <si>
    <t>13/01/2024 23:00</t>
  </si>
  <si>
    <t>15/01/2024 01:00</t>
  </si>
  <si>
    <t>15/01/2024 02:00</t>
  </si>
  <si>
    <t>15/01/2024 03:00</t>
  </si>
  <si>
    <t>15/01/2024 04:00</t>
  </si>
  <si>
    <t>15/01/2024 05:00</t>
  </si>
  <si>
    <t>15/01/2024 06:00</t>
  </si>
  <si>
    <t>15/01/2024 07:00</t>
  </si>
  <si>
    <t>15/01/2024 08:00</t>
  </si>
  <si>
    <t>15/01/2024 09:00</t>
  </si>
  <si>
    <t>15/01/2024 10:00</t>
  </si>
  <si>
    <t>15/01/2024 11:00</t>
  </si>
  <si>
    <t>15/01/2024 12:00</t>
  </si>
  <si>
    <t>15/01/2024 13:00</t>
  </si>
  <si>
    <t>15/01/2024 14:00</t>
  </si>
  <si>
    <t>15/01/2024 15:00</t>
  </si>
  <si>
    <t>15/01/2024 16:00</t>
  </si>
  <si>
    <t>15/01/2024 17:00</t>
  </si>
  <si>
    <t>15/01/2024 18:00</t>
  </si>
  <si>
    <t>15/01/2024 19:00</t>
  </si>
  <si>
    <t>15/01/2024 20:00</t>
  </si>
  <si>
    <t>15/01/2024 21:00</t>
  </si>
  <si>
    <t>15/01/2024 22:00</t>
  </si>
  <si>
    <t>15/01/2024 23:00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</si>
</sst>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60</v>
      </c>
      <c r="B9" s="51">
        <v>16.41</v>
      </c>
      <c r="C9" s="51">
        <v>30.55</v>
      </c>
      <c r="D9" s="51">
        <v>30.47</v>
      </c>
      <c r="E9" s="51">
        <v>6.35</v>
      </c>
      <c r="F9" s="51">
        <v>2.6</v>
      </c>
      <c r="G9" s="51">
        <v>146.82</v>
      </c>
      <c r="H9" s="51">
        <v>72.84</v>
      </c>
      <c r="I9" s="51">
        <v>10.61</v>
      </c>
      <c r="J9" s="51">
        <v>0.15</v>
      </c>
      <c r="K9" s="51">
        <v>228.02</v>
      </c>
      <c r="L9" s="51">
        <v>17.149999999999999</v>
      </c>
      <c r="M9" s="51">
        <v>91.13</v>
      </c>
      <c r="N9" s="51">
        <v>0</v>
      </c>
      <c r="O9" s="51">
        <v>0</v>
      </c>
      <c r="P9" s="51">
        <v>1.19</v>
      </c>
      <c r="Q9" s="51">
        <v>5.03</v>
      </c>
    </row>
    <row r="10" spans="1:21" customFormat="1">
      <c r="A10" s="50" t="s">
        <v>61</v>
      </c>
      <c r="B10" s="51">
        <v>15.98</v>
      </c>
      <c r="C10" s="51">
        <v>30.02</v>
      </c>
      <c r="D10" s="51">
        <v>29.85</v>
      </c>
      <c r="E10" s="51">
        <v>6.68</v>
      </c>
      <c r="F10" s="51">
        <v>2.7</v>
      </c>
      <c r="G10" s="51">
        <v>136.88999999999999</v>
      </c>
      <c r="H10" s="51">
        <v>72.84</v>
      </c>
      <c r="I10" s="51">
        <v>10.57</v>
      </c>
      <c r="J10" s="51">
        <v>0.13</v>
      </c>
      <c r="K10" s="51">
        <v>165.74</v>
      </c>
      <c r="L10" s="51">
        <v>16.87</v>
      </c>
      <c r="M10" s="51">
        <v>92.18</v>
      </c>
      <c r="N10" s="51">
        <v>0</v>
      </c>
      <c r="O10" s="51">
        <v>0</v>
      </c>
      <c r="P10" s="51">
        <v>1.19</v>
      </c>
      <c r="Q10" s="51">
        <v>4.97</v>
      </c>
    </row>
    <row r="11" spans="1:21" customFormat="1">
      <c r="A11" s="50" t="s">
        <v>62</v>
      </c>
      <c r="B11" s="51">
        <v>22.05</v>
      </c>
      <c r="C11" s="51">
        <v>32.270000000000003</v>
      </c>
      <c r="D11" s="51">
        <v>34.29</v>
      </c>
      <c r="E11" s="51">
        <v>7.2</v>
      </c>
      <c r="F11" s="51">
        <v>2.92</v>
      </c>
      <c r="G11" s="51">
        <v>150.94999999999999</v>
      </c>
      <c r="H11" s="51">
        <v>75.64</v>
      </c>
      <c r="I11" s="51">
        <v>10.99</v>
      </c>
      <c r="J11" s="51">
        <v>0.24</v>
      </c>
      <c r="K11" s="51">
        <v>73.77</v>
      </c>
      <c r="L11" s="51">
        <v>16.66</v>
      </c>
      <c r="M11" s="51">
        <v>92.16</v>
      </c>
      <c r="N11" s="51">
        <v>0</v>
      </c>
      <c r="O11" s="51">
        <v>0</v>
      </c>
      <c r="P11" s="51">
        <v>1.22</v>
      </c>
      <c r="Q11" s="51">
        <v>5.03</v>
      </c>
    </row>
    <row r="12" spans="1:21" customFormat="1">
      <c r="A12" s="50" t="s">
        <v>63</v>
      </c>
      <c r="B12" s="51">
        <v>22.04</v>
      </c>
      <c r="C12" s="51">
        <v>29.1</v>
      </c>
      <c r="D12" s="51">
        <v>34.21</v>
      </c>
      <c r="E12" s="51">
        <v>6.9</v>
      </c>
      <c r="F12" s="51">
        <v>2.63</v>
      </c>
      <c r="G12" s="51">
        <v>153.33000000000001</v>
      </c>
      <c r="H12" s="51">
        <v>76.05</v>
      </c>
      <c r="I12" s="51">
        <v>11.21</v>
      </c>
      <c r="J12" s="51">
        <v>0.2</v>
      </c>
      <c r="K12" s="51">
        <v>115.66</v>
      </c>
      <c r="L12" s="51">
        <v>16.260000000000002</v>
      </c>
      <c r="M12" s="51">
        <v>95.02</v>
      </c>
      <c r="N12" s="51">
        <v>0</v>
      </c>
      <c r="O12" s="51">
        <v>0</v>
      </c>
      <c r="P12" s="51">
        <v>1.21</v>
      </c>
      <c r="Q12" s="51">
        <v>5.07</v>
      </c>
    </row>
    <row r="13" spans="1:21" customFormat="1">
      <c r="A13" s="50" t="s">
        <v>64</v>
      </c>
      <c r="B13" s="51">
        <v>22.29</v>
      </c>
      <c r="C13" s="51">
        <v>28.38</v>
      </c>
      <c r="D13" s="51">
        <v>33.869999999999997</v>
      </c>
      <c r="E13" s="51">
        <v>6.92</v>
      </c>
      <c r="F13" s="51">
        <v>2.59</v>
      </c>
      <c r="G13" s="51">
        <v>153.33000000000001</v>
      </c>
      <c r="H13" s="51">
        <v>77.03</v>
      </c>
      <c r="I13" s="51">
        <v>11.36</v>
      </c>
      <c r="J13" s="51">
        <v>0.13</v>
      </c>
      <c r="K13" s="51">
        <v>136.22999999999999</v>
      </c>
      <c r="L13" s="51">
        <v>15.91</v>
      </c>
      <c r="M13" s="51">
        <v>94.62</v>
      </c>
      <c r="N13" s="51">
        <v>0</v>
      </c>
      <c r="O13" s="51">
        <v>0</v>
      </c>
      <c r="P13" s="51">
        <v>1.18</v>
      </c>
      <c r="Q13" s="51">
        <v>5.0999999999999996</v>
      </c>
    </row>
    <row r="14" spans="1:21" customFormat="1">
      <c r="A14" s="50" t="s">
        <v>65</v>
      </c>
      <c r="B14" s="51">
        <v>20.48</v>
      </c>
      <c r="C14" s="51">
        <v>27.76</v>
      </c>
      <c r="D14" s="51">
        <v>32.06</v>
      </c>
      <c r="E14" s="51">
        <v>6.88</v>
      </c>
      <c r="F14" s="51">
        <v>2.68</v>
      </c>
      <c r="G14" s="51">
        <v>138.96</v>
      </c>
      <c r="H14" s="51">
        <v>77.03</v>
      </c>
      <c r="I14" s="51">
        <v>11.33</v>
      </c>
      <c r="J14" s="51">
        <v>0.09</v>
      </c>
      <c r="K14" s="51">
        <v>276.3</v>
      </c>
      <c r="L14" s="51">
        <v>15.75</v>
      </c>
      <c r="M14" s="51">
        <v>93.88</v>
      </c>
      <c r="N14" s="51">
        <v>0</v>
      </c>
      <c r="O14" s="51">
        <v>0</v>
      </c>
      <c r="P14" s="51">
        <v>1.1299999999999999</v>
      </c>
      <c r="Q14" s="51">
        <v>5.09</v>
      </c>
    </row>
    <row r="15" spans="1:21" customFormat="1">
      <c r="A15" s="50" t="s">
        <v>66</v>
      </c>
      <c r="B15" s="51">
        <v>18.3</v>
      </c>
      <c r="C15" s="51">
        <v>27.32</v>
      </c>
      <c r="D15" s="51">
        <v>30</v>
      </c>
      <c r="E15" s="51">
        <v>7.26</v>
      </c>
      <c r="F15" s="51">
        <v>2.68</v>
      </c>
      <c r="G15" s="51">
        <v>126</v>
      </c>
      <c r="H15" s="51">
        <v>73.63</v>
      </c>
      <c r="I15" s="51">
        <v>11</v>
      </c>
      <c r="J15" s="51">
        <v>0.18</v>
      </c>
      <c r="K15" s="51">
        <v>264.45</v>
      </c>
      <c r="L15" s="51">
        <v>15.17</v>
      </c>
      <c r="M15" s="51">
        <v>95.23</v>
      </c>
      <c r="N15" s="51">
        <v>2.2999999999999998</v>
      </c>
      <c r="O15" s="51">
        <v>0</v>
      </c>
      <c r="P15" s="51">
        <v>1.05</v>
      </c>
      <c r="Q15" s="51">
        <v>5.04</v>
      </c>
    </row>
    <row r="16" spans="1:21" customFormat="1">
      <c r="A16" s="50" t="s">
        <v>67</v>
      </c>
      <c r="B16" s="51">
        <v>16.399999999999999</v>
      </c>
      <c r="C16" s="51">
        <v>25.11</v>
      </c>
      <c r="D16" s="51">
        <v>27.62</v>
      </c>
      <c r="E16" s="51">
        <v>6.96</v>
      </c>
      <c r="F16" s="51">
        <v>2.71</v>
      </c>
      <c r="G16" s="51">
        <v>111.04</v>
      </c>
      <c r="H16" s="51">
        <v>67.010000000000005</v>
      </c>
      <c r="I16" s="51">
        <v>10.43</v>
      </c>
      <c r="J16" s="51">
        <v>0.15</v>
      </c>
      <c r="K16" s="51">
        <v>257.38</v>
      </c>
      <c r="L16" s="51">
        <v>16.57</v>
      </c>
      <c r="M16" s="51">
        <v>95.55</v>
      </c>
      <c r="N16" s="51">
        <v>48</v>
      </c>
      <c r="O16" s="51">
        <v>0</v>
      </c>
      <c r="P16" s="51">
        <v>1.01</v>
      </c>
      <c r="Q16" s="51">
        <v>5.0199999999999996</v>
      </c>
    </row>
    <row r="17" spans="1:17" customFormat="1">
      <c r="A17" s="50" t="s">
        <v>68</v>
      </c>
      <c r="B17" s="51">
        <v>14.51</v>
      </c>
      <c r="C17" s="51">
        <v>25.75</v>
      </c>
      <c r="D17" s="51">
        <v>26.03</v>
      </c>
      <c r="E17" s="51">
        <v>7.22</v>
      </c>
      <c r="F17" s="51">
        <v>2.8</v>
      </c>
      <c r="G17" s="51">
        <v>100.63</v>
      </c>
      <c r="H17" s="51">
        <v>61.46</v>
      </c>
      <c r="I17" s="51">
        <v>10.26</v>
      </c>
      <c r="J17" s="51">
        <v>0.4</v>
      </c>
      <c r="K17" s="51">
        <v>157.49</v>
      </c>
      <c r="L17" s="51">
        <v>19.68</v>
      </c>
      <c r="M17" s="51">
        <v>81.47</v>
      </c>
      <c r="N17" s="51">
        <v>157.80000000000001</v>
      </c>
      <c r="O17" s="51">
        <v>0</v>
      </c>
      <c r="P17" s="51">
        <v>0.99</v>
      </c>
      <c r="Q17" s="51">
        <v>4.97</v>
      </c>
    </row>
    <row r="18" spans="1:17" customFormat="1">
      <c r="A18" s="50" t="s">
        <v>69</v>
      </c>
      <c r="B18" s="51">
        <v>11.59</v>
      </c>
      <c r="C18" s="51">
        <v>26.17</v>
      </c>
      <c r="D18" s="51">
        <v>24.19</v>
      </c>
      <c r="E18" s="51">
        <v>7.05</v>
      </c>
      <c r="F18" s="51">
        <v>2.97</v>
      </c>
      <c r="G18" s="51">
        <v>94.46</v>
      </c>
      <c r="H18" s="51">
        <v>53.04</v>
      </c>
      <c r="I18" s="51">
        <v>9.91</v>
      </c>
      <c r="J18" s="51">
        <v>0.35</v>
      </c>
      <c r="K18" s="51">
        <v>100.36</v>
      </c>
      <c r="L18" s="51">
        <v>22.44</v>
      </c>
      <c r="M18" s="51">
        <v>67.66</v>
      </c>
      <c r="N18" s="51">
        <v>183.1</v>
      </c>
      <c r="O18" s="51">
        <v>0</v>
      </c>
      <c r="P18" s="51">
        <v>0.94</v>
      </c>
      <c r="Q18" s="51">
        <v>4.9400000000000004</v>
      </c>
    </row>
    <row r="19" spans="1:17" customFormat="1">
      <c r="A19" s="50" t="s">
        <v>70</v>
      </c>
      <c r="B19" s="51">
        <v>8.91</v>
      </c>
      <c r="C19" s="51">
        <v>26.39</v>
      </c>
      <c r="D19" s="51">
        <v>22.21</v>
      </c>
      <c r="E19" s="51">
        <v>8.02</v>
      </c>
      <c r="F19" s="51">
        <v>3.4</v>
      </c>
      <c r="G19" s="51">
        <v>85.79</v>
      </c>
      <c r="H19" s="51">
        <v>49.61</v>
      </c>
      <c r="I19" s="51">
        <v>9.27</v>
      </c>
      <c r="J19" s="51">
        <v>0.39</v>
      </c>
      <c r="K19" s="51">
        <v>81.09</v>
      </c>
      <c r="L19" s="51">
        <v>24.25</v>
      </c>
      <c r="M19" s="51">
        <v>59.11</v>
      </c>
      <c r="N19" s="51">
        <v>345.7</v>
      </c>
      <c r="O19" s="51">
        <v>0</v>
      </c>
      <c r="P19" s="51">
        <v>0.87</v>
      </c>
      <c r="Q19" s="51">
        <v>4.87</v>
      </c>
    </row>
    <row r="20" spans="1:17" customFormat="1">
      <c r="A20" s="50" t="s">
        <v>71</v>
      </c>
      <c r="B20" s="51">
        <v>6.68</v>
      </c>
      <c r="C20" s="51">
        <v>25.95</v>
      </c>
      <c r="D20" s="51">
        <v>20.27</v>
      </c>
      <c r="E20" s="51">
        <v>8.44</v>
      </c>
      <c r="F20" s="51">
        <v>4.26</v>
      </c>
      <c r="G20" s="51">
        <v>79.06</v>
      </c>
      <c r="H20" s="51">
        <v>50.96</v>
      </c>
      <c r="I20" s="51">
        <v>8.6999999999999993</v>
      </c>
      <c r="J20" s="51">
        <v>0.25</v>
      </c>
      <c r="K20" s="51">
        <v>240.95</v>
      </c>
      <c r="L20" s="51">
        <v>26.06</v>
      </c>
      <c r="M20" s="51">
        <v>53.89</v>
      </c>
      <c r="N20" s="51">
        <v>397</v>
      </c>
      <c r="O20" s="51">
        <v>0</v>
      </c>
      <c r="P20" s="51">
        <v>0.83</v>
      </c>
      <c r="Q20" s="51">
        <v>4.82</v>
      </c>
    </row>
    <row r="21" spans="1:17" customFormat="1">
      <c r="A21" s="50" t="s">
        <v>72</v>
      </c>
      <c r="B21" s="51">
        <v>5.04</v>
      </c>
      <c r="C21" s="51">
        <v>25.24</v>
      </c>
      <c r="D21" s="51">
        <v>18.579999999999998</v>
      </c>
      <c r="E21" s="51">
        <v>8.48</v>
      </c>
      <c r="F21" s="51">
        <v>4.46</v>
      </c>
      <c r="G21" s="51">
        <v>89.53</v>
      </c>
      <c r="H21" s="51">
        <v>50.96</v>
      </c>
      <c r="I21" s="51">
        <v>8.14</v>
      </c>
      <c r="J21" s="51">
        <v>0.22</v>
      </c>
      <c r="K21" s="51">
        <v>98.34</v>
      </c>
      <c r="L21" s="51">
        <v>26.39</v>
      </c>
      <c r="M21" s="51">
        <v>50.22</v>
      </c>
      <c r="N21" s="51">
        <v>394</v>
      </c>
      <c r="O21" s="51">
        <v>0</v>
      </c>
      <c r="P21" s="51">
        <v>0.81</v>
      </c>
      <c r="Q21" s="51">
        <v>4.76</v>
      </c>
    </row>
    <row r="22" spans="1:17" customFormat="1">
      <c r="A22" s="50" t="s">
        <v>73</v>
      </c>
      <c r="B22" s="51">
        <v>4.92</v>
      </c>
      <c r="C22" s="51">
        <v>18.28</v>
      </c>
      <c r="D22" s="51">
        <v>14.83</v>
      </c>
      <c r="E22" s="51">
        <v>7.39</v>
      </c>
      <c r="F22" s="51">
        <v>5.79</v>
      </c>
      <c r="G22" s="51">
        <v>89.53</v>
      </c>
      <c r="H22" s="51">
        <v>51.67</v>
      </c>
      <c r="I22" s="51">
        <v>7.81</v>
      </c>
      <c r="J22" s="51">
        <v>0.35</v>
      </c>
      <c r="K22" s="51">
        <v>334.18</v>
      </c>
      <c r="L22" s="51">
        <v>27.15</v>
      </c>
      <c r="M22" s="51">
        <v>45.35</v>
      </c>
      <c r="N22" s="51">
        <v>357.5</v>
      </c>
      <c r="O22" s="51">
        <v>0</v>
      </c>
      <c r="P22" s="51">
        <v>0.76</v>
      </c>
      <c r="Q22" s="51">
        <v>4.82</v>
      </c>
    </row>
    <row r="23" spans="1:17" customFormat="1">
      <c r="A23" s="50" t="s">
        <v>74</v>
      </c>
      <c r="B23" s="51">
        <v>4.8899999999999997</v>
      </c>
      <c r="C23" s="51">
        <v>17.29</v>
      </c>
      <c r="D23" s="51">
        <v>14.31</v>
      </c>
      <c r="E23" s="51">
        <v>7.25</v>
      </c>
      <c r="F23" s="51">
        <v>4.91</v>
      </c>
      <c r="G23" s="51">
        <v>84.99</v>
      </c>
      <c r="H23" s="51">
        <v>51.67</v>
      </c>
      <c r="I23" s="51">
        <v>7.57</v>
      </c>
      <c r="J23" s="51">
        <v>0.28999999999999998</v>
      </c>
      <c r="K23" s="51">
        <v>324.63</v>
      </c>
      <c r="L23" s="51">
        <v>26.98</v>
      </c>
      <c r="M23" s="51">
        <v>45.32</v>
      </c>
      <c r="N23" s="51">
        <v>241.4</v>
      </c>
      <c r="O23" s="51">
        <v>0</v>
      </c>
      <c r="P23" s="51">
        <v>0.73</v>
      </c>
      <c r="Q23" s="51">
        <v>4.8499999999999996</v>
      </c>
    </row>
    <row r="24" spans="1:17" customFormat="1">
      <c r="A24" s="50" t="s">
        <v>75</v>
      </c>
      <c r="B24" s="51">
        <v>4.92</v>
      </c>
      <c r="C24" s="51">
        <v>17.579999999999998</v>
      </c>
      <c r="D24" s="51">
        <v>14.48</v>
      </c>
      <c r="E24" s="51">
        <v>7.59</v>
      </c>
      <c r="F24" s="51">
        <v>4.72</v>
      </c>
      <c r="G24" s="51">
        <v>83.14</v>
      </c>
      <c r="H24" s="51">
        <v>48.81</v>
      </c>
      <c r="I24" s="51">
        <v>7.28</v>
      </c>
      <c r="J24" s="51">
        <v>0.39</v>
      </c>
      <c r="K24" s="51">
        <v>62.83</v>
      </c>
      <c r="L24" s="51">
        <v>26.41</v>
      </c>
      <c r="M24" s="51">
        <v>45.31</v>
      </c>
      <c r="N24" s="51">
        <v>84.5</v>
      </c>
      <c r="O24" s="51">
        <v>0</v>
      </c>
      <c r="P24" s="51">
        <v>0.72</v>
      </c>
      <c r="Q24" s="51">
        <v>4.8600000000000003</v>
      </c>
    </row>
    <row r="25" spans="1:17" customFormat="1">
      <c r="A25" s="50" t="s">
        <v>76</v>
      </c>
      <c r="B25" s="51">
        <v>5</v>
      </c>
      <c r="C25" s="51">
        <v>17.21</v>
      </c>
      <c r="D25" s="51">
        <v>14.35</v>
      </c>
      <c r="E25" s="51">
        <v>7.46</v>
      </c>
      <c r="F25" s="51">
        <v>3.72</v>
      </c>
      <c r="G25" s="51">
        <v>85.27</v>
      </c>
      <c r="H25" s="51">
        <v>49.45</v>
      </c>
      <c r="I25" s="51">
        <v>7.08</v>
      </c>
      <c r="J25" s="51">
        <v>0.25</v>
      </c>
      <c r="K25" s="51">
        <v>167.68</v>
      </c>
      <c r="L25" s="51">
        <v>25.74</v>
      </c>
      <c r="M25" s="51">
        <v>55.59</v>
      </c>
      <c r="N25" s="51">
        <v>36.700000000000003</v>
      </c>
      <c r="O25" s="51">
        <v>0</v>
      </c>
      <c r="P25" s="51">
        <v>0.72</v>
      </c>
      <c r="Q25" s="51">
        <v>4.8600000000000003</v>
      </c>
    </row>
    <row r="26" spans="1:17" customFormat="1">
      <c r="A26" s="50" t="s">
        <v>77</v>
      </c>
      <c r="B26" s="51">
        <v>5.03</v>
      </c>
      <c r="C26" s="51">
        <v>21.84</v>
      </c>
      <c r="D26" s="51">
        <v>16.79</v>
      </c>
      <c r="E26" s="51">
        <v>8.2100000000000009</v>
      </c>
      <c r="F26" s="51">
        <v>4.17</v>
      </c>
      <c r="G26" s="51">
        <v>94.9</v>
      </c>
      <c r="H26" s="51">
        <v>50.8</v>
      </c>
      <c r="I26" s="51">
        <v>7</v>
      </c>
      <c r="J26" s="51">
        <v>0.21</v>
      </c>
      <c r="K26" s="51">
        <v>163.63</v>
      </c>
      <c r="L26" s="51">
        <v>23.38</v>
      </c>
      <c r="M26" s="51">
        <v>67.45</v>
      </c>
      <c r="N26" s="51">
        <v>0.1</v>
      </c>
      <c r="O26" s="51">
        <v>0</v>
      </c>
      <c r="P26" s="51">
        <v>0.81</v>
      </c>
      <c r="Q26" s="51">
        <v>4.87</v>
      </c>
    </row>
    <row r="27" spans="1:17" customFormat="1">
      <c r="A27" s="50" t="s">
        <v>78</v>
      </c>
      <c r="B27" s="51">
        <v>5.88</v>
      </c>
      <c r="C27" s="51">
        <v>24.88</v>
      </c>
      <c r="D27" s="51">
        <v>19.07</v>
      </c>
      <c r="E27" s="51">
        <v>7.83</v>
      </c>
      <c r="F27" s="51">
        <v>3.41</v>
      </c>
      <c r="G27" s="51">
        <v>112.57</v>
      </c>
      <c r="H27" s="51">
        <v>53.4</v>
      </c>
      <c r="I27" s="51">
        <v>7.62</v>
      </c>
      <c r="J27" s="51">
        <v>0.25</v>
      </c>
      <c r="K27" s="51">
        <v>173.76</v>
      </c>
      <c r="L27" s="51">
        <v>21.96</v>
      </c>
      <c r="M27" s="51">
        <v>76.489999999999995</v>
      </c>
      <c r="N27" s="51">
        <v>0</v>
      </c>
      <c r="O27" s="51">
        <v>0</v>
      </c>
      <c r="P27" s="51">
        <v>0.89</v>
      </c>
      <c r="Q27" s="51">
        <v>4.91</v>
      </c>
    </row>
    <row r="28" spans="1:17" customFormat="1">
      <c r="A28" s="50" t="s">
        <v>79</v>
      </c>
      <c r="B28" s="51">
        <v>6.07</v>
      </c>
      <c r="C28" s="51">
        <v>25.39</v>
      </c>
      <c r="D28" s="51">
        <v>19.489999999999998</v>
      </c>
      <c r="E28" s="51">
        <v>6.99</v>
      </c>
      <c r="F28" s="51">
        <v>3.03</v>
      </c>
      <c r="G28" s="51">
        <v>113.15</v>
      </c>
      <c r="H28" s="51">
        <v>53.4</v>
      </c>
      <c r="I28" s="51">
        <v>7.93</v>
      </c>
      <c r="J28" s="51">
        <v>0.14000000000000001</v>
      </c>
      <c r="K28" s="51">
        <v>206.33</v>
      </c>
      <c r="L28" s="51">
        <v>19.920000000000002</v>
      </c>
      <c r="M28" s="51">
        <v>80.16</v>
      </c>
      <c r="N28" s="51">
        <v>0</v>
      </c>
      <c r="O28" s="51">
        <v>0</v>
      </c>
      <c r="P28" s="51">
        <v>0.92</v>
      </c>
      <c r="Q28" s="51">
        <v>4.87</v>
      </c>
    </row>
    <row r="29" spans="1:17" customFormat="1">
      <c r="A29" s="50" t="s">
        <v>80</v>
      </c>
      <c r="B29" s="51">
        <v>6.45</v>
      </c>
      <c r="C29" s="51">
        <v>25.48</v>
      </c>
      <c r="D29" s="51">
        <v>19.829999999999998</v>
      </c>
      <c r="E29" s="51">
        <v>6.9</v>
      </c>
      <c r="F29" s="51">
        <v>2.95</v>
      </c>
      <c r="G29" s="51">
        <v>105.15</v>
      </c>
      <c r="H29" s="51">
        <v>50.84</v>
      </c>
      <c r="I29" s="51">
        <v>8.42</v>
      </c>
      <c r="J29" s="51">
        <v>0.16</v>
      </c>
      <c r="K29" s="51">
        <v>225.2</v>
      </c>
      <c r="L29" s="51">
        <v>18.989999999999998</v>
      </c>
      <c r="M29" s="51">
        <v>85.85</v>
      </c>
      <c r="N29" s="51">
        <v>0</v>
      </c>
      <c r="O29" s="51">
        <v>0</v>
      </c>
      <c r="P29" s="51">
        <v>0.95</v>
      </c>
      <c r="Q29" s="51">
        <v>4.8499999999999996</v>
      </c>
    </row>
    <row r="30" spans="1:17" customFormat="1">
      <c r="A30" s="50" t="s">
        <v>81</v>
      </c>
      <c r="B30" s="51">
        <v>6.73</v>
      </c>
      <c r="C30" s="51">
        <v>25.59</v>
      </c>
      <c r="D30" s="51">
        <v>20.12</v>
      </c>
      <c r="E30" s="51">
        <v>6.9</v>
      </c>
      <c r="F30" s="51">
        <v>2.72</v>
      </c>
      <c r="G30" s="51">
        <v>100.32</v>
      </c>
      <c r="H30" s="51">
        <v>52.42</v>
      </c>
      <c r="I30" s="51">
        <v>8.89</v>
      </c>
      <c r="J30" s="51">
        <v>0.13</v>
      </c>
      <c r="K30" s="51">
        <v>226.04</v>
      </c>
      <c r="L30" s="51">
        <v>18.18</v>
      </c>
      <c r="M30" s="51">
        <v>87.11</v>
      </c>
      <c r="N30" s="51">
        <v>0</v>
      </c>
      <c r="O30" s="51">
        <v>0</v>
      </c>
      <c r="P30" s="51">
        <v>0.98</v>
      </c>
      <c r="Q30" s="51">
        <v>4.8099999999999996</v>
      </c>
    </row>
    <row r="31" spans="1:17" customFormat="1">
      <c r="A31" s="50" t="s">
        <v>82</v>
      </c>
      <c r="B31" s="51">
        <v>7.37</v>
      </c>
      <c r="C31" s="51">
        <v>25.59</v>
      </c>
      <c r="D31" s="51">
        <v>20.12</v>
      </c>
      <c r="E31" s="51">
        <v>6.9</v>
      </c>
      <c r="F31" s="51">
        <v>2.9</v>
      </c>
      <c r="G31" s="51">
        <v>107.41</v>
      </c>
      <c r="H31" s="51">
        <v>55.21</v>
      </c>
      <c r="I31" s="51">
        <v>9.14</v>
      </c>
      <c r="J31" s="51">
        <v>0.13</v>
      </c>
      <c r="K31" s="51">
        <v>187.69</v>
      </c>
      <c r="L31" s="51">
        <v>17.68</v>
      </c>
      <c r="M31" s="51">
        <v>86.72</v>
      </c>
      <c r="N31" s="51">
        <v>0</v>
      </c>
      <c r="O31" s="51">
        <v>0</v>
      </c>
      <c r="P31" s="51">
        <v>0.98</v>
      </c>
      <c r="Q31" s="51">
        <v>4.8</v>
      </c>
    </row>
    <row r="32" spans="1:17" customFormat="1">
      <c r="A32" s="50" t="s">
        <v>83</v>
      </c>
      <c r="B32" s="51">
        <v>7.52</v>
      </c>
      <c r="C32" s="51">
        <v>22.04</v>
      </c>
      <c r="D32" s="51">
        <v>18.89</v>
      </c>
      <c r="E32" s="51">
        <v>6.09</v>
      </c>
      <c r="F32" s="51">
        <v>2.78</v>
      </c>
      <c r="G32" s="51">
        <v>107.41</v>
      </c>
      <c r="H32" s="51">
        <v>55.21</v>
      </c>
      <c r="I32" s="51">
        <v>9.17</v>
      </c>
      <c r="J32" s="51">
        <v>0.12</v>
      </c>
      <c r="K32" s="51">
        <v>178.47</v>
      </c>
      <c r="L32" s="51">
        <v>17.38</v>
      </c>
      <c r="M32" s="51">
        <v>90.12</v>
      </c>
      <c r="N32" s="51">
        <v>0</v>
      </c>
      <c r="O32" s="51">
        <v>0</v>
      </c>
      <c r="P32" s="51">
        <v>0.97</v>
      </c>
      <c r="Q32" s="51">
        <v>4.82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4.8899999999999997</v>
      </c>
      <c r="C34" s="41">
        <f t="shared" si="0"/>
        <v>17.21</v>
      </c>
      <c r="D34" s="41">
        <f t="shared" si="0"/>
        <v>14.31</v>
      </c>
      <c r="E34" s="41">
        <f t="shared" si="0"/>
        <v>6.09</v>
      </c>
      <c r="F34" s="41">
        <f t="shared" si="0"/>
        <v>2.59</v>
      </c>
      <c r="G34" s="41">
        <f t="shared" si="0"/>
        <v>79.06</v>
      </c>
      <c r="H34" s="41">
        <f t="shared" si="0"/>
        <v>48.81</v>
      </c>
      <c r="I34" s="41">
        <f t="shared" si="0"/>
        <v>7</v>
      </c>
      <c r="J34" s="41">
        <f t="shared" si="0"/>
        <v>0.09</v>
      </c>
      <c r="K34" s="41">
        <f t="shared" si="0"/>
        <v>62.83</v>
      </c>
      <c r="L34" s="41">
        <f t="shared" si="0"/>
        <v>15.17</v>
      </c>
      <c r="M34" s="41">
        <f t="shared" si="0"/>
        <v>45.31</v>
      </c>
      <c r="N34" s="41">
        <f t="shared" si="0"/>
        <v>0</v>
      </c>
      <c r="O34" s="41">
        <f t="shared" si="0"/>
        <v>0</v>
      </c>
      <c r="P34" s="41">
        <f t="shared" si="0"/>
        <v>0.72</v>
      </c>
      <c r="Q34" s="41">
        <f t="shared" si="0"/>
        <v>4.76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22.29</v>
      </c>
      <c r="C35" s="33">
        <f t="shared" si="1"/>
        <v>32.270000000000003</v>
      </c>
      <c r="D35" s="33">
        <f t="shared" si="1"/>
        <v>34.29</v>
      </c>
      <c r="E35" s="33">
        <f t="shared" si="1"/>
        <v>8.48</v>
      </c>
      <c r="F35" s="33">
        <f t="shared" si="1"/>
        <v>5.79</v>
      </c>
      <c r="G35" s="33">
        <f t="shared" si="1"/>
        <v>153.33000000000001</v>
      </c>
      <c r="H35" s="33">
        <f t="shared" si="1"/>
        <v>77.03</v>
      </c>
      <c r="I35" s="33">
        <f t="shared" si="1"/>
        <v>11.36</v>
      </c>
      <c r="J35" s="33">
        <f t="shared" si="1"/>
        <v>0.4</v>
      </c>
      <c r="K35" s="33">
        <f t="shared" si="1"/>
        <v>334.18</v>
      </c>
      <c r="L35" s="33">
        <f t="shared" si="1"/>
        <v>27.15</v>
      </c>
      <c r="M35" s="33">
        <f t="shared" si="1"/>
        <v>95.55</v>
      </c>
      <c r="N35" s="33">
        <f t="shared" si="1"/>
        <v>397</v>
      </c>
      <c r="O35" s="33">
        <f t="shared" si="1"/>
        <v>0</v>
      </c>
      <c r="P35" s="33">
        <f t="shared" si="1"/>
        <v>1.22</v>
      </c>
      <c r="Q35" s="33">
        <f t="shared" si="1"/>
        <v>5.0999999999999996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11.060833333333328</v>
      </c>
      <c r="C36" s="41">
        <f t="shared" si="2"/>
        <v>25.049166666666665</v>
      </c>
      <c r="D36" s="41">
        <f t="shared" si="2"/>
        <v>23.163749999999997</v>
      </c>
      <c r="E36" s="41">
        <f t="shared" si="2"/>
        <v>7.2445833333333347</v>
      </c>
      <c r="F36" s="41">
        <f t="shared" si="2"/>
        <v>3.3541666666666665</v>
      </c>
      <c r="G36" s="41">
        <f t="shared" si="2"/>
        <v>110.44291666666669</v>
      </c>
      <c r="H36" s="41">
        <f t="shared" si="2"/>
        <v>59.624166666666675</v>
      </c>
      <c r="I36" s="41">
        <f t="shared" si="2"/>
        <v>9.2370833333333326</v>
      </c>
      <c r="J36" s="41">
        <f t="shared" si="2"/>
        <v>0.22083333333333333</v>
      </c>
      <c r="K36" s="41">
        <f t="shared" si="2"/>
        <v>185.25916666666663</v>
      </c>
      <c r="L36" s="41">
        <f t="shared" si="2"/>
        <v>20.538750000000004</v>
      </c>
      <c r="M36" s="41">
        <f t="shared" si="2"/>
        <v>76.149583333333325</v>
      </c>
      <c r="N36" s="41">
        <f t="shared" si="2"/>
        <v>93.670833333333334</v>
      </c>
      <c r="O36" s="41">
        <f t="shared" si="2"/>
        <v>0</v>
      </c>
      <c r="P36" s="41">
        <f t="shared" si="2"/>
        <v>0.9604166666666667</v>
      </c>
      <c r="Q36" s="41">
        <f t="shared" si="2"/>
        <v>4.9179166666666667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6.4828079776715972</v>
      </c>
      <c r="C37" s="41">
        <f t="shared" ref="C37:Q37" si="3">STDEV(C9:C32)</f>
        <v>4.1444105016030024</v>
      </c>
      <c r="D37" s="41">
        <f t="shared" si="3"/>
        <v>6.800064457814714</v>
      </c>
      <c r="E37" s="41">
        <f t="shared" si="3"/>
        <v>0.60325190618746005</v>
      </c>
      <c r="F37" s="41">
        <f t="shared" si="3"/>
        <v>0.89311821441930972</v>
      </c>
      <c r="G37" s="41">
        <f t="shared" si="3"/>
        <v>24.357990293190905</v>
      </c>
      <c r="H37" s="41">
        <f t="shared" si="3"/>
        <v>10.834299767371897</v>
      </c>
      <c r="I37" s="41">
        <f t="shared" si="3"/>
        <v>1.4812728931760093</v>
      </c>
      <c r="J37" s="41">
        <f t="shared" si="3"/>
        <v>9.627481799364844E-2</v>
      </c>
      <c r="K37" s="41">
        <f t="shared" si="3"/>
        <v>75.868545577011176</v>
      </c>
      <c r="L37" s="41">
        <f t="shared" si="3"/>
        <v>4.2394906508047221</v>
      </c>
      <c r="M37" s="41">
        <f t="shared" si="3"/>
        <v>18.573246650039138</v>
      </c>
      <c r="N37" s="41">
        <f t="shared" si="3"/>
        <v>144.02221893548736</v>
      </c>
      <c r="O37" s="41">
        <f t="shared" si="3"/>
        <v>0</v>
      </c>
      <c r="P37" s="41">
        <f t="shared" si="3"/>
        <v>0.1629478221812832</v>
      </c>
      <c r="Q37" s="41">
        <f t="shared" si="3"/>
        <v>0.10308203430807597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02/01/2024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84</v>
      </c>
      <c r="B9" s="51">
        <v>8.98</v>
      </c>
      <c r="C9" s="51">
        <v>22.3</v>
      </c>
      <c r="D9" s="51">
        <v>20.21</v>
      </c>
      <c r="E9" s="51">
        <v>6.19</v>
      </c>
      <c r="F9" s="51">
        <v>2.63</v>
      </c>
      <c r="G9" s="51">
        <v>102.42</v>
      </c>
      <c r="H9" s="51">
        <v>53.65</v>
      </c>
      <c r="I9" s="51">
        <v>9.16</v>
      </c>
      <c r="J9" s="51">
        <v>0.11</v>
      </c>
      <c r="K9" s="51">
        <v>203.22</v>
      </c>
      <c r="L9" s="51">
        <v>17.079999999999998</v>
      </c>
      <c r="M9" s="51">
        <v>92.38</v>
      </c>
      <c r="N9" s="51">
        <v>0</v>
      </c>
      <c r="O9" s="51">
        <v>0</v>
      </c>
      <c r="P9" s="51">
        <v>0.96</v>
      </c>
      <c r="Q9" s="51">
        <v>4.88</v>
      </c>
    </row>
    <row r="10" spans="1:21" customFormat="1">
      <c r="A10" s="50" t="s">
        <v>85</v>
      </c>
      <c r="B10" s="51">
        <v>8.98</v>
      </c>
      <c r="C10" s="51">
        <v>22.3</v>
      </c>
      <c r="D10" s="51">
        <v>20.21</v>
      </c>
      <c r="E10" s="51">
        <v>6.11</v>
      </c>
      <c r="F10" s="51">
        <v>2.54</v>
      </c>
      <c r="G10" s="51">
        <v>99.83</v>
      </c>
      <c r="H10" s="51">
        <v>53.55</v>
      </c>
      <c r="I10" s="51">
        <v>9.16</v>
      </c>
      <c r="J10" s="51">
        <v>0.08</v>
      </c>
      <c r="K10" s="51">
        <v>203.22</v>
      </c>
      <c r="L10" s="51">
        <v>16.350000000000001</v>
      </c>
      <c r="M10" s="51">
        <v>92.38</v>
      </c>
      <c r="N10" s="51">
        <v>0</v>
      </c>
      <c r="O10" s="51">
        <v>0</v>
      </c>
      <c r="P10" s="51">
        <v>0.96</v>
      </c>
      <c r="Q10" s="51">
        <v>4.88</v>
      </c>
    </row>
    <row r="11" spans="1:21" customFormat="1">
      <c r="A11" s="50" t="s">
        <v>86</v>
      </c>
      <c r="B11" s="51">
        <v>9.08</v>
      </c>
      <c r="C11" s="51">
        <v>22.3</v>
      </c>
      <c r="D11" s="51">
        <v>20.21</v>
      </c>
      <c r="E11" s="51">
        <v>6.25</v>
      </c>
      <c r="F11" s="51">
        <v>2.75</v>
      </c>
      <c r="G11" s="51">
        <v>99.83</v>
      </c>
      <c r="H11" s="51">
        <v>53.55</v>
      </c>
      <c r="I11" s="51">
        <v>9.16</v>
      </c>
      <c r="J11" s="51">
        <v>0.1</v>
      </c>
      <c r="K11" s="51">
        <v>242.83</v>
      </c>
      <c r="L11" s="51">
        <v>16.350000000000001</v>
      </c>
      <c r="M11" s="51">
        <v>92.38</v>
      </c>
      <c r="N11" s="51">
        <v>0</v>
      </c>
      <c r="O11" s="51">
        <v>0</v>
      </c>
      <c r="P11" s="51">
        <v>0.96</v>
      </c>
      <c r="Q11" s="51">
        <v>4.88</v>
      </c>
    </row>
    <row r="12" spans="1:21" customFormat="1">
      <c r="A12" s="50" t="s">
        <v>87</v>
      </c>
      <c r="B12" s="51">
        <v>10.36</v>
      </c>
      <c r="C12" s="51">
        <v>22.92</v>
      </c>
      <c r="D12" s="51">
        <v>21.63</v>
      </c>
      <c r="E12" s="51">
        <v>6</v>
      </c>
      <c r="F12" s="51">
        <v>2.82</v>
      </c>
      <c r="G12" s="51">
        <v>92.43</v>
      </c>
      <c r="H12" s="51">
        <v>51.39</v>
      </c>
      <c r="I12" s="51">
        <v>8.93</v>
      </c>
      <c r="J12" s="51">
        <v>0.16</v>
      </c>
      <c r="K12" s="51">
        <v>262.45999999999998</v>
      </c>
      <c r="L12" s="51">
        <v>15.89</v>
      </c>
      <c r="M12" s="51">
        <v>93.2</v>
      </c>
      <c r="N12" s="51">
        <v>0</v>
      </c>
      <c r="O12" s="51">
        <v>0</v>
      </c>
      <c r="P12" s="51">
        <v>0.92</v>
      </c>
      <c r="Q12" s="51">
        <v>4.88</v>
      </c>
    </row>
    <row r="13" spans="1:21" customFormat="1">
      <c r="A13" s="50" t="s">
        <v>88</v>
      </c>
      <c r="B13" s="51">
        <v>11.36</v>
      </c>
      <c r="C13" s="51">
        <v>23.8</v>
      </c>
      <c r="D13" s="51">
        <v>22.89</v>
      </c>
      <c r="E13" s="51">
        <v>5.71</v>
      </c>
      <c r="F13" s="51">
        <v>2.73</v>
      </c>
      <c r="G13" s="51">
        <v>91.25</v>
      </c>
      <c r="H13" s="51">
        <v>54.52</v>
      </c>
      <c r="I13" s="51">
        <v>8.8699999999999992</v>
      </c>
      <c r="J13" s="51">
        <v>0.12</v>
      </c>
      <c r="K13" s="51">
        <v>212.23</v>
      </c>
      <c r="L13" s="51">
        <v>15.78</v>
      </c>
      <c r="M13" s="51">
        <v>93.62</v>
      </c>
      <c r="N13" s="51">
        <v>0</v>
      </c>
      <c r="O13" s="51">
        <v>0</v>
      </c>
      <c r="P13" s="51">
        <v>0.91</v>
      </c>
      <c r="Q13" s="51">
        <v>4.9000000000000004</v>
      </c>
    </row>
    <row r="14" spans="1:21" customFormat="1">
      <c r="A14" s="50" t="s">
        <v>89</v>
      </c>
      <c r="B14" s="51">
        <v>11.57</v>
      </c>
      <c r="C14" s="51">
        <v>23.71</v>
      </c>
      <c r="D14" s="51">
        <v>23.02</v>
      </c>
      <c r="E14" s="51">
        <v>6.31</v>
      </c>
      <c r="F14" s="51">
        <v>2.57</v>
      </c>
      <c r="G14" s="51">
        <v>91.25</v>
      </c>
      <c r="H14" s="51">
        <v>54.52</v>
      </c>
      <c r="I14" s="51">
        <v>9.02</v>
      </c>
      <c r="J14" s="51">
        <v>0.13</v>
      </c>
      <c r="K14" s="51">
        <v>254.79</v>
      </c>
      <c r="L14" s="51">
        <v>15.32</v>
      </c>
      <c r="M14" s="51">
        <v>95.98</v>
      </c>
      <c r="N14" s="51">
        <v>0</v>
      </c>
      <c r="O14" s="51">
        <v>0</v>
      </c>
      <c r="P14" s="51">
        <v>0.92</v>
      </c>
      <c r="Q14" s="51">
        <v>4.91</v>
      </c>
    </row>
    <row r="15" spans="1:21" customFormat="1">
      <c r="A15" s="50" t="s">
        <v>90</v>
      </c>
      <c r="B15" s="51">
        <v>16.55</v>
      </c>
      <c r="C15" s="51">
        <v>24.57</v>
      </c>
      <c r="D15" s="51">
        <v>27.46</v>
      </c>
      <c r="E15" s="51">
        <v>6.56</v>
      </c>
      <c r="F15" s="51">
        <v>2.64</v>
      </c>
      <c r="G15" s="51">
        <v>89.94</v>
      </c>
      <c r="H15" s="51">
        <v>53.26</v>
      </c>
      <c r="I15" s="51">
        <v>9.1199999999999992</v>
      </c>
      <c r="J15" s="51">
        <v>0.12</v>
      </c>
      <c r="K15" s="51">
        <v>219.47</v>
      </c>
      <c r="L15" s="51">
        <v>14.95</v>
      </c>
      <c r="M15" s="51">
        <v>96.07</v>
      </c>
      <c r="N15" s="51">
        <v>2.5</v>
      </c>
      <c r="O15" s="51">
        <v>0</v>
      </c>
      <c r="P15" s="51">
        <v>0.91</v>
      </c>
      <c r="Q15" s="51">
        <v>4.96</v>
      </c>
    </row>
    <row r="16" spans="1:21" customFormat="1">
      <c r="A16" s="50" t="s">
        <v>91</v>
      </c>
      <c r="B16" s="51">
        <v>17.18</v>
      </c>
      <c r="C16" s="51">
        <v>25.64</v>
      </c>
      <c r="D16" s="51">
        <v>28.12</v>
      </c>
      <c r="E16" s="51">
        <v>6.59</v>
      </c>
      <c r="F16" s="51">
        <v>2.54</v>
      </c>
      <c r="G16" s="51">
        <v>87.66</v>
      </c>
      <c r="H16" s="51">
        <v>53.26</v>
      </c>
      <c r="I16" s="51">
        <v>9.39</v>
      </c>
      <c r="J16" s="51">
        <v>0.28999999999999998</v>
      </c>
      <c r="K16" s="51">
        <v>175.27</v>
      </c>
      <c r="L16" s="51">
        <v>16.34</v>
      </c>
      <c r="M16" s="51">
        <v>95.51</v>
      </c>
      <c r="N16" s="51">
        <v>47.9</v>
      </c>
      <c r="O16" s="51">
        <v>0</v>
      </c>
      <c r="P16" s="51">
        <v>0.94</v>
      </c>
      <c r="Q16" s="51">
        <v>4.96</v>
      </c>
    </row>
    <row r="17" spans="1:17" customFormat="1">
      <c r="A17" s="50" t="s">
        <v>92</v>
      </c>
      <c r="B17" s="51">
        <v>16.39</v>
      </c>
      <c r="C17" s="51">
        <v>25.7</v>
      </c>
      <c r="D17" s="51">
        <v>27.92</v>
      </c>
      <c r="E17" s="51">
        <v>6.5</v>
      </c>
      <c r="F17" s="51">
        <v>2.91</v>
      </c>
      <c r="G17" s="51">
        <v>89.13</v>
      </c>
      <c r="H17" s="51">
        <v>56.28</v>
      </c>
      <c r="I17" s="51">
        <v>9.7100000000000009</v>
      </c>
      <c r="J17" s="51">
        <v>0.28000000000000003</v>
      </c>
      <c r="K17" s="51">
        <v>160.9</v>
      </c>
      <c r="L17" s="51">
        <v>19.739999999999998</v>
      </c>
      <c r="M17" s="51">
        <v>89.4</v>
      </c>
      <c r="N17" s="51">
        <v>162.1</v>
      </c>
      <c r="O17" s="51">
        <v>0</v>
      </c>
      <c r="P17" s="51">
        <v>0.94</v>
      </c>
      <c r="Q17" s="51">
        <v>4.9400000000000004</v>
      </c>
    </row>
    <row r="18" spans="1:17" customFormat="1">
      <c r="A18" s="50" t="s">
        <v>93</v>
      </c>
      <c r="B18" s="51">
        <v>14.22</v>
      </c>
      <c r="C18" s="51">
        <v>22.12</v>
      </c>
      <c r="D18" s="51">
        <v>23.84</v>
      </c>
      <c r="E18" s="51">
        <v>6.86</v>
      </c>
      <c r="F18" s="51">
        <v>2.89</v>
      </c>
      <c r="G18" s="51">
        <v>89.13</v>
      </c>
      <c r="H18" s="51">
        <v>56.28</v>
      </c>
      <c r="I18" s="51">
        <v>9.69</v>
      </c>
      <c r="J18" s="51">
        <v>0.28999999999999998</v>
      </c>
      <c r="K18" s="51">
        <v>278.62</v>
      </c>
      <c r="L18" s="51">
        <v>22.23</v>
      </c>
      <c r="M18" s="51">
        <v>74.62</v>
      </c>
      <c r="N18" s="51">
        <v>183</v>
      </c>
      <c r="O18" s="51">
        <v>0</v>
      </c>
      <c r="P18" s="51">
        <v>0.9</v>
      </c>
      <c r="Q18" s="51">
        <v>4.92</v>
      </c>
    </row>
    <row r="19" spans="1:17" customFormat="1">
      <c r="A19" s="50" t="s">
        <v>94</v>
      </c>
      <c r="B19" s="51">
        <v>11.69</v>
      </c>
      <c r="C19" s="51">
        <v>21.97</v>
      </c>
      <c r="D19" s="51">
        <v>22.2</v>
      </c>
      <c r="E19" s="51">
        <v>8.48</v>
      </c>
      <c r="F19" s="51">
        <v>5.83</v>
      </c>
      <c r="G19" s="51">
        <v>89.13</v>
      </c>
      <c r="H19" s="51">
        <v>56.37</v>
      </c>
      <c r="I19" s="51">
        <v>9.39</v>
      </c>
      <c r="J19" s="51">
        <v>0.31</v>
      </c>
      <c r="K19" s="51">
        <v>278.35000000000002</v>
      </c>
      <c r="L19" s="51">
        <v>24.78</v>
      </c>
      <c r="M19" s="51">
        <v>62.4</v>
      </c>
      <c r="N19" s="51">
        <v>351</v>
      </c>
      <c r="O19" s="51">
        <v>0</v>
      </c>
      <c r="P19" s="51">
        <v>0.89</v>
      </c>
      <c r="Q19" s="51">
        <v>4.91</v>
      </c>
    </row>
    <row r="20" spans="1:17" customFormat="1">
      <c r="A20" s="50" t="s">
        <v>95</v>
      </c>
      <c r="B20" s="51">
        <v>3.8</v>
      </c>
      <c r="C20" s="51">
        <v>19.16</v>
      </c>
      <c r="D20" s="51">
        <v>14.41</v>
      </c>
      <c r="E20" s="51">
        <v>10.36</v>
      </c>
      <c r="F20" s="51">
        <v>12.04</v>
      </c>
      <c r="G20" s="51">
        <v>84.85</v>
      </c>
      <c r="H20" s="51">
        <v>56.37</v>
      </c>
      <c r="I20" s="51">
        <v>8.5299999999999994</v>
      </c>
      <c r="J20" s="51">
        <v>0.22</v>
      </c>
      <c r="K20" s="51">
        <v>203.63</v>
      </c>
      <c r="L20" s="51">
        <v>26.26</v>
      </c>
      <c r="M20" s="51">
        <v>54.99</v>
      </c>
      <c r="N20" s="51">
        <v>392.9</v>
      </c>
      <c r="O20" s="51">
        <v>0</v>
      </c>
      <c r="P20" s="51">
        <v>0.8</v>
      </c>
      <c r="Q20" s="51">
        <v>4.82</v>
      </c>
    </row>
    <row r="21" spans="1:17" customFormat="1">
      <c r="A21" s="50" t="s">
        <v>96</v>
      </c>
      <c r="B21" s="51">
        <v>2.5099999999999998</v>
      </c>
      <c r="C21" s="51">
        <v>14.66</v>
      </c>
      <c r="D21" s="51">
        <v>10.82</v>
      </c>
      <c r="E21" s="51">
        <v>10.82</v>
      </c>
      <c r="F21" s="51">
        <v>15.92</v>
      </c>
      <c r="G21" s="51">
        <v>84.14</v>
      </c>
      <c r="H21" s="51">
        <v>56.13</v>
      </c>
      <c r="I21" s="51">
        <v>7</v>
      </c>
      <c r="J21" s="51">
        <v>0.3</v>
      </c>
      <c r="K21" s="51">
        <v>158.52000000000001</v>
      </c>
      <c r="L21" s="51">
        <v>26.87</v>
      </c>
      <c r="M21" s="51">
        <v>46.16</v>
      </c>
      <c r="N21" s="51">
        <v>399.5</v>
      </c>
      <c r="O21" s="51">
        <v>0</v>
      </c>
      <c r="P21" s="51">
        <v>0.69</v>
      </c>
      <c r="Q21" s="51">
        <v>4.78</v>
      </c>
    </row>
    <row r="22" spans="1:17" customFormat="1">
      <c r="A22" s="50" t="s">
        <v>97</v>
      </c>
      <c r="B22" s="51">
        <v>2.2599999999999998</v>
      </c>
      <c r="C22" s="51">
        <v>17.670000000000002</v>
      </c>
      <c r="D22" s="51">
        <v>12.37</v>
      </c>
      <c r="E22" s="51">
        <v>12.56</v>
      </c>
      <c r="F22" s="51">
        <v>16.649999999999999</v>
      </c>
      <c r="G22" s="51">
        <v>84.14</v>
      </c>
      <c r="H22" s="51">
        <v>54.84</v>
      </c>
      <c r="I22" s="51">
        <v>5.28</v>
      </c>
      <c r="J22" s="51">
        <v>0.37</v>
      </c>
      <c r="K22" s="51">
        <v>161.69</v>
      </c>
      <c r="L22" s="51">
        <v>27.54</v>
      </c>
      <c r="M22" s="51">
        <v>42.85</v>
      </c>
      <c r="N22" s="51">
        <v>365.8</v>
      </c>
      <c r="O22" s="51">
        <v>0</v>
      </c>
      <c r="P22" s="51">
        <v>0.62</v>
      </c>
      <c r="Q22" s="51">
        <v>4.8</v>
      </c>
    </row>
    <row r="23" spans="1:17" customFormat="1">
      <c r="A23" s="50" t="s">
        <v>98</v>
      </c>
      <c r="B23" s="51">
        <v>2.78</v>
      </c>
      <c r="C23" s="51">
        <v>20.16</v>
      </c>
      <c r="D23" s="51">
        <v>14.12</v>
      </c>
      <c r="E23" s="51">
        <v>9.15</v>
      </c>
      <c r="F23" s="51">
        <v>7.73</v>
      </c>
      <c r="G23" s="51">
        <v>79.39</v>
      </c>
      <c r="H23" s="51">
        <v>51.34</v>
      </c>
      <c r="I23" s="51">
        <v>4.88</v>
      </c>
      <c r="J23" s="51">
        <v>0.39</v>
      </c>
      <c r="K23" s="51">
        <v>123.05</v>
      </c>
      <c r="L23" s="51">
        <v>27.41</v>
      </c>
      <c r="M23" s="51">
        <v>42.64</v>
      </c>
      <c r="N23" s="51">
        <v>223.1</v>
      </c>
      <c r="O23" s="51">
        <v>0</v>
      </c>
      <c r="P23" s="51">
        <v>0.59</v>
      </c>
      <c r="Q23" s="51">
        <v>4.78</v>
      </c>
    </row>
    <row r="24" spans="1:17" customFormat="1">
      <c r="A24" s="50" t="s">
        <v>99</v>
      </c>
      <c r="B24" s="51">
        <v>3.41</v>
      </c>
      <c r="C24" s="51">
        <v>21.28</v>
      </c>
      <c r="D24" s="51">
        <v>15.2</v>
      </c>
      <c r="E24" s="51">
        <v>9.1300000000000008</v>
      </c>
      <c r="F24" s="51">
        <v>5.71</v>
      </c>
      <c r="G24" s="51">
        <v>75.03</v>
      </c>
      <c r="H24" s="51">
        <v>48.47</v>
      </c>
      <c r="I24" s="51">
        <v>4.88</v>
      </c>
      <c r="J24" s="51">
        <v>0.39</v>
      </c>
      <c r="K24" s="51">
        <v>157.94</v>
      </c>
      <c r="L24" s="51">
        <v>26.39</v>
      </c>
      <c r="M24" s="51">
        <v>43.91</v>
      </c>
      <c r="N24" s="51">
        <v>90.8</v>
      </c>
      <c r="O24" s="51">
        <v>0</v>
      </c>
      <c r="P24" s="51">
        <v>0.59</v>
      </c>
      <c r="Q24" s="51">
        <v>4.75</v>
      </c>
    </row>
    <row r="25" spans="1:17" customFormat="1">
      <c r="A25" s="50" t="s">
        <v>100</v>
      </c>
      <c r="B25" s="51">
        <v>3.79</v>
      </c>
      <c r="C25" s="51">
        <v>21.27</v>
      </c>
      <c r="D25" s="51">
        <v>15.5</v>
      </c>
      <c r="E25" s="51">
        <v>9.19</v>
      </c>
      <c r="F25" s="51">
        <v>5.14</v>
      </c>
      <c r="G25" s="51">
        <v>74.62</v>
      </c>
      <c r="H25" s="51">
        <v>43.34</v>
      </c>
      <c r="I25" s="51">
        <v>4.84</v>
      </c>
      <c r="J25" s="51">
        <v>0.22</v>
      </c>
      <c r="K25" s="51">
        <v>178.14</v>
      </c>
      <c r="L25" s="51">
        <v>25.75</v>
      </c>
      <c r="M25" s="51">
        <v>50.16</v>
      </c>
      <c r="N25" s="51">
        <v>40.200000000000003</v>
      </c>
      <c r="O25" s="51">
        <v>0</v>
      </c>
      <c r="P25" s="51">
        <v>0.57999999999999996</v>
      </c>
      <c r="Q25" s="51">
        <v>4.7300000000000004</v>
      </c>
    </row>
    <row r="26" spans="1:17" customFormat="1">
      <c r="A26" s="50" t="s">
        <v>101</v>
      </c>
      <c r="B26" s="51">
        <v>4.32</v>
      </c>
      <c r="C26" s="51">
        <v>23.12</v>
      </c>
      <c r="D26" s="51">
        <v>16.89</v>
      </c>
      <c r="E26" s="51">
        <v>9.27</v>
      </c>
      <c r="F26" s="51">
        <v>4.6500000000000004</v>
      </c>
      <c r="G26" s="51">
        <v>72.930000000000007</v>
      </c>
      <c r="H26" s="51">
        <v>43.53</v>
      </c>
      <c r="I26" s="51">
        <v>4.75</v>
      </c>
      <c r="J26" s="51">
        <v>0.24</v>
      </c>
      <c r="K26" s="51">
        <v>162.77000000000001</v>
      </c>
      <c r="L26" s="51">
        <v>23.78</v>
      </c>
      <c r="M26" s="51">
        <v>62.86</v>
      </c>
      <c r="N26" s="51">
        <v>0.3</v>
      </c>
      <c r="O26" s="51">
        <v>0</v>
      </c>
      <c r="P26" s="51">
        <v>0.59</v>
      </c>
      <c r="Q26" s="51">
        <v>4.7300000000000004</v>
      </c>
    </row>
    <row r="27" spans="1:17" customFormat="1">
      <c r="A27" s="50" t="s">
        <v>102</v>
      </c>
      <c r="B27" s="51">
        <v>6.37</v>
      </c>
      <c r="C27" s="51">
        <v>21.39</v>
      </c>
      <c r="D27" s="51">
        <v>16.760000000000002</v>
      </c>
      <c r="E27" s="51">
        <v>5.78</v>
      </c>
      <c r="F27" s="51">
        <v>3.27</v>
      </c>
      <c r="G27" s="51">
        <v>163.55000000000001</v>
      </c>
      <c r="H27" s="51">
        <v>51.39</v>
      </c>
      <c r="I27" s="51">
        <v>5.37</v>
      </c>
      <c r="J27" s="51">
        <v>0.19</v>
      </c>
      <c r="K27" s="51">
        <v>168.3</v>
      </c>
      <c r="L27" s="51">
        <v>21.07</v>
      </c>
      <c r="M27" s="51">
        <v>78.62</v>
      </c>
      <c r="N27" s="51">
        <v>0</v>
      </c>
      <c r="O27" s="51">
        <v>0</v>
      </c>
      <c r="P27" s="51">
        <v>0.68</v>
      </c>
      <c r="Q27" s="51">
        <v>4.76</v>
      </c>
    </row>
    <row r="28" spans="1:17" customFormat="1">
      <c r="A28" s="50" t="s">
        <v>103</v>
      </c>
      <c r="B28" s="51">
        <v>7.96</v>
      </c>
      <c r="C28" s="51">
        <v>23.97</v>
      </c>
      <c r="D28" s="51">
        <v>20.260000000000002</v>
      </c>
      <c r="E28" s="51">
        <v>6.12</v>
      </c>
      <c r="F28" s="51">
        <v>2.61</v>
      </c>
      <c r="G28" s="51">
        <v>163.55000000000001</v>
      </c>
      <c r="H28" s="51">
        <v>52.48</v>
      </c>
      <c r="I28" s="51">
        <v>6.59</v>
      </c>
      <c r="J28" s="51">
        <v>0.17</v>
      </c>
      <c r="K28" s="51">
        <v>203.63</v>
      </c>
      <c r="L28" s="51">
        <v>20</v>
      </c>
      <c r="M28" s="51">
        <v>81.900000000000006</v>
      </c>
      <c r="N28" s="51">
        <v>0</v>
      </c>
      <c r="O28" s="51">
        <v>0</v>
      </c>
      <c r="P28" s="51">
        <v>0.84</v>
      </c>
      <c r="Q28" s="51">
        <v>4.82</v>
      </c>
    </row>
    <row r="29" spans="1:17" customFormat="1">
      <c r="A29" s="50" t="s">
        <v>104</v>
      </c>
      <c r="B29" s="51">
        <v>8.08</v>
      </c>
      <c r="C29" s="51">
        <v>23.68</v>
      </c>
      <c r="D29" s="51">
        <v>20.14</v>
      </c>
      <c r="E29" s="51">
        <v>5.99</v>
      </c>
      <c r="F29" s="51">
        <v>2.97</v>
      </c>
      <c r="G29" s="51">
        <v>130.69999999999999</v>
      </c>
      <c r="H29" s="51">
        <v>52.48</v>
      </c>
      <c r="I29" s="51">
        <v>7.5</v>
      </c>
      <c r="J29" s="51">
        <v>0.14000000000000001</v>
      </c>
      <c r="K29" s="51">
        <v>200.44</v>
      </c>
      <c r="L29" s="51">
        <v>18.940000000000001</v>
      </c>
      <c r="M29" s="51">
        <v>82.41</v>
      </c>
      <c r="N29" s="51">
        <v>0</v>
      </c>
      <c r="O29" s="51">
        <v>0</v>
      </c>
      <c r="P29" s="51">
        <v>0.87</v>
      </c>
      <c r="Q29" s="51">
        <v>4.8899999999999997</v>
      </c>
    </row>
    <row r="30" spans="1:17" customFormat="1">
      <c r="A30" s="50" t="s">
        <v>105</v>
      </c>
      <c r="B30" s="51">
        <v>9.15</v>
      </c>
      <c r="C30" s="51">
        <v>24.08</v>
      </c>
      <c r="D30" s="51">
        <v>21.26</v>
      </c>
      <c r="E30" s="51">
        <v>5.9</v>
      </c>
      <c r="F30" s="51">
        <v>2.71</v>
      </c>
      <c r="G30" s="51">
        <v>130.81</v>
      </c>
      <c r="H30" s="51">
        <v>57.48</v>
      </c>
      <c r="I30" s="51">
        <v>7.85</v>
      </c>
      <c r="J30" s="51">
        <v>0.13</v>
      </c>
      <c r="K30" s="51">
        <v>177.21</v>
      </c>
      <c r="L30" s="51">
        <v>18.48</v>
      </c>
      <c r="M30" s="51">
        <v>85.2</v>
      </c>
      <c r="N30" s="51">
        <v>0</v>
      </c>
      <c r="O30" s="51">
        <v>0</v>
      </c>
      <c r="P30" s="51">
        <v>0.9</v>
      </c>
      <c r="Q30" s="51">
        <v>4.9000000000000004</v>
      </c>
    </row>
    <row r="31" spans="1:17" customFormat="1">
      <c r="A31" s="50" t="s">
        <v>106</v>
      </c>
      <c r="B31" s="51">
        <v>9.0500000000000007</v>
      </c>
      <c r="C31" s="51">
        <v>23.27</v>
      </c>
      <c r="D31" s="51">
        <v>20.77</v>
      </c>
      <c r="E31" s="51">
        <v>5.84</v>
      </c>
      <c r="F31" s="51">
        <v>3.37</v>
      </c>
      <c r="G31" s="51">
        <v>130.81</v>
      </c>
      <c r="H31" s="51">
        <v>57.77</v>
      </c>
      <c r="I31" s="51">
        <v>7.95</v>
      </c>
      <c r="J31" s="51">
        <v>0.13</v>
      </c>
      <c r="K31" s="51">
        <v>173.84</v>
      </c>
      <c r="L31" s="51">
        <v>18.02</v>
      </c>
      <c r="M31" s="51">
        <v>80.989999999999995</v>
      </c>
      <c r="N31" s="51">
        <v>0</v>
      </c>
      <c r="O31" s="51">
        <v>0</v>
      </c>
      <c r="P31" s="51">
        <v>0.9</v>
      </c>
      <c r="Q31" s="51">
        <v>4.8899999999999997</v>
      </c>
    </row>
    <row r="32" spans="1:17" customFormat="1">
      <c r="A32" s="50" t="s">
        <v>107</v>
      </c>
      <c r="B32" s="51">
        <v>6.88</v>
      </c>
      <c r="C32" s="51">
        <v>21.79</v>
      </c>
      <c r="D32" s="51">
        <v>18.25</v>
      </c>
      <c r="E32" s="51">
        <v>6.02</v>
      </c>
      <c r="F32" s="51">
        <v>3.59</v>
      </c>
      <c r="G32" s="51">
        <v>99.33</v>
      </c>
      <c r="H32" s="51">
        <v>57.77</v>
      </c>
      <c r="I32" s="51">
        <v>7.88</v>
      </c>
      <c r="J32" s="51">
        <v>0.14000000000000001</v>
      </c>
      <c r="K32" s="51">
        <v>147.94999999999999</v>
      </c>
      <c r="L32" s="51">
        <v>17.739999999999998</v>
      </c>
      <c r="M32" s="51">
        <v>81.73</v>
      </c>
      <c r="N32" s="51">
        <v>0</v>
      </c>
      <c r="O32" s="51">
        <v>0</v>
      </c>
      <c r="P32" s="51">
        <v>0.87</v>
      </c>
      <c r="Q32" s="51">
        <v>4.8600000000000003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2.2599999999999998</v>
      </c>
      <c r="C34" s="41">
        <f t="shared" si="0"/>
        <v>14.66</v>
      </c>
      <c r="D34" s="41">
        <f t="shared" si="0"/>
        <v>10.82</v>
      </c>
      <c r="E34" s="41">
        <f t="shared" si="0"/>
        <v>5.71</v>
      </c>
      <c r="F34" s="41">
        <f t="shared" si="0"/>
        <v>2.54</v>
      </c>
      <c r="G34" s="41">
        <f t="shared" si="0"/>
        <v>72.930000000000007</v>
      </c>
      <c r="H34" s="41">
        <f t="shared" si="0"/>
        <v>43.34</v>
      </c>
      <c r="I34" s="41">
        <f t="shared" si="0"/>
        <v>4.75</v>
      </c>
      <c r="J34" s="41">
        <f t="shared" si="0"/>
        <v>0.08</v>
      </c>
      <c r="K34" s="41">
        <f t="shared" si="0"/>
        <v>123.05</v>
      </c>
      <c r="L34" s="41">
        <f t="shared" si="0"/>
        <v>14.95</v>
      </c>
      <c r="M34" s="41">
        <f t="shared" si="0"/>
        <v>42.64</v>
      </c>
      <c r="N34" s="41">
        <f t="shared" si="0"/>
        <v>0</v>
      </c>
      <c r="O34" s="41">
        <f t="shared" si="0"/>
        <v>0</v>
      </c>
      <c r="P34" s="41">
        <f t="shared" si="0"/>
        <v>0.57999999999999996</v>
      </c>
      <c r="Q34" s="41">
        <f t="shared" si="0"/>
        <v>4.7300000000000004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17.18</v>
      </c>
      <c r="C35" s="33">
        <f t="shared" si="1"/>
        <v>25.7</v>
      </c>
      <c r="D35" s="33">
        <f t="shared" si="1"/>
        <v>28.12</v>
      </c>
      <c r="E35" s="33">
        <f t="shared" si="1"/>
        <v>12.56</v>
      </c>
      <c r="F35" s="33">
        <f t="shared" si="1"/>
        <v>16.649999999999999</v>
      </c>
      <c r="G35" s="33">
        <f t="shared" si="1"/>
        <v>163.55000000000001</v>
      </c>
      <c r="H35" s="33">
        <f t="shared" si="1"/>
        <v>57.77</v>
      </c>
      <c r="I35" s="33">
        <f t="shared" si="1"/>
        <v>9.7100000000000009</v>
      </c>
      <c r="J35" s="33">
        <f t="shared" si="1"/>
        <v>0.39</v>
      </c>
      <c r="K35" s="33">
        <f t="shared" si="1"/>
        <v>278.62</v>
      </c>
      <c r="L35" s="33">
        <f t="shared" si="1"/>
        <v>27.54</v>
      </c>
      <c r="M35" s="33">
        <f t="shared" si="1"/>
        <v>96.07</v>
      </c>
      <c r="N35" s="33">
        <f t="shared" si="1"/>
        <v>399.5</v>
      </c>
      <c r="O35" s="33">
        <f t="shared" si="1"/>
        <v>0</v>
      </c>
      <c r="P35" s="33">
        <f t="shared" si="1"/>
        <v>0.96</v>
      </c>
      <c r="Q35" s="33">
        <f t="shared" si="1"/>
        <v>4.96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8.6133333333333351</v>
      </c>
      <c r="C36" s="41">
        <f t="shared" si="2"/>
        <v>22.201250000000002</v>
      </c>
      <c r="D36" s="41">
        <f t="shared" si="2"/>
        <v>19.769166666666667</v>
      </c>
      <c r="E36" s="41">
        <f t="shared" si="2"/>
        <v>7.4037500000000023</v>
      </c>
      <c r="F36" s="41">
        <f t="shared" si="2"/>
        <v>4.967083333333334</v>
      </c>
      <c r="G36" s="41">
        <f t="shared" si="2"/>
        <v>99.827083333333334</v>
      </c>
      <c r="H36" s="41">
        <f t="shared" si="2"/>
        <v>53.334166666666668</v>
      </c>
      <c r="I36" s="41">
        <f t="shared" si="2"/>
        <v>7.7041666666666666</v>
      </c>
      <c r="J36" s="41">
        <f t="shared" si="2"/>
        <v>0.2091666666666667</v>
      </c>
      <c r="K36" s="41">
        <f t="shared" si="2"/>
        <v>196.18625</v>
      </c>
      <c r="L36" s="41">
        <f t="shared" si="2"/>
        <v>20.544166666666669</v>
      </c>
      <c r="M36" s="41">
        <f t="shared" si="2"/>
        <v>75.515000000000015</v>
      </c>
      <c r="N36" s="41">
        <f t="shared" si="2"/>
        <v>94.129166666666677</v>
      </c>
      <c r="O36" s="41">
        <f t="shared" si="2"/>
        <v>0</v>
      </c>
      <c r="P36" s="41">
        <f t="shared" si="2"/>
        <v>0.82208333333333339</v>
      </c>
      <c r="Q36" s="41">
        <f t="shared" si="2"/>
        <v>4.8554166666666676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4.5223576639381022</v>
      </c>
      <c r="C37" s="41">
        <f t="shared" ref="C37:Q37" si="3">STDEV(C9:C32)</f>
        <v>2.4610749021338076</v>
      </c>
      <c r="D37" s="41">
        <f t="shared" si="3"/>
        <v>4.6624428348673534</v>
      </c>
      <c r="E37" s="41">
        <f t="shared" si="3"/>
        <v>1.9422439118307062</v>
      </c>
      <c r="F37" s="41">
        <f t="shared" si="3"/>
        <v>4.1124947248986015</v>
      </c>
      <c r="G37" s="41">
        <f t="shared" si="3"/>
        <v>25.452459090073926</v>
      </c>
      <c r="H37" s="41">
        <f t="shared" si="3"/>
        <v>3.8340056436268202</v>
      </c>
      <c r="I37" s="41">
        <f t="shared" si="3"/>
        <v>1.7862759820525969</v>
      </c>
      <c r="J37" s="41">
        <f t="shared" si="3"/>
        <v>9.6905003535137077E-2</v>
      </c>
      <c r="K37" s="41">
        <f t="shared" si="3"/>
        <v>42.264707840044764</v>
      </c>
      <c r="L37" s="41">
        <f t="shared" si="3"/>
        <v>4.4300779428481833</v>
      </c>
      <c r="M37" s="41">
        <f t="shared" si="3"/>
        <v>19.329599514508875</v>
      </c>
      <c r="N37" s="41">
        <f t="shared" si="3"/>
        <v>144.46822271069996</v>
      </c>
      <c r="O37" s="41">
        <f t="shared" si="3"/>
        <v>0</v>
      </c>
      <c r="P37" s="41">
        <f t="shared" si="3"/>
        <v>0.13931444466656642</v>
      </c>
      <c r="Q37" s="41">
        <f t="shared" si="3"/>
        <v>7.1199607147559199E-2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03/01/2024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108</v>
      </c>
      <c r="B9" s="51">
        <v>4.76</v>
      </c>
      <c r="C9" s="51">
        <v>20.71</v>
      </c>
      <c r="D9" s="51">
        <v>15.83</v>
      </c>
      <c r="E9" s="51">
        <v>5.45</v>
      </c>
      <c r="F9" s="51">
        <v>3.54</v>
      </c>
      <c r="G9" s="51">
        <v>71.03</v>
      </c>
      <c r="H9" s="51">
        <v>53.29</v>
      </c>
      <c r="I9" s="51">
        <v>7.41</v>
      </c>
      <c r="J9" s="51">
        <v>0.21</v>
      </c>
      <c r="K9" s="51">
        <v>272.36</v>
      </c>
      <c r="L9" s="51">
        <v>17.02</v>
      </c>
      <c r="M9" s="51">
        <v>87.26</v>
      </c>
      <c r="N9" s="51">
        <v>0</v>
      </c>
      <c r="O9" s="51">
        <v>0</v>
      </c>
      <c r="P9" s="51">
        <v>0.81</v>
      </c>
      <c r="Q9" s="51">
        <v>4.82</v>
      </c>
    </row>
    <row r="10" spans="1:21" customFormat="1">
      <c r="A10" s="50" t="s">
        <v>109</v>
      </c>
      <c r="B10" s="51">
        <v>4.93</v>
      </c>
      <c r="C10" s="51">
        <v>20.21</v>
      </c>
      <c r="D10" s="51">
        <v>15.78</v>
      </c>
      <c r="E10" s="51">
        <v>5.86</v>
      </c>
      <c r="F10" s="51">
        <v>3.37</v>
      </c>
      <c r="G10" s="51">
        <v>71.03</v>
      </c>
      <c r="H10" s="51">
        <v>48.57</v>
      </c>
      <c r="I10" s="51">
        <v>6.85</v>
      </c>
      <c r="J10" s="51">
        <v>0.12</v>
      </c>
      <c r="K10" s="51">
        <v>234.68</v>
      </c>
      <c r="L10" s="51">
        <v>16.440000000000001</v>
      </c>
      <c r="M10" s="51">
        <v>91.24</v>
      </c>
      <c r="N10" s="51">
        <v>0</v>
      </c>
      <c r="O10" s="51">
        <v>0</v>
      </c>
      <c r="P10" s="51">
        <v>0.74</v>
      </c>
      <c r="Q10" s="51">
        <v>4.8</v>
      </c>
    </row>
    <row r="11" spans="1:21" customFormat="1">
      <c r="A11" s="50" t="s">
        <v>110</v>
      </c>
      <c r="B11" s="51">
        <v>5.33</v>
      </c>
      <c r="C11" s="51">
        <v>19.96</v>
      </c>
      <c r="D11" s="51">
        <v>15.87</v>
      </c>
      <c r="E11" s="51">
        <v>6.38</v>
      </c>
      <c r="F11" s="51">
        <v>2.95</v>
      </c>
      <c r="G11" s="51">
        <v>48.4</v>
      </c>
      <c r="H11" s="51">
        <v>44.42</v>
      </c>
      <c r="I11" s="51">
        <v>6.45</v>
      </c>
      <c r="J11" s="51">
        <v>0.17</v>
      </c>
      <c r="K11" s="51">
        <v>246.66</v>
      </c>
      <c r="L11" s="51">
        <v>15.95</v>
      </c>
      <c r="M11" s="51">
        <v>94.09</v>
      </c>
      <c r="N11" s="51">
        <v>0</v>
      </c>
      <c r="O11" s="51">
        <v>0</v>
      </c>
      <c r="P11" s="51">
        <v>0.69</v>
      </c>
      <c r="Q11" s="51">
        <v>4.8</v>
      </c>
    </row>
    <row r="12" spans="1:21" customFormat="1">
      <c r="A12" s="50" t="s">
        <v>111</v>
      </c>
      <c r="B12" s="51">
        <v>6.01</v>
      </c>
      <c r="C12" s="51">
        <v>19.48</v>
      </c>
      <c r="D12" s="51">
        <v>16.100000000000001</v>
      </c>
      <c r="E12" s="51">
        <v>6.34</v>
      </c>
      <c r="F12" s="51">
        <v>3.01</v>
      </c>
      <c r="G12" s="51">
        <v>49.65</v>
      </c>
      <c r="H12" s="51">
        <v>40.51</v>
      </c>
      <c r="I12" s="51">
        <v>6.07</v>
      </c>
      <c r="J12" s="51">
        <v>0.1</v>
      </c>
      <c r="K12" s="51">
        <v>205.8</v>
      </c>
      <c r="L12" s="51">
        <v>15.46</v>
      </c>
      <c r="M12" s="51">
        <v>94.89</v>
      </c>
      <c r="N12" s="51">
        <v>0</v>
      </c>
      <c r="O12" s="51">
        <v>0</v>
      </c>
      <c r="P12" s="51">
        <v>0.64</v>
      </c>
      <c r="Q12" s="51">
        <v>4.79</v>
      </c>
    </row>
    <row r="13" spans="1:21" customFormat="1">
      <c r="A13" s="50" t="s">
        <v>112</v>
      </c>
      <c r="B13" s="51">
        <v>6.42</v>
      </c>
      <c r="C13" s="51">
        <v>17.739999999999998</v>
      </c>
      <c r="D13" s="51">
        <v>15.77</v>
      </c>
      <c r="E13" s="51">
        <v>6.11</v>
      </c>
      <c r="F13" s="51">
        <v>3.12</v>
      </c>
      <c r="G13" s="51">
        <v>49.65</v>
      </c>
      <c r="H13" s="51">
        <v>38.53</v>
      </c>
      <c r="I13" s="51">
        <v>5.75</v>
      </c>
      <c r="J13" s="51">
        <v>0.1</v>
      </c>
      <c r="K13" s="51">
        <v>231.56</v>
      </c>
      <c r="L13" s="51">
        <v>14.95</v>
      </c>
      <c r="M13" s="51">
        <v>95.92</v>
      </c>
      <c r="N13" s="51">
        <v>0</v>
      </c>
      <c r="O13" s="51">
        <v>0</v>
      </c>
      <c r="P13" s="51">
        <v>0.6</v>
      </c>
      <c r="Q13" s="51">
        <v>4.8</v>
      </c>
    </row>
    <row r="14" spans="1:21" customFormat="1">
      <c r="A14" s="50" t="s">
        <v>113</v>
      </c>
      <c r="B14" s="51">
        <v>14.59</v>
      </c>
      <c r="C14" s="51">
        <v>22.05</v>
      </c>
      <c r="D14" s="51">
        <v>24.57</v>
      </c>
      <c r="E14" s="51">
        <v>6.31</v>
      </c>
      <c r="F14" s="51">
        <v>2.72</v>
      </c>
      <c r="G14" s="51">
        <v>68.510000000000005</v>
      </c>
      <c r="H14" s="51">
        <v>38.53</v>
      </c>
      <c r="I14" s="51">
        <v>5.59</v>
      </c>
      <c r="J14" s="51">
        <v>0.11</v>
      </c>
      <c r="K14" s="51">
        <v>142.46</v>
      </c>
      <c r="L14" s="51">
        <v>14.88</v>
      </c>
      <c r="M14" s="51">
        <v>95.8</v>
      </c>
      <c r="N14" s="51">
        <v>0</v>
      </c>
      <c r="O14" s="51">
        <v>0</v>
      </c>
      <c r="P14" s="51">
        <v>0.6</v>
      </c>
      <c r="Q14" s="51">
        <v>4.9000000000000004</v>
      </c>
    </row>
    <row r="15" spans="1:21" customFormat="1">
      <c r="A15" s="50" t="s">
        <v>114</v>
      </c>
      <c r="B15" s="51">
        <v>19.2</v>
      </c>
      <c r="C15" s="51">
        <v>23.27</v>
      </c>
      <c r="D15" s="51">
        <v>28.91</v>
      </c>
      <c r="E15" s="51">
        <v>6.52</v>
      </c>
      <c r="F15" s="51">
        <v>2.62</v>
      </c>
      <c r="G15" s="51">
        <v>78.13</v>
      </c>
      <c r="H15" s="51">
        <v>41.14</v>
      </c>
      <c r="I15" s="51">
        <v>6.24</v>
      </c>
      <c r="J15" s="51">
        <v>0.14000000000000001</v>
      </c>
      <c r="K15" s="51">
        <v>157.05000000000001</v>
      </c>
      <c r="L15" s="51">
        <v>15.14</v>
      </c>
      <c r="M15" s="51">
        <v>95.75</v>
      </c>
      <c r="N15" s="51">
        <v>2.5</v>
      </c>
      <c r="O15" s="51">
        <v>0</v>
      </c>
      <c r="P15" s="51">
        <v>0.68</v>
      </c>
      <c r="Q15" s="51">
        <v>4.99</v>
      </c>
    </row>
    <row r="16" spans="1:21" customFormat="1">
      <c r="A16" s="50" t="s">
        <v>115</v>
      </c>
      <c r="B16" s="51">
        <v>20.25</v>
      </c>
      <c r="C16" s="51">
        <v>24.95</v>
      </c>
      <c r="D16" s="51">
        <v>30.63</v>
      </c>
      <c r="E16" s="51">
        <v>6.26</v>
      </c>
      <c r="F16" s="51">
        <v>2.71</v>
      </c>
      <c r="G16" s="51">
        <v>106.09</v>
      </c>
      <c r="H16" s="51">
        <v>50.35</v>
      </c>
      <c r="I16" s="51">
        <v>7.69</v>
      </c>
      <c r="J16" s="51">
        <v>0.2</v>
      </c>
      <c r="K16" s="51">
        <v>148.94</v>
      </c>
      <c r="L16" s="51">
        <v>16.600000000000001</v>
      </c>
      <c r="M16" s="51">
        <v>94.54</v>
      </c>
      <c r="N16" s="51">
        <v>48.8</v>
      </c>
      <c r="O16" s="51">
        <v>0</v>
      </c>
      <c r="P16" s="51">
        <v>0.79</v>
      </c>
      <c r="Q16" s="51">
        <v>5.03</v>
      </c>
    </row>
    <row r="17" spans="1:17" customFormat="1">
      <c r="A17" s="50" t="s">
        <v>116</v>
      </c>
      <c r="B17" s="51">
        <v>20.21</v>
      </c>
      <c r="C17" s="51">
        <v>27.3</v>
      </c>
      <c r="D17" s="51">
        <v>31.4</v>
      </c>
      <c r="E17" s="51">
        <v>6.53</v>
      </c>
      <c r="F17" s="51">
        <v>2.77</v>
      </c>
      <c r="G17" s="51">
        <v>125.16</v>
      </c>
      <c r="H17" s="51">
        <v>52.98</v>
      </c>
      <c r="I17" s="51">
        <v>8.7200000000000006</v>
      </c>
      <c r="J17" s="51">
        <v>0.3</v>
      </c>
      <c r="K17" s="51">
        <v>130.21</v>
      </c>
      <c r="L17" s="51">
        <v>19.850000000000001</v>
      </c>
      <c r="M17" s="51">
        <v>86.19</v>
      </c>
      <c r="N17" s="51">
        <v>179.9</v>
      </c>
      <c r="O17" s="51">
        <v>0</v>
      </c>
      <c r="P17" s="51">
        <v>0.87</v>
      </c>
      <c r="Q17" s="51">
        <v>5.03</v>
      </c>
    </row>
    <row r="18" spans="1:17" customFormat="1">
      <c r="A18" s="50" t="s">
        <v>117</v>
      </c>
      <c r="B18" s="51">
        <v>16.489999999999998</v>
      </c>
      <c r="C18" s="51">
        <v>26.49</v>
      </c>
      <c r="D18" s="51">
        <v>28.42</v>
      </c>
      <c r="E18" s="51">
        <v>6.82</v>
      </c>
      <c r="F18" s="51">
        <v>3.12</v>
      </c>
      <c r="G18" s="51">
        <v>125.16</v>
      </c>
      <c r="H18" s="51">
        <v>57.15</v>
      </c>
      <c r="I18" s="51">
        <v>8.94</v>
      </c>
      <c r="J18" s="51">
        <v>0.37</v>
      </c>
      <c r="K18" s="51">
        <v>223.03</v>
      </c>
      <c r="L18" s="51">
        <v>23.38</v>
      </c>
      <c r="M18" s="51">
        <v>71.430000000000007</v>
      </c>
      <c r="N18" s="51">
        <v>184.1</v>
      </c>
      <c r="O18" s="51">
        <v>0</v>
      </c>
      <c r="P18" s="51">
        <v>0.89</v>
      </c>
      <c r="Q18" s="51">
        <v>5</v>
      </c>
    </row>
    <row r="19" spans="1:17" customFormat="1">
      <c r="A19" s="50" t="s">
        <v>118</v>
      </c>
      <c r="B19" s="51">
        <v>10.35</v>
      </c>
      <c r="C19" s="51">
        <v>26.45</v>
      </c>
      <c r="D19" s="51">
        <v>23.47</v>
      </c>
      <c r="E19" s="51">
        <v>7.76</v>
      </c>
      <c r="F19" s="51">
        <v>3.78</v>
      </c>
      <c r="G19" s="51">
        <v>114.39</v>
      </c>
      <c r="H19" s="51">
        <v>57.15</v>
      </c>
      <c r="I19" s="51">
        <v>8.73</v>
      </c>
      <c r="J19" s="51">
        <v>0.37</v>
      </c>
      <c r="K19" s="51">
        <v>125.39</v>
      </c>
      <c r="L19" s="51">
        <v>25.72</v>
      </c>
      <c r="M19" s="51">
        <v>57.87</v>
      </c>
      <c r="N19" s="51">
        <v>390.4</v>
      </c>
      <c r="O19" s="51">
        <v>0</v>
      </c>
      <c r="P19" s="51">
        <v>0.85</v>
      </c>
      <c r="Q19" s="51">
        <v>4.92</v>
      </c>
    </row>
    <row r="20" spans="1:17" customFormat="1">
      <c r="A20" s="50" t="s">
        <v>119</v>
      </c>
      <c r="B20" s="51">
        <v>5.78</v>
      </c>
      <c r="C20" s="51">
        <v>24.96</v>
      </c>
      <c r="D20" s="51">
        <v>19.02</v>
      </c>
      <c r="E20" s="51">
        <v>7.92</v>
      </c>
      <c r="F20" s="51">
        <v>4.5599999999999996</v>
      </c>
      <c r="G20" s="51">
        <v>95.62</v>
      </c>
      <c r="H20" s="51">
        <v>54.34</v>
      </c>
      <c r="I20" s="51">
        <v>8.0500000000000007</v>
      </c>
      <c r="J20" s="51">
        <v>0.36</v>
      </c>
      <c r="K20" s="51">
        <v>156.75</v>
      </c>
      <c r="L20" s="51">
        <v>26.93</v>
      </c>
      <c r="M20" s="51">
        <v>50.36</v>
      </c>
      <c r="N20" s="51">
        <v>431.8</v>
      </c>
      <c r="O20" s="51">
        <v>0</v>
      </c>
      <c r="P20" s="51">
        <v>0.8</v>
      </c>
      <c r="Q20" s="51">
        <v>4.79</v>
      </c>
    </row>
    <row r="21" spans="1:17" customFormat="1">
      <c r="A21" s="50" t="s">
        <v>120</v>
      </c>
      <c r="B21" s="51">
        <v>4.43</v>
      </c>
      <c r="C21" s="51">
        <v>22.78</v>
      </c>
      <c r="D21" s="51">
        <v>16.809999999999999</v>
      </c>
      <c r="E21" s="51">
        <v>7.73</v>
      </c>
      <c r="F21" s="51">
        <v>5.04</v>
      </c>
      <c r="G21" s="51">
        <v>86.82</v>
      </c>
      <c r="H21" s="51">
        <v>50.81</v>
      </c>
      <c r="I21" s="51">
        <v>7.35</v>
      </c>
      <c r="J21" s="51">
        <v>0.37</v>
      </c>
      <c r="K21" s="51">
        <v>152.35</v>
      </c>
      <c r="L21" s="51">
        <v>28.15</v>
      </c>
      <c r="M21" s="51">
        <v>45.12</v>
      </c>
      <c r="N21" s="51">
        <v>421.4</v>
      </c>
      <c r="O21" s="51">
        <v>0</v>
      </c>
      <c r="P21" s="51">
        <v>0.74</v>
      </c>
      <c r="Q21" s="51">
        <v>4.74</v>
      </c>
    </row>
    <row r="22" spans="1:17" customFormat="1">
      <c r="A22" s="50" t="s">
        <v>121</v>
      </c>
      <c r="B22" s="51">
        <v>4.53</v>
      </c>
      <c r="C22" s="51">
        <v>21.32</v>
      </c>
      <c r="D22" s="51">
        <v>15.87</v>
      </c>
      <c r="E22" s="51">
        <v>7.81</v>
      </c>
      <c r="F22" s="51">
        <v>5.77</v>
      </c>
      <c r="G22" s="51">
        <v>73.03</v>
      </c>
      <c r="H22" s="51">
        <v>45.87</v>
      </c>
      <c r="I22" s="51">
        <v>6.65</v>
      </c>
      <c r="J22" s="51">
        <v>0.42</v>
      </c>
      <c r="K22" s="51">
        <v>144.87</v>
      </c>
      <c r="L22" s="51">
        <v>28.15</v>
      </c>
      <c r="M22" s="51">
        <v>38.96</v>
      </c>
      <c r="N22" s="51">
        <v>397.9</v>
      </c>
      <c r="O22" s="51">
        <v>0</v>
      </c>
      <c r="P22" s="51">
        <v>0.67</v>
      </c>
      <c r="Q22" s="51">
        <v>4.75</v>
      </c>
    </row>
    <row r="23" spans="1:17" customFormat="1">
      <c r="A23" s="50" t="s">
        <v>122</v>
      </c>
      <c r="B23" s="51">
        <v>4.75</v>
      </c>
      <c r="C23" s="51">
        <v>18.170000000000002</v>
      </c>
      <c r="D23" s="51">
        <v>14.44</v>
      </c>
      <c r="E23" s="51">
        <v>7.31</v>
      </c>
      <c r="F23" s="51">
        <v>4.87</v>
      </c>
      <c r="G23" s="51">
        <v>57.74</v>
      </c>
      <c r="H23" s="51">
        <v>38.97</v>
      </c>
      <c r="I23" s="51">
        <v>6.11</v>
      </c>
      <c r="J23" s="51">
        <v>0.48</v>
      </c>
      <c r="K23" s="51">
        <v>155.41</v>
      </c>
      <c r="L23" s="51">
        <v>27.2</v>
      </c>
      <c r="M23" s="51">
        <v>39.21</v>
      </c>
      <c r="N23" s="51">
        <v>247.3</v>
      </c>
      <c r="O23" s="51">
        <v>0</v>
      </c>
      <c r="P23" s="51">
        <v>0.57999999999999996</v>
      </c>
      <c r="Q23" s="51">
        <v>4.74</v>
      </c>
    </row>
    <row r="24" spans="1:17" customFormat="1">
      <c r="A24" s="50" t="s">
        <v>123</v>
      </c>
      <c r="B24" s="51">
        <v>4.97</v>
      </c>
      <c r="C24" s="51">
        <v>15.34</v>
      </c>
      <c r="D24" s="51">
        <v>13.33</v>
      </c>
      <c r="E24" s="51">
        <v>6.65</v>
      </c>
      <c r="F24" s="51">
        <v>3.87</v>
      </c>
      <c r="G24" s="51">
        <v>57.74</v>
      </c>
      <c r="H24" s="51">
        <v>38.97</v>
      </c>
      <c r="I24" s="51">
        <v>5.86</v>
      </c>
      <c r="J24" s="51">
        <v>0.43</v>
      </c>
      <c r="K24" s="51">
        <v>116.27</v>
      </c>
      <c r="L24" s="51">
        <v>26.53</v>
      </c>
      <c r="M24" s="51">
        <v>39.43</v>
      </c>
      <c r="N24" s="51">
        <v>81.2</v>
      </c>
      <c r="O24" s="51">
        <v>0</v>
      </c>
      <c r="P24" s="51">
        <v>0.55000000000000004</v>
      </c>
      <c r="Q24" s="51">
        <v>4.8600000000000003</v>
      </c>
    </row>
    <row r="25" spans="1:17" customFormat="1">
      <c r="A25" s="50" t="s">
        <v>124</v>
      </c>
      <c r="B25" s="51">
        <v>5.23</v>
      </c>
      <c r="C25" s="51">
        <v>16.39</v>
      </c>
      <c r="D25" s="51">
        <v>14.11</v>
      </c>
      <c r="E25" s="51">
        <v>7.01</v>
      </c>
      <c r="F25" s="51">
        <v>3.62</v>
      </c>
      <c r="G25" s="51">
        <v>57.16</v>
      </c>
      <c r="H25" s="51">
        <v>36.619999999999997</v>
      </c>
      <c r="I25" s="51">
        <v>5.67</v>
      </c>
      <c r="J25" s="51">
        <v>0.23</v>
      </c>
      <c r="K25" s="51">
        <v>161.13</v>
      </c>
      <c r="L25" s="51">
        <v>25.86</v>
      </c>
      <c r="M25" s="51">
        <v>46.28</v>
      </c>
      <c r="N25" s="51">
        <v>44.1</v>
      </c>
      <c r="O25" s="51">
        <v>0</v>
      </c>
      <c r="P25" s="51">
        <v>0.53</v>
      </c>
      <c r="Q25" s="51">
        <v>4.87</v>
      </c>
    </row>
    <row r="26" spans="1:17" customFormat="1">
      <c r="A26" s="50" t="s">
        <v>125</v>
      </c>
      <c r="B26" s="51">
        <v>5.62</v>
      </c>
      <c r="C26" s="51">
        <v>18.899999999999999</v>
      </c>
      <c r="D26" s="51">
        <v>15.73</v>
      </c>
      <c r="E26" s="51">
        <v>7.34</v>
      </c>
      <c r="F26" s="51">
        <v>3.29</v>
      </c>
      <c r="G26" s="51">
        <v>74.5</v>
      </c>
      <c r="H26" s="51">
        <v>40.590000000000003</v>
      </c>
      <c r="I26" s="51">
        <v>5.65</v>
      </c>
      <c r="J26" s="51">
        <v>0.22</v>
      </c>
      <c r="K26" s="51">
        <v>168.83</v>
      </c>
      <c r="L26" s="51">
        <v>23.99</v>
      </c>
      <c r="M26" s="51">
        <v>65.569999999999993</v>
      </c>
      <c r="N26" s="51">
        <v>0.5</v>
      </c>
      <c r="O26" s="51">
        <v>0</v>
      </c>
      <c r="P26" s="51">
        <v>0.56000000000000005</v>
      </c>
      <c r="Q26" s="51">
        <v>4.87</v>
      </c>
    </row>
    <row r="27" spans="1:17" customFormat="1">
      <c r="A27" s="50" t="s">
        <v>126</v>
      </c>
      <c r="B27" s="51">
        <v>5.99</v>
      </c>
      <c r="C27" s="51">
        <v>21.34</v>
      </c>
      <c r="D27" s="51">
        <v>17.3</v>
      </c>
      <c r="E27" s="51">
        <v>7.02</v>
      </c>
      <c r="F27" s="51">
        <v>2.94</v>
      </c>
      <c r="G27" s="51">
        <v>108.29</v>
      </c>
      <c r="H27" s="51">
        <v>40.590000000000003</v>
      </c>
      <c r="I27" s="51">
        <v>5.94</v>
      </c>
      <c r="J27" s="51">
        <v>0.21</v>
      </c>
      <c r="K27" s="51">
        <v>178.2</v>
      </c>
      <c r="L27" s="51">
        <v>21.13</v>
      </c>
      <c r="M27" s="51">
        <v>75.19</v>
      </c>
      <c r="N27" s="51">
        <v>0</v>
      </c>
      <c r="O27" s="51">
        <v>0</v>
      </c>
      <c r="P27" s="51">
        <v>0.62</v>
      </c>
      <c r="Q27" s="51">
        <v>4.9000000000000004</v>
      </c>
    </row>
    <row r="28" spans="1:17" customFormat="1">
      <c r="A28" s="50" t="s">
        <v>127</v>
      </c>
      <c r="B28" s="51">
        <v>6.04</v>
      </c>
      <c r="C28" s="51">
        <v>23.05</v>
      </c>
      <c r="D28" s="51">
        <v>18.239999999999998</v>
      </c>
      <c r="E28" s="51">
        <v>6.86</v>
      </c>
      <c r="F28" s="51">
        <v>3.06</v>
      </c>
      <c r="G28" s="51">
        <v>108.29</v>
      </c>
      <c r="H28" s="51">
        <v>41.19</v>
      </c>
      <c r="I28" s="51">
        <v>6.36</v>
      </c>
      <c r="J28" s="51">
        <v>0.23</v>
      </c>
      <c r="K28" s="51">
        <v>189.19</v>
      </c>
      <c r="L28" s="51">
        <v>20.23</v>
      </c>
      <c r="M28" s="51">
        <v>75.16</v>
      </c>
      <c r="N28" s="51">
        <v>0</v>
      </c>
      <c r="O28" s="51">
        <v>0</v>
      </c>
      <c r="P28" s="51">
        <v>0.68</v>
      </c>
      <c r="Q28" s="51">
        <v>4.92</v>
      </c>
    </row>
    <row r="29" spans="1:17" customFormat="1">
      <c r="A29" s="50" t="s">
        <v>128</v>
      </c>
      <c r="B29" s="51">
        <v>6.16</v>
      </c>
      <c r="C29" s="51">
        <v>23.22</v>
      </c>
      <c r="D29" s="51">
        <v>18.32</v>
      </c>
      <c r="E29" s="51">
        <v>6.92</v>
      </c>
      <c r="F29" s="51">
        <v>3.02</v>
      </c>
      <c r="G29" s="51">
        <v>100.5</v>
      </c>
      <c r="H29" s="51">
        <v>41.19</v>
      </c>
      <c r="I29" s="51">
        <v>6.94</v>
      </c>
      <c r="J29" s="51">
        <v>0.17</v>
      </c>
      <c r="K29" s="51">
        <v>193.35</v>
      </c>
      <c r="L29" s="51">
        <v>19.46</v>
      </c>
      <c r="M29" s="51">
        <v>79.040000000000006</v>
      </c>
      <c r="N29" s="51">
        <v>0</v>
      </c>
      <c r="O29" s="51">
        <v>0</v>
      </c>
      <c r="P29" s="51">
        <v>0.69</v>
      </c>
      <c r="Q29" s="51">
        <v>4.8899999999999997</v>
      </c>
    </row>
    <row r="30" spans="1:17" customFormat="1">
      <c r="A30" s="50" t="s">
        <v>129</v>
      </c>
      <c r="B30" s="51">
        <v>5.81</v>
      </c>
      <c r="C30" s="51">
        <v>23.15</v>
      </c>
      <c r="D30" s="51">
        <v>18.100000000000001</v>
      </c>
      <c r="E30" s="51">
        <v>7.35</v>
      </c>
      <c r="F30" s="51">
        <v>3.08</v>
      </c>
      <c r="G30" s="51">
        <v>94.71</v>
      </c>
      <c r="H30" s="51">
        <v>41.54</v>
      </c>
      <c r="I30" s="51">
        <v>7.15</v>
      </c>
      <c r="J30" s="51">
        <v>0.15</v>
      </c>
      <c r="K30" s="51">
        <v>292.33</v>
      </c>
      <c r="L30" s="51">
        <v>19.100000000000001</v>
      </c>
      <c r="M30" s="51">
        <v>76.319999999999993</v>
      </c>
      <c r="N30" s="51">
        <v>0</v>
      </c>
      <c r="O30" s="51">
        <v>0</v>
      </c>
      <c r="P30" s="51">
        <v>0.69</v>
      </c>
      <c r="Q30" s="51">
        <v>4.8499999999999996</v>
      </c>
    </row>
    <row r="31" spans="1:17" customFormat="1">
      <c r="A31" s="50" t="s">
        <v>130</v>
      </c>
      <c r="B31" s="51">
        <v>5.46</v>
      </c>
      <c r="C31" s="51">
        <v>22.46</v>
      </c>
      <c r="D31" s="51">
        <v>17.47</v>
      </c>
      <c r="E31" s="51">
        <v>6.98</v>
      </c>
      <c r="F31" s="51">
        <v>3.26</v>
      </c>
      <c r="G31" s="51">
        <v>85.35</v>
      </c>
      <c r="H31" s="51">
        <v>41.54</v>
      </c>
      <c r="I31" s="51">
        <v>7.14</v>
      </c>
      <c r="J31" s="51">
        <v>0.08</v>
      </c>
      <c r="K31" s="51">
        <v>304.32</v>
      </c>
      <c r="L31" s="51">
        <v>18.3</v>
      </c>
      <c r="M31" s="51">
        <v>82.72</v>
      </c>
      <c r="N31" s="51">
        <v>0</v>
      </c>
      <c r="O31" s="51">
        <v>0</v>
      </c>
      <c r="P31" s="51">
        <v>0.69</v>
      </c>
      <c r="Q31" s="51">
        <v>4.82</v>
      </c>
    </row>
    <row r="32" spans="1:17" customFormat="1">
      <c r="A32" s="50" t="s">
        <v>131</v>
      </c>
      <c r="B32" s="51">
        <v>5.39</v>
      </c>
      <c r="C32" s="51">
        <v>21.71</v>
      </c>
      <c r="D32" s="51">
        <v>16.96</v>
      </c>
      <c r="E32" s="51">
        <v>7.3</v>
      </c>
      <c r="F32" s="51">
        <v>3.46</v>
      </c>
      <c r="G32" s="51">
        <v>85.35</v>
      </c>
      <c r="H32" s="51">
        <v>40.909999999999997</v>
      </c>
      <c r="I32" s="51">
        <v>7.06</v>
      </c>
      <c r="J32" s="51">
        <v>0.34</v>
      </c>
      <c r="K32" s="51">
        <v>184.65</v>
      </c>
      <c r="L32" s="51">
        <v>17.510000000000002</v>
      </c>
      <c r="M32" s="51">
        <v>83.21</v>
      </c>
      <c r="N32" s="51">
        <v>0</v>
      </c>
      <c r="O32" s="51">
        <v>0</v>
      </c>
      <c r="P32" s="51">
        <v>0.66</v>
      </c>
      <c r="Q32" s="51">
        <v>4.79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4.43</v>
      </c>
      <c r="C34" s="41">
        <f t="shared" si="0"/>
        <v>15.34</v>
      </c>
      <c r="D34" s="41">
        <f t="shared" si="0"/>
        <v>13.33</v>
      </c>
      <c r="E34" s="41">
        <f t="shared" si="0"/>
        <v>5.45</v>
      </c>
      <c r="F34" s="41">
        <f t="shared" si="0"/>
        <v>2.62</v>
      </c>
      <c r="G34" s="41">
        <f t="shared" si="0"/>
        <v>48.4</v>
      </c>
      <c r="H34" s="41">
        <f t="shared" si="0"/>
        <v>36.619999999999997</v>
      </c>
      <c r="I34" s="41">
        <f t="shared" si="0"/>
        <v>5.59</v>
      </c>
      <c r="J34" s="41">
        <f t="shared" si="0"/>
        <v>0.08</v>
      </c>
      <c r="K34" s="41">
        <f t="shared" si="0"/>
        <v>116.27</v>
      </c>
      <c r="L34" s="41">
        <f t="shared" si="0"/>
        <v>14.88</v>
      </c>
      <c r="M34" s="41">
        <f t="shared" si="0"/>
        <v>38.96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4.74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20.25</v>
      </c>
      <c r="C35" s="33">
        <f t="shared" si="1"/>
        <v>27.3</v>
      </c>
      <c r="D35" s="33">
        <f t="shared" si="1"/>
        <v>31.4</v>
      </c>
      <c r="E35" s="33">
        <f t="shared" si="1"/>
        <v>7.92</v>
      </c>
      <c r="F35" s="33">
        <f t="shared" si="1"/>
        <v>5.77</v>
      </c>
      <c r="G35" s="33">
        <f t="shared" si="1"/>
        <v>125.16</v>
      </c>
      <c r="H35" s="33">
        <f t="shared" si="1"/>
        <v>57.15</v>
      </c>
      <c r="I35" s="33">
        <f t="shared" si="1"/>
        <v>8.94</v>
      </c>
      <c r="J35" s="33">
        <f t="shared" si="1"/>
        <v>0.48</v>
      </c>
      <c r="K35" s="33">
        <f t="shared" si="1"/>
        <v>304.32</v>
      </c>
      <c r="L35" s="33">
        <f t="shared" si="1"/>
        <v>28.15</v>
      </c>
      <c r="M35" s="33">
        <f t="shared" si="1"/>
        <v>95.92</v>
      </c>
      <c r="N35" s="33">
        <f t="shared" si="1"/>
        <v>431.8</v>
      </c>
      <c r="O35" s="33">
        <f t="shared" si="1"/>
        <v>0</v>
      </c>
      <c r="P35" s="33">
        <f t="shared" si="1"/>
        <v>0.89</v>
      </c>
      <c r="Q35" s="33">
        <f t="shared" si="1"/>
        <v>5.03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8.2791666666666668</v>
      </c>
      <c r="C36" s="41">
        <f t="shared" si="2"/>
        <v>21.724999999999994</v>
      </c>
      <c r="D36" s="41">
        <f t="shared" si="2"/>
        <v>19.268750000000001</v>
      </c>
      <c r="E36" s="41">
        <f t="shared" si="2"/>
        <v>6.8558333333333339</v>
      </c>
      <c r="F36" s="41">
        <f t="shared" si="2"/>
        <v>3.4812499999999993</v>
      </c>
      <c r="G36" s="41">
        <f t="shared" si="2"/>
        <v>83.012499999999989</v>
      </c>
      <c r="H36" s="41">
        <f t="shared" si="2"/>
        <v>44.822916666666679</v>
      </c>
      <c r="I36" s="41">
        <f t="shared" si="2"/>
        <v>6.8487500000000017</v>
      </c>
      <c r="J36" s="41">
        <f t="shared" si="2"/>
        <v>0.24500000000000002</v>
      </c>
      <c r="K36" s="41">
        <f t="shared" si="2"/>
        <v>188.15791666666664</v>
      </c>
      <c r="L36" s="41">
        <f t="shared" si="2"/>
        <v>20.747083333333336</v>
      </c>
      <c r="M36" s="41">
        <f t="shared" si="2"/>
        <v>73.397916666666674</v>
      </c>
      <c r="N36" s="41">
        <f t="shared" si="2"/>
        <v>101.24583333333334</v>
      </c>
      <c r="O36" s="41">
        <f t="shared" si="2"/>
        <v>0</v>
      </c>
      <c r="P36" s="41">
        <f t="shared" si="2"/>
        <v>0.69249999999999989</v>
      </c>
      <c r="Q36" s="41">
        <f t="shared" si="2"/>
        <v>4.861250000000001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5.3947510049859639</v>
      </c>
      <c r="C37" s="41">
        <f t="shared" ref="C37:Q37" si="3">STDEV(C9:C32)</f>
        <v>3.1254008438571366</v>
      </c>
      <c r="D37" s="41">
        <f t="shared" si="3"/>
        <v>5.4679869219175146</v>
      </c>
      <c r="E37" s="41">
        <f t="shared" si="3"/>
        <v>0.64300190456587347</v>
      </c>
      <c r="F37" s="41">
        <f t="shared" si="3"/>
        <v>0.81168805584411963</v>
      </c>
      <c r="G37" s="41">
        <f t="shared" si="3"/>
        <v>23.809193739430597</v>
      </c>
      <c r="H37" s="41">
        <f t="shared" si="3"/>
        <v>6.4628594285156202</v>
      </c>
      <c r="I37" s="41">
        <f t="shared" si="3"/>
        <v>1.0159866162247435</v>
      </c>
      <c r="J37" s="41">
        <f t="shared" si="3"/>
        <v>0.1201810228816078</v>
      </c>
      <c r="K37" s="41">
        <f t="shared" si="3"/>
        <v>52.730437788663217</v>
      </c>
      <c r="L37" s="41">
        <f t="shared" si="3"/>
        <v>4.7244355348748499</v>
      </c>
      <c r="M37" s="41">
        <f t="shared" si="3"/>
        <v>20.462489325203208</v>
      </c>
      <c r="N37" s="41">
        <f t="shared" si="3"/>
        <v>157.02240487923362</v>
      </c>
      <c r="O37" s="41">
        <f t="shared" si="3"/>
        <v>0</v>
      </c>
      <c r="P37" s="41">
        <f t="shared" si="3"/>
        <v>0.1018630794572897</v>
      </c>
      <c r="Q37" s="41">
        <f t="shared" si="3"/>
        <v>8.7343026898604861E-2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5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04/01/2024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132</v>
      </c>
      <c r="B9" s="51">
        <v>5.75</v>
      </c>
      <c r="C9" s="51">
        <v>19.079999999999998</v>
      </c>
      <c r="D9" s="51">
        <v>15.75</v>
      </c>
      <c r="E9" s="51">
        <v>6.46</v>
      </c>
      <c r="F9" s="51">
        <v>3.32</v>
      </c>
      <c r="G9" s="51">
        <v>71.760000000000005</v>
      </c>
      <c r="H9" s="51">
        <v>41.59</v>
      </c>
      <c r="I9" s="51">
        <v>7.22</v>
      </c>
      <c r="J9" s="51">
        <v>0.23</v>
      </c>
      <c r="K9" s="51">
        <v>273.33</v>
      </c>
      <c r="L9" s="51">
        <v>17.18</v>
      </c>
      <c r="M9" s="51">
        <v>88.41</v>
      </c>
      <c r="N9" s="51">
        <v>0</v>
      </c>
      <c r="O9" s="51">
        <v>0</v>
      </c>
      <c r="P9" s="51">
        <v>0.61</v>
      </c>
      <c r="Q9" s="51">
        <v>4.8</v>
      </c>
    </row>
    <row r="10" spans="1:21" customFormat="1">
      <c r="A10" s="50" t="s">
        <v>133</v>
      </c>
      <c r="B10" s="51">
        <v>7.72</v>
      </c>
      <c r="C10" s="51">
        <v>20.68</v>
      </c>
      <c r="D10" s="51">
        <v>18.350000000000001</v>
      </c>
      <c r="E10" s="51">
        <v>7.15</v>
      </c>
      <c r="F10" s="51">
        <v>2.69</v>
      </c>
      <c r="G10" s="51">
        <v>69.06</v>
      </c>
      <c r="H10" s="51">
        <v>41.59</v>
      </c>
      <c r="I10" s="51">
        <v>7.27</v>
      </c>
      <c r="J10" s="51">
        <v>0.12</v>
      </c>
      <c r="K10" s="51">
        <v>227.92</v>
      </c>
      <c r="L10" s="51">
        <v>16.38</v>
      </c>
      <c r="M10" s="51">
        <v>89.12</v>
      </c>
      <c r="N10" s="51">
        <v>0</v>
      </c>
      <c r="O10" s="51">
        <v>0</v>
      </c>
      <c r="P10" s="51">
        <v>0.6</v>
      </c>
      <c r="Q10" s="51">
        <v>4.83</v>
      </c>
    </row>
    <row r="11" spans="1:21" customFormat="1">
      <c r="A11" s="50" t="s">
        <v>134</v>
      </c>
      <c r="B11" s="51">
        <v>10.59</v>
      </c>
      <c r="C11" s="51">
        <v>21.96</v>
      </c>
      <c r="D11" s="51">
        <v>21.31</v>
      </c>
      <c r="E11" s="51">
        <v>7.05</v>
      </c>
      <c r="F11" s="51">
        <v>2.67</v>
      </c>
      <c r="G11" s="51">
        <v>63.6</v>
      </c>
      <c r="H11" s="51">
        <v>38.54</v>
      </c>
      <c r="I11" s="51">
        <v>7.07</v>
      </c>
      <c r="J11" s="51">
        <v>0.16</v>
      </c>
      <c r="K11" s="51">
        <v>242.86</v>
      </c>
      <c r="L11" s="51">
        <v>16.170000000000002</v>
      </c>
      <c r="M11" s="51">
        <v>92.55</v>
      </c>
      <c r="N11" s="51">
        <v>0</v>
      </c>
      <c r="O11" s="51">
        <v>0</v>
      </c>
      <c r="P11" s="51">
        <v>0.57999999999999996</v>
      </c>
      <c r="Q11" s="51">
        <v>4.87</v>
      </c>
    </row>
    <row r="12" spans="1:21" customFormat="1">
      <c r="A12" s="50" t="s">
        <v>135</v>
      </c>
      <c r="B12" s="51">
        <v>12.94</v>
      </c>
      <c r="C12" s="51">
        <v>22.09</v>
      </c>
      <c r="D12" s="51">
        <v>23.27</v>
      </c>
      <c r="E12" s="51">
        <v>7.11</v>
      </c>
      <c r="F12" s="51">
        <v>2.58</v>
      </c>
      <c r="G12" s="51">
        <v>59.67</v>
      </c>
      <c r="H12" s="51">
        <v>37.799999999999997</v>
      </c>
      <c r="I12" s="51">
        <v>6.73</v>
      </c>
      <c r="J12" s="51">
        <v>0.16</v>
      </c>
      <c r="K12" s="51">
        <v>186.25</v>
      </c>
      <c r="L12" s="51">
        <v>15.52</v>
      </c>
      <c r="M12" s="51">
        <v>92.77</v>
      </c>
      <c r="N12" s="51">
        <v>0</v>
      </c>
      <c r="O12" s="51">
        <v>0</v>
      </c>
      <c r="P12" s="51">
        <v>0.56000000000000005</v>
      </c>
      <c r="Q12" s="51">
        <v>4.8899999999999997</v>
      </c>
    </row>
    <row r="13" spans="1:21" customFormat="1">
      <c r="A13" s="50" t="s">
        <v>136</v>
      </c>
      <c r="B13" s="51">
        <v>15.27</v>
      </c>
      <c r="C13" s="51">
        <v>24</v>
      </c>
      <c r="D13" s="51">
        <v>26.11</v>
      </c>
      <c r="E13" s="51">
        <v>7.08</v>
      </c>
      <c r="F13" s="51">
        <v>2.62</v>
      </c>
      <c r="G13" s="51">
        <v>59.67</v>
      </c>
      <c r="H13" s="51">
        <v>37.799999999999997</v>
      </c>
      <c r="I13" s="51">
        <v>6.51</v>
      </c>
      <c r="J13" s="51">
        <v>0.19</v>
      </c>
      <c r="K13" s="51">
        <v>225.53</v>
      </c>
      <c r="L13" s="51">
        <v>15.43</v>
      </c>
      <c r="M13" s="51">
        <v>94.49</v>
      </c>
      <c r="N13" s="51">
        <v>0</v>
      </c>
      <c r="O13" s="51">
        <v>0</v>
      </c>
      <c r="P13" s="51">
        <v>0.56999999999999995</v>
      </c>
      <c r="Q13" s="51">
        <v>4.96</v>
      </c>
    </row>
    <row r="14" spans="1:21" customFormat="1">
      <c r="A14" s="50" t="s">
        <v>137</v>
      </c>
      <c r="B14" s="51">
        <v>17.87</v>
      </c>
      <c r="C14" s="51">
        <v>23.85</v>
      </c>
      <c r="D14" s="51">
        <v>28.09</v>
      </c>
      <c r="E14" s="51">
        <v>7.5</v>
      </c>
      <c r="F14" s="51">
        <v>2.67</v>
      </c>
      <c r="G14" s="51">
        <v>58.3</v>
      </c>
      <c r="H14" s="51">
        <v>36.28</v>
      </c>
      <c r="I14" s="51">
        <v>6.33</v>
      </c>
      <c r="J14" s="51">
        <v>0.17</v>
      </c>
      <c r="K14" s="51">
        <v>176.56</v>
      </c>
      <c r="L14" s="51">
        <v>15.08</v>
      </c>
      <c r="M14" s="51">
        <v>93.89</v>
      </c>
      <c r="N14" s="51">
        <v>0</v>
      </c>
      <c r="O14" s="51">
        <v>0</v>
      </c>
      <c r="P14" s="51">
        <v>0.55000000000000004</v>
      </c>
      <c r="Q14" s="51">
        <v>4.97</v>
      </c>
    </row>
    <row r="15" spans="1:21" customFormat="1">
      <c r="A15" s="50" t="s">
        <v>138</v>
      </c>
      <c r="B15" s="51">
        <v>28.18</v>
      </c>
      <c r="C15" s="51">
        <v>25.89</v>
      </c>
      <c r="D15" s="51">
        <v>37.479999999999997</v>
      </c>
      <c r="E15" s="51">
        <v>7.51</v>
      </c>
      <c r="F15" s="51">
        <v>2.6</v>
      </c>
      <c r="G15" s="51">
        <v>57.99</v>
      </c>
      <c r="H15" s="51">
        <v>35.450000000000003</v>
      </c>
      <c r="I15" s="51">
        <v>6.18</v>
      </c>
      <c r="J15" s="51">
        <v>0.28000000000000003</v>
      </c>
      <c r="K15" s="51">
        <v>118.09</v>
      </c>
      <c r="L15" s="51">
        <v>14.9</v>
      </c>
      <c r="M15" s="51">
        <v>93.69</v>
      </c>
      <c r="N15" s="51">
        <v>1.8</v>
      </c>
      <c r="O15" s="51">
        <v>0</v>
      </c>
      <c r="P15" s="51">
        <v>0.6</v>
      </c>
      <c r="Q15" s="51">
        <v>5.08</v>
      </c>
    </row>
    <row r="16" spans="1:21" customFormat="1">
      <c r="A16" s="50" t="s">
        <v>139</v>
      </c>
      <c r="B16" s="51">
        <v>35.909999999999997</v>
      </c>
      <c r="C16" s="51">
        <v>29.15</v>
      </c>
      <c r="D16" s="51">
        <v>45.38</v>
      </c>
      <c r="E16" s="51">
        <v>7.86</v>
      </c>
      <c r="F16" s="51">
        <v>2.61</v>
      </c>
      <c r="G16" s="51">
        <v>86.23</v>
      </c>
      <c r="H16" s="51">
        <v>44.15</v>
      </c>
      <c r="I16" s="51">
        <v>7.92</v>
      </c>
      <c r="J16" s="51">
        <v>0.43</v>
      </c>
      <c r="K16" s="51">
        <v>52.19</v>
      </c>
      <c r="L16" s="51">
        <v>16.34</v>
      </c>
      <c r="M16" s="51">
        <v>92.78</v>
      </c>
      <c r="N16" s="51">
        <v>47.7</v>
      </c>
      <c r="O16" s="51">
        <v>0</v>
      </c>
      <c r="P16" s="51">
        <v>0.79</v>
      </c>
      <c r="Q16" s="51">
        <v>5.21</v>
      </c>
    </row>
    <row r="17" spans="1:17" customFormat="1">
      <c r="A17" s="50" t="s">
        <v>140</v>
      </c>
      <c r="B17" s="51">
        <v>36.119999999999997</v>
      </c>
      <c r="C17" s="51">
        <v>31.84</v>
      </c>
      <c r="D17" s="51">
        <v>45.97</v>
      </c>
      <c r="E17" s="51">
        <v>8.07</v>
      </c>
      <c r="F17" s="51">
        <v>2.63</v>
      </c>
      <c r="G17" s="51">
        <v>113.71</v>
      </c>
      <c r="H17" s="51">
        <v>53.81</v>
      </c>
      <c r="I17" s="51">
        <v>9.43</v>
      </c>
      <c r="J17" s="51">
        <v>0.42</v>
      </c>
      <c r="K17" s="51">
        <v>113.38</v>
      </c>
      <c r="L17" s="51">
        <v>19.96</v>
      </c>
      <c r="M17" s="51">
        <v>85.34</v>
      </c>
      <c r="N17" s="51">
        <v>189.1</v>
      </c>
      <c r="O17" s="51">
        <v>0</v>
      </c>
      <c r="P17" s="51">
        <v>0.87</v>
      </c>
      <c r="Q17" s="51">
        <v>5.22</v>
      </c>
    </row>
    <row r="18" spans="1:17" customFormat="1">
      <c r="A18" s="50" t="s">
        <v>141</v>
      </c>
      <c r="B18" s="51">
        <v>30.01</v>
      </c>
      <c r="C18" s="51">
        <v>30.93</v>
      </c>
      <c r="D18" s="51">
        <v>41.52</v>
      </c>
      <c r="E18" s="51">
        <v>7.57</v>
      </c>
      <c r="F18" s="51">
        <v>2.95</v>
      </c>
      <c r="G18" s="51">
        <v>125.9</v>
      </c>
      <c r="H18" s="51">
        <v>55.61</v>
      </c>
      <c r="I18" s="51">
        <v>9.74</v>
      </c>
      <c r="J18" s="51">
        <v>0.28000000000000003</v>
      </c>
      <c r="K18" s="51">
        <v>302.61</v>
      </c>
      <c r="L18" s="51">
        <v>23.23</v>
      </c>
      <c r="M18" s="51">
        <v>68.59</v>
      </c>
      <c r="N18" s="51">
        <v>184.3</v>
      </c>
      <c r="O18" s="51">
        <v>0</v>
      </c>
      <c r="P18" s="51">
        <v>0.87</v>
      </c>
      <c r="Q18" s="51">
        <v>5.15</v>
      </c>
    </row>
    <row r="19" spans="1:17" customFormat="1">
      <c r="A19" s="50" t="s">
        <v>142</v>
      </c>
      <c r="B19" s="51">
        <v>23.96</v>
      </c>
      <c r="C19" s="51">
        <v>24.63</v>
      </c>
      <c r="D19" s="51">
        <v>33.32</v>
      </c>
      <c r="E19" s="51">
        <v>7.62</v>
      </c>
      <c r="F19" s="51">
        <v>2.98</v>
      </c>
      <c r="G19" s="51">
        <v>125.9</v>
      </c>
      <c r="H19" s="51">
        <v>55.61</v>
      </c>
      <c r="I19" s="51">
        <v>9.6199999999999992</v>
      </c>
      <c r="J19" s="51">
        <v>0.41</v>
      </c>
      <c r="K19" s="51">
        <v>232.71</v>
      </c>
      <c r="L19" s="51">
        <v>24.88</v>
      </c>
      <c r="M19" s="51">
        <v>57.1</v>
      </c>
      <c r="N19" s="51">
        <v>359.4</v>
      </c>
      <c r="O19" s="51">
        <v>0</v>
      </c>
      <c r="P19" s="51">
        <v>0.82</v>
      </c>
      <c r="Q19" s="51">
        <v>5.08</v>
      </c>
    </row>
    <row r="20" spans="1:17" customFormat="1">
      <c r="A20" s="50" t="s">
        <v>143</v>
      </c>
      <c r="B20" s="51">
        <v>19.940000000000001</v>
      </c>
      <c r="C20" s="51">
        <v>24.84</v>
      </c>
      <c r="D20" s="51">
        <v>29.5</v>
      </c>
      <c r="E20" s="51">
        <v>7.83</v>
      </c>
      <c r="F20" s="51">
        <v>3.05</v>
      </c>
      <c r="G20" s="51">
        <v>108.33</v>
      </c>
      <c r="H20" s="51">
        <v>50.01</v>
      </c>
      <c r="I20" s="51">
        <v>9.1300000000000008</v>
      </c>
      <c r="J20" s="51">
        <v>0.46</v>
      </c>
      <c r="K20" s="51">
        <v>44.74</v>
      </c>
      <c r="L20" s="51">
        <v>26.08</v>
      </c>
      <c r="M20" s="51">
        <v>53.51</v>
      </c>
      <c r="N20" s="51">
        <v>395.6</v>
      </c>
      <c r="O20" s="51">
        <v>0</v>
      </c>
      <c r="P20" s="51">
        <v>0.81</v>
      </c>
      <c r="Q20" s="51">
        <v>5.05</v>
      </c>
    </row>
    <row r="21" spans="1:17" customFormat="1">
      <c r="A21" s="50" t="s">
        <v>144</v>
      </c>
      <c r="B21" s="51">
        <v>15.35</v>
      </c>
      <c r="C21" s="51">
        <v>23.66</v>
      </c>
      <c r="D21" s="51">
        <v>26.02</v>
      </c>
      <c r="E21" s="51">
        <v>7.4</v>
      </c>
      <c r="F21" s="51">
        <v>3.05</v>
      </c>
      <c r="G21" s="51">
        <v>108.33</v>
      </c>
      <c r="H21" s="51">
        <v>47.03</v>
      </c>
      <c r="I21" s="51">
        <v>8.84</v>
      </c>
      <c r="J21" s="51">
        <v>0.36</v>
      </c>
      <c r="K21" s="51">
        <v>356.11</v>
      </c>
      <c r="L21" s="51">
        <v>27.36</v>
      </c>
      <c r="M21" s="51">
        <v>41.85</v>
      </c>
      <c r="N21" s="51">
        <v>413.3</v>
      </c>
      <c r="O21" s="51">
        <v>0</v>
      </c>
      <c r="P21" s="51">
        <v>0.78</v>
      </c>
      <c r="Q21" s="51">
        <v>4.9800000000000004</v>
      </c>
    </row>
    <row r="22" spans="1:17" customFormat="1">
      <c r="A22" s="50" t="s">
        <v>145</v>
      </c>
      <c r="B22" s="51">
        <v>11.39</v>
      </c>
      <c r="C22" s="51">
        <v>21.15</v>
      </c>
      <c r="D22" s="51">
        <v>21.53</v>
      </c>
      <c r="E22" s="51">
        <v>7.6</v>
      </c>
      <c r="F22" s="51">
        <v>3.49</v>
      </c>
      <c r="G22" s="51">
        <v>87.43</v>
      </c>
      <c r="H22" s="51">
        <v>44.82</v>
      </c>
      <c r="I22" s="51">
        <v>8.25</v>
      </c>
      <c r="J22" s="51">
        <v>0.48</v>
      </c>
      <c r="K22" s="51">
        <v>35.01</v>
      </c>
      <c r="L22" s="51">
        <v>27.53</v>
      </c>
      <c r="M22" s="51">
        <v>39.99</v>
      </c>
      <c r="N22" s="51">
        <v>356.9</v>
      </c>
      <c r="O22" s="51">
        <v>0</v>
      </c>
      <c r="P22" s="51">
        <v>0.73</v>
      </c>
      <c r="Q22" s="51">
        <v>4.9000000000000004</v>
      </c>
    </row>
    <row r="23" spans="1:17" customFormat="1">
      <c r="A23" s="50" t="s">
        <v>146</v>
      </c>
      <c r="B23" s="51">
        <v>8.5500000000000007</v>
      </c>
      <c r="C23" s="51">
        <v>23.09</v>
      </c>
      <c r="D23" s="51">
        <v>19.12</v>
      </c>
      <c r="E23" s="51">
        <v>8.1300000000000008</v>
      </c>
      <c r="F23" s="51">
        <v>5.67</v>
      </c>
      <c r="G23" s="51">
        <v>84.52</v>
      </c>
      <c r="H23" s="51">
        <v>41.56</v>
      </c>
      <c r="I23" s="51">
        <v>7.69</v>
      </c>
      <c r="J23" s="51">
        <v>0.52</v>
      </c>
      <c r="K23" s="51">
        <v>43.05</v>
      </c>
      <c r="L23" s="51">
        <v>27.17</v>
      </c>
      <c r="M23" s="51">
        <v>41.1</v>
      </c>
      <c r="N23" s="51">
        <v>220.5</v>
      </c>
      <c r="O23" s="51">
        <v>0</v>
      </c>
      <c r="P23" s="51">
        <v>0.7</v>
      </c>
      <c r="Q23" s="51">
        <v>4.8899999999999997</v>
      </c>
    </row>
    <row r="24" spans="1:17" customFormat="1">
      <c r="A24" s="50" t="s">
        <v>147</v>
      </c>
      <c r="B24" s="51">
        <v>5.31</v>
      </c>
      <c r="C24" s="51">
        <v>24.46</v>
      </c>
      <c r="D24" s="51">
        <v>18.21</v>
      </c>
      <c r="E24" s="51">
        <v>8.09</v>
      </c>
      <c r="F24" s="51">
        <v>5.45</v>
      </c>
      <c r="G24" s="51">
        <v>84.52</v>
      </c>
      <c r="H24" s="51">
        <v>40.28</v>
      </c>
      <c r="I24" s="51">
        <v>7.16</v>
      </c>
      <c r="J24" s="51">
        <v>0.43</v>
      </c>
      <c r="K24" s="51">
        <v>89.82</v>
      </c>
      <c r="L24" s="51">
        <v>26.78</v>
      </c>
      <c r="M24" s="51">
        <v>42.08</v>
      </c>
      <c r="N24" s="51">
        <v>86</v>
      </c>
      <c r="O24" s="51">
        <v>0</v>
      </c>
      <c r="P24" s="51">
        <v>0.68</v>
      </c>
      <c r="Q24" s="51">
        <v>4.8499999999999996</v>
      </c>
    </row>
    <row r="25" spans="1:17" customFormat="1">
      <c r="A25" s="50" t="s">
        <v>148</v>
      </c>
      <c r="B25" s="51">
        <v>5.24</v>
      </c>
      <c r="C25" s="51">
        <v>26.31</v>
      </c>
      <c r="D25" s="51">
        <v>19.3</v>
      </c>
      <c r="E25" s="51">
        <v>7.29</v>
      </c>
      <c r="F25" s="51">
        <v>4.6100000000000003</v>
      </c>
      <c r="G25" s="51">
        <v>89.18</v>
      </c>
      <c r="H25" s="51">
        <v>40.799999999999997</v>
      </c>
      <c r="I25" s="51">
        <v>6.64</v>
      </c>
      <c r="J25" s="51">
        <v>0.32</v>
      </c>
      <c r="K25" s="51">
        <v>66.239999999999995</v>
      </c>
      <c r="L25" s="51">
        <v>26.12</v>
      </c>
      <c r="M25" s="51">
        <v>47.09</v>
      </c>
      <c r="N25" s="51">
        <v>39.5</v>
      </c>
      <c r="O25" s="51">
        <v>0</v>
      </c>
      <c r="P25" s="51">
        <v>0.69</v>
      </c>
      <c r="Q25" s="51">
        <v>4.8499999999999996</v>
      </c>
    </row>
    <row r="26" spans="1:17" customFormat="1">
      <c r="A26" s="50" t="s">
        <v>149</v>
      </c>
      <c r="B26" s="51">
        <v>6.54</v>
      </c>
      <c r="C26" s="51">
        <v>29.72</v>
      </c>
      <c r="D26" s="51">
        <v>22.12</v>
      </c>
      <c r="E26" s="51">
        <v>7.76</v>
      </c>
      <c r="F26" s="51">
        <v>3.21</v>
      </c>
      <c r="G26" s="51">
        <v>107.89</v>
      </c>
      <c r="H26" s="51">
        <v>42.59</v>
      </c>
      <c r="I26" s="51">
        <v>6.57</v>
      </c>
      <c r="J26" s="51">
        <v>0.23</v>
      </c>
      <c r="K26" s="51">
        <v>153.47</v>
      </c>
      <c r="L26" s="51">
        <v>24.4</v>
      </c>
      <c r="M26" s="51">
        <v>59.12</v>
      </c>
      <c r="N26" s="51">
        <v>0.3</v>
      </c>
      <c r="O26" s="51">
        <v>0</v>
      </c>
      <c r="P26" s="51">
        <v>0.75</v>
      </c>
      <c r="Q26" s="51">
        <v>4.88</v>
      </c>
    </row>
    <row r="27" spans="1:17" customFormat="1">
      <c r="A27" s="50" t="s">
        <v>150</v>
      </c>
      <c r="B27" s="51">
        <v>10.6</v>
      </c>
      <c r="C27" s="51">
        <v>33.630000000000003</v>
      </c>
      <c r="D27" s="51">
        <v>27.43</v>
      </c>
      <c r="E27" s="51">
        <v>5.81</v>
      </c>
      <c r="F27" s="51">
        <v>2.69</v>
      </c>
      <c r="G27" s="51">
        <v>121.98</v>
      </c>
      <c r="H27" s="51">
        <v>46.36</v>
      </c>
      <c r="I27" s="51">
        <v>7.14</v>
      </c>
      <c r="J27" s="51">
        <v>0.23</v>
      </c>
      <c r="K27" s="51">
        <v>173.05</v>
      </c>
      <c r="L27" s="51">
        <v>21.64</v>
      </c>
      <c r="M27" s="51">
        <v>65</v>
      </c>
      <c r="N27" s="51">
        <v>0</v>
      </c>
      <c r="O27" s="51">
        <v>0</v>
      </c>
      <c r="P27" s="51">
        <v>0.86</v>
      </c>
      <c r="Q27" s="51">
        <v>4.92</v>
      </c>
    </row>
    <row r="28" spans="1:17" customFormat="1">
      <c r="A28" s="50" t="s">
        <v>151</v>
      </c>
      <c r="B28" s="51">
        <v>17.46</v>
      </c>
      <c r="C28" s="51">
        <v>35.869999999999997</v>
      </c>
      <c r="D28" s="51">
        <v>32.44</v>
      </c>
      <c r="E28" s="51">
        <v>5.82</v>
      </c>
      <c r="F28" s="51">
        <v>2.82</v>
      </c>
      <c r="G28" s="51">
        <v>144.74</v>
      </c>
      <c r="H28" s="51">
        <v>52.98</v>
      </c>
      <c r="I28" s="51">
        <v>8.34</v>
      </c>
      <c r="J28" s="51">
        <v>0.2</v>
      </c>
      <c r="K28" s="51">
        <v>182.36</v>
      </c>
      <c r="L28" s="51">
        <v>20.12</v>
      </c>
      <c r="M28" s="51">
        <v>80.64</v>
      </c>
      <c r="N28" s="51">
        <v>0</v>
      </c>
      <c r="O28" s="51">
        <v>0</v>
      </c>
      <c r="P28" s="51">
        <v>0.96</v>
      </c>
      <c r="Q28" s="51">
        <v>4.99</v>
      </c>
    </row>
    <row r="29" spans="1:17" customFormat="1">
      <c r="A29" s="50" t="s">
        <v>152</v>
      </c>
      <c r="B29" s="51">
        <v>24.03</v>
      </c>
      <c r="C29" s="51">
        <v>31.6</v>
      </c>
      <c r="D29" s="51">
        <v>37.130000000000003</v>
      </c>
      <c r="E29" s="51">
        <v>5.64</v>
      </c>
      <c r="F29" s="51">
        <v>2.6</v>
      </c>
      <c r="G29" s="51">
        <v>144.74</v>
      </c>
      <c r="H29" s="51">
        <v>54.39</v>
      </c>
      <c r="I29" s="51">
        <v>9.1</v>
      </c>
      <c r="J29" s="51">
        <v>0.2</v>
      </c>
      <c r="K29" s="51">
        <v>171.45</v>
      </c>
      <c r="L29" s="51">
        <v>18.82</v>
      </c>
      <c r="M29" s="51">
        <v>83.74</v>
      </c>
      <c r="N29" s="51">
        <v>0</v>
      </c>
      <c r="O29" s="51">
        <v>0</v>
      </c>
      <c r="P29" s="51">
        <v>1.04</v>
      </c>
      <c r="Q29" s="51">
        <v>5.07</v>
      </c>
    </row>
    <row r="30" spans="1:17" customFormat="1">
      <c r="A30" s="50" t="s">
        <v>153</v>
      </c>
      <c r="B30" s="51">
        <v>37.26</v>
      </c>
      <c r="C30" s="51">
        <v>30.99</v>
      </c>
      <c r="D30" s="51">
        <v>47.42</v>
      </c>
      <c r="E30" s="51">
        <v>5.63</v>
      </c>
      <c r="F30" s="51">
        <v>2.58</v>
      </c>
      <c r="G30" s="51">
        <v>147.96</v>
      </c>
      <c r="H30" s="51">
        <v>56.52</v>
      </c>
      <c r="I30" s="51">
        <v>10.050000000000001</v>
      </c>
      <c r="J30" s="51">
        <v>0.17</v>
      </c>
      <c r="K30" s="51">
        <v>196.98</v>
      </c>
      <c r="L30" s="51">
        <v>18.28</v>
      </c>
      <c r="M30" s="51">
        <v>84.95</v>
      </c>
      <c r="N30" s="51">
        <v>0</v>
      </c>
      <c r="O30" s="51">
        <v>0</v>
      </c>
      <c r="P30" s="51">
        <v>1.17</v>
      </c>
      <c r="Q30" s="51">
        <v>5.24</v>
      </c>
    </row>
    <row r="31" spans="1:17" customFormat="1">
      <c r="A31" s="50" t="s">
        <v>154</v>
      </c>
      <c r="B31" s="51">
        <v>43.38</v>
      </c>
      <c r="C31" s="51">
        <v>31.36</v>
      </c>
      <c r="D31" s="51">
        <v>52.1</v>
      </c>
      <c r="E31" s="51">
        <v>6.05</v>
      </c>
      <c r="F31" s="51">
        <v>2.68</v>
      </c>
      <c r="G31" s="51">
        <v>149.66</v>
      </c>
      <c r="H31" s="51">
        <v>57.67</v>
      </c>
      <c r="I31" s="51">
        <v>11.07</v>
      </c>
      <c r="J31" s="51">
        <v>0.15</v>
      </c>
      <c r="K31" s="51">
        <v>204.16</v>
      </c>
      <c r="L31" s="51">
        <v>17.75</v>
      </c>
      <c r="M31" s="51">
        <v>87.56</v>
      </c>
      <c r="N31" s="51">
        <v>0</v>
      </c>
      <c r="O31" s="51">
        <v>0</v>
      </c>
      <c r="P31" s="51">
        <v>1.24</v>
      </c>
      <c r="Q31" s="51">
        <v>5.36</v>
      </c>
    </row>
    <row r="32" spans="1:17" customFormat="1">
      <c r="A32" s="50" t="s">
        <v>155</v>
      </c>
      <c r="B32" s="51">
        <v>42.84</v>
      </c>
      <c r="C32" s="51">
        <v>30.29</v>
      </c>
      <c r="D32" s="51">
        <v>51</v>
      </c>
      <c r="E32" s="51">
        <v>5.99</v>
      </c>
      <c r="F32" s="51">
        <v>2.69</v>
      </c>
      <c r="G32" s="51">
        <v>149.66</v>
      </c>
      <c r="H32" s="51">
        <v>57.67</v>
      </c>
      <c r="I32" s="51">
        <v>11.25</v>
      </c>
      <c r="J32" s="51">
        <v>0.1</v>
      </c>
      <c r="K32" s="51">
        <v>217.44</v>
      </c>
      <c r="L32" s="51">
        <v>16.98</v>
      </c>
      <c r="M32" s="51">
        <v>85.96</v>
      </c>
      <c r="N32" s="51">
        <v>0</v>
      </c>
      <c r="O32" s="51">
        <v>0</v>
      </c>
      <c r="P32" s="51">
        <v>1.23</v>
      </c>
      <c r="Q32" s="51">
        <v>5.36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5.24</v>
      </c>
      <c r="C34" s="41">
        <f t="shared" si="0"/>
        <v>19.079999999999998</v>
      </c>
      <c r="D34" s="41">
        <f t="shared" si="0"/>
        <v>15.75</v>
      </c>
      <c r="E34" s="41">
        <f t="shared" si="0"/>
        <v>5.63</v>
      </c>
      <c r="F34" s="41">
        <f t="shared" si="0"/>
        <v>2.58</v>
      </c>
      <c r="G34" s="41">
        <f t="shared" si="0"/>
        <v>57.99</v>
      </c>
      <c r="H34" s="41">
        <f t="shared" si="0"/>
        <v>35.450000000000003</v>
      </c>
      <c r="I34" s="41">
        <f t="shared" si="0"/>
        <v>6.18</v>
      </c>
      <c r="J34" s="41">
        <f t="shared" si="0"/>
        <v>0.1</v>
      </c>
      <c r="K34" s="41">
        <f t="shared" si="0"/>
        <v>35.01</v>
      </c>
      <c r="L34" s="41">
        <f t="shared" si="0"/>
        <v>14.9</v>
      </c>
      <c r="M34" s="41">
        <f t="shared" si="0"/>
        <v>39.99</v>
      </c>
      <c r="N34" s="41">
        <f t="shared" si="0"/>
        <v>0</v>
      </c>
      <c r="O34" s="41">
        <f t="shared" si="0"/>
        <v>0</v>
      </c>
      <c r="P34" s="41">
        <f t="shared" si="0"/>
        <v>0.55000000000000004</v>
      </c>
      <c r="Q34" s="41">
        <f t="shared" si="0"/>
        <v>4.8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43.38</v>
      </c>
      <c r="C35" s="33">
        <f t="shared" si="1"/>
        <v>35.869999999999997</v>
      </c>
      <c r="D35" s="33">
        <f t="shared" si="1"/>
        <v>52.1</v>
      </c>
      <c r="E35" s="33">
        <f t="shared" si="1"/>
        <v>8.1300000000000008</v>
      </c>
      <c r="F35" s="33">
        <f t="shared" si="1"/>
        <v>5.67</v>
      </c>
      <c r="G35" s="33">
        <f t="shared" si="1"/>
        <v>149.66</v>
      </c>
      <c r="H35" s="33">
        <f t="shared" si="1"/>
        <v>57.67</v>
      </c>
      <c r="I35" s="33">
        <f t="shared" si="1"/>
        <v>11.25</v>
      </c>
      <c r="J35" s="33">
        <f t="shared" si="1"/>
        <v>0.52</v>
      </c>
      <c r="K35" s="33">
        <f t="shared" si="1"/>
        <v>356.11</v>
      </c>
      <c r="L35" s="33">
        <f t="shared" si="1"/>
        <v>27.53</v>
      </c>
      <c r="M35" s="33">
        <f t="shared" si="1"/>
        <v>94.49</v>
      </c>
      <c r="N35" s="33">
        <f t="shared" si="1"/>
        <v>413.3</v>
      </c>
      <c r="O35" s="33">
        <f t="shared" si="1"/>
        <v>0</v>
      </c>
      <c r="P35" s="33">
        <f t="shared" si="1"/>
        <v>1.24</v>
      </c>
      <c r="Q35" s="33">
        <f t="shared" si="1"/>
        <v>5.36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19.675416666666667</v>
      </c>
      <c r="C36" s="41">
        <f t="shared" si="2"/>
        <v>26.711249999999996</v>
      </c>
      <c r="D36" s="41">
        <f t="shared" si="2"/>
        <v>30.827916666666656</v>
      </c>
      <c r="E36" s="41">
        <f t="shared" si="2"/>
        <v>7.0841666666666656</v>
      </c>
      <c r="F36" s="41">
        <f t="shared" si="2"/>
        <v>3.1212499999999999</v>
      </c>
      <c r="G36" s="41">
        <f t="shared" si="2"/>
        <v>100.86375</v>
      </c>
      <c r="H36" s="41">
        <f t="shared" si="2"/>
        <v>46.287916666666668</v>
      </c>
      <c r="I36" s="41">
        <f t="shared" si="2"/>
        <v>8.1354166666666661</v>
      </c>
      <c r="J36" s="41">
        <f t="shared" si="2"/>
        <v>0.27916666666666673</v>
      </c>
      <c r="K36" s="41">
        <f t="shared" si="2"/>
        <v>170.22125000000003</v>
      </c>
      <c r="L36" s="41">
        <f t="shared" si="2"/>
        <v>20.587500000000002</v>
      </c>
      <c r="M36" s="41">
        <f t="shared" si="2"/>
        <v>73.388333333333335</v>
      </c>
      <c r="N36" s="41">
        <f t="shared" si="2"/>
        <v>95.600000000000009</v>
      </c>
      <c r="O36" s="41">
        <f t="shared" si="2"/>
        <v>0</v>
      </c>
      <c r="P36" s="41">
        <f t="shared" si="2"/>
        <v>0.79416666666666647</v>
      </c>
      <c r="Q36" s="41">
        <f t="shared" si="2"/>
        <v>5.0166666666666648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12.390997075074011</v>
      </c>
      <c r="C37" s="41">
        <f t="shared" ref="C37:Q37" si="3">STDEV(C9:C32)</f>
        <v>4.6092886487858715</v>
      </c>
      <c r="D37" s="41">
        <f t="shared" si="3"/>
        <v>11.365944548123363</v>
      </c>
      <c r="E37" s="41">
        <f t="shared" si="3"/>
        <v>0.83567684968620159</v>
      </c>
      <c r="F37" s="41">
        <f t="shared" si="3"/>
        <v>0.87258393143084245</v>
      </c>
      <c r="G37" s="41">
        <f t="shared" si="3"/>
        <v>32.445269610664297</v>
      </c>
      <c r="H37" s="41">
        <f t="shared" si="3"/>
        <v>7.5003356325866539</v>
      </c>
      <c r="I37" s="41">
        <f t="shared" si="3"/>
        <v>1.506507562620216</v>
      </c>
      <c r="J37" s="41">
        <f t="shared" si="3"/>
        <v>0.12782177356421487</v>
      </c>
      <c r="K37" s="41">
        <f t="shared" si="3"/>
        <v>86.091682490364505</v>
      </c>
      <c r="L37" s="41">
        <f t="shared" si="3"/>
        <v>4.6134229959034183</v>
      </c>
      <c r="M37" s="41">
        <f t="shared" si="3"/>
        <v>20.266469988557549</v>
      </c>
      <c r="N37" s="41">
        <f t="shared" si="3"/>
        <v>146.56917049342414</v>
      </c>
      <c r="O37" s="41">
        <f t="shared" si="3"/>
        <v>0</v>
      </c>
      <c r="P37" s="41">
        <f t="shared" si="3"/>
        <v>0.20784435369362114</v>
      </c>
      <c r="Q37" s="41">
        <f t="shared" si="3"/>
        <v>0.16604521821709992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05/01/2024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156</v>
      </c>
      <c r="B9" s="51">
        <v>37.36</v>
      </c>
      <c r="C9" s="51">
        <v>31.51</v>
      </c>
      <c r="D9" s="51">
        <v>47.78</v>
      </c>
      <c r="E9" s="51">
        <v>6.09</v>
      </c>
      <c r="F9" s="51">
        <v>2.66</v>
      </c>
      <c r="G9" s="51">
        <v>134.02000000000001</v>
      </c>
      <c r="H9" s="51">
        <v>56.4</v>
      </c>
      <c r="I9" s="51">
        <v>11.11</v>
      </c>
      <c r="J9" s="51">
        <v>0.12</v>
      </c>
      <c r="K9" s="51">
        <v>256</v>
      </c>
      <c r="L9" s="51">
        <v>17.059999999999999</v>
      </c>
      <c r="M9" s="51">
        <v>85.92</v>
      </c>
      <c r="N9" s="51">
        <v>0</v>
      </c>
      <c r="O9" s="51">
        <v>0</v>
      </c>
      <c r="P9" s="51">
        <v>1.17</v>
      </c>
      <c r="Q9" s="51">
        <v>5.29</v>
      </c>
    </row>
    <row r="10" spans="1:21" customFormat="1">
      <c r="A10" s="50" t="s">
        <v>157</v>
      </c>
      <c r="B10" s="51">
        <v>47.32</v>
      </c>
      <c r="C10" s="51">
        <v>33.369999999999997</v>
      </c>
      <c r="D10" s="51">
        <v>56.68</v>
      </c>
      <c r="E10" s="51">
        <v>6.53</v>
      </c>
      <c r="F10" s="51">
        <v>2.68</v>
      </c>
      <c r="G10" s="51">
        <v>119.66</v>
      </c>
      <c r="H10" s="51">
        <v>53.35</v>
      </c>
      <c r="I10" s="51">
        <v>11.06</v>
      </c>
      <c r="J10" s="51">
        <v>0.19</v>
      </c>
      <c r="K10" s="51">
        <v>259.85000000000002</v>
      </c>
      <c r="L10" s="51">
        <v>17.489999999999998</v>
      </c>
      <c r="M10" s="51">
        <v>88.25</v>
      </c>
      <c r="N10" s="51">
        <v>0</v>
      </c>
      <c r="O10" s="51">
        <v>0</v>
      </c>
      <c r="P10" s="51">
        <v>1.1299999999999999</v>
      </c>
      <c r="Q10" s="51">
        <v>5.39</v>
      </c>
    </row>
    <row r="11" spans="1:21" customFormat="1">
      <c r="A11" s="50" t="s">
        <v>158</v>
      </c>
      <c r="B11" s="51">
        <v>47.44</v>
      </c>
      <c r="C11" s="51">
        <v>32.869999999999997</v>
      </c>
      <c r="D11" s="51">
        <v>56.54</v>
      </c>
      <c r="E11" s="51">
        <v>6.79</v>
      </c>
      <c r="F11" s="51">
        <v>2.64</v>
      </c>
      <c r="G11" s="51">
        <v>113.57</v>
      </c>
      <c r="H11" s="51">
        <v>53.35</v>
      </c>
      <c r="I11" s="51">
        <v>10.98</v>
      </c>
      <c r="J11" s="51">
        <v>0.11</v>
      </c>
      <c r="K11" s="51">
        <v>224.59</v>
      </c>
      <c r="L11" s="51">
        <v>17.05</v>
      </c>
      <c r="M11" s="51">
        <v>88.74</v>
      </c>
      <c r="N11" s="51">
        <v>0</v>
      </c>
      <c r="O11" s="51">
        <v>0</v>
      </c>
      <c r="P11" s="51">
        <v>1.07</v>
      </c>
      <c r="Q11" s="51">
        <v>5.4</v>
      </c>
    </row>
    <row r="12" spans="1:21" customFormat="1">
      <c r="A12" s="50" t="s">
        <v>159</v>
      </c>
      <c r="B12" s="51">
        <v>45.89</v>
      </c>
      <c r="C12" s="51">
        <v>32.17</v>
      </c>
      <c r="D12" s="51">
        <v>54.96</v>
      </c>
      <c r="E12" s="51">
        <v>7</v>
      </c>
      <c r="F12" s="51">
        <v>2.67</v>
      </c>
      <c r="G12" s="51">
        <v>95.06</v>
      </c>
      <c r="H12" s="51">
        <v>50.49</v>
      </c>
      <c r="I12" s="51">
        <v>10.63</v>
      </c>
      <c r="J12" s="51">
        <v>0.17</v>
      </c>
      <c r="K12" s="51">
        <v>226.06</v>
      </c>
      <c r="L12" s="51">
        <v>16.7</v>
      </c>
      <c r="M12" s="51">
        <v>89.65</v>
      </c>
      <c r="N12" s="51">
        <v>0</v>
      </c>
      <c r="O12" s="51">
        <v>0</v>
      </c>
      <c r="P12" s="51">
        <v>1.01</v>
      </c>
      <c r="Q12" s="51">
        <v>5.35</v>
      </c>
    </row>
    <row r="13" spans="1:21" customFormat="1">
      <c r="A13" s="50" t="s">
        <v>160</v>
      </c>
      <c r="B13" s="51">
        <v>40</v>
      </c>
      <c r="C13" s="51">
        <v>30.71</v>
      </c>
      <c r="D13" s="51">
        <v>49.47</v>
      </c>
      <c r="E13" s="51">
        <v>6.57</v>
      </c>
      <c r="F13" s="51">
        <v>2.5499999999999998</v>
      </c>
      <c r="G13" s="51">
        <v>91.49</v>
      </c>
      <c r="H13" s="51">
        <v>48.87</v>
      </c>
      <c r="I13" s="51">
        <v>10.24</v>
      </c>
      <c r="J13" s="51">
        <v>0.17</v>
      </c>
      <c r="K13" s="51">
        <v>271.41000000000003</v>
      </c>
      <c r="L13" s="51">
        <v>16.260000000000002</v>
      </c>
      <c r="M13" s="51">
        <v>93.58</v>
      </c>
      <c r="N13" s="51">
        <v>0</v>
      </c>
      <c r="O13" s="51">
        <v>0</v>
      </c>
      <c r="P13" s="51">
        <v>0.95</v>
      </c>
      <c r="Q13" s="51">
        <v>5.28</v>
      </c>
    </row>
    <row r="14" spans="1:21" customFormat="1">
      <c r="A14" s="50" t="s">
        <v>161</v>
      </c>
      <c r="B14" s="51">
        <v>35.299999999999997</v>
      </c>
      <c r="C14" s="51">
        <v>27.53</v>
      </c>
      <c r="D14" s="51">
        <v>43.36</v>
      </c>
      <c r="E14" s="51">
        <v>6.48</v>
      </c>
      <c r="F14" s="51">
        <v>2.71</v>
      </c>
      <c r="G14" s="51">
        <v>82.5</v>
      </c>
      <c r="H14" s="51">
        <v>44.77</v>
      </c>
      <c r="I14" s="51">
        <v>9.9600000000000009</v>
      </c>
      <c r="J14" s="51">
        <v>0.14000000000000001</v>
      </c>
      <c r="K14" s="51">
        <v>135.06</v>
      </c>
      <c r="L14" s="51">
        <v>15.85</v>
      </c>
      <c r="M14" s="51">
        <v>94.35</v>
      </c>
      <c r="N14" s="51">
        <v>0</v>
      </c>
      <c r="O14" s="51">
        <v>0</v>
      </c>
      <c r="P14" s="51">
        <v>0.88</v>
      </c>
      <c r="Q14" s="51">
        <v>5.17</v>
      </c>
    </row>
    <row r="15" spans="1:21" customFormat="1">
      <c r="A15" s="50" t="s">
        <v>162</v>
      </c>
      <c r="B15" s="51">
        <v>38.14</v>
      </c>
      <c r="C15" s="51">
        <v>27.1</v>
      </c>
      <c r="D15" s="51">
        <v>46.1</v>
      </c>
      <c r="E15" s="51">
        <v>6.39</v>
      </c>
      <c r="F15" s="51">
        <v>2.64</v>
      </c>
      <c r="G15" s="51">
        <v>78.19</v>
      </c>
      <c r="H15" s="51">
        <v>43.15</v>
      </c>
      <c r="I15" s="51">
        <v>9.8000000000000007</v>
      </c>
      <c r="J15" s="51">
        <v>0.17</v>
      </c>
      <c r="K15" s="51">
        <v>246.63</v>
      </c>
      <c r="L15" s="51">
        <v>15.99</v>
      </c>
      <c r="M15" s="51">
        <v>93.45</v>
      </c>
      <c r="N15" s="51">
        <v>1.9</v>
      </c>
      <c r="O15" s="51">
        <v>0</v>
      </c>
      <c r="P15" s="51">
        <v>0.84</v>
      </c>
      <c r="Q15" s="51">
        <v>5.24</v>
      </c>
    </row>
    <row r="16" spans="1:21" customFormat="1">
      <c r="A16" s="50" t="s">
        <v>163</v>
      </c>
      <c r="B16" s="51">
        <v>37.82</v>
      </c>
      <c r="C16" s="51">
        <v>27.15</v>
      </c>
      <c r="D16" s="51">
        <v>45.87</v>
      </c>
      <c r="E16" s="51">
        <v>6.44</v>
      </c>
      <c r="F16" s="51">
        <v>2.7</v>
      </c>
      <c r="G16" s="51">
        <v>78.19</v>
      </c>
      <c r="H16" s="51">
        <v>42.94</v>
      </c>
      <c r="I16" s="51">
        <v>9.77</v>
      </c>
      <c r="J16" s="51">
        <v>0.31</v>
      </c>
      <c r="K16" s="51">
        <v>249.38</v>
      </c>
      <c r="L16" s="51">
        <v>17.04</v>
      </c>
      <c r="M16" s="51">
        <v>94.18</v>
      </c>
      <c r="N16" s="51">
        <v>45.1</v>
      </c>
      <c r="O16" s="51">
        <v>0</v>
      </c>
      <c r="P16" s="51">
        <v>0.84</v>
      </c>
      <c r="Q16" s="51">
        <v>5.29</v>
      </c>
    </row>
    <row r="17" spans="1:17" customFormat="1">
      <c r="A17" s="50" t="s">
        <v>164</v>
      </c>
      <c r="B17" s="51">
        <v>36.97</v>
      </c>
      <c r="C17" s="51">
        <v>27.18</v>
      </c>
      <c r="D17" s="51">
        <v>45.2</v>
      </c>
      <c r="E17" s="51">
        <v>6.59</v>
      </c>
      <c r="F17" s="51">
        <v>2.69</v>
      </c>
      <c r="G17" s="51">
        <v>96.27</v>
      </c>
      <c r="H17" s="51">
        <v>45.9</v>
      </c>
      <c r="I17" s="51">
        <v>10.62</v>
      </c>
      <c r="J17" s="51">
        <v>0.38</v>
      </c>
      <c r="K17" s="51">
        <v>74.27</v>
      </c>
      <c r="L17" s="51">
        <v>20.22</v>
      </c>
      <c r="M17" s="51">
        <v>88.79</v>
      </c>
      <c r="N17" s="51">
        <v>158.80000000000001</v>
      </c>
      <c r="O17" s="51">
        <v>0</v>
      </c>
      <c r="P17" s="51">
        <v>0.88</v>
      </c>
      <c r="Q17" s="51">
        <v>5.29</v>
      </c>
    </row>
    <row r="18" spans="1:17" customFormat="1">
      <c r="A18" s="50" t="s">
        <v>165</v>
      </c>
      <c r="B18" s="51">
        <v>34.47</v>
      </c>
      <c r="C18" s="51">
        <v>27.15</v>
      </c>
      <c r="D18" s="51">
        <v>42.55</v>
      </c>
      <c r="E18" s="51">
        <v>6.58</v>
      </c>
      <c r="F18" s="51">
        <v>2.78</v>
      </c>
      <c r="G18" s="51">
        <v>98.53</v>
      </c>
      <c r="H18" s="51">
        <v>47.69</v>
      </c>
      <c r="I18" s="51">
        <v>11.19</v>
      </c>
      <c r="J18" s="51">
        <v>0.41</v>
      </c>
      <c r="K18" s="51">
        <v>68.28</v>
      </c>
      <c r="L18" s="51">
        <v>22.8</v>
      </c>
      <c r="M18" s="51">
        <v>76.290000000000006</v>
      </c>
      <c r="N18" s="51">
        <v>180.6</v>
      </c>
      <c r="O18" s="51">
        <v>0</v>
      </c>
      <c r="P18" s="51">
        <v>0.88</v>
      </c>
      <c r="Q18" s="51">
        <v>5.24</v>
      </c>
    </row>
    <row r="19" spans="1:17" customFormat="1">
      <c r="A19" s="50" t="s">
        <v>166</v>
      </c>
      <c r="B19" s="51">
        <v>29.47</v>
      </c>
      <c r="C19" s="51">
        <v>29.92</v>
      </c>
      <c r="D19" s="51">
        <v>39.61</v>
      </c>
      <c r="E19" s="51">
        <v>7.2</v>
      </c>
      <c r="F19" s="51">
        <v>2.91</v>
      </c>
      <c r="G19" s="51">
        <v>98.53</v>
      </c>
      <c r="H19" s="51">
        <v>47.69</v>
      </c>
      <c r="I19" s="51">
        <v>11.2</v>
      </c>
      <c r="J19" s="51">
        <v>0.28000000000000003</v>
      </c>
      <c r="K19" s="51">
        <v>141.51</v>
      </c>
      <c r="L19" s="51">
        <v>25.55</v>
      </c>
      <c r="M19" s="51">
        <v>61.47</v>
      </c>
      <c r="N19" s="51">
        <v>347.1</v>
      </c>
      <c r="O19" s="51">
        <v>0</v>
      </c>
      <c r="P19" s="51">
        <v>0.88</v>
      </c>
      <c r="Q19" s="51">
        <v>5.21</v>
      </c>
    </row>
    <row r="20" spans="1:17" customFormat="1">
      <c r="A20" s="50" t="s">
        <v>167</v>
      </c>
      <c r="B20" s="51">
        <v>17.77</v>
      </c>
      <c r="C20" s="51">
        <v>30.04</v>
      </c>
      <c r="D20" s="51">
        <v>31.3</v>
      </c>
      <c r="E20" s="51">
        <v>7.25</v>
      </c>
      <c r="F20" s="51">
        <v>3.16</v>
      </c>
      <c r="G20" s="51">
        <v>95.85</v>
      </c>
      <c r="H20" s="51">
        <v>47.38</v>
      </c>
      <c r="I20" s="51">
        <v>10.5</v>
      </c>
      <c r="J20" s="51">
        <v>0.33</v>
      </c>
      <c r="K20" s="51">
        <v>290.69</v>
      </c>
      <c r="L20" s="51">
        <v>26.78</v>
      </c>
      <c r="M20" s="51">
        <v>50.96</v>
      </c>
      <c r="N20" s="51">
        <v>390.8</v>
      </c>
      <c r="O20" s="51">
        <v>0</v>
      </c>
      <c r="P20" s="51">
        <v>0.82</v>
      </c>
      <c r="Q20" s="51">
        <v>5.03</v>
      </c>
    </row>
    <row r="21" spans="1:17" customFormat="1">
      <c r="A21" s="50" t="s">
        <v>168</v>
      </c>
      <c r="B21" s="51">
        <v>9.89</v>
      </c>
      <c r="C21" s="51">
        <v>28.54</v>
      </c>
      <c r="D21" s="51">
        <v>24.19</v>
      </c>
      <c r="E21" s="51">
        <v>7.37</v>
      </c>
      <c r="F21" s="51">
        <v>4.03</v>
      </c>
      <c r="G21" s="51">
        <v>82.31</v>
      </c>
      <c r="H21" s="51">
        <v>43.44</v>
      </c>
      <c r="I21" s="51">
        <v>9.66</v>
      </c>
      <c r="J21" s="51">
        <v>0.34</v>
      </c>
      <c r="K21" s="51">
        <v>147.03</v>
      </c>
      <c r="L21" s="51">
        <v>27.67</v>
      </c>
      <c r="M21" s="51">
        <v>46.74</v>
      </c>
      <c r="N21" s="51">
        <v>394.8</v>
      </c>
      <c r="O21" s="51">
        <v>0</v>
      </c>
      <c r="P21" s="51">
        <v>0.74</v>
      </c>
      <c r="Q21" s="51">
        <v>4.88</v>
      </c>
    </row>
    <row r="22" spans="1:17" customFormat="1">
      <c r="A22" s="50" t="s">
        <v>169</v>
      </c>
      <c r="B22" s="51">
        <v>6.14</v>
      </c>
      <c r="C22" s="51">
        <v>26.51</v>
      </c>
      <c r="D22" s="51">
        <v>20.12</v>
      </c>
      <c r="E22" s="51">
        <v>7.73</v>
      </c>
      <c r="F22" s="51">
        <v>5.41</v>
      </c>
      <c r="G22" s="51">
        <v>77.430000000000007</v>
      </c>
      <c r="H22" s="51">
        <v>40.76</v>
      </c>
      <c r="I22" s="51">
        <v>8.65</v>
      </c>
      <c r="J22" s="51">
        <v>0.43</v>
      </c>
      <c r="K22" s="51">
        <v>163.4</v>
      </c>
      <c r="L22" s="51">
        <v>28.16</v>
      </c>
      <c r="M22" s="51">
        <v>43.68</v>
      </c>
      <c r="N22" s="51">
        <v>332.7</v>
      </c>
      <c r="O22" s="51">
        <v>0</v>
      </c>
      <c r="P22" s="51">
        <v>0.7</v>
      </c>
      <c r="Q22" s="51">
        <v>4.8</v>
      </c>
    </row>
    <row r="23" spans="1:17" customFormat="1">
      <c r="A23" s="50" t="s">
        <v>170</v>
      </c>
      <c r="B23" s="51">
        <v>5.44</v>
      </c>
      <c r="C23" s="51">
        <v>25</v>
      </c>
      <c r="D23" s="51">
        <v>18.66</v>
      </c>
      <c r="E23" s="51">
        <v>7.37</v>
      </c>
      <c r="F23" s="51">
        <v>4.97</v>
      </c>
      <c r="G23" s="51">
        <v>75.010000000000005</v>
      </c>
      <c r="H23" s="51">
        <v>39.64</v>
      </c>
      <c r="I23" s="51">
        <v>7.95</v>
      </c>
      <c r="J23" s="51">
        <v>0.46</v>
      </c>
      <c r="K23" s="51">
        <v>30.91</v>
      </c>
      <c r="L23" s="51">
        <v>27.7</v>
      </c>
      <c r="M23" s="51">
        <v>41.85</v>
      </c>
      <c r="N23" s="51">
        <v>231.1</v>
      </c>
      <c r="O23" s="51">
        <v>0</v>
      </c>
      <c r="P23" s="51">
        <v>0.66</v>
      </c>
      <c r="Q23" s="51">
        <v>4.76</v>
      </c>
    </row>
    <row r="24" spans="1:17" customFormat="1">
      <c r="A24" s="50" t="s">
        <v>171</v>
      </c>
      <c r="B24" s="51">
        <v>6.22</v>
      </c>
      <c r="C24" s="51">
        <v>24.21</v>
      </c>
      <c r="D24" s="51">
        <v>18.45</v>
      </c>
      <c r="E24" s="51">
        <v>6.64</v>
      </c>
      <c r="F24" s="51">
        <v>4.01</v>
      </c>
      <c r="G24" s="51">
        <v>75.569999999999993</v>
      </c>
      <c r="H24" s="51">
        <v>37.18</v>
      </c>
      <c r="I24" s="51">
        <v>7.34</v>
      </c>
      <c r="J24" s="51">
        <v>0.46</v>
      </c>
      <c r="K24" s="51">
        <v>55.48</v>
      </c>
      <c r="L24" s="51">
        <v>27.07</v>
      </c>
      <c r="M24" s="51">
        <v>43.29</v>
      </c>
      <c r="N24" s="51">
        <v>89.3</v>
      </c>
      <c r="O24" s="51">
        <v>0</v>
      </c>
      <c r="P24" s="51">
        <v>0.65</v>
      </c>
      <c r="Q24" s="51">
        <v>4.75</v>
      </c>
    </row>
    <row r="25" spans="1:17" customFormat="1">
      <c r="A25" s="50" t="s">
        <v>172</v>
      </c>
      <c r="B25" s="51">
        <v>6.62</v>
      </c>
      <c r="C25" s="51">
        <v>19.43</v>
      </c>
      <c r="D25" s="51">
        <v>16.78</v>
      </c>
      <c r="E25" s="51">
        <v>6.53</v>
      </c>
      <c r="F25" s="51">
        <v>4.7699999999999996</v>
      </c>
      <c r="G25" s="51">
        <v>75.569999999999993</v>
      </c>
      <c r="H25" s="51">
        <v>44.91</v>
      </c>
      <c r="I25" s="51">
        <v>7.1</v>
      </c>
      <c r="J25" s="51">
        <v>0.6</v>
      </c>
      <c r="K25" s="51">
        <v>50.73</v>
      </c>
      <c r="L25" s="51">
        <v>26.15</v>
      </c>
      <c r="M25" s="51">
        <v>52.65</v>
      </c>
      <c r="N25" s="51">
        <v>39.6</v>
      </c>
      <c r="O25" s="51">
        <v>0</v>
      </c>
      <c r="P25" s="51">
        <v>0.65</v>
      </c>
      <c r="Q25" s="51">
        <v>4.82</v>
      </c>
    </row>
    <row r="26" spans="1:17" customFormat="1">
      <c r="A26" s="50" t="s">
        <v>173</v>
      </c>
      <c r="B26" s="51">
        <v>8.64</v>
      </c>
      <c r="C26" s="51">
        <v>21.73</v>
      </c>
      <c r="D26" s="51">
        <v>19.63</v>
      </c>
      <c r="E26" s="51">
        <v>6.52</v>
      </c>
      <c r="F26" s="51">
        <v>3.07</v>
      </c>
      <c r="G26" s="51">
        <v>143.93</v>
      </c>
      <c r="H26" s="51">
        <v>49.52</v>
      </c>
      <c r="I26" s="51">
        <v>7.23</v>
      </c>
      <c r="J26" s="51">
        <v>0.35</v>
      </c>
      <c r="K26" s="51">
        <v>56.63</v>
      </c>
      <c r="L26" s="51">
        <v>24.38</v>
      </c>
      <c r="M26" s="51">
        <v>57.86</v>
      </c>
      <c r="N26" s="51">
        <v>0.6</v>
      </c>
      <c r="O26" s="51">
        <v>0</v>
      </c>
      <c r="P26" s="51">
        <v>0.72</v>
      </c>
      <c r="Q26" s="51">
        <v>4.95</v>
      </c>
    </row>
    <row r="27" spans="1:17" customFormat="1">
      <c r="A27" s="50" t="s">
        <v>174</v>
      </c>
      <c r="B27" s="51">
        <v>11.58</v>
      </c>
      <c r="C27" s="51">
        <v>24.55</v>
      </c>
      <c r="D27" s="51">
        <v>23.42</v>
      </c>
      <c r="E27" s="51">
        <v>6.51</v>
      </c>
      <c r="F27" s="51">
        <v>2.75</v>
      </c>
      <c r="G27" s="51">
        <v>170.62</v>
      </c>
      <c r="H27" s="51">
        <v>50.98</v>
      </c>
      <c r="I27" s="51">
        <v>7.67</v>
      </c>
      <c r="J27" s="51">
        <v>0.39</v>
      </c>
      <c r="K27" s="51">
        <v>71.599999999999994</v>
      </c>
      <c r="L27" s="51">
        <v>23.14</v>
      </c>
      <c r="M27" s="51">
        <v>63.28</v>
      </c>
      <c r="N27" s="51">
        <v>0</v>
      </c>
      <c r="O27" s="51">
        <v>0</v>
      </c>
      <c r="P27" s="51">
        <v>0.8</v>
      </c>
      <c r="Q27" s="51">
        <v>4.99</v>
      </c>
    </row>
    <row r="28" spans="1:17" customFormat="1">
      <c r="A28" s="50" t="s">
        <v>175</v>
      </c>
      <c r="B28" s="51">
        <v>13.96</v>
      </c>
      <c r="C28" s="51">
        <v>26.37</v>
      </c>
      <c r="D28" s="51">
        <v>25.88</v>
      </c>
      <c r="E28" s="51">
        <v>6.48</v>
      </c>
      <c r="F28" s="51">
        <v>2.79</v>
      </c>
      <c r="G28" s="51">
        <v>170.62</v>
      </c>
      <c r="H28" s="51">
        <v>59.6</v>
      </c>
      <c r="I28" s="51">
        <v>8.34</v>
      </c>
      <c r="J28" s="51">
        <v>0.19</v>
      </c>
      <c r="K28" s="51">
        <v>144.87</v>
      </c>
      <c r="L28" s="51">
        <v>21.85</v>
      </c>
      <c r="M28" s="51">
        <v>67.989999999999995</v>
      </c>
      <c r="N28" s="51">
        <v>0</v>
      </c>
      <c r="O28" s="51">
        <v>0</v>
      </c>
      <c r="P28" s="51">
        <v>0.89</v>
      </c>
      <c r="Q28" s="51">
        <v>5.01</v>
      </c>
    </row>
    <row r="29" spans="1:17" customFormat="1">
      <c r="A29" s="50" t="s">
        <v>176</v>
      </c>
      <c r="B29" s="51">
        <v>15.74</v>
      </c>
      <c r="C29" s="51">
        <v>29.51</v>
      </c>
      <c r="D29" s="51">
        <v>29.39</v>
      </c>
      <c r="E29" s="51">
        <v>6.65</v>
      </c>
      <c r="F29" s="51">
        <v>2.77</v>
      </c>
      <c r="G29" s="51">
        <v>144.4</v>
      </c>
      <c r="H29" s="51">
        <v>59.6</v>
      </c>
      <c r="I29" s="51">
        <v>9.2100000000000009</v>
      </c>
      <c r="J29" s="51">
        <v>0.2</v>
      </c>
      <c r="K29" s="51">
        <v>165.12</v>
      </c>
      <c r="L29" s="51">
        <v>20.97</v>
      </c>
      <c r="M29" s="51">
        <v>79.709999999999994</v>
      </c>
      <c r="N29" s="51">
        <v>0</v>
      </c>
      <c r="O29" s="51">
        <v>0</v>
      </c>
      <c r="P29" s="51">
        <v>1.01</v>
      </c>
      <c r="Q29" s="51">
        <v>5.0599999999999996</v>
      </c>
    </row>
    <row r="30" spans="1:17" customFormat="1">
      <c r="A30" s="50" t="s">
        <v>177</v>
      </c>
      <c r="B30" s="51">
        <v>15.64</v>
      </c>
      <c r="C30" s="51">
        <v>29.81</v>
      </c>
      <c r="D30" s="51">
        <v>29.36</v>
      </c>
      <c r="E30" s="51">
        <v>6.52</v>
      </c>
      <c r="F30" s="51">
        <v>2.71</v>
      </c>
      <c r="G30" s="51">
        <v>144.4</v>
      </c>
      <c r="H30" s="51">
        <v>59.27</v>
      </c>
      <c r="I30" s="51">
        <v>10.41</v>
      </c>
      <c r="J30" s="51">
        <v>0.22</v>
      </c>
      <c r="K30" s="51">
        <v>225.56</v>
      </c>
      <c r="L30" s="51">
        <v>19.760000000000002</v>
      </c>
      <c r="M30" s="51">
        <v>83.02</v>
      </c>
      <c r="N30" s="51">
        <v>0</v>
      </c>
      <c r="O30" s="51">
        <v>0</v>
      </c>
      <c r="P30" s="51">
        <v>1.07</v>
      </c>
      <c r="Q30" s="51">
        <v>5.0599999999999996</v>
      </c>
    </row>
    <row r="31" spans="1:17" customFormat="1">
      <c r="A31" s="50" t="s">
        <v>178</v>
      </c>
      <c r="B31" s="51">
        <v>14.23</v>
      </c>
      <c r="C31" s="51">
        <v>29.28</v>
      </c>
      <c r="D31" s="51">
        <v>28.06</v>
      </c>
      <c r="E31" s="51">
        <v>7.02</v>
      </c>
      <c r="F31" s="51">
        <v>2.82</v>
      </c>
      <c r="G31" s="51">
        <v>123.35</v>
      </c>
      <c r="H31" s="51">
        <v>58.31</v>
      </c>
      <c r="I31" s="51">
        <v>10.81</v>
      </c>
      <c r="J31" s="51">
        <v>0.26</v>
      </c>
      <c r="K31" s="51">
        <v>164.82</v>
      </c>
      <c r="L31" s="51">
        <v>19.55</v>
      </c>
      <c r="M31" s="51">
        <v>81.34</v>
      </c>
      <c r="N31" s="51">
        <v>0</v>
      </c>
      <c r="O31" s="51">
        <v>0</v>
      </c>
      <c r="P31" s="51">
        <v>1.06</v>
      </c>
      <c r="Q31" s="51">
        <v>5.01</v>
      </c>
    </row>
    <row r="32" spans="1:17" customFormat="1">
      <c r="A32" s="50" t="s">
        <v>179</v>
      </c>
      <c r="B32" s="51">
        <v>10.71</v>
      </c>
      <c r="C32" s="51">
        <v>26.97</v>
      </c>
      <c r="D32" s="51">
        <v>24.03</v>
      </c>
      <c r="E32" s="51">
        <v>6.79</v>
      </c>
      <c r="F32" s="51">
        <v>3.05</v>
      </c>
      <c r="G32" s="51">
        <v>99.73</v>
      </c>
      <c r="H32" s="51">
        <v>57.65</v>
      </c>
      <c r="I32" s="51">
        <v>10.56</v>
      </c>
      <c r="J32" s="51">
        <v>0.2</v>
      </c>
      <c r="K32" s="51">
        <v>175.37</v>
      </c>
      <c r="L32" s="51">
        <v>19.68</v>
      </c>
      <c r="M32" s="51">
        <v>76.540000000000006</v>
      </c>
      <c r="N32" s="51">
        <v>0</v>
      </c>
      <c r="O32" s="51">
        <v>0</v>
      </c>
      <c r="P32" s="51">
        <v>0.97</v>
      </c>
      <c r="Q32" s="51">
        <v>4.9000000000000004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5.44</v>
      </c>
      <c r="C34" s="41">
        <f t="shared" si="0"/>
        <v>19.43</v>
      </c>
      <c r="D34" s="41">
        <f t="shared" si="0"/>
        <v>16.78</v>
      </c>
      <c r="E34" s="41">
        <f t="shared" si="0"/>
        <v>6.09</v>
      </c>
      <c r="F34" s="41">
        <f t="shared" si="0"/>
        <v>2.5499999999999998</v>
      </c>
      <c r="G34" s="41">
        <f t="shared" si="0"/>
        <v>75.010000000000005</v>
      </c>
      <c r="H34" s="41">
        <f t="shared" si="0"/>
        <v>37.18</v>
      </c>
      <c r="I34" s="41">
        <f t="shared" si="0"/>
        <v>7.1</v>
      </c>
      <c r="J34" s="41">
        <f t="shared" si="0"/>
        <v>0.11</v>
      </c>
      <c r="K34" s="41">
        <f t="shared" si="0"/>
        <v>30.91</v>
      </c>
      <c r="L34" s="41">
        <f t="shared" si="0"/>
        <v>15.85</v>
      </c>
      <c r="M34" s="41">
        <f t="shared" si="0"/>
        <v>41.85</v>
      </c>
      <c r="N34" s="41">
        <f t="shared" si="0"/>
        <v>0</v>
      </c>
      <c r="O34" s="41">
        <f t="shared" si="0"/>
        <v>0</v>
      </c>
      <c r="P34" s="41">
        <f t="shared" si="0"/>
        <v>0.65</v>
      </c>
      <c r="Q34" s="41">
        <f t="shared" si="0"/>
        <v>4.75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47.44</v>
      </c>
      <c r="C35" s="33">
        <f t="shared" si="1"/>
        <v>33.369999999999997</v>
      </c>
      <c r="D35" s="33">
        <f t="shared" si="1"/>
        <v>56.68</v>
      </c>
      <c r="E35" s="33">
        <f t="shared" si="1"/>
        <v>7.73</v>
      </c>
      <c r="F35" s="33">
        <f t="shared" si="1"/>
        <v>5.41</v>
      </c>
      <c r="G35" s="33">
        <f t="shared" si="1"/>
        <v>170.62</v>
      </c>
      <c r="H35" s="33">
        <f t="shared" si="1"/>
        <v>59.6</v>
      </c>
      <c r="I35" s="33">
        <f t="shared" si="1"/>
        <v>11.2</v>
      </c>
      <c r="J35" s="33">
        <f t="shared" si="1"/>
        <v>0.6</v>
      </c>
      <c r="K35" s="33">
        <f t="shared" si="1"/>
        <v>290.69</v>
      </c>
      <c r="L35" s="33">
        <f t="shared" si="1"/>
        <v>28.16</v>
      </c>
      <c r="M35" s="33">
        <f t="shared" si="1"/>
        <v>94.35</v>
      </c>
      <c r="N35" s="33">
        <f t="shared" si="1"/>
        <v>394.8</v>
      </c>
      <c r="O35" s="33">
        <f t="shared" si="1"/>
        <v>0</v>
      </c>
      <c r="P35" s="33">
        <f t="shared" si="1"/>
        <v>1.17</v>
      </c>
      <c r="Q35" s="33">
        <f t="shared" si="1"/>
        <v>5.4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23.865000000000006</v>
      </c>
      <c r="C36" s="41">
        <f t="shared" si="2"/>
        <v>27.858750000000001</v>
      </c>
      <c r="D36" s="41">
        <f t="shared" si="2"/>
        <v>34.891249999999992</v>
      </c>
      <c r="E36" s="41">
        <f t="shared" si="2"/>
        <v>6.7516666666666678</v>
      </c>
      <c r="F36" s="41">
        <f t="shared" si="2"/>
        <v>3.1641666666666661</v>
      </c>
      <c r="G36" s="41">
        <f t="shared" si="2"/>
        <v>106.86666666666666</v>
      </c>
      <c r="H36" s="41">
        <f t="shared" si="2"/>
        <v>49.284999999999997</v>
      </c>
      <c r="I36" s="41">
        <f t="shared" si="2"/>
        <v>9.6662499999999998</v>
      </c>
      <c r="J36" s="41">
        <f t="shared" si="2"/>
        <v>0.28666666666666668</v>
      </c>
      <c r="K36" s="41">
        <f t="shared" si="2"/>
        <v>162.30208333333334</v>
      </c>
      <c r="L36" s="41">
        <f t="shared" si="2"/>
        <v>21.452916666666667</v>
      </c>
      <c r="M36" s="41">
        <f t="shared" si="2"/>
        <v>72.649166666666659</v>
      </c>
      <c r="N36" s="41">
        <f t="shared" si="2"/>
        <v>92.183333333333337</v>
      </c>
      <c r="O36" s="41">
        <f t="shared" si="2"/>
        <v>0</v>
      </c>
      <c r="P36" s="41">
        <f t="shared" si="2"/>
        <v>0.88625000000000009</v>
      </c>
      <c r="Q36" s="41">
        <f t="shared" si="2"/>
        <v>5.090416666666667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15.113480593568564</v>
      </c>
      <c r="C37" s="41">
        <f t="shared" ref="C37:Q37" si="3">STDEV(C9:C32)</f>
        <v>3.3723483141831538</v>
      </c>
      <c r="D37" s="41">
        <f t="shared" si="3"/>
        <v>13.365258439408271</v>
      </c>
      <c r="E37" s="41">
        <f t="shared" si="3"/>
        <v>0.38990151116120608</v>
      </c>
      <c r="F37" s="41">
        <f t="shared" si="3"/>
        <v>0.82568504715869306</v>
      </c>
      <c r="G37" s="41">
        <f t="shared" si="3"/>
        <v>30.23027372147606</v>
      </c>
      <c r="H37" s="41">
        <f t="shared" si="3"/>
        <v>6.7119031189567773</v>
      </c>
      <c r="I37" s="41">
        <f t="shared" si="3"/>
        <v>1.381992300047769</v>
      </c>
      <c r="J37" s="41">
        <f t="shared" si="3"/>
        <v>0.12903207106110809</v>
      </c>
      <c r="K37" s="41">
        <f t="shared" si="3"/>
        <v>81.381364172649867</v>
      </c>
      <c r="L37" s="41">
        <f t="shared" si="3"/>
        <v>4.328198218524709</v>
      </c>
      <c r="M37" s="41">
        <f t="shared" si="3"/>
        <v>18.579088739919346</v>
      </c>
      <c r="N37" s="41">
        <f t="shared" si="3"/>
        <v>141.21131456904874</v>
      </c>
      <c r="O37" s="41">
        <f t="shared" si="3"/>
        <v>0</v>
      </c>
      <c r="P37" s="41">
        <f t="shared" si="3"/>
        <v>0.15353267602922574</v>
      </c>
      <c r="Q37" s="41">
        <f t="shared" si="3"/>
        <v>0.20695471394289594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06/01/2024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180</v>
      </c>
      <c r="B9" s="51">
        <v>7.46</v>
      </c>
      <c r="C9" s="51">
        <v>24.66</v>
      </c>
      <c r="D9" s="51">
        <v>20.22</v>
      </c>
      <c r="E9" s="51">
        <v>7.12</v>
      </c>
      <c r="F9" s="51">
        <v>3.08</v>
      </c>
      <c r="G9" s="51">
        <v>57.45</v>
      </c>
      <c r="H9" s="51">
        <v>45</v>
      </c>
      <c r="I9" s="51">
        <v>9.39</v>
      </c>
      <c r="J9" s="51">
        <v>0.16</v>
      </c>
      <c r="K9" s="51">
        <v>258.55</v>
      </c>
      <c r="L9" s="51">
        <v>18.97</v>
      </c>
      <c r="M9" s="51">
        <v>87.8</v>
      </c>
      <c r="N9" s="51">
        <v>0</v>
      </c>
      <c r="O9" s="51">
        <v>0</v>
      </c>
      <c r="P9" s="51">
        <v>0.86</v>
      </c>
      <c r="Q9" s="51">
        <v>4.82</v>
      </c>
    </row>
    <row r="10" spans="1:21" customFormat="1">
      <c r="A10" s="50" t="s">
        <v>181</v>
      </c>
      <c r="B10" s="51">
        <v>7.68</v>
      </c>
      <c r="C10" s="51">
        <v>22.42</v>
      </c>
      <c r="D10" s="51">
        <v>18.489999999999998</v>
      </c>
      <c r="E10" s="51">
        <v>6.16</v>
      </c>
      <c r="F10" s="51">
        <v>3.06</v>
      </c>
      <c r="G10" s="51">
        <v>50.67</v>
      </c>
      <c r="H10" s="51">
        <v>41.91</v>
      </c>
      <c r="I10" s="51">
        <v>8.5</v>
      </c>
      <c r="J10" s="51">
        <v>0.08</v>
      </c>
      <c r="K10" s="51">
        <v>322.32</v>
      </c>
      <c r="L10" s="51">
        <v>17.82</v>
      </c>
      <c r="M10" s="51">
        <v>86.11</v>
      </c>
      <c r="N10" s="51">
        <v>0</v>
      </c>
      <c r="O10" s="51">
        <v>0</v>
      </c>
      <c r="P10" s="51">
        <v>0.78</v>
      </c>
      <c r="Q10" s="51">
        <v>4.78</v>
      </c>
    </row>
    <row r="11" spans="1:21" customFormat="1">
      <c r="A11" s="50" t="s">
        <v>182</v>
      </c>
      <c r="B11" s="51">
        <v>11.29</v>
      </c>
      <c r="C11" s="51">
        <v>22.65</v>
      </c>
      <c r="D11" s="51">
        <v>22.24</v>
      </c>
      <c r="E11" s="51">
        <v>7.9</v>
      </c>
      <c r="F11" s="51">
        <v>2.67</v>
      </c>
      <c r="G11" s="51">
        <v>50.93</v>
      </c>
      <c r="H11" s="51">
        <v>37.96</v>
      </c>
      <c r="I11" s="51">
        <v>7.82</v>
      </c>
      <c r="J11" s="51">
        <v>0.14000000000000001</v>
      </c>
      <c r="K11" s="51">
        <v>180.25</v>
      </c>
      <c r="L11" s="51">
        <v>17.5</v>
      </c>
      <c r="M11" s="51">
        <v>90.42</v>
      </c>
      <c r="N11" s="51">
        <v>0</v>
      </c>
      <c r="O11" s="51">
        <v>0</v>
      </c>
      <c r="P11" s="51">
        <v>0.72</v>
      </c>
      <c r="Q11" s="51">
        <v>4.8600000000000003</v>
      </c>
    </row>
    <row r="12" spans="1:21" customFormat="1">
      <c r="A12" s="50" t="s">
        <v>183</v>
      </c>
      <c r="B12" s="51">
        <v>17.100000000000001</v>
      </c>
      <c r="C12" s="51">
        <v>24.65</v>
      </c>
      <c r="D12" s="51">
        <v>27.94</v>
      </c>
      <c r="E12" s="51">
        <v>8.61</v>
      </c>
      <c r="F12" s="51">
        <v>2.67</v>
      </c>
      <c r="G12" s="51">
        <v>63.08</v>
      </c>
      <c r="H12" s="51">
        <v>32.72</v>
      </c>
      <c r="I12" s="51">
        <v>7.33</v>
      </c>
      <c r="J12" s="51">
        <v>0.15</v>
      </c>
      <c r="K12" s="51">
        <v>151.43</v>
      </c>
      <c r="L12" s="51">
        <v>16.84</v>
      </c>
      <c r="M12" s="51">
        <v>90.23</v>
      </c>
      <c r="N12" s="51">
        <v>0</v>
      </c>
      <c r="O12" s="51">
        <v>0</v>
      </c>
      <c r="P12" s="51">
        <v>0.67</v>
      </c>
      <c r="Q12" s="51">
        <v>4.9400000000000004</v>
      </c>
    </row>
    <row r="13" spans="1:21" customFormat="1">
      <c r="A13" s="50" t="s">
        <v>184</v>
      </c>
      <c r="B13" s="51">
        <v>19.57</v>
      </c>
      <c r="C13" s="51">
        <v>25.19</v>
      </c>
      <c r="D13" s="51">
        <v>30.21</v>
      </c>
      <c r="E13" s="51">
        <v>8.43</v>
      </c>
      <c r="F13" s="51">
        <v>2.58</v>
      </c>
      <c r="G13" s="51">
        <v>66.41</v>
      </c>
      <c r="H13" s="51">
        <v>35.5</v>
      </c>
      <c r="I13" s="51">
        <v>7.01</v>
      </c>
      <c r="J13" s="51">
        <v>0.33</v>
      </c>
      <c r="K13" s="51">
        <v>206.68</v>
      </c>
      <c r="L13" s="51">
        <v>16.649999999999999</v>
      </c>
      <c r="M13" s="51">
        <v>89.02</v>
      </c>
      <c r="N13" s="51">
        <v>0</v>
      </c>
      <c r="O13" s="51">
        <v>0</v>
      </c>
      <c r="P13" s="51">
        <v>0.65</v>
      </c>
      <c r="Q13" s="51">
        <v>5.03</v>
      </c>
    </row>
    <row r="14" spans="1:21" customFormat="1">
      <c r="A14" s="50" t="s">
        <v>185</v>
      </c>
      <c r="B14" s="51">
        <v>20.49</v>
      </c>
      <c r="C14" s="51">
        <v>24.88</v>
      </c>
      <c r="D14" s="51">
        <v>30.78</v>
      </c>
      <c r="E14" s="51">
        <v>8.35</v>
      </c>
      <c r="F14" s="51">
        <v>2.69</v>
      </c>
      <c r="G14" s="51">
        <v>71.58</v>
      </c>
      <c r="H14" s="51">
        <v>35.5</v>
      </c>
      <c r="I14" s="51">
        <v>6.95</v>
      </c>
      <c r="J14" s="51">
        <v>0.3</v>
      </c>
      <c r="K14" s="51">
        <v>65.52</v>
      </c>
      <c r="L14" s="51">
        <v>16.54</v>
      </c>
      <c r="M14" s="51">
        <v>87.44</v>
      </c>
      <c r="N14" s="51">
        <v>0</v>
      </c>
      <c r="O14" s="51">
        <v>0</v>
      </c>
      <c r="P14" s="51">
        <v>0.64</v>
      </c>
      <c r="Q14" s="51">
        <v>5.05</v>
      </c>
    </row>
    <row r="15" spans="1:21" customFormat="1">
      <c r="A15" s="50" t="s">
        <v>186</v>
      </c>
      <c r="B15" s="51">
        <v>22.54</v>
      </c>
      <c r="C15" s="51">
        <v>27</v>
      </c>
      <c r="D15" s="51">
        <v>33.53</v>
      </c>
      <c r="E15" s="51">
        <v>8.1</v>
      </c>
      <c r="F15" s="51">
        <v>2.73</v>
      </c>
      <c r="G15" s="51">
        <v>91.92</v>
      </c>
      <c r="H15" s="51">
        <v>38.450000000000003</v>
      </c>
      <c r="I15" s="51">
        <v>7.19</v>
      </c>
      <c r="J15" s="51">
        <v>0.44</v>
      </c>
      <c r="K15" s="51">
        <v>54.2</v>
      </c>
      <c r="L15" s="51">
        <v>16.329999999999998</v>
      </c>
      <c r="M15" s="51">
        <v>89.55</v>
      </c>
      <c r="N15" s="51">
        <v>4.4000000000000004</v>
      </c>
      <c r="O15" s="51">
        <v>0</v>
      </c>
      <c r="P15" s="51">
        <v>0.7</v>
      </c>
      <c r="Q15" s="51">
        <v>5.0999999999999996</v>
      </c>
    </row>
    <row r="16" spans="1:21" customFormat="1">
      <c r="A16" s="50" t="s">
        <v>187</v>
      </c>
      <c r="B16" s="51">
        <v>23.35</v>
      </c>
      <c r="C16" s="51">
        <v>28.4</v>
      </c>
      <c r="D16" s="51">
        <v>34.909999999999997</v>
      </c>
      <c r="E16" s="51">
        <v>8.09</v>
      </c>
      <c r="F16" s="51">
        <v>2.62</v>
      </c>
      <c r="G16" s="51">
        <v>96.93</v>
      </c>
      <c r="H16" s="51">
        <v>45.86</v>
      </c>
      <c r="I16" s="51">
        <v>7.79</v>
      </c>
      <c r="J16" s="51">
        <v>0.43</v>
      </c>
      <c r="K16" s="51">
        <v>65.459999999999994</v>
      </c>
      <c r="L16" s="51">
        <v>17.079999999999998</v>
      </c>
      <c r="M16" s="51">
        <v>87.65</v>
      </c>
      <c r="N16" s="51">
        <v>49.9</v>
      </c>
      <c r="O16" s="51">
        <v>0</v>
      </c>
      <c r="P16" s="51">
        <v>0.77</v>
      </c>
      <c r="Q16" s="51">
        <v>5.1100000000000003</v>
      </c>
    </row>
    <row r="17" spans="1:17" customFormat="1">
      <c r="A17" s="50" t="s">
        <v>188</v>
      </c>
      <c r="B17" s="51">
        <v>23.49</v>
      </c>
      <c r="C17" s="51">
        <v>29.42</v>
      </c>
      <c r="D17" s="51">
        <v>35.36</v>
      </c>
      <c r="E17" s="51">
        <v>8.82</v>
      </c>
      <c r="F17" s="51">
        <v>2.65</v>
      </c>
      <c r="G17" s="51">
        <v>109.27</v>
      </c>
      <c r="H17" s="51">
        <v>46.21</v>
      </c>
      <c r="I17" s="51">
        <v>8.59</v>
      </c>
      <c r="J17" s="51">
        <v>0.68</v>
      </c>
      <c r="K17" s="51">
        <v>65.489999999999995</v>
      </c>
      <c r="L17" s="51">
        <v>19.02</v>
      </c>
      <c r="M17" s="51">
        <v>82.62</v>
      </c>
      <c r="N17" s="51">
        <v>148.80000000000001</v>
      </c>
      <c r="O17" s="51">
        <v>0</v>
      </c>
      <c r="P17" s="51">
        <v>0.81</v>
      </c>
      <c r="Q17" s="51">
        <v>5.0999999999999996</v>
      </c>
    </row>
    <row r="18" spans="1:17" customFormat="1">
      <c r="A18" s="50" t="s">
        <v>189</v>
      </c>
      <c r="B18" s="51">
        <v>21.09</v>
      </c>
      <c r="C18" s="51">
        <v>30.22</v>
      </c>
      <c r="D18" s="51">
        <v>33.81</v>
      </c>
      <c r="E18" s="51">
        <v>9.01</v>
      </c>
      <c r="F18" s="51">
        <v>2.94</v>
      </c>
      <c r="G18" s="51">
        <v>110.64</v>
      </c>
      <c r="H18" s="51">
        <v>47.72</v>
      </c>
      <c r="I18" s="51">
        <v>8.74</v>
      </c>
      <c r="J18" s="51">
        <v>0.44</v>
      </c>
      <c r="K18" s="51">
        <v>116.89</v>
      </c>
      <c r="L18" s="51">
        <v>22.22</v>
      </c>
      <c r="M18" s="51">
        <v>71.239999999999995</v>
      </c>
      <c r="N18" s="51">
        <v>180.9</v>
      </c>
      <c r="O18" s="51">
        <v>0</v>
      </c>
      <c r="P18" s="51">
        <v>0.82</v>
      </c>
      <c r="Q18" s="51">
        <v>5.04</v>
      </c>
    </row>
    <row r="19" spans="1:17" customFormat="1">
      <c r="A19" s="50" t="s">
        <v>190</v>
      </c>
      <c r="B19" s="51">
        <v>15.74</v>
      </c>
      <c r="C19" s="51">
        <v>29.92</v>
      </c>
      <c r="D19" s="51">
        <v>29.61</v>
      </c>
      <c r="E19" s="51">
        <v>6.29</v>
      </c>
      <c r="F19" s="51">
        <v>3.09</v>
      </c>
      <c r="G19" s="51">
        <v>110.64</v>
      </c>
      <c r="H19" s="51">
        <v>47.72</v>
      </c>
      <c r="I19" s="51">
        <v>8.8699999999999992</v>
      </c>
      <c r="J19" s="51">
        <v>0.55000000000000004</v>
      </c>
      <c r="K19" s="51">
        <v>287.25</v>
      </c>
      <c r="L19" s="51">
        <v>24.06</v>
      </c>
      <c r="M19" s="51">
        <v>56.93</v>
      </c>
      <c r="N19" s="51">
        <v>320.3</v>
      </c>
      <c r="O19" s="51">
        <v>0</v>
      </c>
      <c r="P19" s="51">
        <v>0.78</v>
      </c>
      <c r="Q19" s="51">
        <v>4.97</v>
      </c>
    </row>
    <row r="20" spans="1:17" customFormat="1">
      <c r="A20" s="50" t="s">
        <v>191</v>
      </c>
      <c r="B20" s="51">
        <v>10.92</v>
      </c>
      <c r="C20" s="51">
        <v>25.54</v>
      </c>
      <c r="D20" s="51">
        <v>23.45</v>
      </c>
      <c r="E20" s="51">
        <v>6.15</v>
      </c>
      <c r="F20" s="51">
        <v>3.81</v>
      </c>
      <c r="G20" s="51">
        <v>76.39</v>
      </c>
      <c r="H20" s="51">
        <v>43.93</v>
      </c>
      <c r="I20" s="51">
        <v>8.48</v>
      </c>
      <c r="J20" s="51">
        <v>0.66</v>
      </c>
      <c r="K20" s="51">
        <v>344.79</v>
      </c>
      <c r="L20" s="51">
        <v>24.89</v>
      </c>
      <c r="M20" s="51">
        <v>51.7</v>
      </c>
      <c r="N20" s="51">
        <v>351</v>
      </c>
      <c r="O20" s="51">
        <v>0</v>
      </c>
      <c r="P20" s="51">
        <v>0.73</v>
      </c>
      <c r="Q20" s="51">
        <v>4.8499999999999996</v>
      </c>
    </row>
    <row r="21" spans="1:17" customFormat="1">
      <c r="A21" s="50" t="s">
        <v>192</v>
      </c>
      <c r="B21" s="51">
        <v>4.0199999999999996</v>
      </c>
      <c r="C21" s="51">
        <v>24.41</v>
      </c>
      <c r="D21" s="51">
        <v>16.920000000000002</v>
      </c>
      <c r="E21" s="51">
        <v>7.09</v>
      </c>
      <c r="F21" s="51">
        <v>9.84</v>
      </c>
      <c r="G21" s="51">
        <v>114.12</v>
      </c>
      <c r="H21" s="51">
        <v>24.12</v>
      </c>
      <c r="I21" s="51">
        <v>21.54</v>
      </c>
      <c r="J21" s="51">
        <v>1.3</v>
      </c>
      <c r="K21" s="51">
        <v>41.75</v>
      </c>
      <c r="L21" s="51">
        <v>25.67</v>
      </c>
      <c r="M21" s="51">
        <v>48.24</v>
      </c>
      <c r="N21" s="51">
        <v>357.1</v>
      </c>
      <c r="O21" s="51">
        <v>0</v>
      </c>
      <c r="P21" s="51">
        <v>0.62</v>
      </c>
      <c r="Q21" s="51">
        <v>4.82</v>
      </c>
    </row>
    <row r="22" spans="1:17" customFormat="1">
      <c r="A22" s="50" t="s">
        <v>193</v>
      </c>
      <c r="B22" s="51">
        <v>3.68</v>
      </c>
      <c r="C22" s="51">
        <v>25.01</v>
      </c>
      <c r="D22" s="51">
        <v>17.37</v>
      </c>
      <c r="E22" s="51">
        <v>7.82</v>
      </c>
      <c r="F22" s="51">
        <v>13.48</v>
      </c>
      <c r="G22" s="51">
        <v>114.12</v>
      </c>
      <c r="H22" s="51">
        <v>24.75</v>
      </c>
      <c r="I22" s="51">
        <v>20.85</v>
      </c>
      <c r="J22" s="51">
        <v>1.48</v>
      </c>
      <c r="K22" s="51">
        <v>42.68</v>
      </c>
      <c r="L22" s="51">
        <v>25.88</v>
      </c>
      <c r="M22" s="51">
        <v>48.32</v>
      </c>
      <c r="N22" s="51">
        <v>309.10000000000002</v>
      </c>
      <c r="O22" s="51">
        <v>0</v>
      </c>
      <c r="P22" s="51">
        <v>0.6</v>
      </c>
      <c r="Q22" s="51">
        <v>4.88</v>
      </c>
    </row>
    <row r="23" spans="1:17" customFormat="1">
      <c r="A23" s="50" t="s">
        <v>194</v>
      </c>
      <c r="B23" s="51">
        <v>3.05</v>
      </c>
      <c r="C23" s="51">
        <v>23.34</v>
      </c>
      <c r="D23" s="51">
        <v>15.6</v>
      </c>
      <c r="E23" s="51">
        <v>6.33</v>
      </c>
      <c r="F23" s="51">
        <v>9.44</v>
      </c>
      <c r="G23" s="51">
        <v>103.74</v>
      </c>
      <c r="H23" s="51">
        <v>27.45</v>
      </c>
      <c r="I23" s="51">
        <v>11.37</v>
      </c>
      <c r="J23" s="51">
        <v>1.45</v>
      </c>
      <c r="K23" s="51">
        <v>46.58</v>
      </c>
      <c r="L23" s="51">
        <v>25.27</v>
      </c>
      <c r="M23" s="51">
        <v>50.35</v>
      </c>
      <c r="N23" s="51">
        <v>175.2</v>
      </c>
      <c r="O23" s="51">
        <v>0</v>
      </c>
      <c r="P23" s="51">
        <v>0.63</v>
      </c>
      <c r="Q23" s="51">
        <v>4.88</v>
      </c>
    </row>
    <row r="24" spans="1:17" customFormat="1">
      <c r="A24" s="50" t="s">
        <v>195</v>
      </c>
      <c r="B24" s="51">
        <v>3.9</v>
      </c>
      <c r="C24" s="51">
        <v>24.43</v>
      </c>
      <c r="D24" s="51">
        <v>17.239999999999998</v>
      </c>
      <c r="E24" s="51">
        <v>5.47</v>
      </c>
      <c r="F24" s="51">
        <v>3.79</v>
      </c>
      <c r="G24" s="51">
        <v>98.43</v>
      </c>
      <c r="H24" s="51">
        <v>30.82</v>
      </c>
      <c r="I24" s="51">
        <v>8.67</v>
      </c>
      <c r="J24" s="51">
        <v>1.06</v>
      </c>
      <c r="K24" s="51">
        <v>39.24</v>
      </c>
      <c r="L24" s="51">
        <v>24.85</v>
      </c>
      <c r="M24" s="51">
        <v>54.23</v>
      </c>
      <c r="N24" s="51">
        <v>83.8</v>
      </c>
      <c r="O24" s="51">
        <v>0</v>
      </c>
      <c r="P24" s="51">
        <v>0.65</v>
      </c>
      <c r="Q24" s="51">
        <v>4.88</v>
      </c>
    </row>
    <row r="25" spans="1:17" customFormat="1">
      <c r="A25" s="50" t="s">
        <v>196</v>
      </c>
      <c r="B25" s="51">
        <v>4.8</v>
      </c>
      <c r="C25" s="51">
        <v>26.8</v>
      </c>
      <c r="D25" s="51">
        <v>19.2</v>
      </c>
      <c r="E25" s="51">
        <v>4.88</v>
      </c>
      <c r="F25" s="51">
        <v>3.71</v>
      </c>
      <c r="G25" s="51">
        <v>95.07</v>
      </c>
      <c r="H25" s="51">
        <v>34.119999999999997</v>
      </c>
      <c r="I25" s="51">
        <v>8.43</v>
      </c>
      <c r="J25" s="51">
        <v>1.06</v>
      </c>
      <c r="K25" s="51">
        <v>53.21</v>
      </c>
      <c r="L25" s="51">
        <v>24.09</v>
      </c>
      <c r="M25" s="51">
        <v>57.33</v>
      </c>
      <c r="N25" s="51">
        <v>24.8</v>
      </c>
      <c r="O25" s="51">
        <v>0</v>
      </c>
      <c r="P25" s="51">
        <v>0.7</v>
      </c>
      <c r="Q25" s="51">
        <v>4.9000000000000004</v>
      </c>
    </row>
    <row r="26" spans="1:17" customFormat="1">
      <c r="A26" s="50" t="s">
        <v>197</v>
      </c>
      <c r="B26" s="51">
        <v>7.12</v>
      </c>
      <c r="C26" s="51">
        <v>29.8</v>
      </c>
      <c r="D26" s="51">
        <v>22.63</v>
      </c>
      <c r="E26" s="51">
        <v>5.0999999999999996</v>
      </c>
      <c r="F26" s="51">
        <v>2.9</v>
      </c>
      <c r="G26" s="51">
        <v>97.58</v>
      </c>
      <c r="H26" s="51">
        <v>34.549999999999997</v>
      </c>
      <c r="I26" s="51">
        <v>8.86</v>
      </c>
      <c r="J26" s="51">
        <v>0.88</v>
      </c>
      <c r="K26" s="51">
        <v>59.14</v>
      </c>
      <c r="L26" s="51">
        <v>23.27</v>
      </c>
      <c r="M26" s="51">
        <v>60.51</v>
      </c>
      <c r="N26" s="51">
        <v>0</v>
      </c>
      <c r="O26" s="51">
        <v>0</v>
      </c>
      <c r="P26" s="51">
        <v>0.8</v>
      </c>
      <c r="Q26" s="51">
        <v>4.9000000000000004</v>
      </c>
    </row>
    <row r="27" spans="1:17" customFormat="1">
      <c r="A27" s="50" t="s">
        <v>198</v>
      </c>
      <c r="B27" s="51">
        <v>8.3699999999999992</v>
      </c>
      <c r="C27" s="51">
        <v>31.11</v>
      </c>
      <c r="D27" s="51">
        <v>24.29</v>
      </c>
      <c r="E27" s="51">
        <v>6.53</v>
      </c>
      <c r="F27" s="51">
        <v>2.54</v>
      </c>
      <c r="G27" s="51">
        <v>105.12</v>
      </c>
      <c r="H27" s="51">
        <v>39.93</v>
      </c>
      <c r="I27" s="51">
        <v>9.07</v>
      </c>
      <c r="J27" s="51">
        <v>0.6</v>
      </c>
      <c r="K27" s="51">
        <v>193.41</v>
      </c>
      <c r="L27" s="51">
        <v>22.29</v>
      </c>
      <c r="M27" s="51">
        <v>70.180000000000007</v>
      </c>
      <c r="N27" s="51">
        <v>0</v>
      </c>
      <c r="O27" s="51">
        <v>0</v>
      </c>
      <c r="P27" s="51">
        <v>0.86</v>
      </c>
      <c r="Q27" s="51">
        <v>4.91</v>
      </c>
    </row>
    <row r="28" spans="1:17" customFormat="1">
      <c r="A28" s="50" t="s">
        <v>199</v>
      </c>
      <c r="B28" s="51">
        <v>8.2200000000000006</v>
      </c>
      <c r="C28" s="51">
        <v>30.32</v>
      </c>
      <c r="D28" s="51">
        <v>23.78</v>
      </c>
      <c r="E28" s="51">
        <v>6.65</v>
      </c>
      <c r="F28" s="51">
        <v>2.6</v>
      </c>
      <c r="G28" s="51">
        <v>115.62</v>
      </c>
      <c r="H28" s="51">
        <v>43.95</v>
      </c>
      <c r="I28" s="51">
        <v>9.36</v>
      </c>
      <c r="J28" s="51">
        <v>0.27</v>
      </c>
      <c r="K28" s="51">
        <v>189.73</v>
      </c>
      <c r="L28" s="51">
        <v>21.59</v>
      </c>
      <c r="M28" s="51">
        <v>69.72</v>
      </c>
      <c r="N28" s="51">
        <v>0</v>
      </c>
      <c r="O28" s="51">
        <v>0</v>
      </c>
      <c r="P28" s="51">
        <v>0.91</v>
      </c>
      <c r="Q28" s="51">
        <v>4.8899999999999997</v>
      </c>
    </row>
    <row r="29" spans="1:17" customFormat="1">
      <c r="A29" s="50" t="s">
        <v>200</v>
      </c>
      <c r="B29" s="51">
        <v>11.05</v>
      </c>
      <c r="C29" s="51">
        <v>32.28</v>
      </c>
      <c r="D29" s="51">
        <v>26.71</v>
      </c>
      <c r="E29" s="51">
        <v>7.11</v>
      </c>
      <c r="F29" s="51">
        <v>2.54</v>
      </c>
      <c r="G29" s="51">
        <v>126.77</v>
      </c>
      <c r="H29" s="51">
        <v>48.24</v>
      </c>
      <c r="I29" s="51">
        <v>9.98</v>
      </c>
      <c r="J29" s="51">
        <v>0.99</v>
      </c>
      <c r="K29" s="51">
        <v>49.73</v>
      </c>
      <c r="L29" s="51">
        <v>21.23</v>
      </c>
      <c r="M29" s="51">
        <v>73.33</v>
      </c>
      <c r="N29" s="51">
        <v>0</v>
      </c>
      <c r="O29" s="51">
        <v>0</v>
      </c>
      <c r="P29" s="51">
        <v>1</v>
      </c>
      <c r="Q29" s="51">
        <v>4.88</v>
      </c>
    </row>
    <row r="30" spans="1:17" customFormat="1">
      <c r="A30" s="50" t="s">
        <v>201</v>
      </c>
      <c r="B30" s="51">
        <v>11.98</v>
      </c>
      <c r="C30" s="51">
        <v>26.93</v>
      </c>
      <c r="D30" s="51">
        <v>24.67</v>
      </c>
      <c r="E30" s="51">
        <v>6.6</v>
      </c>
      <c r="F30" s="51">
        <v>2.62</v>
      </c>
      <c r="G30" s="51">
        <v>140.44</v>
      </c>
      <c r="H30" s="51">
        <v>56.91</v>
      </c>
      <c r="I30" s="51">
        <v>10.17</v>
      </c>
      <c r="J30" s="51">
        <v>1.1000000000000001</v>
      </c>
      <c r="K30" s="51">
        <v>43.07</v>
      </c>
      <c r="L30" s="51">
        <v>20.11</v>
      </c>
      <c r="M30" s="51">
        <v>80.03</v>
      </c>
      <c r="N30" s="51">
        <v>0</v>
      </c>
      <c r="O30" s="51">
        <v>0</v>
      </c>
      <c r="P30" s="51">
        <v>1.01</v>
      </c>
      <c r="Q30" s="51">
        <v>4.91</v>
      </c>
    </row>
    <row r="31" spans="1:17" customFormat="1">
      <c r="A31" s="50" t="s">
        <v>202</v>
      </c>
      <c r="B31" s="51">
        <v>13.41</v>
      </c>
      <c r="C31" s="51">
        <v>26.65</v>
      </c>
      <c r="D31" s="51">
        <v>25.15</v>
      </c>
      <c r="E31" s="51">
        <v>6.76</v>
      </c>
      <c r="F31" s="51">
        <v>2.56</v>
      </c>
      <c r="G31" s="51">
        <v>133.59</v>
      </c>
      <c r="H31" s="51">
        <v>55.98</v>
      </c>
      <c r="I31" s="51">
        <v>10.1</v>
      </c>
      <c r="J31" s="51">
        <v>0.92</v>
      </c>
      <c r="K31" s="51">
        <v>54.12</v>
      </c>
      <c r="L31" s="51">
        <v>19.27</v>
      </c>
      <c r="M31" s="51">
        <v>83.42</v>
      </c>
      <c r="N31" s="51">
        <v>0</v>
      </c>
      <c r="O31" s="51">
        <v>0</v>
      </c>
      <c r="P31" s="51">
        <v>1.01</v>
      </c>
      <c r="Q31" s="51">
        <v>4.9800000000000004</v>
      </c>
    </row>
    <row r="32" spans="1:17" customFormat="1">
      <c r="A32" s="50" t="s">
        <v>203</v>
      </c>
      <c r="B32" s="51">
        <v>15.78</v>
      </c>
      <c r="C32" s="51">
        <v>24.78</v>
      </c>
      <c r="D32" s="51">
        <v>26.8</v>
      </c>
      <c r="E32" s="51">
        <v>6.2</v>
      </c>
      <c r="F32" s="51">
        <v>2.4300000000000002</v>
      </c>
      <c r="G32" s="51">
        <v>119.16</v>
      </c>
      <c r="H32" s="51">
        <v>56.71</v>
      </c>
      <c r="I32" s="51">
        <v>9.9600000000000009</v>
      </c>
      <c r="J32" s="51">
        <v>0.83</v>
      </c>
      <c r="K32" s="51">
        <v>48.53</v>
      </c>
      <c r="L32" s="51">
        <v>18.7</v>
      </c>
      <c r="M32" s="51">
        <v>86.59</v>
      </c>
      <c r="N32" s="51">
        <v>0</v>
      </c>
      <c r="O32" s="51">
        <v>0</v>
      </c>
      <c r="P32" s="51">
        <v>0.99</v>
      </c>
      <c r="Q32" s="51">
        <v>5.01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3.05</v>
      </c>
      <c r="C34" s="41">
        <f t="shared" si="0"/>
        <v>22.42</v>
      </c>
      <c r="D34" s="41">
        <f t="shared" si="0"/>
        <v>15.6</v>
      </c>
      <c r="E34" s="41">
        <f t="shared" si="0"/>
        <v>4.88</v>
      </c>
      <c r="F34" s="41">
        <f t="shared" si="0"/>
        <v>2.4300000000000002</v>
      </c>
      <c r="G34" s="41">
        <f t="shared" si="0"/>
        <v>50.67</v>
      </c>
      <c r="H34" s="41">
        <f t="shared" si="0"/>
        <v>24.12</v>
      </c>
      <c r="I34" s="41">
        <f t="shared" si="0"/>
        <v>6.95</v>
      </c>
      <c r="J34" s="41">
        <f t="shared" si="0"/>
        <v>0.08</v>
      </c>
      <c r="K34" s="41">
        <f t="shared" si="0"/>
        <v>39.24</v>
      </c>
      <c r="L34" s="41">
        <f t="shared" si="0"/>
        <v>16.329999999999998</v>
      </c>
      <c r="M34" s="41">
        <f t="shared" si="0"/>
        <v>48.24</v>
      </c>
      <c r="N34" s="41">
        <f t="shared" si="0"/>
        <v>0</v>
      </c>
      <c r="O34" s="41">
        <f t="shared" si="0"/>
        <v>0</v>
      </c>
      <c r="P34" s="41">
        <f t="shared" si="0"/>
        <v>0.6</v>
      </c>
      <c r="Q34" s="41">
        <f t="shared" si="0"/>
        <v>4.78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23.49</v>
      </c>
      <c r="C35" s="33">
        <f t="shared" si="1"/>
        <v>32.28</v>
      </c>
      <c r="D35" s="33">
        <f t="shared" si="1"/>
        <v>35.36</v>
      </c>
      <c r="E35" s="33">
        <f t="shared" si="1"/>
        <v>9.01</v>
      </c>
      <c r="F35" s="33">
        <f t="shared" si="1"/>
        <v>13.48</v>
      </c>
      <c r="G35" s="33">
        <f t="shared" si="1"/>
        <v>140.44</v>
      </c>
      <c r="H35" s="33">
        <f t="shared" si="1"/>
        <v>56.91</v>
      </c>
      <c r="I35" s="33">
        <f t="shared" si="1"/>
        <v>21.54</v>
      </c>
      <c r="J35" s="33">
        <f t="shared" si="1"/>
        <v>1.48</v>
      </c>
      <c r="K35" s="33">
        <f t="shared" si="1"/>
        <v>344.79</v>
      </c>
      <c r="L35" s="33">
        <f t="shared" si="1"/>
        <v>25.88</v>
      </c>
      <c r="M35" s="33">
        <f t="shared" si="1"/>
        <v>90.42</v>
      </c>
      <c r="N35" s="33">
        <f t="shared" si="1"/>
        <v>357.1</v>
      </c>
      <c r="O35" s="33">
        <f t="shared" si="1"/>
        <v>0</v>
      </c>
      <c r="P35" s="33">
        <f t="shared" si="1"/>
        <v>1.01</v>
      </c>
      <c r="Q35" s="33">
        <f t="shared" si="1"/>
        <v>5.1100000000000003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12.337500000000004</v>
      </c>
      <c r="C36" s="41">
        <f t="shared" si="2"/>
        <v>26.700416666666666</v>
      </c>
      <c r="D36" s="41">
        <f t="shared" si="2"/>
        <v>25.037916666666664</v>
      </c>
      <c r="E36" s="41">
        <f t="shared" si="2"/>
        <v>7.0654166666666676</v>
      </c>
      <c r="F36" s="41">
        <f t="shared" si="2"/>
        <v>3.8766666666666683</v>
      </c>
      <c r="G36" s="41">
        <f t="shared" si="2"/>
        <v>96.65291666666667</v>
      </c>
      <c r="H36" s="41">
        <f t="shared" si="2"/>
        <v>40.667083333333338</v>
      </c>
      <c r="I36" s="41">
        <f t="shared" si="2"/>
        <v>9.7924999999999986</v>
      </c>
      <c r="J36" s="41">
        <f t="shared" si="2"/>
        <v>0.6791666666666667</v>
      </c>
      <c r="K36" s="41">
        <f t="shared" si="2"/>
        <v>124.1675</v>
      </c>
      <c r="L36" s="41">
        <f t="shared" si="2"/>
        <v>20.839166666666667</v>
      </c>
      <c r="M36" s="41">
        <f t="shared" si="2"/>
        <v>73.039999999999992</v>
      </c>
      <c r="N36" s="41">
        <f t="shared" si="2"/>
        <v>83.55416666666666</v>
      </c>
      <c r="O36" s="41">
        <f t="shared" si="2"/>
        <v>0</v>
      </c>
      <c r="P36" s="41">
        <f t="shared" si="2"/>
        <v>0.77958333333333341</v>
      </c>
      <c r="Q36" s="41">
        <f t="shared" si="2"/>
        <v>4.9370833333333328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6.7921631631448989</v>
      </c>
      <c r="C37" s="41">
        <f t="shared" ref="C37:Q37" si="3">STDEV(C9:C32)</f>
        <v>2.8342140681426939</v>
      </c>
      <c r="D37" s="41">
        <f t="shared" si="3"/>
        <v>6.0476470301638185</v>
      </c>
      <c r="E37" s="41">
        <f t="shared" si="3"/>
        <v>1.1731006078899953</v>
      </c>
      <c r="F37" s="41">
        <f t="shared" si="3"/>
        <v>2.8248642393953172</v>
      </c>
      <c r="G37" s="41">
        <f t="shared" si="3"/>
        <v>25.698496907350499</v>
      </c>
      <c r="H37" s="41">
        <f t="shared" si="3"/>
        <v>9.37249049504506</v>
      </c>
      <c r="I37" s="41">
        <f t="shared" si="3"/>
        <v>3.6788209949715491</v>
      </c>
      <c r="J37" s="41">
        <f t="shared" si="3"/>
        <v>0.42416072288765699</v>
      </c>
      <c r="K37" s="41">
        <f t="shared" si="3"/>
        <v>99.200043576866335</v>
      </c>
      <c r="L37" s="41">
        <f t="shared" si="3"/>
        <v>3.320435954439751</v>
      </c>
      <c r="M37" s="41">
        <f t="shared" si="3"/>
        <v>15.607980678792716</v>
      </c>
      <c r="N37" s="41">
        <f t="shared" si="3"/>
        <v>128.03078427087172</v>
      </c>
      <c r="O37" s="41">
        <f t="shared" si="3"/>
        <v>0</v>
      </c>
      <c r="P37" s="41">
        <f t="shared" si="3"/>
        <v>0.13119779845271973</v>
      </c>
      <c r="Q37" s="41">
        <f t="shared" si="3"/>
        <v>9.5164807464227827E-2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07/01/2024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204</v>
      </c>
      <c r="B9" s="51">
        <v>18.2</v>
      </c>
      <c r="C9" s="51">
        <v>26.18</v>
      </c>
      <c r="D9" s="51">
        <v>28.57</v>
      </c>
      <c r="E9" s="51">
        <v>6.63</v>
      </c>
      <c r="F9" s="51">
        <v>2.31</v>
      </c>
      <c r="G9" s="51">
        <v>101.33</v>
      </c>
      <c r="H9" s="51">
        <v>54.61</v>
      </c>
      <c r="I9" s="51">
        <v>9.8000000000000007</v>
      </c>
      <c r="J9" s="51">
        <v>0.59</v>
      </c>
      <c r="K9" s="51">
        <v>50.73</v>
      </c>
      <c r="L9" s="51">
        <v>18.149999999999999</v>
      </c>
      <c r="M9" s="51">
        <v>88.22</v>
      </c>
      <c r="N9" s="51">
        <v>0</v>
      </c>
      <c r="O9" s="51">
        <v>0</v>
      </c>
      <c r="P9" s="51">
        <v>0.98</v>
      </c>
      <c r="Q9" s="51">
        <v>5.01</v>
      </c>
    </row>
    <row r="10" spans="1:21" customFormat="1">
      <c r="A10" s="50" t="s">
        <v>205</v>
      </c>
      <c r="B10" s="51">
        <v>18.68</v>
      </c>
      <c r="C10" s="51">
        <v>24.27</v>
      </c>
      <c r="D10" s="51">
        <v>28.95</v>
      </c>
      <c r="E10" s="51">
        <v>6.67</v>
      </c>
      <c r="F10" s="51">
        <v>2.36</v>
      </c>
      <c r="G10" s="51">
        <v>96.58</v>
      </c>
      <c r="H10" s="51">
        <v>53.35</v>
      </c>
      <c r="I10" s="51">
        <v>9.59</v>
      </c>
      <c r="J10" s="51">
        <v>0.83</v>
      </c>
      <c r="K10" s="51">
        <v>52.36</v>
      </c>
      <c r="L10" s="51">
        <v>17.72</v>
      </c>
      <c r="M10" s="51">
        <v>90.08</v>
      </c>
      <c r="N10" s="51">
        <v>0</v>
      </c>
      <c r="O10" s="51">
        <v>0</v>
      </c>
      <c r="P10" s="51">
        <v>0.96</v>
      </c>
      <c r="Q10" s="51">
        <v>5.04</v>
      </c>
    </row>
    <row r="11" spans="1:21" customFormat="1">
      <c r="A11" s="50" t="s">
        <v>206</v>
      </c>
      <c r="B11" s="51">
        <v>19.079999999999998</v>
      </c>
      <c r="C11" s="51">
        <v>25.37</v>
      </c>
      <c r="D11" s="51">
        <v>29.91</v>
      </c>
      <c r="E11" s="51">
        <v>5.91</v>
      </c>
      <c r="F11" s="51">
        <v>2.39</v>
      </c>
      <c r="G11" s="51">
        <v>97.95</v>
      </c>
      <c r="H11" s="51">
        <v>52.19</v>
      </c>
      <c r="I11" s="51">
        <v>9.48</v>
      </c>
      <c r="J11" s="51">
        <v>0.82</v>
      </c>
      <c r="K11" s="51">
        <v>57.61</v>
      </c>
      <c r="L11" s="51">
        <v>17.399999999999999</v>
      </c>
      <c r="M11" s="51">
        <v>92.08</v>
      </c>
      <c r="N11" s="51">
        <v>0</v>
      </c>
      <c r="O11" s="51">
        <v>0</v>
      </c>
      <c r="P11" s="51">
        <v>0.97</v>
      </c>
      <c r="Q11" s="51">
        <v>5.0199999999999996</v>
      </c>
    </row>
    <row r="12" spans="1:21" customFormat="1">
      <c r="A12" s="50" t="s">
        <v>207</v>
      </c>
      <c r="B12" s="51">
        <v>21.5</v>
      </c>
      <c r="C12" s="51">
        <v>26.22</v>
      </c>
      <c r="D12" s="51">
        <v>32.29</v>
      </c>
      <c r="E12" s="51">
        <v>6.29</v>
      </c>
      <c r="F12" s="51">
        <v>2.37</v>
      </c>
      <c r="G12" s="51">
        <v>99.57</v>
      </c>
      <c r="H12" s="51">
        <v>53.54</v>
      </c>
      <c r="I12" s="51">
        <v>9.4</v>
      </c>
      <c r="J12" s="51">
        <v>0.55000000000000004</v>
      </c>
      <c r="K12" s="51">
        <v>57.88</v>
      </c>
      <c r="L12" s="51">
        <v>16.989999999999998</v>
      </c>
      <c r="M12" s="51">
        <v>94.17</v>
      </c>
      <c r="N12" s="51">
        <v>0</v>
      </c>
      <c r="O12" s="51">
        <v>0</v>
      </c>
      <c r="P12" s="51">
        <v>0.96</v>
      </c>
      <c r="Q12" s="51">
        <v>5.0599999999999996</v>
      </c>
    </row>
    <row r="13" spans="1:21" customFormat="1">
      <c r="A13" s="50" t="s">
        <v>208</v>
      </c>
      <c r="B13" s="51">
        <v>23.25</v>
      </c>
      <c r="C13" s="51">
        <v>26.54</v>
      </c>
      <c r="D13" s="51">
        <v>33.72</v>
      </c>
      <c r="E13" s="51">
        <v>6.93</v>
      </c>
      <c r="F13" s="51">
        <v>2.4300000000000002</v>
      </c>
      <c r="G13" s="51">
        <v>102.05</v>
      </c>
      <c r="H13" s="51">
        <v>53.75</v>
      </c>
      <c r="I13" s="51">
        <v>9.56</v>
      </c>
      <c r="J13" s="51">
        <v>0.72</v>
      </c>
      <c r="K13" s="51">
        <v>54.98</v>
      </c>
      <c r="L13" s="51">
        <v>16.510000000000002</v>
      </c>
      <c r="M13" s="51">
        <v>95.54</v>
      </c>
      <c r="N13" s="51">
        <v>0</v>
      </c>
      <c r="O13" s="51">
        <v>0</v>
      </c>
      <c r="P13" s="51">
        <v>0.95</v>
      </c>
      <c r="Q13" s="51">
        <v>5.04</v>
      </c>
    </row>
    <row r="14" spans="1:21" customFormat="1">
      <c r="A14" s="50" t="s">
        <v>209</v>
      </c>
      <c r="B14" s="51">
        <v>24.9</v>
      </c>
      <c r="C14" s="51">
        <v>26.76</v>
      </c>
      <c r="D14" s="51">
        <v>35.299999999999997</v>
      </c>
      <c r="E14" s="51">
        <v>6.91</v>
      </c>
      <c r="F14" s="51">
        <v>2.27</v>
      </c>
      <c r="G14" s="51">
        <v>98.39</v>
      </c>
      <c r="H14" s="51">
        <v>52.53</v>
      </c>
      <c r="I14" s="51">
        <v>9.82</v>
      </c>
      <c r="J14" s="51">
        <v>0.82</v>
      </c>
      <c r="K14" s="51">
        <v>47.86</v>
      </c>
      <c r="L14" s="51">
        <v>16.29</v>
      </c>
      <c r="M14" s="51">
        <v>96.79</v>
      </c>
      <c r="N14" s="51">
        <v>0</v>
      </c>
      <c r="O14" s="51">
        <v>0</v>
      </c>
      <c r="P14" s="51">
        <v>0.97</v>
      </c>
      <c r="Q14" s="51">
        <v>5.0199999999999996</v>
      </c>
    </row>
    <row r="15" spans="1:21" customFormat="1">
      <c r="A15" s="50" t="s">
        <v>210</v>
      </c>
      <c r="B15" s="51">
        <v>28.53</v>
      </c>
      <c r="C15" s="51">
        <v>27.88</v>
      </c>
      <c r="D15" s="51">
        <v>38.67</v>
      </c>
      <c r="E15" s="51">
        <v>6.62</v>
      </c>
      <c r="F15" s="51">
        <v>2.4700000000000002</v>
      </c>
      <c r="G15" s="51">
        <v>95.15</v>
      </c>
      <c r="H15" s="51">
        <v>49.48</v>
      </c>
      <c r="I15" s="51">
        <v>10.24</v>
      </c>
      <c r="J15" s="51">
        <v>0.57999999999999996</v>
      </c>
      <c r="K15" s="51">
        <v>359.07</v>
      </c>
      <c r="L15" s="51">
        <v>15.95</v>
      </c>
      <c r="M15" s="51">
        <v>97.09</v>
      </c>
      <c r="N15" s="51">
        <v>2.2999999999999998</v>
      </c>
      <c r="O15" s="51">
        <v>0</v>
      </c>
      <c r="P15" s="51">
        <v>0.97</v>
      </c>
      <c r="Q15" s="51">
        <v>5.0599999999999996</v>
      </c>
    </row>
    <row r="16" spans="1:21" customFormat="1">
      <c r="A16" s="50" t="s">
        <v>211</v>
      </c>
      <c r="B16" s="51">
        <v>29.81</v>
      </c>
      <c r="C16" s="51">
        <v>25.29</v>
      </c>
      <c r="D16" s="51">
        <v>38.47</v>
      </c>
      <c r="E16" s="51">
        <v>6.35</v>
      </c>
      <c r="F16" s="51">
        <v>2.42</v>
      </c>
      <c r="G16" s="51">
        <v>94.81</v>
      </c>
      <c r="H16" s="51">
        <v>47.84</v>
      </c>
      <c r="I16" s="51">
        <v>10.43</v>
      </c>
      <c r="J16" s="51">
        <v>0.86</v>
      </c>
      <c r="K16" s="51">
        <v>68.989999999999995</v>
      </c>
      <c r="L16" s="51">
        <v>16.96</v>
      </c>
      <c r="M16" s="51">
        <v>97.06</v>
      </c>
      <c r="N16" s="51">
        <v>45.3</v>
      </c>
      <c r="O16" s="51">
        <v>0</v>
      </c>
      <c r="P16" s="51">
        <v>0.99</v>
      </c>
      <c r="Q16" s="51">
        <v>5.0999999999999996</v>
      </c>
    </row>
    <row r="17" spans="1:17" customFormat="1">
      <c r="A17" s="50" t="s">
        <v>212</v>
      </c>
      <c r="B17" s="51">
        <v>29.5</v>
      </c>
      <c r="C17" s="51">
        <v>24.66</v>
      </c>
      <c r="D17" s="51">
        <v>37.89</v>
      </c>
      <c r="E17" s="51">
        <v>6.37</v>
      </c>
      <c r="F17" s="51">
        <v>2.4500000000000002</v>
      </c>
      <c r="G17" s="51">
        <v>99.34</v>
      </c>
      <c r="H17" s="51">
        <v>51.71</v>
      </c>
      <c r="I17" s="51">
        <v>10.9</v>
      </c>
      <c r="J17" s="51">
        <v>1.18</v>
      </c>
      <c r="K17" s="51">
        <v>84.82</v>
      </c>
      <c r="L17" s="51">
        <v>19.440000000000001</v>
      </c>
      <c r="M17" s="51">
        <v>90.01</v>
      </c>
      <c r="N17" s="51">
        <v>165.9</v>
      </c>
      <c r="O17" s="51">
        <v>0</v>
      </c>
      <c r="P17" s="51">
        <v>1.01</v>
      </c>
      <c r="Q17" s="51">
        <v>5.1100000000000003</v>
      </c>
    </row>
    <row r="18" spans="1:17" customFormat="1">
      <c r="A18" s="50" t="s">
        <v>213</v>
      </c>
      <c r="B18" s="51">
        <v>25.3</v>
      </c>
      <c r="C18" s="51">
        <v>24.58</v>
      </c>
      <c r="D18" s="51">
        <v>34.479999999999997</v>
      </c>
      <c r="E18" s="51">
        <v>6.55</v>
      </c>
      <c r="F18" s="51">
        <v>2.73</v>
      </c>
      <c r="G18" s="51">
        <v>97.96</v>
      </c>
      <c r="H18" s="51">
        <v>51.98</v>
      </c>
      <c r="I18" s="51">
        <v>11</v>
      </c>
      <c r="J18" s="51">
        <v>1.41</v>
      </c>
      <c r="K18" s="51">
        <v>99.3</v>
      </c>
      <c r="L18" s="51">
        <v>22.22</v>
      </c>
      <c r="M18" s="51">
        <v>76.430000000000007</v>
      </c>
      <c r="N18" s="51">
        <v>187.1</v>
      </c>
      <c r="O18" s="51">
        <v>0</v>
      </c>
      <c r="P18" s="51">
        <v>0.99</v>
      </c>
      <c r="Q18" s="51">
        <v>5.0599999999999996</v>
      </c>
    </row>
    <row r="19" spans="1:17" customFormat="1">
      <c r="A19" s="50" t="s">
        <v>214</v>
      </c>
      <c r="B19" s="51">
        <v>21.33</v>
      </c>
      <c r="C19" s="51">
        <v>23.57</v>
      </c>
      <c r="D19" s="51">
        <v>30.71</v>
      </c>
      <c r="E19" s="51">
        <v>8.69</v>
      </c>
      <c r="F19" s="51">
        <v>2.58</v>
      </c>
      <c r="G19" s="51">
        <v>97.19</v>
      </c>
      <c r="H19" s="51">
        <v>50.25</v>
      </c>
      <c r="I19" s="51">
        <v>10.75</v>
      </c>
      <c r="J19" s="51">
        <v>1.19</v>
      </c>
      <c r="K19" s="51">
        <v>73.239999999999995</v>
      </c>
      <c r="L19" s="51">
        <v>24.55</v>
      </c>
      <c r="M19" s="51">
        <v>64.27</v>
      </c>
      <c r="N19" s="51">
        <v>343</v>
      </c>
      <c r="O19" s="51">
        <v>0</v>
      </c>
      <c r="P19" s="51">
        <v>0.98</v>
      </c>
      <c r="Q19" s="51">
        <v>5.0199999999999996</v>
      </c>
    </row>
    <row r="20" spans="1:17" customFormat="1">
      <c r="A20" s="50" t="s">
        <v>215</v>
      </c>
      <c r="B20" s="51">
        <v>17.170000000000002</v>
      </c>
      <c r="C20" s="51">
        <v>24.73</v>
      </c>
      <c r="D20" s="51">
        <v>26.96</v>
      </c>
      <c r="E20" s="51">
        <v>9.32</v>
      </c>
      <c r="F20" s="51">
        <v>3.63</v>
      </c>
      <c r="G20" s="51">
        <v>94.09</v>
      </c>
      <c r="H20" s="51">
        <v>47.87</v>
      </c>
      <c r="I20" s="51">
        <v>10.54</v>
      </c>
      <c r="J20" s="51">
        <v>1.24</v>
      </c>
      <c r="K20" s="51">
        <v>66.22</v>
      </c>
      <c r="L20" s="51">
        <v>26.25</v>
      </c>
      <c r="M20" s="51">
        <v>51.57</v>
      </c>
      <c r="N20" s="51">
        <v>380</v>
      </c>
      <c r="O20" s="51">
        <v>0</v>
      </c>
      <c r="P20" s="51">
        <v>0.95</v>
      </c>
      <c r="Q20" s="51">
        <v>5</v>
      </c>
    </row>
    <row r="21" spans="1:17" customFormat="1">
      <c r="A21" s="50" t="s">
        <v>216</v>
      </c>
      <c r="B21" s="51">
        <v>10.27</v>
      </c>
      <c r="C21" s="51">
        <v>25.56</v>
      </c>
      <c r="D21" s="51">
        <v>22.87</v>
      </c>
      <c r="E21" s="51">
        <v>8.44</v>
      </c>
      <c r="F21" s="51">
        <v>4.05</v>
      </c>
      <c r="G21" s="51">
        <v>89.27</v>
      </c>
      <c r="H21" s="51">
        <v>46.59</v>
      </c>
      <c r="I21" s="51">
        <v>9.93</v>
      </c>
      <c r="J21" s="51">
        <v>0.95</v>
      </c>
      <c r="K21" s="51">
        <v>65.39</v>
      </c>
      <c r="L21" s="51">
        <v>27.44</v>
      </c>
      <c r="M21" s="51">
        <v>43.66</v>
      </c>
      <c r="N21" s="51">
        <v>393.6</v>
      </c>
      <c r="O21" s="51">
        <v>0</v>
      </c>
      <c r="P21" s="51">
        <v>0.91</v>
      </c>
      <c r="Q21" s="51">
        <v>4.96</v>
      </c>
    </row>
    <row r="22" spans="1:17" customFormat="1">
      <c r="A22" s="50" t="s">
        <v>217</v>
      </c>
      <c r="B22" s="51">
        <v>6.42</v>
      </c>
      <c r="C22" s="51">
        <v>24.73</v>
      </c>
      <c r="D22" s="51">
        <v>19.420000000000002</v>
      </c>
      <c r="E22" s="51">
        <v>7.86</v>
      </c>
      <c r="F22" s="51">
        <v>4.33</v>
      </c>
      <c r="G22" s="51">
        <v>79.510000000000005</v>
      </c>
      <c r="H22" s="51">
        <v>40</v>
      </c>
      <c r="I22" s="51">
        <v>9.16</v>
      </c>
      <c r="J22" s="51">
        <v>0.51</v>
      </c>
      <c r="K22" s="51">
        <v>107.03</v>
      </c>
      <c r="L22" s="51">
        <v>28.39</v>
      </c>
      <c r="M22" s="51">
        <v>40.049999999999997</v>
      </c>
      <c r="N22" s="51">
        <v>355.5</v>
      </c>
      <c r="O22" s="51">
        <v>0</v>
      </c>
      <c r="P22" s="51">
        <v>0.85</v>
      </c>
      <c r="Q22" s="51">
        <v>4.87</v>
      </c>
    </row>
    <row r="23" spans="1:17" customFormat="1">
      <c r="A23" s="50" t="s">
        <v>218</v>
      </c>
      <c r="B23" s="51">
        <v>5.25</v>
      </c>
      <c r="C23" s="51">
        <v>22.12</v>
      </c>
      <c r="D23" s="51">
        <v>17.12</v>
      </c>
      <c r="E23" s="51">
        <v>8.35</v>
      </c>
      <c r="F23" s="51">
        <v>4.8899999999999997</v>
      </c>
      <c r="G23" s="51">
        <v>74.16</v>
      </c>
      <c r="H23" s="51">
        <v>37.4</v>
      </c>
      <c r="I23" s="51">
        <v>8.33</v>
      </c>
      <c r="J23" s="51">
        <v>0.96</v>
      </c>
      <c r="K23" s="51">
        <v>81.099999999999994</v>
      </c>
      <c r="L23" s="51">
        <v>28.36</v>
      </c>
      <c r="M23" s="51">
        <v>39.159999999999997</v>
      </c>
      <c r="N23" s="51">
        <v>255.3</v>
      </c>
      <c r="O23" s="51">
        <v>0</v>
      </c>
      <c r="P23" s="51">
        <v>0.76</v>
      </c>
      <c r="Q23" s="51">
        <v>4.8099999999999996</v>
      </c>
    </row>
    <row r="24" spans="1:17" customFormat="1">
      <c r="A24" s="50" t="s">
        <v>219</v>
      </c>
      <c r="B24" s="51">
        <v>5.36</v>
      </c>
      <c r="C24" s="51">
        <v>21.63</v>
      </c>
      <c r="D24" s="51">
        <v>16.899999999999999</v>
      </c>
      <c r="E24" s="51">
        <v>8.61</v>
      </c>
      <c r="F24" s="51">
        <v>5.24</v>
      </c>
      <c r="G24" s="51">
        <v>69.86</v>
      </c>
      <c r="H24" s="51">
        <v>35.26</v>
      </c>
      <c r="I24" s="51">
        <v>7.64</v>
      </c>
      <c r="J24" s="51">
        <v>1.03</v>
      </c>
      <c r="K24" s="51">
        <v>92.79</v>
      </c>
      <c r="L24" s="51">
        <v>27.56</v>
      </c>
      <c r="M24" s="51">
        <v>39.909999999999997</v>
      </c>
      <c r="N24" s="51">
        <v>80.099999999999994</v>
      </c>
      <c r="O24" s="51">
        <v>0</v>
      </c>
      <c r="P24" s="51">
        <v>0.72</v>
      </c>
      <c r="Q24" s="51">
        <v>4.82</v>
      </c>
    </row>
    <row r="25" spans="1:17" customFormat="1">
      <c r="A25" s="50" t="s">
        <v>220</v>
      </c>
      <c r="B25" s="51">
        <v>6.06</v>
      </c>
      <c r="C25" s="51">
        <v>23.32</v>
      </c>
      <c r="D25" s="51">
        <v>17.989999999999998</v>
      </c>
      <c r="E25" s="51">
        <v>8.58</v>
      </c>
      <c r="F25" s="51">
        <v>4.29</v>
      </c>
      <c r="G25" s="51">
        <v>67.56</v>
      </c>
      <c r="H25" s="51">
        <v>34.4</v>
      </c>
      <c r="I25" s="51">
        <v>7.13</v>
      </c>
      <c r="J25" s="51">
        <v>1.25</v>
      </c>
      <c r="K25" s="51">
        <v>54.54</v>
      </c>
      <c r="L25" s="51">
        <v>26.72</v>
      </c>
      <c r="M25" s="51">
        <v>45.63</v>
      </c>
      <c r="N25" s="51">
        <v>40.1</v>
      </c>
      <c r="O25" s="51">
        <v>0</v>
      </c>
      <c r="P25" s="51">
        <v>0.72</v>
      </c>
      <c r="Q25" s="51">
        <v>4.79</v>
      </c>
    </row>
    <row r="26" spans="1:17" customFormat="1">
      <c r="A26" s="50" t="s">
        <v>221</v>
      </c>
      <c r="B26" s="51">
        <v>7.41</v>
      </c>
      <c r="C26" s="51">
        <v>20.94</v>
      </c>
      <c r="D26" s="51">
        <v>18.239999999999998</v>
      </c>
      <c r="E26" s="51">
        <v>7.34</v>
      </c>
      <c r="F26" s="51">
        <v>2.97</v>
      </c>
      <c r="G26" s="51">
        <v>80.209999999999994</v>
      </c>
      <c r="H26" s="51">
        <v>37.81</v>
      </c>
      <c r="I26" s="51">
        <v>7.07</v>
      </c>
      <c r="J26" s="51">
        <v>0.73</v>
      </c>
      <c r="K26" s="51">
        <v>63.24</v>
      </c>
      <c r="L26" s="51">
        <v>25.28</v>
      </c>
      <c r="M26" s="51">
        <v>57.08</v>
      </c>
      <c r="N26" s="51">
        <v>0.8</v>
      </c>
      <c r="O26" s="51">
        <v>0</v>
      </c>
      <c r="P26" s="51">
        <v>0.76</v>
      </c>
      <c r="Q26" s="51">
        <v>4.79</v>
      </c>
    </row>
    <row r="27" spans="1:17" customFormat="1">
      <c r="A27" s="50" t="s">
        <v>222</v>
      </c>
      <c r="B27" s="51">
        <v>8.81</v>
      </c>
      <c r="C27" s="51">
        <v>22.54</v>
      </c>
      <c r="D27" s="51">
        <v>20.14</v>
      </c>
      <c r="E27" s="51">
        <v>6.87</v>
      </c>
      <c r="F27" s="51">
        <v>2.5499999999999998</v>
      </c>
      <c r="G27" s="51">
        <v>97.87</v>
      </c>
      <c r="H27" s="51">
        <v>41.24</v>
      </c>
      <c r="I27" s="51">
        <v>7.4</v>
      </c>
      <c r="J27" s="51">
        <v>0.61</v>
      </c>
      <c r="K27" s="51">
        <v>91.25</v>
      </c>
      <c r="L27" s="51">
        <v>23.1</v>
      </c>
      <c r="M27" s="51">
        <v>56.41</v>
      </c>
      <c r="N27" s="51">
        <v>0</v>
      </c>
      <c r="O27" s="51">
        <v>0</v>
      </c>
      <c r="P27" s="51">
        <v>0.81</v>
      </c>
      <c r="Q27" s="51">
        <v>4.88</v>
      </c>
    </row>
    <row r="28" spans="1:17" customFormat="1">
      <c r="A28" s="50" t="s">
        <v>223</v>
      </c>
      <c r="B28" s="51">
        <v>9.9</v>
      </c>
      <c r="C28" s="51">
        <v>23.15</v>
      </c>
      <c r="D28" s="51">
        <v>21.38</v>
      </c>
      <c r="E28" s="51">
        <v>7.39</v>
      </c>
      <c r="F28" s="51">
        <v>2.71</v>
      </c>
      <c r="G28" s="51">
        <v>121.22</v>
      </c>
      <c r="H28" s="51">
        <v>43.9</v>
      </c>
      <c r="I28" s="51">
        <v>7.78</v>
      </c>
      <c r="J28" s="51">
        <v>0.7</v>
      </c>
      <c r="K28" s="51">
        <v>87.11</v>
      </c>
      <c r="L28" s="51">
        <v>22.07</v>
      </c>
      <c r="M28" s="51">
        <v>59.06</v>
      </c>
      <c r="N28" s="51">
        <v>0</v>
      </c>
      <c r="O28" s="51">
        <v>0</v>
      </c>
      <c r="P28" s="51">
        <v>0.86</v>
      </c>
      <c r="Q28" s="51">
        <v>4.9000000000000004</v>
      </c>
    </row>
    <row r="29" spans="1:17" customFormat="1">
      <c r="A29" s="50" t="s">
        <v>224</v>
      </c>
      <c r="B29" s="51">
        <v>11.29</v>
      </c>
      <c r="C29" s="51">
        <v>25.43</v>
      </c>
      <c r="D29" s="51">
        <v>23.63</v>
      </c>
      <c r="E29" s="51">
        <v>7.5</v>
      </c>
      <c r="F29" s="51">
        <v>2.63</v>
      </c>
      <c r="G29" s="51">
        <v>194.44</v>
      </c>
      <c r="H29" s="51">
        <v>51.88</v>
      </c>
      <c r="I29" s="51">
        <v>8.27</v>
      </c>
      <c r="J29" s="51">
        <v>0.95</v>
      </c>
      <c r="K29" s="51">
        <v>56.84</v>
      </c>
      <c r="L29" s="51">
        <v>21.17</v>
      </c>
      <c r="M29" s="51">
        <v>64.760000000000005</v>
      </c>
      <c r="N29" s="51">
        <v>0</v>
      </c>
      <c r="O29" s="51">
        <v>0</v>
      </c>
      <c r="P29" s="51">
        <v>0.9</v>
      </c>
      <c r="Q29" s="51">
        <v>4.9400000000000004</v>
      </c>
    </row>
    <row r="30" spans="1:17" customFormat="1">
      <c r="A30" s="50" t="s">
        <v>225</v>
      </c>
      <c r="B30" s="51">
        <v>11.64</v>
      </c>
      <c r="C30" s="51">
        <v>27.53</v>
      </c>
      <c r="D30" s="51">
        <v>24.5</v>
      </c>
      <c r="E30" s="51">
        <v>7.6</v>
      </c>
      <c r="F30" s="51">
        <v>2.64</v>
      </c>
      <c r="G30" s="51">
        <v>149.91999999999999</v>
      </c>
      <c r="H30" s="51">
        <v>56.25</v>
      </c>
      <c r="I30" s="51">
        <v>8.5299999999999994</v>
      </c>
      <c r="J30" s="51">
        <v>1.1200000000000001</v>
      </c>
      <c r="K30" s="51">
        <v>56.81</v>
      </c>
      <c r="L30" s="51">
        <v>20.55</v>
      </c>
      <c r="M30" s="51">
        <v>72</v>
      </c>
      <c r="N30" s="51">
        <v>0</v>
      </c>
      <c r="O30" s="51">
        <v>0</v>
      </c>
      <c r="P30" s="51">
        <v>0.94</v>
      </c>
      <c r="Q30" s="51">
        <v>4.96</v>
      </c>
    </row>
    <row r="31" spans="1:17" customFormat="1">
      <c r="A31" s="50" t="s">
        <v>226</v>
      </c>
      <c r="B31" s="51">
        <v>11.06</v>
      </c>
      <c r="C31" s="51">
        <v>29.41</v>
      </c>
      <c r="D31" s="51">
        <v>25.59</v>
      </c>
      <c r="E31" s="51">
        <v>7.61</v>
      </c>
      <c r="F31" s="51">
        <v>2.56</v>
      </c>
      <c r="G31" s="51">
        <v>148.19</v>
      </c>
      <c r="H31" s="51">
        <v>59.35</v>
      </c>
      <c r="I31" s="51">
        <v>8.68</v>
      </c>
      <c r="J31" s="51">
        <v>0.89</v>
      </c>
      <c r="K31" s="51">
        <v>58.5</v>
      </c>
      <c r="L31" s="51">
        <v>19.61</v>
      </c>
      <c r="M31" s="51">
        <v>76.77</v>
      </c>
      <c r="N31" s="51">
        <v>0</v>
      </c>
      <c r="O31" s="51">
        <v>0</v>
      </c>
      <c r="P31" s="51">
        <v>0.98</v>
      </c>
      <c r="Q31" s="51">
        <v>4.97</v>
      </c>
    </row>
    <row r="32" spans="1:17" customFormat="1">
      <c r="A32" s="50" t="s">
        <v>227</v>
      </c>
      <c r="B32" s="51">
        <v>12.38</v>
      </c>
      <c r="C32" s="51">
        <v>30.25</v>
      </c>
      <c r="D32" s="51">
        <v>27.08</v>
      </c>
      <c r="E32" s="51">
        <v>7.19</v>
      </c>
      <c r="F32" s="51">
        <v>2.38</v>
      </c>
      <c r="G32" s="51">
        <v>128.44999999999999</v>
      </c>
      <c r="H32" s="51">
        <v>57.07</v>
      </c>
      <c r="I32" s="51">
        <v>8.84</v>
      </c>
      <c r="J32" s="51">
        <v>0.85</v>
      </c>
      <c r="K32" s="51">
        <v>188.36</v>
      </c>
      <c r="L32" s="51">
        <v>19.05</v>
      </c>
      <c r="M32" s="51">
        <v>81.150000000000006</v>
      </c>
      <c r="N32" s="51">
        <v>0</v>
      </c>
      <c r="O32" s="51">
        <v>0</v>
      </c>
      <c r="P32" s="51">
        <v>0.99</v>
      </c>
      <c r="Q32" s="51">
        <v>4.96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5.25</v>
      </c>
      <c r="C34" s="41">
        <f t="shared" si="0"/>
        <v>20.94</v>
      </c>
      <c r="D34" s="41">
        <f t="shared" si="0"/>
        <v>16.899999999999999</v>
      </c>
      <c r="E34" s="41">
        <f t="shared" si="0"/>
        <v>5.91</v>
      </c>
      <c r="F34" s="41">
        <f t="shared" si="0"/>
        <v>2.27</v>
      </c>
      <c r="G34" s="41">
        <f t="shared" si="0"/>
        <v>67.56</v>
      </c>
      <c r="H34" s="41">
        <f t="shared" si="0"/>
        <v>34.4</v>
      </c>
      <c r="I34" s="41">
        <f t="shared" si="0"/>
        <v>7.07</v>
      </c>
      <c r="J34" s="41">
        <f t="shared" si="0"/>
        <v>0.51</v>
      </c>
      <c r="K34" s="41">
        <f t="shared" si="0"/>
        <v>47.86</v>
      </c>
      <c r="L34" s="41">
        <f t="shared" si="0"/>
        <v>15.95</v>
      </c>
      <c r="M34" s="41">
        <f t="shared" si="0"/>
        <v>39.159999999999997</v>
      </c>
      <c r="N34" s="41">
        <f t="shared" si="0"/>
        <v>0</v>
      </c>
      <c r="O34" s="41">
        <f t="shared" si="0"/>
        <v>0</v>
      </c>
      <c r="P34" s="41">
        <f t="shared" si="0"/>
        <v>0.72</v>
      </c>
      <c r="Q34" s="41">
        <f t="shared" si="0"/>
        <v>4.79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29.81</v>
      </c>
      <c r="C35" s="33">
        <f t="shared" si="1"/>
        <v>30.25</v>
      </c>
      <c r="D35" s="33">
        <f t="shared" si="1"/>
        <v>38.67</v>
      </c>
      <c r="E35" s="33">
        <f t="shared" si="1"/>
        <v>9.32</v>
      </c>
      <c r="F35" s="33">
        <f t="shared" si="1"/>
        <v>5.24</v>
      </c>
      <c r="G35" s="33">
        <f t="shared" si="1"/>
        <v>194.44</v>
      </c>
      <c r="H35" s="33">
        <f t="shared" si="1"/>
        <v>59.35</v>
      </c>
      <c r="I35" s="33">
        <f t="shared" si="1"/>
        <v>11</v>
      </c>
      <c r="J35" s="33">
        <f t="shared" si="1"/>
        <v>1.41</v>
      </c>
      <c r="K35" s="33">
        <f t="shared" si="1"/>
        <v>359.07</v>
      </c>
      <c r="L35" s="33">
        <f t="shared" si="1"/>
        <v>28.39</v>
      </c>
      <c r="M35" s="33">
        <f t="shared" si="1"/>
        <v>97.09</v>
      </c>
      <c r="N35" s="33">
        <f t="shared" si="1"/>
        <v>393.6</v>
      </c>
      <c r="O35" s="33">
        <f t="shared" si="1"/>
        <v>0</v>
      </c>
      <c r="P35" s="33">
        <f t="shared" si="1"/>
        <v>1.01</v>
      </c>
      <c r="Q35" s="33">
        <f t="shared" si="1"/>
        <v>5.1100000000000003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15.9625</v>
      </c>
      <c r="C36" s="41">
        <f t="shared" si="2"/>
        <v>25.110833333333332</v>
      </c>
      <c r="D36" s="41">
        <f t="shared" si="2"/>
        <v>27.115833333333338</v>
      </c>
      <c r="E36" s="41">
        <f t="shared" si="2"/>
        <v>7.357499999999999</v>
      </c>
      <c r="F36" s="41">
        <f t="shared" si="2"/>
        <v>2.9854166666666662</v>
      </c>
      <c r="G36" s="41">
        <f t="shared" si="2"/>
        <v>103.12791666666665</v>
      </c>
      <c r="H36" s="41">
        <f t="shared" si="2"/>
        <v>48.343749999999993</v>
      </c>
      <c r="I36" s="41">
        <f t="shared" si="2"/>
        <v>9.1779166666666665</v>
      </c>
      <c r="J36" s="41">
        <f t="shared" si="2"/>
        <v>0.88916666666666655</v>
      </c>
      <c r="K36" s="41">
        <f t="shared" si="2"/>
        <v>86.500833333333318</v>
      </c>
      <c r="L36" s="41">
        <f t="shared" si="2"/>
        <v>21.572083333333335</v>
      </c>
      <c r="M36" s="41">
        <f t="shared" si="2"/>
        <v>71.206250000000011</v>
      </c>
      <c r="N36" s="41">
        <f t="shared" si="2"/>
        <v>93.708333333333329</v>
      </c>
      <c r="O36" s="41">
        <f t="shared" si="2"/>
        <v>0</v>
      </c>
      <c r="P36" s="41">
        <f t="shared" si="2"/>
        <v>0.91166666666666663</v>
      </c>
      <c r="Q36" s="41">
        <f t="shared" si="2"/>
        <v>4.9662499999999996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8.1382437214404675</v>
      </c>
      <c r="C37" s="41">
        <f t="shared" ref="C37:Q37" si="3">STDEV(C9:C32)</f>
        <v>2.3024333378759154</v>
      </c>
      <c r="D37" s="41">
        <f t="shared" si="3"/>
        <v>7.0489122914640845</v>
      </c>
      <c r="E37" s="41">
        <f t="shared" si="3"/>
        <v>0.91640720965794764</v>
      </c>
      <c r="F37" s="41">
        <f t="shared" si="3"/>
        <v>0.89273872299583545</v>
      </c>
      <c r="G37" s="41">
        <f t="shared" si="3"/>
        <v>28.315178289355206</v>
      </c>
      <c r="H37" s="41">
        <f t="shared" si="3"/>
        <v>7.2061970990555171</v>
      </c>
      <c r="I37" s="41">
        <f t="shared" si="3"/>
        <v>1.2081677797632082</v>
      </c>
      <c r="J37" s="41">
        <f t="shared" si="3"/>
        <v>0.24778877166312249</v>
      </c>
      <c r="K37" s="41">
        <f t="shared" si="3"/>
        <v>65.069198812172047</v>
      </c>
      <c r="L37" s="41">
        <f t="shared" si="3"/>
        <v>4.2944260933231337</v>
      </c>
      <c r="M37" s="41">
        <f t="shared" si="3"/>
        <v>20.993207144113342</v>
      </c>
      <c r="N37" s="41">
        <f t="shared" si="3"/>
        <v>143.00950383945047</v>
      </c>
      <c r="O37" s="41">
        <f t="shared" si="3"/>
        <v>0</v>
      </c>
      <c r="P37" s="41">
        <f t="shared" si="3"/>
        <v>9.257977366981289E-2</v>
      </c>
      <c r="Q37" s="41">
        <f t="shared" si="3"/>
        <v>9.7213905786479024E-2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08/01/2024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228</v>
      </c>
      <c r="B9" s="51">
        <v>11.79</v>
      </c>
      <c r="C9" s="51">
        <v>29.52</v>
      </c>
      <c r="D9" s="51">
        <v>26.09</v>
      </c>
      <c r="E9" s="51">
        <v>7.47</v>
      </c>
      <c r="F9" s="51">
        <v>2.37</v>
      </c>
      <c r="G9" s="51">
        <v>117.37</v>
      </c>
      <c r="H9" s="51">
        <v>57.03</v>
      </c>
      <c r="I9" s="51">
        <v>8.86</v>
      </c>
      <c r="J9" s="51">
        <v>0.36</v>
      </c>
      <c r="K9" s="51">
        <v>152.32</v>
      </c>
      <c r="L9" s="51">
        <v>18.3</v>
      </c>
      <c r="M9" s="51">
        <v>85.61</v>
      </c>
      <c r="N9" s="51">
        <v>0</v>
      </c>
      <c r="O9" s="51">
        <v>0</v>
      </c>
      <c r="P9" s="51">
        <v>0.99</v>
      </c>
      <c r="Q9" s="51">
        <v>4.97</v>
      </c>
    </row>
    <row r="10" spans="1:21" customFormat="1">
      <c r="A10" s="50" t="s">
        <v>229</v>
      </c>
      <c r="B10" s="51">
        <v>13.37</v>
      </c>
      <c r="C10" s="51">
        <v>29.16</v>
      </c>
      <c r="D10" s="51">
        <v>27.16</v>
      </c>
      <c r="E10" s="51">
        <v>7.25</v>
      </c>
      <c r="F10" s="51">
        <v>2.42</v>
      </c>
      <c r="G10" s="51">
        <v>111.77</v>
      </c>
      <c r="H10" s="51">
        <v>55.3</v>
      </c>
      <c r="I10" s="51">
        <v>8.93</v>
      </c>
      <c r="J10" s="51">
        <v>0.59</v>
      </c>
      <c r="K10" s="51">
        <v>65.64</v>
      </c>
      <c r="L10" s="51">
        <v>17.93</v>
      </c>
      <c r="M10" s="51">
        <v>86.43</v>
      </c>
      <c r="N10" s="51">
        <v>0</v>
      </c>
      <c r="O10" s="51">
        <v>0</v>
      </c>
      <c r="P10" s="51">
        <v>0.95</v>
      </c>
      <c r="Q10" s="51">
        <v>4.95</v>
      </c>
    </row>
    <row r="11" spans="1:21" customFormat="1">
      <c r="A11" s="50" t="s">
        <v>230</v>
      </c>
      <c r="B11" s="51">
        <v>13.3</v>
      </c>
      <c r="C11" s="51">
        <v>29.24</v>
      </c>
      <c r="D11" s="51">
        <v>27.3</v>
      </c>
      <c r="E11" s="51">
        <v>8.0500000000000007</v>
      </c>
      <c r="F11" s="51">
        <v>2.56</v>
      </c>
      <c r="G11" s="51">
        <v>110.62</v>
      </c>
      <c r="H11" s="51">
        <v>53.99</v>
      </c>
      <c r="I11" s="51">
        <v>9.11</v>
      </c>
      <c r="J11" s="51">
        <v>0.73</v>
      </c>
      <c r="K11" s="51">
        <v>101</v>
      </c>
      <c r="L11" s="51">
        <v>17.489999999999998</v>
      </c>
      <c r="M11" s="51">
        <v>88.33</v>
      </c>
      <c r="N11" s="51">
        <v>0</v>
      </c>
      <c r="O11" s="51">
        <v>0</v>
      </c>
      <c r="P11" s="51">
        <v>0.94</v>
      </c>
      <c r="Q11" s="51">
        <v>4.9400000000000004</v>
      </c>
    </row>
    <row r="12" spans="1:21" customFormat="1">
      <c r="A12" s="50" t="s">
        <v>231</v>
      </c>
      <c r="B12" s="51">
        <v>12.43</v>
      </c>
      <c r="C12" s="51">
        <v>23.74</v>
      </c>
      <c r="D12" s="51">
        <v>23.73</v>
      </c>
      <c r="E12" s="51">
        <v>7.29</v>
      </c>
      <c r="F12" s="51">
        <v>2.4900000000000002</v>
      </c>
      <c r="G12" s="51">
        <v>105.84</v>
      </c>
      <c r="H12" s="51">
        <v>53.55</v>
      </c>
      <c r="I12" s="51">
        <v>9.11</v>
      </c>
      <c r="J12" s="51">
        <v>0.77</v>
      </c>
      <c r="K12" s="51">
        <v>60.32</v>
      </c>
      <c r="L12" s="51">
        <v>17.440000000000001</v>
      </c>
      <c r="M12" s="51">
        <v>89.59</v>
      </c>
      <c r="N12" s="51">
        <v>0</v>
      </c>
      <c r="O12" s="51">
        <v>0</v>
      </c>
      <c r="P12" s="51">
        <v>0.89</v>
      </c>
      <c r="Q12" s="51">
        <v>4.9000000000000004</v>
      </c>
    </row>
    <row r="13" spans="1:21" customFormat="1">
      <c r="A13" s="50" t="s">
        <v>232</v>
      </c>
      <c r="B13" s="51">
        <v>13.6</v>
      </c>
      <c r="C13" s="51">
        <v>23.74</v>
      </c>
      <c r="D13" s="51">
        <v>24.67</v>
      </c>
      <c r="E13" s="51">
        <v>7.55</v>
      </c>
      <c r="F13" s="51">
        <v>2.42</v>
      </c>
      <c r="G13" s="51">
        <v>83.33</v>
      </c>
      <c r="H13" s="51">
        <v>50.67</v>
      </c>
      <c r="I13" s="51">
        <v>9.11</v>
      </c>
      <c r="J13" s="51">
        <v>0.4</v>
      </c>
      <c r="K13" s="51">
        <v>55.36</v>
      </c>
      <c r="L13" s="51">
        <v>16.8</v>
      </c>
      <c r="M13" s="51">
        <v>91.71</v>
      </c>
      <c r="N13" s="51">
        <v>0</v>
      </c>
      <c r="O13" s="51">
        <v>0</v>
      </c>
      <c r="P13" s="51">
        <v>0.86</v>
      </c>
      <c r="Q13" s="51">
        <v>4.92</v>
      </c>
    </row>
    <row r="14" spans="1:21" customFormat="1">
      <c r="A14" s="50" t="s">
        <v>233</v>
      </c>
      <c r="B14" s="51">
        <v>16.489999999999998</v>
      </c>
      <c r="C14" s="51">
        <v>24.3</v>
      </c>
      <c r="D14" s="51">
        <v>27.24</v>
      </c>
      <c r="E14" s="51">
        <v>7.63</v>
      </c>
      <c r="F14" s="51">
        <v>2.31</v>
      </c>
      <c r="G14" s="51">
        <v>82.6</v>
      </c>
      <c r="H14" s="51">
        <v>49.1</v>
      </c>
      <c r="I14" s="51">
        <v>9.18</v>
      </c>
      <c r="J14" s="51">
        <v>0.59</v>
      </c>
      <c r="K14" s="51">
        <v>123.69</v>
      </c>
      <c r="L14" s="51">
        <v>16.399999999999999</v>
      </c>
      <c r="M14" s="51">
        <v>93.12</v>
      </c>
      <c r="N14" s="51">
        <v>0</v>
      </c>
      <c r="O14" s="51">
        <v>0</v>
      </c>
      <c r="P14" s="51">
        <v>0.87</v>
      </c>
      <c r="Q14" s="51">
        <v>4.96</v>
      </c>
    </row>
    <row r="15" spans="1:21" customFormat="1">
      <c r="A15" s="50" t="s">
        <v>234</v>
      </c>
      <c r="B15" s="51">
        <v>17.11</v>
      </c>
      <c r="C15" s="51">
        <v>24.38</v>
      </c>
      <c r="D15" s="51">
        <v>27.55</v>
      </c>
      <c r="E15" s="51">
        <v>7.77</v>
      </c>
      <c r="F15" s="51">
        <v>2.35</v>
      </c>
      <c r="G15" s="51">
        <v>84.26</v>
      </c>
      <c r="H15" s="51">
        <v>48.49</v>
      </c>
      <c r="I15" s="51">
        <v>9.4</v>
      </c>
      <c r="J15" s="51">
        <v>0.18</v>
      </c>
      <c r="K15" s="51">
        <v>264.45999999999998</v>
      </c>
      <c r="L15" s="51">
        <v>16.010000000000002</v>
      </c>
      <c r="M15" s="51">
        <v>95.76</v>
      </c>
      <c r="N15" s="51">
        <v>1.5</v>
      </c>
      <c r="O15" s="51">
        <v>0</v>
      </c>
      <c r="P15" s="51">
        <v>0.91</v>
      </c>
      <c r="Q15" s="51">
        <v>4.9800000000000004</v>
      </c>
    </row>
    <row r="16" spans="1:21" customFormat="1">
      <c r="A16" s="50" t="s">
        <v>235</v>
      </c>
      <c r="B16" s="51">
        <v>22.84</v>
      </c>
      <c r="C16" s="51">
        <v>26.55</v>
      </c>
      <c r="D16" s="51">
        <v>33.54</v>
      </c>
      <c r="E16" s="51">
        <v>8.2200000000000006</v>
      </c>
      <c r="F16" s="51">
        <v>2.4</v>
      </c>
      <c r="G16" s="51">
        <v>92.95</v>
      </c>
      <c r="H16" s="51">
        <v>48.95</v>
      </c>
      <c r="I16" s="51">
        <v>9.9700000000000006</v>
      </c>
      <c r="J16" s="51">
        <v>1.07</v>
      </c>
      <c r="K16" s="51">
        <v>55.17</v>
      </c>
      <c r="L16" s="51">
        <v>16.8</v>
      </c>
      <c r="M16" s="51">
        <v>95.09</v>
      </c>
      <c r="N16" s="51">
        <v>44.6</v>
      </c>
      <c r="O16" s="51">
        <v>0</v>
      </c>
      <c r="P16" s="51">
        <v>0.99</v>
      </c>
      <c r="Q16" s="51">
        <v>5.05</v>
      </c>
    </row>
    <row r="17" spans="1:17" customFormat="1">
      <c r="A17" s="50" t="s">
        <v>236</v>
      </c>
      <c r="B17" s="51">
        <v>23.51</v>
      </c>
      <c r="C17" s="51">
        <v>28.18</v>
      </c>
      <c r="D17" s="51">
        <v>34.54</v>
      </c>
      <c r="E17" s="51">
        <v>8.51</v>
      </c>
      <c r="F17" s="51">
        <v>2.34</v>
      </c>
      <c r="G17" s="51">
        <v>117.46</v>
      </c>
      <c r="H17" s="51">
        <v>51.77</v>
      </c>
      <c r="I17" s="51">
        <v>10.86</v>
      </c>
      <c r="J17" s="51">
        <v>1.48</v>
      </c>
      <c r="K17" s="51">
        <v>56.26</v>
      </c>
      <c r="L17" s="51">
        <v>18.91</v>
      </c>
      <c r="M17" s="51">
        <v>91.16</v>
      </c>
      <c r="N17" s="51">
        <v>165.7</v>
      </c>
      <c r="O17" s="51">
        <v>0</v>
      </c>
      <c r="P17" s="51">
        <v>1.04</v>
      </c>
      <c r="Q17" s="51">
        <v>5.07</v>
      </c>
    </row>
    <row r="18" spans="1:17" customFormat="1">
      <c r="A18" s="50" t="s">
        <v>237</v>
      </c>
      <c r="B18" s="51">
        <v>22.25</v>
      </c>
      <c r="C18" s="51">
        <v>29.29</v>
      </c>
      <c r="D18" s="51">
        <v>34.04</v>
      </c>
      <c r="E18" s="51">
        <v>8.75</v>
      </c>
      <c r="F18" s="51">
        <v>2.46</v>
      </c>
      <c r="G18" s="51">
        <v>122.04</v>
      </c>
      <c r="H18" s="51">
        <v>51.06</v>
      </c>
      <c r="I18" s="51">
        <v>10.94</v>
      </c>
      <c r="J18" s="51">
        <v>1.47</v>
      </c>
      <c r="K18" s="51">
        <v>69.73</v>
      </c>
      <c r="L18" s="51">
        <v>22.06</v>
      </c>
      <c r="M18" s="51">
        <v>80.12</v>
      </c>
      <c r="N18" s="51">
        <v>189.3</v>
      </c>
      <c r="O18" s="51">
        <v>0</v>
      </c>
      <c r="P18" s="51">
        <v>1.04</v>
      </c>
      <c r="Q18" s="51">
        <v>5.05</v>
      </c>
    </row>
    <row r="19" spans="1:17" customFormat="1">
      <c r="A19" s="50" t="s">
        <v>238</v>
      </c>
      <c r="B19" s="51">
        <v>17.02</v>
      </c>
      <c r="C19" s="51">
        <v>30.25</v>
      </c>
      <c r="D19" s="51">
        <v>30.4</v>
      </c>
      <c r="E19" s="51">
        <v>4.9000000000000004</v>
      </c>
      <c r="F19" s="51">
        <v>2.7</v>
      </c>
      <c r="G19" s="51">
        <v>127.01</v>
      </c>
      <c r="H19" s="51">
        <v>51.66</v>
      </c>
      <c r="I19" s="51">
        <v>10.95</v>
      </c>
      <c r="J19" s="51">
        <v>1.1399999999999999</v>
      </c>
      <c r="K19" s="51">
        <v>58.08</v>
      </c>
      <c r="L19" s="51">
        <v>24.22</v>
      </c>
      <c r="M19" s="51">
        <v>66.34</v>
      </c>
      <c r="N19" s="51">
        <v>356.9</v>
      </c>
      <c r="O19" s="51">
        <v>0</v>
      </c>
      <c r="P19" s="51">
        <v>1.03</v>
      </c>
      <c r="Q19" s="51">
        <v>4.9800000000000004</v>
      </c>
    </row>
    <row r="20" spans="1:17" customFormat="1">
      <c r="A20" s="50" t="s">
        <v>239</v>
      </c>
      <c r="B20" s="51">
        <v>11.54</v>
      </c>
      <c r="C20" s="51">
        <v>30.27</v>
      </c>
      <c r="D20" s="51">
        <v>26.26</v>
      </c>
      <c r="E20" s="51">
        <v>4.83</v>
      </c>
      <c r="F20" s="51">
        <v>4.3</v>
      </c>
      <c r="G20" s="51">
        <v>130.63</v>
      </c>
      <c r="H20" s="51">
        <v>50.89</v>
      </c>
      <c r="I20" s="51">
        <v>11.03</v>
      </c>
      <c r="J20" s="51">
        <v>1.1000000000000001</v>
      </c>
      <c r="K20" s="51">
        <v>84.78</v>
      </c>
      <c r="L20" s="51">
        <v>26.12</v>
      </c>
      <c r="M20" s="51">
        <v>55.7</v>
      </c>
      <c r="N20" s="51">
        <v>399.6</v>
      </c>
      <c r="O20" s="51">
        <v>0</v>
      </c>
      <c r="P20" s="51">
        <v>1.01</v>
      </c>
      <c r="Q20" s="51">
        <v>4.8899999999999997</v>
      </c>
    </row>
    <row r="21" spans="1:17" customFormat="1">
      <c r="A21" s="50" t="s">
        <v>240</v>
      </c>
      <c r="B21" s="51">
        <v>6.87</v>
      </c>
      <c r="C21" s="51">
        <v>29.47</v>
      </c>
      <c r="D21" s="51">
        <v>22.25</v>
      </c>
      <c r="E21" s="51">
        <v>4.67</v>
      </c>
      <c r="F21" s="51">
        <v>3.85</v>
      </c>
      <c r="G21" s="51">
        <v>109.15</v>
      </c>
      <c r="H21" s="51">
        <v>49.17</v>
      </c>
      <c r="I21" s="51">
        <v>10.6</v>
      </c>
      <c r="J21" s="51">
        <v>0.94</v>
      </c>
      <c r="K21" s="51">
        <v>77.56</v>
      </c>
      <c r="L21" s="51">
        <v>27.83</v>
      </c>
      <c r="M21" s="51">
        <v>46.76</v>
      </c>
      <c r="N21" s="51">
        <v>409.9</v>
      </c>
      <c r="O21" s="51">
        <v>0</v>
      </c>
      <c r="P21" s="51">
        <v>0.96</v>
      </c>
      <c r="Q21" s="51">
        <v>4.78</v>
      </c>
    </row>
    <row r="22" spans="1:17" customFormat="1">
      <c r="A22" s="50" t="s">
        <v>241</v>
      </c>
      <c r="B22" s="51">
        <v>5.97</v>
      </c>
      <c r="C22" s="51">
        <v>21.6</v>
      </c>
      <c r="D22" s="51">
        <v>17.43</v>
      </c>
      <c r="E22" s="51">
        <v>4.05</v>
      </c>
      <c r="F22" s="51">
        <v>3.62</v>
      </c>
      <c r="G22" s="51">
        <v>92.25</v>
      </c>
      <c r="H22" s="51">
        <v>41.37</v>
      </c>
      <c r="I22" s="51">
        <v>9.98</v>
      </c>
      <c r="J22" s="51">
        <v>0.93</v>
      </c>
      <c r="K22" s="51">
        <v>108.73</v>
      </c>
      <c r="L22" s="51">
        <v>28.64</v>
      </c>
      <c r="M22" s="51">
        <v>39.92</v>
      </c>
      <c r="N22" s="51">
        <v>362.2</v>
      </c>
      <c r="O22" s="51">
        <v>0</v>
      </c>
      <c r="P22" s="51">
        <v>0.9</v>
      </c>
      <c r="Q22" s="51">
        <v>4.7699999999999996</v>
      </c>
    </row>
    <row r="23" spans="1:17" customFormat="1">
      <c r="A23" s="50" t="s">
        <v>242</v>
      </c>
      <c r="B23" s="51">
        <v>5.27</v>
      </c>
      <c r="C23" s="51">
        <v>19.05</v>
      </c>
      <c r="D23" s="51">
        <v>15.53</v>
      </c>
      <c r="E23" s="51">
        <v>3.62</v>
      </c>
      <c r="F23" s="51">
        <v>4.25</v>
      </c>
      <c r="G23" s="51">
        <v>81.72</v>
      </c>
      <c r="H23" s="51">
        <v>39.65</v>
      </c>
      <c r="I23" s="51">
        <v>9.42</v>
      </c>
      <c r="J23" s="51">
        <v>0.55000000000000004</v>
      </c>
      <c r="K23" s="51">
        <v>352.09</v>
      </c>
      <c r="L23" s="51">
        <v>28.28</v>
      </c>
      <c r="M23" s="51">
        <v>39.380000000000003</v>
      </c>
      <c r="N23" s="51">
        <v>276.2</v>
      </c>
      <c r="O23" s="51">
        <v>0</v>
      </c>
      <c r="P23" s="51">
        <v>0.78</v>
      </c>
      <c r="Q23" s="51">
        <v>4.8600000000000003</v>
      </c>
    </row>
    <row r="24" spans="1:17" customFormat="1">
      <c r="A24" s="50" t="s">
        <v>243</v>
      </c>
      <c r="B24" s="51">
        <v>4.95</v>
      </c>
      <c r="C24" s="51">
        <v>17.55</v>
      </c>
      <c r="D24" s="51">
        <v>14.47</v>
      </c>
      <c r="E24" s="51">
        <v>3.84</v>
      </c>
      <c r="F24" s="51">
        <v>5.1100000000000003</v>
      </c>
      <c r="G24" s="51">
        <v>69.19</v>
      </c>
      <c r="H24" s="51">
        <v>37.42</v>
      </c>
      <c r="I24" s="51">
        <v>8.8699999999999992</v>
      </c>
      <c r="J24" s="51">
        <v>0.73</v>
      </c>
      <c r="K24" s="51">
        <v>89.61</v>
      </c>
      <c r="L24" s="51">
        <v>27.93</v>
      </c>
      <c r="M24" s="51">
        <v>38.61</v>
      </c>
      <c r="N24" s="51">
        <v>71.8</v>
      </c>
      <c r="O24" s="51">
        <v>0</v>
      </c>
      <c r="P24" s="51">
        <v>0.76</v>
      </c>
      <c r="Q24" s="51">
        <v>4.87</v>
      </c>
    </row>
    <row r="25" spans="1:17" customFormat="1">
      <c r="A25" s="50" t="s">
        <v>244</v>
      </c>
      <c r="B25" s="51">
        <v>5.46</v>
      </c>
      <c r="C25" s="51">
        <v>17.239999999999998</v>
      </c>
      <c r="D25" s="51">
        <v>14.73</v>
      </c>
      <c r="E25" s="51">
        <v>3.82</v>
      </c>
      <c r="F25" s="51">
        <v>4.25</v>
      </c>
      <c r="G25" s="51">
        <v>75.7</v>
      </c>
      <c r="H25" s="51">
        <v>37.130000000000003</v>
      </c>
      <c r="I25" s="51">
        <v>8.49</v>
      </c>
      <c r="J25" s="51">
        <v>0.66</v>
      </c>
      <c r="K25" s="51">
        <v>65.47</v>
      </c>
      <c r="L25" s="51">
        <v>27.57</v>
      </c>
      <c r="M25" s="51">
        <v>42.78</v>
      </c>
      <c r="N25" s="51">
        <v>37</v>
      </c>
      <c r="O25" s="51">
        <v>0</v>
      </c>
      <c r="P25" s="51">
        <v>0.73</v>
      </c>
      <c r="Q25" s="51">
        <v>4.84</v>
      </c>
    </row>
    <row r="26" spans="1:17" customFormat="1">
      <c r="A26" s="50" t="s">
        <v>245</v>
      </c>
      <c r="B26" s="51">
        <v>7</v>
      </c>
      <c r="C26" s="51">
        <v>24.26</v>
      </c>
      <c r="D26" s="51">
        <v>19.64</v>
      </c>
      <c r="E26" s="51">
        <v>3.82</v>
      </c>
      <c r="F26" s="51">
        <v>3.09</v>
      </c>
      <c r="G26" s="51">
        <v>95.66</v>
      </c>
      <c r="H26" s="51">
        <v>38.119999999999997</v>
      </c>
      <c r="I26" s="51">
        <v>8.27</v>
      </c>
      <c r="J26" s="51">
        <v>0.25</v>
      </c>
      <c r="K26" s="51">
        <v>156.55000000000001</v>
      </c>
      <c r="L26" s="51">
        <v>25.57</v>
      </c>
      <c r="M26" s="51">
        <v>56.75</v>
      </c>
      <c r="N26" s="51">
        <v>1.2</v>
      </c>
      <c r="O26" s="51">
        <v>0</v>
      </c>
      <c r="P26" s="51">
        <v>0.8</v>
      </c>
      <c r="Q26" s="51">
        <v>4.88</v>
      </c>
    </row>
    <row r="27" spans="1:17" customFormat="1">
      <c r="A27" s="50" t="s">
        <v>246</v>
      </c>
      <c r="B27" s="51">
        <v>12.49</v>
      </c>
      <c r="C27" s="51">
        <v>29.28</v>
      </c>
      <c r="D27" s="51">
        <v>26.67</v>
      </c>
      <c r="E27" s="51">
        <v>7.35</v>
      </c>
      <c r="F27" s="51">
        <v>2.44</v>
      </c>
      <c r="G27" s="51">
        <v>131.78</v>
      </c>
      <c r="H27" s="51">
        <v>40.4</v>
      </c>
      <c r="I27" s="51">
        <v>8.8000000000000007</v>
      </c>
      <c r="J27" s="51">
        <v>0.54</v>
      </c>
      <c r="K27" s="51">
        <v>139.34</v>
      </c>
      <c r="L27" s="51">
        <v>23.35</v>
      </c>
      <c r="M27" s="51">
        <v>59</v>
      </c>
      <c r="N27" s="51">
        <v>0</v>
      </c>
      <c r="O27" s="51">
        <v>0</v>
      </c>
      <c r="P27" s="51">
        <v>0.93</v>
      </c>
      <c r="Q27" s="51">
        <v>4.95</v>
      </c>
    </row>
    <row r="28" spans="1:17" customFormat="1">
      <c r="A28" s="50" t="s">
        <v>247</v>
      </c>
      <c r="B28" s="51">
        <v>19.059999999999999</v>
      </c>
      <c r="C28" s="51">
        <v>32.85</v>
      </c>
      <c r="D28" s="51">
        <v>33.799999999999997</v>
      </c>
      <c r="E28" s="51">
        <v>7.85</v>
      </c>
      <c r="F28" s="51">
        <v>2.4700000000000002</v>
      </c>
      <c r="G28" s="51">
        <v>158.76</v>
      </c>
      <c r="H28" s="51">
        <v>47.13</v>
      </c>
      <c r="I28" s="51">
        <v>9.98</v>
      </c>
      <c r="J28" s="51">
        <v>0.56999999999999995</v>
      </c>
      <c r="K28" s="51">
        <v>98.84</v>
      </c>
      <c r="L28" s="51">
        <v>22.88</v>
      </c>
      <c r="M28" s="51">
        <v>63.91</v>
      </c>
      <c r="N28" s="51">
        <v>0</v>
      </c>
      <c r="O28" s="51">
        <v>0</v>
      </c>
      <c r="P28" s="51">
        <v>1.04</v>
      </c>
      <c r="Q28" s="51">
        <v>5.07</v>
      </c>
    </row>
    <row r="29" spans="1:17" customFormat="1">
      <c r="A29" s="50" t="s">
        <v>248</v>
      </c>
      <c r="B29" s="51">
        <v>19.78</v>
      </c>
      <c r="C29" s="51">
        <v>33.159999999999997</v>
      </c>
      <c r="D29" s="51">
        <v>34.450000000000003</v>
      </c>
      <c r="E29" s="51">
        <v>7.59</v>
      </c>
      <c r="F29" s="51">
        <v>2.4500000000000002</v>
      </c>
      <c r="G29" s="51">
        <v>159.59</v>
      </c>
      <c r="H29" s="51">
        <v>53.44</v>
      </c>
      <c r="I29" s="51">
        <v>10.7</v>
      </c>
      <c r="J29" s="51">
        <v>0.23</v>
      </c>
      <c r="K29" s="51">
        <v>198.4</v>
      </c>
      <c r="L29" s="51">
        <v>21.13</v>
      </c>
      <c r="M29" s="51">
        <v>80.14</v>
      </c>
      <c r="N29" s="51">
        <v>0</v>
      </c>
      <c r="O29" s="51">
        <v>0</v>
      </c>
      <c r="P29" s="51">
        <v>1.0900000000000001</v>
      </c>
      <c r="Q29" s="51">
        <v>5.07</v>
      </c>
    </row>
    <row r="30" spans="1:17" customFormat="1">
      <c r="A30" s="50" t="s">
        <v>249</v>
      </c>
      <c r="B30" s="51">
        <v>19.809999999999999</v>
      </c>
      <c r="C30" s="51">
        <v>32.869999999999997</v>
      </c>
      <c r="D30" s="51">
        <v>34.39</v>
      </c>
      <c r="E30" s="51">
        <v>7.84</v>
      </c>
      <c r="F30" s="51">
        <v>2.2999999999999998</v>
      </c>
      <c r="G30" s="51">
        <v>140.51</v>
      </c>
      <c r="H30" s="51">
        <v>54.3</v>
      </c>
      <c r="I30" s="51">
        <v>11.57</v>
      </c>
      <c r="J30" s="51">
        <v>0.22</v>
      </c>
      <c r="K30" s="51">
        <v>205.52</v>
      </c>
      <c r="L30" s="51">
        <v>19.260000000000002</v>
      </c>
      <c r="M30" s="51">
        <v>82.63</v>
      </c>
      <c r="N30" s="51">
        <v>0</v>
      </c>
      <c r="O30" s="51">
        <v>0</v>
      </c>
      <c r="P30" s="51">
        <v>1.1399999999999999</v>
      </c>
      <c r="Q30" s="51">
        <v>5.05</v>
      </c>
    </row>
    <row r="31" spans="1:17" customFormat="1">
      <c r="A31" s="50" t="s">
        <v>250</v>
      </c>
      <c r="B31" s="51">
        <v>19.399999999999999</v>
      </c>
      <c r="C31" s="51">
        <v>32.92</v>
      </c>
      <c r="D31" s="51">
        <v>34.11</v>
      </c>
      <c r="E31" s="51">
        <v>7.15</v>
      </c>
      <c r="F31" s="51">
        <v>2.67</v>
      </c>
      <c r="G31" s="51">
        <v>128.65</v>
      </c>
      <c r="H31" s="51">
        <v>50.39</v>
      </c>
      <c r="I31" s="51">
        <v>11.79</v>
      </c>
      <c r="J31" s="51">
        <v>0.14000000000000001</v>
      </c>
      <c r="K31" s="51">
        <v>230.68</v>
      </c>
      <c r="L31" s="51">
        <v>18.34</v>
      </c>
      <c r="M31" s="51">
        <v>82.33</v>
      </c>
      <c r="N31" s="51">
        <v>0</v>
      </c>
      <c r="O31" s="51">
        <v>0</v>
      </c>
      <c r="P31" s="51">
        <v>1.1399999999999999</v>
      </c>
      <c r="Q31" s="51">
        <v>5.01</v>
      </c>
    </row>
    <row r="32" spans="1:17" customFormat="1">
      <c r="A32" s="50" t="s">
        <v>251</v>
      </c>
      <c r="B32" s="51">
        <v>32.69</v>
      </c>
      <c r="C32" s="51">
        <v>30</v>
      </c>
      <c r="D32" s="51">
        <v>43.24</v>
      </c>
      <c r="E32" s="51">
        <v>7.48</v>
      </c>
      <c r="F32" s="51">
        <v>2.29</v>
      </c>
      <c r="G32" s="51">
        <v>120.02</v>
      </c>
      <c r="H32" s="51">
        <v>51.26</v>
      </c>
      <c r="I32" s="51">
        <v>11.58</v>
      </c>
      <c r="J32" s="51">
        <v>0.22</v>
      </c>
      <c r="K32" s="51">
        <v>163.71</v>
      </c>
      <c r="L32" s="51">
        <v>18.309999999999999</v>
      </c>
      <c r="M32" s="51">
        <v>79.739999999999995</v>
      </c>
      <c r="N32" s="51">
        <v>0</v>
      </c>
      <c r="O32" s="51">
        <v>0</v>
      </c>
      <c r="P32" s="51">
        <v>1.1200000000000001</v>
      </c>
      <c r="Q32" s="51">
        <v>5.16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4.95</v>
      </c>
      <c r="C34" s="41">
        <f t="shared" si="0"/>
        <v>17.239999999999998</v>
      </c>
      <c r="D34" s="41">
        <f t="shared" si="0"/>
        <v>14.47</v>
      </c>
      <c r="E34" s="41">
        <f t="shared" si="0"/>
        <v>3.62</v>
      </c>
      <c r="F34" s="41">
        <f t="shared" si="0"/>
        <v>2.29</v>
      </c>
      <c r="G34" s="41">
        <f t="shared" si="0"/>
        <v>69.19</v>
      </c>
      <c r="H34" s="41">
        <f t="shared" si="0"/>
        <v>37.130000000000003</v>
      </c>
      <c r="I34" s="41">
        <f t="shared" si="0"/>
        <v>8.27</v>
      </c>
      <c r="J34" s="41">
        <f t="shared" si="0"/>
        <v>0.14000000000000001</v>
      </c>
      <c r="K34" s="41">
        <f t="shared" si="0"/>
        <v>55.17</v>
      </c>
      <c r="L34" s="41">
        <f t="shared" si="0"/>
        <v>16.010000000000002</v>
      </c>
      <c r="M34" s="41">
        <f t="shared" si="0"/>
        <v>38.61</v>
      </c>
      <c r="N34" s="41">
        <f t="shared" si="0"/>
        <v>0</v>
      </c>
      <c r="O34" s="41">
        <f t="shared" si="0"/>
        <v>0</v>
      </c>
      <c r="P34" s="41">
        <f t="shared" si="0"/>
        <v>0.73</v>
      </c>
      <c r="Q34" s="41">
        <f t="shared" si="0"/>
        <v>4.7699999999999996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32.69</v>
      </c>
      <c r="C35" s="33">
        <f t="shared" si="1"/>
        <v>33.159999999999997</v>
      </c>
      <c r="D35" s="33">
        <f t="shared" si="1"/>
        <v>43.24</v>
      </c>
      <c r="E35" s="33">
        <f t="shared" si="1"/>
        <v>8.75</v>
      </c>
      <c r="F35" s="33">
        <f t="shared" si="1"/>
        <v>5.1100000000000003</v>
      </c>
      <c r="G35" s="33">
        <f t="shared" si="1"/>
        <v>159.59</v>
      </c>
      <c r="H35" s="33">
        <f t="shared" si="1"/>
        <v>57.03</v>
      </c>
      <c r="I35" s="33">
        <f t="shared" si="1"/>
        <v>11.79</v>
      </c>
      <c r="J35" s="33">
        <f t="shared" si="1"/>
        <v>1.48</v>
      </c>
      <c r="K35" s="33">
        <f t="shared" si="1"/>
        <v>352.09</v>
      </c>
      <c r="L35" s="33">
        <f t="shared" si="1"/>
        <v>28.64</v>
      </c>
      <c r="M35" s="33">
        <f t="shared" si="1"/>
        <v>95.76</v>
      </c>
      <c r="N35" s="33">
        <f t="shared" si="1"/>
        <v>409.9</v>
      </c>
      <c r="O35" s="33">
        <f t="shared" si="1"/>
        <v>0</v>
      </c>
      <c r="P35" s="33">
        <f t="shared" si="1"/>
        <v>1.1399999999999999</v>
      </c>
      <c r="Q35" s="33">
        <f t="shared" si="1"/>
        <v>5.16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14.75</v>
      </c>
      <c r="C36" s="41">
        <f t="shared" si="2"/>
        <v>27.036249999999999</v>
      </c>
      <c r="D36" s="41">
        <f t="shared" si="2"/>
        <v>27.217916666666667</v>
      </c>
      <c r="E36" s="41">
        <f t="shared" si="2"/>
        <v>6.5541666666666663</v>
      </c>
      <c r="F36" s="41">
        <f t="shared" si="2"/>
        <v>2.9129166666666664</v>
      </c>
      <c r="G36" s="41">
        <f t="shared" si="2"/>
        <v>110.36916666666669</v>
      </c>
      <c r="H36" s="41">
        <f t="shared" si="2"/>
        <v>48.426666666666669</v>
      </c>
      <c r="I36" s="41">
        <f t="shared" si="2"/>
        <v>9.8958333333333339</v>
      </c>
      <c r="J36" s="41">
        <f t="shared" si="2"/>
        <v>0.66083333333333349</v>
      </c>
      <c r="K36" s="41">
        <f t="shared" si="2"/>
        <v>126.38791666666667</v>
      </c>
      <c r="L36" s="41">
        <f t="shared" si="2"/>
        <v>21.565416666666664</v>
      </c>
      <c r="M36" s="41">
        <f t="shared" si="2"/>
        <v>72.121250000000003</v>
      </c>
      <c r="N36" s="41">
        <f t="shared" si="2"/>
        <v>96.495833333333337</v>
      </c>
      <c r="O36" s="41">
        <f t="shared" si="2"/>
        <v>0</v>
      </c>
      <c r="P36" s="41">
        <f t="shared" si="2"/>
        <v>0.95458333333333334</v>
      </c>
      <c r="Q36" s="41">
        <f t="shared" si="2"/>
        <v>4.9570833333333333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7.0138911857268917</v>
      </c>
      <c r="C37" s="41">
        <f t="shared" ref="C37:Q37" si="3">STDEV(C9:C32)</f>
        <v>4.7817904710156114</v>
      </c>
      <c r="D37" s="41">
        <f t="shared" si="3"/>
        <v>7.3890730013202992</v>
      </c>
      <c r="E37" s="41">
        <f t="shared" si="3"/>
        <v>1.7675773561982908</v>
      </c>
      <c r="F37" s="41">
        <f t="shared" si="3"/>
        <v>0.82880993345706311</v>
      </c>
      <c r="G37" s="41">
        <f t="shared" si="3"/>
        <v>24.896307027814025</v>
      </c>
      <c r="H37" s="41">
        <f t="shared" si="3"/>
        <v>6.0391704488401947</v>
      </c>
      <c r="I37" s="41">
        <f t="shared" si="3"/>
        <v>1.0738549682120129</v>
      </c>
      <c r="J37" s="41">
        <f t="shared" si="3"/>
        <v>0.392139246194253</v>
      </c>
      <c r="K37" s="41">
        <f t="shared" si="3"/>
        <v>77.274348237115618</v>
      </c>
      <c r="L37" s="41">
        <f t="shared" si="3"/>
        <v>4.4426548850362284</v>
      </c>
      <c r="M37" s="41">
        <f t="shared" si="3"/>
        <v>19.939041299289741</v>
      </c>
      <c r="N37" s="41">
        <f t="shared" si="3"/>
        <v>149.03813774877619</v>
      </c>
      <c r="O37" s="41">
        <f t="shared" si="3"/>
        <v>0</v>
      </c>
      <c r="P37" s="41">
        <f t="shared" si="3"/>
        <v>0.11728742720219441</v>
      </c>
      <c r="Q37" s="41">
        <f t="shared" si="3"/>
        <v>9.8222425787238096E-2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09/01/2024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252</v>
      </c>
      <c r="B9" s="51">
        <v>36.21</v>
      </c>
      <c r="C9" s="51">
        <v>30.53</v>
      </c>
      <c r="D9" s="51">
        <v>46.29</v>
      </c>
      <c r="E9" s="51">
        <v>7.13</v>
      </c>
      <c r="F9" s="51">
        <v>2.4900000000000002</v>
      </c>
      <c r="G9" s="51">
        <v>118.65</v>
      </c>
      <c r="H9" s="51">
        <v>54.73</v>
      </c>
      <c r="I9" s="51">
        <v>11.56</v>
      </c>
      <c r="J9" s="51">
        <v>0.21</v>
      </c>
      <c r="K9" s="51">
        <v>123.3</v>
      </c>
      <c r="L9" s="51">
        <v>18.38</v>
      </c>
      <c r="M9" s="51">
        <v>80.3</v>
      </c>
      <c r="N9" s="51">
        <v>0</v>
      </c>
      <c r="O9" s="51">
        <v>0</v>
      </c>
      <c r="P9" s="51">
        <v>1.1100000000000001</v>
      </c>
      <c r="Q9" s="51">
        <v>5.25</v>
      </c>
    </row>
    <row r="10" spans="1:21" customFormat="1">
      <c r="A10" s="50" t="s">
        <v>253</v>
      </c>
      <c r="B10" s="51">
        <v>35.29</v>
      </c>
      <c r="C10" s="51">
        <v>30.06</v>
      </c>
      <c r="D10" s="51">
        <v>45.18</v>
      </c>
      <c r="E10" s="51">
        <v>7.43</v>
      </c>
      <c r="F10" s="51">
        <v>2.4500000000000002</v>
      </c>
      <c r="G10" s="51">
        <v>107.26</v>
      </c>
      <c r="H10" s="51">
        <v>51.18</v>
      </c>
      <c r="I10" s="51">
        <v>11.43</v>
      </c>
      <c r="J10" s="51">
        <v>0.46</v>
      </c>
      <c r="K10" s="51">
        <v>52.14</v>
      </c>
      <c r="L10" s="51">
        <v>17.91</v>
      </c>
      <c r="M10" s="51">
        <v>77.94</v>
      </c>
      <c r="N10" s="51">
        <v>0</v>
      </c>
      <c r="O10" s="51">
        <v>0</v>
      </c>
      <c r="P10" s="51">
        <v>1.03</v>
      </c>
      <c r="Q10" s="51">
        <v>5.25</v>
      </c>
    </row>
    <row r="11" spans="1:21" customFormat="1">
      <c r="A11" s="50" t="s">
        <v>254</v>
      </c>
      <c r="B11" s="51">
        <v>34.130000000000003</v>
      </c>
      <c r="C11" s="51">
        <v>29.84</v>
      </c>
      <c r="D11" s="51">
        <v>44.31</v>
      </c>
      <c r="E11" s="51">
        <v>7.86</v>
      </c>
      <c r="F11" s="51">
        <v>2.44</v>
      </c>
      <c r="G11" s="51">
        <v>113.51</v>
      </c>
      <c r="H11" s="51">
        <v>50.62</v>
      </c>
      <c r="I11" s="51">
        <v>11.23</v>
      </c>
      <c r="J11" s="51">
        <v>0.33</v>
      </c>
      <c r="K11" s="51">
        <v>209.74</v>
      </c>
      <c r="L11" s="51">
        <v>17.54</v>
      </c>
      <c r="M11" s="51">
        <v>86.4</v>
      </c>
      <c r="N11" s="51">
        <v>0</v>
      </c>
      <c r="O11" s="51">
        <v>0</v>
      </c>
      <c r="P11" s="51">
        <v>0.97</v>
      </c>
      <c r="Q11" s="51">
        <v>5.24</v>
      </c>
    </row>
    <row r="12" spans="1:21" customFormat="1">
      <c r="A12" s="50" t="s">
        <v>255</v>
      </c>
      <c r="B12" s="51">
        <v>32.25</v>
      </c>
      <c r="C12" s="51">
        <v>30.16</v>
      </c>
      <c r="D12" s="51">
        <v>42.83</v>
      </c>
      <c r="E12" s="51">
        <v>7.76</v>
      </c>
      <c r="F12" s="51">
        <v>2.4500000000000002</v>
      </c>
      <c r="G12" s="51">
        <v>100.96</v>
      </c>
      <c r="H12" s="51">
        <v>47.42</v>
      </c>
      <c r="I12" s="51">
        <v>10.72</v>
      </c>
      <c r="J12" s="51">
        <v>0.38</v>
      </c>
      <c r="K12" s="51">
        <v>90.03</v>
      </c>
      <c r="L12" s="51">
        <v>16.8</v>
      </c>
      <c r="M12" s="51">
        <v>85.61</v>
      </c>
      <c r="N12" s="51">
        <v>0</v>
      </c>
      <c r="O12" s="51">
        <v>0</v>
      </c>
      <c r="P12" s="51">
        <v>0.9</v>
      </c>
      <c r="Q12" s="51">
        <v>5.23</v>
      </c>
    </row>
    <row r="13" spans="1:21" customFormat="1">
      <c r="A13" s="50" t="s">
        <v>256</v>
      </c>
      <c r="B13" s="51">
        <v>31.55</v>
      </c>
      <c r="C13" s="51">
        <v>31.25</v>
      </c>
      <c r="D13" s="51">
        <v>42.74</v>
      </c>
      <c r="E13" s="51">
        <v>7.79</v>
      </c>
      <c r="F13" s="51">
        <v>2.42</v>
      </c>
      <c r="G13" s="51">
        <v>100.26</v>
      </c>
      <c r="H13" s="51">
        <v>48.53</v>
      </c>
      <c r="I13" s="51">
        <v>10.220000000000001</v>
      </c>
      <c r="J13" s="51">
        <v>0.81</v>
      </c>
      <c r="K13" s="51">
        <v>56.2</v>
      </c>
      <c r="L13" s="51">
        <v>16.8</v>
      </c>
      <c r="M13" s="51">
        <v>86.43</v>
      </c>
      <c r="N13" s="51">
        <v>0</v>
      </c>
      <c r="O13" s="51">
        <v>0</v>
      </c>
      <c r="P13" s="51">
        <v>0.87</v>
      </c>
      <c r="Q13" s="51">
        <v>5.21</v>
      </c>
    </row>
    <row r="14" spans="1:21" customFormat="1">
      <c r="A14" s="50" t="s">
        <v>257</v>
      </c>
      <c r="B14" s="51">
        <v>28.55</v>
      </c>
      <c r="C14" s="51">
        <v>31.35</v>
      </c>
      <c r="D14" s="51">
        <v>40.450000000000003</v>
      </c>
      <c r="E14" s="51">
        <v>7.45</v>
      </c>
      <c r="F14" s="51">
        <v>2.38</v>
      </c>
      <c r="G14" s="51">
        <v>105.94</v>
      </c>
      <c r="H14" s="51">
        <v>49.58</v>
      </c>
      <c r="I14" s="51">
        <v>10.029999999999999</v>
      </c>
      <c r="J14" s="51">
        <v>0.3</v>
      </c>
      <c r="K14" s="51">
        <v>128.33000000000001</v>
      </c>
      <c r="L14" s="51">
        <v>16.489999999999998</v>
      </c>
      <c r="M14" s="51">
        <v>89.67</v>
      </c>
      <c r="N14" s="51">
        <v>0</v>
      </c>
      <c r="O14" s="51">
        <v>0</v>
      </c>
      <c r="P14" s="51">
        <v>0.86</v>
      </c>
      <c r="Q14" s="51">
        <v>5.19</v>
      </c>
    </row>
    <row r="15" spans="1:21" customFormat="1">
      <c r="A15" s="50" t="s">
        <v>258</v>
      </c>
      <c r="B15" s="51">
        <v>28.74</v>
      </c>
      <c r="C15" s="51">
        <v>30.83</v>
      </c>
      <c r="D15" s="51">
        <v>40.51</v>
      </c>
      <c r="E15" s="51">
        <v>7.77</v>
      </c>
      <c r="F15" s="51">
        <v>2.25</v>
      </c>
      <c r="G15" s="51">
        <v>100.96</v>
      </c>
      <c r="H15" s="51">
        <v>49.98</v>
      </c>
      <c r="I15" s="51">
        <v>10.01</v>
      </c>
      <c r="J15" s="51">
        <v>0.33</v>
      </c>
      <c r="K15" s="51">
        <v>149.1</v>
      </c>
      <c r="L15" s="51">
        <v>16.2</v>
      </c>
      <c r="M15" s="51">
        <v>92.73</v>
      </c>
      <c r="N15" s="51">
        <v>1</v>
      </c>
      <c r="O15" s="51">
        <v>0</v>
      </c>
      <c r="P15" s="51">
        <v>0.88</v>
      </c>
      <c r="Q15" s="51">
        <v>5.15</v>
      </c>
    </row>
    <row r="16" spans="1:21" customFormat="1">
      <c r="A16" s="50" t="s">
        <v>259</v>
      </c>
      <c r="B16" s="51">
        <v>28.83</v>
      </c>
      <c r="C16" s="51">
        <v>31.35</v>
      </c>
      <c r="D16" s="51">
        <v>40.51</v>
      </c>
      <c r="E16" s="51">
        <v>7.75</v>
      </c>
      <c r="F16" s="51">
        <v>2.29</v>
      </c>
      <c r="G16" s="51">
        <v>102.19</v>
      </c>
      <c r="H16" s="51">
        <v>50.69</v>
      </c>
      <c r="I16" s="51">
        <v>10.42</v>
      </c>
      <c r="J16" s="51">
        <v>0.89</v>
      </c>
      <c r="K16" s="51">
        <v>77.75</v>
      </c>
      <c r="L16" s="51">
        <v>17.37</v>
      </c>
      <c r="M16" s="51">
        <v>91.67</v>
      </c>
      <c r="N16" s="51">
        <v>41.8</v>
      </c>
      <c r="O16" s="51">
        <v>0</v>
      </c>
      <c r="P16" s="51">
        <v>0.94</v>
      </c>
      <c r="Q16" s="51">
        <v>5.15</v>
      </c>
    </row>
    <row r="17" spans="1:17" customFormat="1">
      <c r="A17" s="50" t="s">
        <v>260</v>
      </c>
      <c r="B17" s="51">
        <v>28.52</v>
      </c>
      <c r="C17" s="51">
        <v>31.26</v>
      </c>
      <c r="D17" s="51">
        <v>40.549999999999997</v>
      </c>
      <c r="E17" s="51">
        <v>7.96</v>
      </c>
      <c r="F17" s="51">
        <v>2.56</v>
      </c>
      <c r="G17" s="51">
        <v>114.11</v>
      </c>
      <c r="H17" s="51">
        <v>53.67</v>
      </c>
      <c r="I17" s="51">
        <v>11.89</v>
      </c>
      <c r="J17" s="51">
        <v>0.97</v>
      </c>
      <c r="K17" s="51">
        <v>73.930000000000007</v>
      </c>
      <c r="L17" s="51">
        <v>19.920000000000002</v>
      </c>
      <c r="M17" s="51">
        <v>85.14</v>
      </c>
      <c r="N17" s="51">
        <v>170.1</v>
      </c>
      <c r="O17" s="51">
        <v>0</v>
      </c>
      <c r="P17" s="51">
        <v>0.96</v>
      </c>
      <c r="Q17" s="51">
        <v>5.12</v>
      </c>
    </row>
    <row r="18" spans="1:17" customFormat="1">
      <c r="A18" s="50" t="s">
        <v>261</v>
      </c>
      <c r="B18" s="51">
        <v>25.25</v>
      </c>
      <c r="C18" s="51">
        <v>27.91</v>
      </c>
      <c r="D18" s="51">
        <v>35.83</v>
      </c>
      <c r="E18" s="51">
        <v>8.15</v>
      </c>
      <c r="F18" s="51">
        <v>2.56</v>
      </c>
      <c r="G18" s="51">
        <v>120.4</v>
      </c>
      <c r="H18" s="51">
        <v>59.72</v>
      </c>
      <c r="I18" s="51">
        <v>12.04</v>
      </c>
      <c r="J18" s="51">
        <v>1.1000000000000001</v>
      </c>
      <c r="K18" s="51">
        <v>71.25</v>
      </c>
      <c r="L18" s="51">
        <v>22.95</v>
      </c>
      <c r="M18" s="51">
        <v>73.11</v>
      </c>
      <c r="N18" s="51">
        <v>190</v>
      </c>
      <c r="O18" s="51">
        <v>0</v>
      </c>
      <c r="P18" s="51">
        <v>0.98</v>
      </c>
      <c r="Q18" s="51">
        <v>5.0999999999999996</v>
      </c>
    </row>
    <row r="19" spans="1:17" customFormat="1">
      <c r="A19" s="50" t="s">
        <v>262</v>
      </c>
      <c r="B19" s="51">
        <v>22.9</v>
      </c>
      <c r="C19" s="51">
        <v>26.21</v>
      </c>
      <c r="D19" s="51">
        <v>32.72</v>
      </c>
      <c r="E19" s="51">
        <v>8.3699999999999992</v>
      </c>
      <c r="F19" s="51">
        <v>2.5099999999999998</v>
      </c>
      <c r="G19" s="51">
        <v>125.46</v>
      </c>
      <c r="H19" s="51">
        <v>60.43</v>
      </c>
      <c r="I19" s="51">
        <v>11.94</v>
      </c>
      <c r="J19" s="51">
        <v>0.96</v>
      </c>
      <c r="K19" s="51">
        <v>80.48</v>
      </c>
      <c r="L19" s="51">
        <v>25.21</v>
      </c>
      <c r="M19" s="51">
        <v>57.15</v>
      </c>
      <c r="N19" s="51">
        <v>353</v>
      </c>
      <c r="O19" s="51">
        <v>0</v>
      </c>
      <c r="P19" s="51">
        <v>0.98</v>
      </c>
      <c r="Q19" s="51">
        <v>5.08</v>
      </c>
    </row>
    <row r="20" spans="1:17" customFormat="1">
      <c r="A20" s="50" t="s">
        <v>263</v>
      </c>
      <c r="B20" s="51">
        <v>17.46</v>
      </c>
      <c r="C20" s="51">
        <v>25.34</v>
      </c>
      <c r="D20" s="51">
        <v>28.59</v>
      </c>
      <c r="E20" s="51">
        <v>8.84</v>
      </c>
      <c r="F20" s="51">
        <v>3</v>
      </c>
      <c r="G20" s="51">
        <v>114.83</v>
      </c>
      <c r="H20" s="51">
        <v>55.05</v>
      </c>
      <c r="I20" s="51">
        <v>11.52</v>
      </c>
      <c r="J20" s="51">
        <v>0.86</v>
      </c>
      <c r="K20" s="51">
        <v>109.23</v>
      </c>
      <c r="L20" s="51">
        <v>27.68</v>
      </c>
      <c r="M20" s="51">
        <v>50.99</v>
      </c>
      <c r="N20" s="51">
        <v>397.2</v>
      </c>
      <c r="O20" s="51">
        <v>0</v>
      </c>
      <c r="P20" s="51">
        <v>0.95</v>
      </c>
      <c r="Q20" s="51">
        <v>5.0199999999999996</v>
      </c>
    </row>
    <row r="21" spans="1:17" customFormat="1">
      <c r="A21" s="50" t="s">
        <v>264</v>
      </c>
      <c r="B21" s="51">
        <v>11.45</v>
      </c>
      <c r="C21" s="51">
        <v>25.1</v>
      </c>
      <c r="D21" s="51">
        <v>23.65</v>
      </c>
      <c r="E21" s="51">
        <v>11.11</v>
      </c>
      <c r="F21" s="51">
        <v>5.72</v>
      </c>
      <c r="G21" s="51">
        <v>107.61</v>
      </c>
      <c r="H21" s="51">
        <v>51.74</v>
      </c>
      <c r="I21" s="51">
        <v>10.96</v>
      </c>
      <c r="J21" s="51">
        <v>1.58</v>
      </c>
      <c r="K21" s="51">
        <v>67.930000000000007</v>
      </c>
      <c r="L21" s="51">
        <v>28.4</v>
      </c>
      <c r="M21" s="51">
        <v>42.38</v>
      </c>
      <c r="N21" s="51">
        <v>404.6</v>
      </c>
      <c r="O21" s="51">
        <v>0</v>
      </c>
      <c r="P21" s="51">
        <v>0.91</v>
      </c>
      <c r="Q21" s="51">
        <v>4.93</v>
      </c>
    </row>
    <row r="22" spans="1:17" customFormat="1">
      <c r="A22" s="50" t="s">
        <v>265</v>
      </c>
      <c r="B22" s="51">
        <v>6.54</v>
      </c>
      <c r="C22" s="51">
        <v>24.71</v>
      </c>
      <c r="D22" s="51">
        <v>19.45</v>
      </c>
      <c r="E22" s="51">
        <v>10.91</v>
      </c>
      <c r="F22" s="51">
        <v>6.33</v>
      </c>
      <c r="G22" s="51">
        <v>102.52</v>
      </c>
      <c r="H22" s="51">
        <v>49.88</v>
      </c>
      <c r="I22" s="51">
        <v>10.25</v>
      </c>
      <c r="J22" s="51">
        <v>1.02</v>
      </c>
      <c r="K22" s="51">
        <v>134.66999999999999</v>
      </c>
      <c r="L22" s="51">
        <v>30.1</v>
      </c>
      <c r="M22" s="51">
        <v>37.78</v>
      </c>
      <c r="N22" s="51">
        <v>357.4</v>
      </c>
      <c r="O22" s="51">
        <v>0</v>
      </c>
      <c r="P22" s="51">
        <v>0.87</v>
      </c>
      <c r="Q22" s="51">
        <v>4.88</v>
      </c>
    </row>
    <row r="23" spans="1:17" customFormat="1">
      <c r="A23" s="50" t="s">
        <v>266</v>
      </c>
      <c r="B23" s="51">
        <v>4.46</v>
      </c>
      <c r="C23" s="51">
        <v>23.1</v>
      </c>
      <c r="D23" s="51">
        <v>16.97</v>
      </c>
      <c r="E23" s="51">
        <v>9.75</v>
      </c>
      <c r="F23" s="51">
        <v>7.38</v>
      </c>
      <c r="G23" s="51">
        <v>91.84</v>
      </c>
      <c r="H23" s="51">
        <v>46.31</v>
      </c>
      <c r="I23" s="51">
        <v>9.27</v>
      </c>
      <c r="J23" s="51">
        <v>0.42</v>
      </c>
      <c r="K23" s="51">
        <v>237.97</v>
      </c>
      <c r="L23" s="51">
        <v>29.56</v>
      </c>
      <c r="M23" s="51">
        <v>38.85</v>
      </c>
      <c r="N23" s="51">
        <v>283.2</v>
      </c>
      <c r="O23" s="51">
        <v>0</v>
      </c>
      <c r="P23" s="51">
        <v>0.8</v>
      </c>
      <c r="Q23" s="51">
        <v>4.82</v>
      </c>
    </row>
    <row r="24" spans="1:17" customFormat="1">
      <c r="A24" s="50" t="s">
        <v>267</v>
      </c>
      <c r="B24" s="51">
        <v>4.43</v>
      </c>
      <c r="C24" s="51">
        <v>21.18</v>
      </c>
      <c r="D24" s="51">
        <v>15.92</v>
      </c>
      <c r="E24" s="51">
        <v>9.51</v>
      </c>
      <c r="F24" s="51">
        <v>6.86</v>
      </c>
      <c r="G24" s="51">
        <v>80.69</v>
      </c>
      <c r="H24" s="51">
        <v>42.82</v>
      </c>
      <c r="I24" s="51">
        <v>8.41</v>
      </c>
      <c r="J24" s="51">
        <v>0.4</v>
      </c>
      <c r="K24" s="51">
        <v>183.07</v>
      </c>
      <c r="L24" s="51">
        <v>28.67</v>
      </c>
      <c r="M24" s="51">
        <v>39.049999999999997</v>
      </c>
      <c r="N24" s="51">
        <v>71.7</v>
      </c>
      <c r="O24" s="51">
        <v>0</v>
      </c>
      <c r="P24" s="51">
        <v>0.75</v>
      </c>
      <c r="Q24" s="51">
        <v>4.8</v>
      </c>
    </row>
    <row r="25" spans="1:17" customFormat="1">
      <c r="A25" s="50" t="s">
        <v>268</v>
      </c>
      <c r="B25" s="51">
        <v>4.49</v>
      </c>
      <c r="C25" s="51">
        <v>19.96</v>
      </c>
      <c r="D25" s="51">
        <v>15.38</v>
      </c>
      <c r="E25" s="51">
        <v>9.2799999999999994</v>
      </c>
      <c r="F25" s="51">
        <v>5.6</v>
      </c>
      <c r="G25" s="51">
        <v>68.31</v>
      </c>
      <c r="H25" s="51">
        <v>40.49</v>
      </c>
      <c r="I25" s="51">
        <v>7.72</v>
      </c>
      <c r="J25" s="51">
        <v>0.26</v>
      </c>
      <c r="K25" s="51">
        <v>187.05</v>
      </c>
      <c r="L25" s="51">
        <v>28.02</v>
      </c>
      <c r="M25" s="51">
        <v>49.1</v>
      </c>
      <c r="N25" s="51">
        <v>36.799999999999997</v>
      </c>
      <c r="O25" s="51">
        <v>0</v>
      </c>
      <c r="P25" s="51">
        <v>0.69</v>
      </c>
      <c r="Q25" s="51">
        <v>4.7699999999999996</v>
      </c>
    </row>
    <row r="26" spans="1:17" customFormat="1">
      <c r="A26" s="50" t="s">
        <v>269</v>
      </c>
      <c r="B26" s="51">
        <v>5.88</v>
      </c>
      <c r="C26" s="51">
        <v>24.41</v>
      </c>
      <c r="D26" s="51">
        <v>18.82</v>
      </c>
      <c r="E26" s="51">
        <v>9.42</v>
      </c>
      <c r="F26" s="51">
        <v>4.4800000000000004</v>
      </c>
      <c r="G26" s="51">
        <v>84.72</v>
      </c>
      <c r="H26" s="51">
        <v>39.36</v>
      </c>
      <c r="I26" s="51">
        <v>7.17</v>
      </c>
      <c r="J26" s="51">
        <v>0.25</v>
      </c>
      <c r="K26" s="51">
        <v>163.03</v>
      </c>
      <c r="L26" s="51">
        <v>25.74</v>
      </c>
      <c r="M26" s="51">
        <v>63.56</v>
      </c>
      <c r="N26" s="51">
        <v>0.9</v>
      </c>
      <c r="O26" s="51">
        <v>0</v>
      </c>
      <c r="P26" s="51">
        <v>0.73</v>
      </c>
      <c r="Q26" s="51">
        <v>4.79</v>
      </c>
    </row>
    <row r="27" spans="1:17" customFormat="1">
      <c r="A27" s="50" t="s">
        <v>270</v>
      </c>
      <c r="B27" s="51">
        <v>7.99</v>
      </c>
      <c r="C27" s="51">
        <v>24.25</v>
      </c>
      <c r="D27" s="51">
        <v>19.38</v>
      </c>
      <c r="E27" s="51">
        <v>5.99</v>
      </c>
      <c r="F27" s="51">
        <v>2.57</v>
      </c>
      <c r="G27" s="51">
        <v>159.88</v>
      </c>
      <c r="H27" s="51">
        <v>48.48</v>
      </c>
      <c r="I27" s="51">
        <v>7.81</v>
      </c>
      <c r="J27" s="51">
        <v>0.22</v>
      </c>
      <c r="K27" s="51">
        <v>198.69</v>
      </c>
      <c r="L27" s="51">
        <v>24.02</v>
      </c>
      <c r="M27" s="51">
        <v>71.36</v>
      </c>
      <c r="N27" s="51">
        <v>0</v>
      </c>
      <c r="O27" s="51">
        <v>0</v>
      </c>
      <c r="P27" s="51">
        <v>0.81</v>
      </c>
      <c r="Q27" s="51">
        <v>4.82</v>
      </c>
    </row>
    <row r="28" spans="1:17" customFormat="1">
      <c r="A28" s="50" t="s">
        <v>271</v>
      </c>
      <c r="B28" s="51">
        <v>8.74</v>
      </c>
      <c r="C28" s="51">
        <v>23.18</v>
      </c>
      <c r="D28" s="51">
        <v>20.14</v>
      </c>
      <c r="E28" s="51">
        <v>5.83</v>
      </c>
      <c r="F28" s="51">
        <v>2.52</v>
      </c>
      <c r="G28" s="51">
        <v>152.63999999999999</v>
      </c>
      <c r="H28" s="51">
        <v>52.48</v>
      </c>
      <c r="I28" s="51">
        <v>8.5</v>
      </c>
      <c r="J28" s="51">
        <v>0.22</v>
      </c>
      <c r="K28" s="51">
        <v>214.53</v>
      </c>
      <c r="L28" s="51">
        <v>22.62</v>
      </c>
      <c r="M28" s="51">
        <v>72.430000000000007</v>
      </c>
      <c r="N28" s="51">
        <v>0</v>
      </c>
      <c r="O28" s="51">
        <v>0</v>
      </c>
      <c r="P28" s="51">
        <v>0.86</v>
      </c>
      <c r="Q28" s="51">
        <v>4.8600000000000003</v>
      </c>
    </row>
    <row r="29" spans="1:17" customFormat="1">
      <c r="A29" s="50" t="s">
        <v>272</v>
      </c>
      <c r="B29" s="51">
        <v>12.99</v>
      </c>
      <c r="C29" s="51">
        <v>23.48</v>
      </c>
      <c r="D29" s="51">
        <v>24.04</v>
      </c>
      <c r="E29" s="51">
        <v>5.83</v>
      </c>
      <c r="F29" s="51">
        <v>2.56</v>
      </c>
      <c r="G29" s="51">
        <v>108.32</v>
      </c>
      <c r="H29" s="51">
        <v>52.31</v>
      </c>
      <c r="I29" s="51">
        <v>9</v>
      </c>
      <c r="J29" s="51">
        <v>0.33</v>
      </c>
      <c r="K29" s="51">
        <v>170.34</v>
      </c>
      <c r="L29" s="51">
        <v>21.86</v>
      </c>
      <c r="M29" s="51">
        <v>75.099999999999994</v>
      </c>
      <c r="N29" s="51">
        <v>0</v>
      </c>
      <c r="O29" s="51">
        <v>0</v>
      </c>
      <c r="P29" s="51">
        <v>0.97</v>
      </c>
      <c r="Q29" s="51">
        <v>4.93</v>
      </c>
    </row>
    <row r="30" spans="1:17" customFormat="1">
      <c r="A30" s="50" t="s">
        <v>273</v>
      </c>
      <c r="B30" s="51">
        <v>18.989999999999998</v>
      </c>
      <c r="C30" s="51">
        <v>26.43</v>
      </c>
      <c r="D30" s="51">
        <v>29.39</v>
      </c>
      <c r="E30" s="51">
        <v>5.86</v>
      </c>
      <c r="F30" s="51">
        <v>2.5099999999999998</v>
      </c>
      <c r="G30" s="51">
        <v>141.54</v>
      </c>
      <c r="H30" s="51">
        <v>53.68</v>
      </c>
      <c r="I30" s="51">
        <v>10.119999999999999</v>
      </c>
      <c r="J30" s="51">
        <v>0.38</v>
      </c>
      <c r="K30" s="51">
        <v>199.83</v>
      </c>
      <c r="L30" s="51">
        <v>20.92</v>
      </c>
      <c r="M30" s="51">
        <v>79.34</v>
      </c>
      <c r="N30" s="51">
        <v>0</v>
      </c>
      <c r="O30" s="51">
        <v>0</v>
      </c>
      <c r="P30" s="51">
        <v>1.08</v>
      </c>
      <c r="Q30" s="51">
        <v>5.0199999999999996</v>
      </c>
    </row>
    <row r="31" spans="1:17" customFormat="1">
      <c r="A31" s="50" t="s">
        <v>274</v>
      </c>
      <c r="B31" s="51">
        <v>28.44</v>
      </c>
      <c r="C31" s="51">
        <v>29.15</v>
      </c>
      <c r="D31" s="51">
        <v>39.380000000000003</v>
      </c>
      <c r="E31" s="51">
        <v>6.26</v>
      </c>
      <c r="F31" s="51">
        <v>2.31</v>
      </c>
      <c r="G31" s="51">
        <v>141.15</v>
      </c>
      <c r="H31" s="51">
        <v>57.02</v>
      </c>
      <c r="I31" s="51">
        <v>11.18</v>
      </c>
      <c r="J31" s="51">
        <v>0.2</v>
      </c>
      <c r="K31" s="51">
        <v>186.91</v>
      </c>
      <c r="L31" s="51">
        <v>20.04</v>
      </c>
      <c r="M31" s="51">
        <v>84.22</v>
      </c>
      <c r="N31" s="51">
        <v>0</v>
      </c>
      <c r="O31" s="51">
        <v>0</v>
      </c>
      <c r="P31" s="51">
        <v>1.19</v>
      </c>
      <c r="Q31" s="51">
        <v>5.14</v>
      </c>
    </row>
    <row r="32" spans="1:17" customFormat="1">
      <c r="A32" s="50" t="s">
        <v>275</v>
      </c>
      <c r="B32" s="51">
        <v>30.35</v>
      </c>
      <c r="C32" s="51">
        <v>30.71</v>
      </c>
      <c r="D32" s="51">
        <v>41.74</v>
      </c>
      <c r="E32" s="51">
        <v>6.57</v>
      </c>
      <c r="F32" s="51">
        <v>2.38</v>
      </c>
      <c r="G32" s="51">
        <v>145.97</v>
      </c>
      <c r="H32" s="51">
        <v>60.54</v>
      </c>
      <c r="I32" s="51">
        <v>12.84</v>
      </c>
      <c r="J32" s="51">
        <v>0.17</v>
      </c>
      <c r="K32" s="51">
        <v>214.57</v>
      </c>
      <c r="L32" s="51">
        <v>19.420000000000002</v>
      </c>
      <c r="M32" s="51">
        <v>85.76</v>
      </c>
      <c r="N32" s="51">
        <v>0</v>
      </c>
      <c r="O32" s="51">
        <v>0</v>
      </c>
      <c r="P32" s="51">
        <v>1.24</v>
      </c>
      <c r="Q32" s="51">
        <v>5.22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4.43</v>
      </c>
      <c r="C34" s="41">
        <f t="shared" si="0"/>
        <v>19.96</v>
      </c>
      <c r="D34" s="41">
        <f t="shared" si="0"/>
        <v>15.38</v>
      </c>
      <c r="E34" s="41">
        <f t="shared" si="0"/>
        <v>5.83</v>
      </c>
      <c r="F34" s="41">
        <f t="shared" si="0"/>
        <v>2.25</v>
      </c>
      <c r="G34" s="41">
        <f t="shared" si="0"/>
        <v>68.31</v>
      </c>
      <c r="H34" s="41">
        <f t="shared" si="0"/>
        <v>39.36</v>
      </c>
      <c r="I34" s="41">
        <f t="shared" si="0"/>
        <v>7.17</v>
      </c>
      <c r="J34" s="41">
        <f t="shared" si="0"/>
        <v>0.17</v>
      </c>
      <c r="K34" s="41">
        <f t="shared" si="0"/>
        <v>52.14</v>
      </c>
      <c r="L34" s="41">
        <f t="shared" si="0"/>
        <v>16.2</v>
      </c>
      <c r="M34" s="41">
        <f t="shared" si="0"/>
        <v>37.78</v>
      </c>
      <c r="N34" s="41">
        <f t="shared" si="0"/>
        <v>0</v>
      </c>
      <c r="O34" s="41">
        <f t="shared" si="0"/>
        <v>0</v>
      </c>
      <c r="P34" s="41">
        <f t="shared" si="0"/>
        <v>0.69</v>
      </c>
      <c r="Q34" s="41">
        <f t="shared" si="0"/>
        <v>4.7699999999999996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36.21</v>
      </c>
      <c r="C35" s="33">
        <f t="shared" si="1"/>
        <v>31.35</v>
      </c>
      <c r="D35" s="33">
        <f t="shared" si="1"/>
        <v>46.29</v>
      </c>
      <c r="E35" s="33">
        <f t="shared" si="1"/>
        <v>11.11</v>
      </c>
      <c r="F35" s="33">
        <f t="shared" si="1"/>
        <v>7.38</v>
      </c>
      <c r="G35" s="33">
        <f t="shared" si="1"/>
        <v>159.88</v>
      </c>
      <c r="H35" s="33">
        <f t="shared" si="1"/>
        <v>60.54</v>
      </c>
      <c r="I35" s="33">
        <f t="shared" si="1"/>
        <v>12.84</v>
      </c>
      <c r="J35" s="33">
        <f t="shared" si="1"/>
        <v>1.58</v>
      </c>
      <c r="K35" s="33">
        <f t="shared" si="1"/>
        <v>237.97</v>
      </c>
      <c r="L35" s="33">
        <f t="shared" si="1"/>
        <v>30.1</v>
      </c>
      <c r="M35" s="33">
        <f t="shared" si="1"/>
        <v>92.73</v>
      </c>
      <c r="N35" s="33">
        <f t="shared" si="1"/>
        <v>404.6</v>
      </c>
      <c r="O35" s="33">
        <f t="shared" si="1"/>
        <v>0</v>
      </c>
      <c r="P35" s="33">
        <f t="shared" si="1"/>
        <v>1.24</v>
      </c>
      <c r="Q35" s="33">
        <f t="shared" si="1"/>
        <v>5.25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20.60125</v>
      </c>
      <c r="C36" s="41">
        <f t="shared" si="2"/>
        <v>27.156249999999996</v>
      </c>
      <c r="D36" s="41">
        <f t="shared" si="2"/>
        <v>31.865416666666661</v>
      </c>
      <c r="E36" s="41">
        <f t="shared" si="2"/>
        <v>7.9408333333333339</v>
      </c>
      <c r="F36" s="41">
        <f t="shared" si="2"/>
        <v>3.375833333333333</v>
      </c>
      <c r="G36" s="41">
        <f t="shared" si="2"/>
        <v>112.90499999999999</v>
      </c>
      <c r="H36" s="41">
        <f t="shared" si="2"/>
        <v>51.112916666666671</v>
      </c>
      <c r="I36" s="41">
        <f t="shared" si="2"/>
        <v>10.260000000000002</v>
      </c>
      <c r="J36" s="41">
        <f t="shared" si="2"/>
        <v>0.54375000000000007</v>
      </c>
      <c r="K36" s="41">
        <f t="shared" si="2"/>
        <v>140.83625000000004</v>
      </c>
      <c r="L36" s="41">
        <f t="shared" si="2"/>
        <v>22.192499999999999</v>
      </c>
      <c r="M36" s="41">
        <f t="shared" si="2"/>
        <v>70.669583333333307</v>
      </c>
      <c r="N36" s="41">
        <f t="shared" si="2"/>
        <v>96.154166666666654</v>
      </c>
      <c r="O36" s="41">
        <f t="shared" si="2"/>
        <v>0</v>
      </c>
      <c r="P36" s="41">
        <f t="shared" si="2"/>
        <v>0.93041666666666656</v>
      </c>
      <c r="Q36" s="41">
        <f t="shared" si="2"/>
        <v>5.0404166666666654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11.403921260193606</v>
      </c>
      <c r="C37" s="41">
        <f t="shared" ref="C37:Q37" si="3">STDEV(C9:C32)</f>
        <v>3.6096763825801315</v>
      </c>
      <c r="D37" s="41">
        <f t="shared" si="3"/>
        <v>10.952215967622697</v>
      </c>
      <c r="E37" s="41">
        <f t="shared" si="3"/>
        <v>1.5130042577791984</v>
      </c>
      <c r="F37" s="41">
        <f t="shared" si="3"/>
        <v>1.6607303701440639</v>
      </c>
      <c r="G37" s="41">
        <f t="shared" si="3"/>
        <v>22.660919049630632</v>
      </c>
      <c r="H37" s="41">
        <f t="shared" si="3"/>
        <v>5.5391888271044438</v>
      </c>
      <c r="I37" s="41">
        <f t="shared" si="3"/>
        <v>1.5278828773687152</v>
      </c>
      <c r="J37" s="41">
        <f t="shared" si="3"/>
        <v>0.37847304768779361</v>
      </c>
      <c r="K37" s="41">
        <f t="shared" si="3"/>
        <v>59.241665773228824</v>
      </c>
      <c r="L37" s="41">
        <f t="shared" si="3"/>
        <v>4.7123171167373181</v>
      </c>
      <c r="M37" s="41">
        <f t="shared" si="3"/>
        <v>18.48452101651943</v>
      </c>
      <c r="N37" s="41">
        <f t="shared" si="3"/>
        <v>148.23574344286192</v>
      </c>
      <c r="O37" s="41">
        <f t="shared" si="3"/>
        <v>0</v>
      </c>
      <c r="P37" s="41">
        <f t="shared" si="3"/>
        <v>0.13518036796834873</v>
      </c>
      <c r="Q37" s="41">
        <f t="shared" si="3"/>
        <v>0.17025503035836079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G19" sqref="G19"/>
      <selection pane="topRight" activeCell="G19" sqref="G19"/>
      <selection pane="bottomLeft" activeCell="G19" sqref="G19"/>
      <selection pane="bottomRight" activeCell="A7" sqref="A7:Q45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10/01/2024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 t="s">
        <v>276</v>
      </c>
      <c r="B9" s="51">
        <v>42.93</v>
      </c>
      <c r="C9" s="51">
        <v>32.96</v>
      </c>
      <c r="D9" s="51">
        <v>53</v>
      </c>
      <c r="E9" s="51">
        <v>7.33</v>
      </c>
      <c r="F9" s="51">
        <v>2.2999999999999998</v>
      </c>
      <c r="G9" s="51">
        <v>131.77000000000001</v>
      </c>
      <c r="H9" s="51">
        <v>61.45</v>
      </c>
      <c r="I9" s="51">
        <v>13.2</v>
      </c>
      <c r="J9" s="51">
        <v>0.15</v>
      </c>
      <c r="K9" s="51">
        <v>193.65</v>
      </c>
      <c r="L9" s="51">
        <v>19.149999999999999</v>
      </c>
      <c r="M9" s="51">
        <v>87.3</v>
      </c>
      <c r="N9" s="51">
        <v>0</v>
      </c>
      <c r="O9" s="51">
        <v>0</v>
      </c>
      <c r="P9" s="51">
        <v>1.28</v>
      </c>
      <c r="Q9" s="51">
        <v>5.32</v>
      </c>
    </row>
    <row r="10" spans="1:21" customFormat="1">
      <c r="A10" s="50" t="s">
        <v>277</v>
      </c>
      <c r="B10" s="51">
        <v>51.05</v>
      </c>
      <c r="C10" s="51">
        <v>34.35</v>
      </c>
      <c r="D10" s="51">
        <v>60.24</v>
      </c>
      <c r="E10" s="51">
        <v>7.59</v>
      </c>
      <c r="F10" s="51">
        <v>2.2999999999999998</v>
      </c>
      <c r="G10" s="51">
        <v>144.61000000000001</v>
      </c>
      <c r="H10" s="51">
        <v>62.52</v>
      </c>
      <c r="I10" s="51">
        <v>13.74</v>
      </c>
      <c r="J10" s="51">
        <v>0.28000000000000003</v>
      </c>
      <c r="K10" s="51">
        <v>230.6</v>
      </c>
      <c r="L10" s="51">
        <v>19.05</v>
      </c>
      <c r="M10" s="51">
        <v>88.42</v>
      </c>
      <c r="N10" s="51">
        <v>0</v>
      </c>
      <c r="O10" s="51">
        <v>0</v>
      </c>
      <c r="P10" s="51">
        <v>1.29</v>
      </c>
      <c r="Q10" s="51">
        <v>5.41</v>
      </c>
    </row>
    <row r="11" spans="1:21" customFormat="1">
      <c r="A11" s="50" t="s">
        <v>278</v>
      </c>
      <c r="B11" s="51">
        <v>51.08</v>
      </c>
      <c r="C11" s="51">
        <v>34.659999999999997</v>
      </c>
      <c r="D11" s="51">
        <v>60.42</v>
      </c>
      <c r="E11" s="51">
        <v>7.4</v>
      </c>
      <c r="F11" s="51">
        <v>2.2400000000000002</v>
      </c>
      <c r="G11" s="51">
        <v>155.33000000000001</v>
      </c>
      <c r="H11" s="51">
        <v>65.97</v>
      </c>
      <c r="I11" s="51">
        <v>13.93</v>
      </c>
      <c r="J11" s="51">
        <v>0.18</v>
      </c>
      <c r="K11" s="51">
        <v>204.75</v>
      </c>
      <c r="L11" s="51">
        <v>18.36</v>
      </c>
      <c r="M11" s="51">
        <v>90.31</v>
      </c>
      <c r="N11" s="51">
        <v>0</v>
      </c>
      <c r="O11" s="51">
        <v>0</v>
      </c>
      <c r="P11" s="51">
        <v>1.29</v>
      </c>
      <c r="Q11" s="51">
        <v>5.41</v>
      </c>
    </row>
    <row r="12" spans="1:21" customFormat="1">
      <c r="A12" s="50" t="s">
        <v>279</v>
      </c>
      <c r="B12" s="51">
        <v>47.08</v>
      </c>
      <c r="C12" s="51">
        <v>34.47</v>
      </c>
      <c r="D12" s="51">
        <v>57.11</v>
      </c>
      <c r="E12" s="51">
        <v>7.47</v>
      </c>
      <c r="F12" s="51">
        <v>2.48</v>
      </c>
      <c r="G12" s="51">
        <v>119.23</v>
      </c>
      <c r="H12" s="51">
        <v>65.48</v>
      </c>
      <c r="I12" s="51">
        <v>13.93</v>
      </c>
      <c r="J12" s="51">
        <v>0.14000000000000001</v>
      </c>
      <c r="K12" s="51">
        <v>239.04</v>
      </c>
      <c r="L12" s="51">
        <v>18.21</v>
      </c>
      <c r="M12" s="51">
        <v>90.51</v>
      </c>
      <c r="N12" s="51">
        <v>0</v>
      </c>
      <c r="O12" s="51">
        <v>0</v>
      </c>
      <c r="P12" s="51">
        <v>1.28</v>
      </c>
      <c r="Q12" s="51">
        <v>5.34</v>
      </c>
    </row>
    <row r="13" spans="1:21" customFormat="1">
      <c r="A13" s="50" t="s">
        <v>280</v>
      </c>
      <c r="B13" s="51">
        <v>40.01</v>
      </c>
      <c r="C13" s="51">
        <v>27.54</v>
      </c>
      <c r="D13" s="51">
        <v>47.83</v>
      </c>
      <c r="E13" s="51">
        <v>7.27</v>
      </c>
      <c r="F13" s="51">
        <v>2.71</v>
      </c>
      <c r="G13" s="51">
        <v>119.81</v>
      </c>
      <c r="H13" s="51">
        <v>62.71</v>
      </c>
      <c r="I13" s="51">
        <v>13.59</v>
      </c>
      <c r="J13" s="51">
        <v>0.17</v>
      </c>
      <c r="K13" s="51">
        <v>231.72</v>
      </c>
      <c r="L13" s="51">
        <v>18.07</v>
      </c>
      <c r="M13" s="51">
        <v>91.78</v>
      </c>
      <c r="N13" s="51">
        <v>0</v>
      </c>
      <c r="O13" s="51">
        <v>0</v>
      </c>
      <c r="P13" s="51">
        <v>1.22</v>
      </c>
      <c r="Q13" s="51">
        <v>5.23</v>
      </c>
    </row>
    <row r="14" spans="1:21" customFormat="1">
      <c r="A14" s="50" t="s">
        <v>281</v>
      </c>
      <c r="B14" s="51">
        <v>35.049999999999997</v>
      </c>
      <c r="C14" s="51">
        <v>26.92</v>
      </c>
      <c r="D14" s="51">
        <v>43.37</v>
      </c>
      <c r="E14" s="51">
        <v>6.95</v>
      </c>
      <c r="F14" s="51">
        <v>2.34</v>
      </c>
      <c r="G14" s="51">
        <v>108.4</v>
      </c>
      <c r="H14" s="51">
        <v>59.48</v>
      </c>
      <c r="I14" s="51">
        <v>13.22</v>
      </c>
      <c r="J14" s="51">
        <v>0.15</v>
      </c>
      <c r="K14" s="51">
        <v>179.29</v>
      </c>
      <c r="L14" s="51">
        <v>18.309999999999999</v>
      </c>
      <c r="M14" s="51">
        <v>90.56</v>
      </c>
      <c r="N14" s="51">
        <v>0</v>
      </c>
      <c r="O14" s="51">
        <v>0</v>
      </c>
      <c r="P14" s="51">
        <v>1.19</v>
      </c>
      <c r="Q14" s="51">
        <v>5.17</v>
      </c>
    </row>
    <row r="15" spans="1:21" customFormat="1">
      <c r="A15" s="50" t="s">
        <v>282</v>
      </c>
      <c r="B15" s="51">
        <v>33.01</v>
      </c>
      <c r="C15" s="51">
        <v>24.88</v>
      </c>
      <c r="D15" s="51">
        <v>40.67</v>
      </c>
      <c r="E15" s="51">
        <v>6.83</v>
      </c>
      <c r="F15" s="51">
        <v>2.4500000000000002</v>
      </c>
      <c r="G15" s="51">
        <v>132.08000000000001</v>
      </c>
      <c r="H15" s="51">
        <v>61.31</v>
      </c>
      <c r="I15" s="51">
        <v>12.97</v>
      </c>
      <c r="J15" s="51">
        <v>0.15</v>
      </c>
      <c r="K15" s="51">
        <v>241.71</v>
      </c>
      <c r="L15" s="51">
        <v>17.87</v>
      </c>
      <c r="M15" s="51">
        <v>92.91</v>
      </c>
      <c r="N15" s="51">
        <v>1.2</v>
      </c>
      <c r="O15" s="51">
        <v>0</v>
      </c>
      <c r="P15" s="51">
        <v>1.1499999999999999</v>
      </c>
      <c r="Q15" s="51">
        <v>5.17</v>
      </c>
    </row>
    <row r="16" spans="1:21" customFormat="1">
      <c r="A16" s="50" t="s">
        <v>283</v>
      </c>
      <c r="B16" s="51">
        <v>28.21</v>
      </c>
      <c r="C16" s="51">
        <v>24.74</v>
      </c>
      <c r="D16" s="51">
        <v>36.9</v>
      </c>
      <c r="E16" s="51">
        <v>6.92</v>
      </c>
      <c r="F16" s="51">
        <v>2.4</v>
      </c>
      <c r="G16" s="51">
        <v>111.59</v>
      </c>
      <c r="H16" s="51">
        <v>58.54</v>
      </c>
      <c r="I16" s="51">
        <v>12.71</v>
      </c>
      <c r="J16" s="51">
        <v>0.24</v>
      </c>
      <c r="K16" s="51">
        <v>303.33</v>
      </c>
      <c r="L16" s="51">
        <v>19.690000000000001</v>
      </c>
      <c r="M16" s="51">
        <v>90.64</v>
      </c>
      <c r="N16" s="51">
        <v>39.6</v>
      </c>
      <c r="O16" s="51">
        <v>0</v>
      </c>
      <c r="P16" s="51">
        <v>1.1100000000000001</v>
      </c>
      <c r="Q16" s="51">
        <v>5.14</v>
      </c>
    </row>
    <row r="17" spans="1:17" customFormat="1">
      <c r="A17" s="50" t="s">
        <v>284</v>
      </c>
      <c r="B17" s="51">
        <v>23.42</v>
      </c>
      <c r="C17" s="51">
        <v>25.23</v>
      </c>
      <c r="D17" s="51">
        <v>33.24</v>
      </c>
      <c r="E17" s="51">
        <v>6.85</v>
      </c>
      <c r="F17" s="51">
        <v>2.5299999999999998</v>
      </c>
      <c r="G17" s="51">
        <v>105.76</v>
      </c>
      <c r="H17" s="51">
        <v>58.62</v>
      </c>
      <c r="I17" s="51">
        <v>12.47</v>
      </c>
      <c r="J17" s="51">
        <v>0.39</v>
      </c>
      <c r="K17" s="51">
        <v>287.57</v>
      </c>
      <c r="L17" s="51">
        <v>21.37</v>
      </c>
      <c r="M17" s="51">
        <v>77.75</v>
      </c>
      <c r="N17" s="51">
        <v>65.900000000000006</v>
      </c>
      <c r="O17" s="51">
        <v>0</v>
      </c>
      <c r="P17" s="51">
        <v>1.08</v>
      </c>
      <c r="Q17" s="51">
        <v>5.1100000000000003</v>
      </c>
    </row>
    <row r="18" spans="1:17" customFormat="1">
      <c r="A18" s="50" t="s">
        <v>285</v>
      </c>
      <c r="B18" s="51">
        <v>17.91</v>
      </c>
      <c r="C18" s="51">
        <v>28.16</v>
      </c>
      <c r="D18" s="51">
        <v>29.38</v>
      </c>
      <c r="E18" s="51">
        <v>6.95</v>
      </c>
      <c r="F18" s="51">
        <v>2.68</v>
      </c>
      <c r="G18" s="51">
        <v>101.64</v>
      </c>
      <c r="H18" s="51">
        <v>57.57</v>
      </c>
      <c r="I18" s="51">
        <v>12.19</v>
      </c>
      <c r="J18" s="51">
        <v>0.28000000000000003</v>
      </c>
      <c r="K18" s="51">
        <v>352.64</v>
      </c>
      <c r="L18" s="51">
        <v>23.61</v>
      </c>
      <c r="M18" s="51">
        <v>70.819999999999993</v>
      </c>
      <c r="N18" s="51">
        <v>140.80000000000001</v>
      </c>
      <c r="O18" s="51">
        <v>0</v>
      </c>
      <c r="P18" s="51">
        <v>1.0900000000000001</v>
      </c>
      <c r="Q18" s="51">
        <v>5.04</v>
      </c>
    </row>
    <row r="19" spans="1:17" customFormat="1">
      <c r="A19" s="50" t="s">
        <v>286</v>
      </c>
      <c r="B19" s="51">
        <v>12.64</v>
      </c>
      <c r="C19" s="51">
        <v>29.62</v>
      </c>
      <c r="D19" s="51">
        <v>26.56</v>
      </c>
      <c r="E19" s="51">
        <v>6</v>
      </c>
      <c r="F19" s="51">
        <v>3.17</v>
      </c>
      <c r="G19" s="51">
        <v>120.96</v>
      </c>
      <c r="H19" s="51">
        <v>59.53</v>
      </c>
      <c r="I19" s="51">
        <v>11.88</v>
      </c>
      <c r="J19" s="51">
        <v>0.31</v>
      </c>
      <c r="K19" s="51">
        <v>352.4</v>
      </c>
      <c r="L19" s="51">
        <v>27.16</v>
      </c>
      <c r="M19" s="51">
        <v>60.83</v>
      </c>
      <c r="N19" s="51">
        <v>352</v>
      </c>
      <c r="O19" s="51">
        <v>0</v>
      </c>
      <c r="P19" s="51">
        <v>1.1100000000000001</v>
      </c>
      <c r="Q19" s="51">
        <v>4.95</v>
      </c>
    </row>
    <row r="20" spans="1:17" customFormat="1">
      <c r="A20" s="50" t="s">
        <v>287</v>
      </c>
      <c r="B20" s="51">
        <v>7.15</v>
      </c>
      <c r="C20" s="51">
        <v>29.48</v>
      </c>
      <c r="D20" s="51">
        <v>22.49</v>
      </c>
      <c r="E20" s="51">
        <v>6.5</v>
      </c>
      <c r="F20" s="51">
        <v>7.23</v>
      </c>
      <c r="G20" s="51">
        <v>110.97</v>
      </c>
      <c r="H20" s="51">
        <v>58.78</v>
      </c>
      <c r="I20" s="51">
        <v>11.77</v>
      </c>
      <c r="J20" s="51">
        <v>0.56999999999999995</v>
      </c>
      <c r="K20" s="51">
        <v>354.35</v>
      </c>
      <c r="L20" s="51">
        <v>28.57</v>
      </c>
      <c r="M20" s="51">
        <v>48.09</v>
      </c>
      <c r="N20" s="51">
        <v>372.4</v>
      </c>
      <c r="O20" s="51">
        <v>0</v>
      </c>
      <c r="P20" s="51">
        <v>1.0900000000000001</v>
      </c>
      <c r="Q20" s="51">
        <v>4.84</v>
      </c>
    </row>
    <row r="21" spans="1:17" customFormat="1">
      <c r="A21" s="50" t="s">
        <v>288</v>
      </c>
      <c r="B21" s="51">
        <v>4.93</v>
      </c>
      <c r="C21" s="51">
        <v>27.3</v>
      </c>
      <c r="D21" s="51">
        <v>19.57</v>
      </c>
      <c r="E21" s="51">
        <v>7.92</v>
      </c>
      <c r="F21" s="51">
        <v>7.3</v>
      </c>
      <c r="G21" s="51">
        <v>106.09</v>
      </c>
      <c r="H21" s="51">
        <v>54.01</v>
      </c>
      <c r="I21" s="51">
        <v>11.12</v>
      </c>
      <c r="J21" s="51">
        <v>0.62</v>
      </c>
      <c r="K21" s="51">
        <v>336.4</v>
      </c>
      <c r="L21" s="51">
        <v>29.52</v>
      </c>
      <c r="M21" s="51">
        <v>42.56</v>
      </c>
      <c r="N21" s="51">
        <v>376.7</v>
      </c>
      <c r="O21" s="51">
        <v>0</v>
      </c>
      <c r="P21" s="51">
        <v>1.03</v>
      </c>
      <c r="Q21" s="51">
        <v>4.7699999999999996</v>
      </c>
    </row>
    <row r="22" spans="1:17" customFormat="1">
      <c r="A22" s="50" t="s">
        <v>289</v>
      </c>
      <c r="B22" s="51">
        <v>5.01</v>
      </c>
      <c r="C22" s="51">
        <v>28.42</v>
      </c>
      <c r="D22" s="51">
        <v>20.22</v>
      </c>
      <c r="E22" s="51">
        <v>10.65</v>
      </c>
      <c r="F22" s="51">
        <v>7.82</v>
      </c>
      <c r="G22" s="51">
        <v>114.55</v>
      </c>
      <c r="H22" s="51">
        <v>54.93</v>
      </c>
      <c r="I22" s="51">
        <v>10.59</v>
      </c>
      <c r="J22" s="51">
        <v>0.85</v>
      </c>
      <c r="K22" s="51">
        <v>334.29</v>
      </c>
      <c r="L22" s="51">
        <v>29.3</v>
      </c>
      <c r="M22" s="51">
        <v>41.78</v>
      </c>
      <c r="N22" s="51">
        <v>228.5</v>
      </c>
      <c r="O22" s="51">
        <v>0</v>
      </c>
      <c r="P22" s="51">
        <v>1.02</v>
      </c>
      <c r="Q22" s="51">
        <v>4.75</v>
      </c>
    </row>
    <row r="23" spans="1:17" customFormat="1">
      <c r="A23" s="50" t="s">
        <v>290</v>
      </c>
      <c r="B23" s="51">
        <v>4.96</v>
      </c>
      <c r="C23" s="51">
        <v>23.82</v>
      </c>
      <c r="D23" s="51">
        <v>17.77</v>
      </c>
      <c r="E23" s="51">
        <v>8.26</v>
      </c>
      <c r="F23" s="51">
        <v>8.4499999999999993</v>
      </c>
      <c r="G23" s="51">
        <v>124.71</v>
      </c>
      <c r="H23" s="51">
        <v>57.44</v>
      </c>
      <c r="I23" s="51">
        <v>10.47</v>
      </c>
      <c r="J23" s="51">
        <v>0.81</v>
      </c>
      <c r="K23" s="51">
        <v>319.04000000000002</v>
      </c>
      <c r="L23" s="51">
        <v>29.09</v>
      </c>
      <c r="M23" s="51">
        <v>42.42</v>
      </c>
      <c r="N23" s="51">
        <v>145.5</v>
      </c>
      <c r="O23" s="51">
        <v>0</v>
      </c>
      <c r="P23" s="51">
        <v>0.96</v>
      </c>
      <c r="Q23" s="51">
        <v>4.75</v>
      </c>
    </row>
    <row r="24" spans="1:17" customFormat="1">
      <c r="A24" s="50" t="s">
        <v>291</v>
      </c>
      <c r="B24" s="51">
        <v>4.88</v>
      </c>
      <c r="C24" s="51">
        <v>20.14</v>
      </c>
      <c r="D24" s="51">
        <v>15.7</v>
      </c>
      <c r="E24" s="51">
        <v>9.2200000000000006</v>
      </c>
      <c r="F24" s="51">
        <v>7.78</v>
      </c>
      <c r="G24" s="51">
        <v>104.25</v>
      </c>
      <c r="H24" s="51">
        <v>51.09</v>
      </c>
      <c r="I24" s="51">
        <v>9.99</v>
      </c>
      <c r="J24" s="51">
        <v>1.06</v>
      </c>
      <c r="K24" s="51">
        <v>44.25</v>
      </c>
      <c r="L24" s="51">
        <v>28.64</v>
      </c>
      <c r="M24" s="51">
        <v>44.94</v>
      </c>
      <c r="N24" s="51">
        <v>65.900000000000006</v>
      </c>
      <c r="O24" s="51">
        <v>0</v>
      </c>
      <c r="P24" s="51">
        <v>0.94</v>
      </c>
      <c r="Q24" s="51">
        <v>4.8</v>
      </c>
    </row>
    <row r="25" spans="1:17" customFormat="1">
      <c r="A25" s="50" t="s">
        <v>292</v>
      </c>
      <c r="B25" s="51">
        <v>5.37</v>
      </c>
      <c r="C25" s="51">
        <v>20</v>
      </c>
      <c r="D25" s="51">
        <v>16.02</v>
      </c>
      <c r="E25" s="51">
        <v>8.8800000000000008</v>
      </c>
      <c r="F25" s="51">
        <v>6.97</v>
      </c>
      <c r="G25" s="51">
        <v>103.44</v>
      </c>
      <c r="H25" s="51">
        <v>49.29</v>
      </c>
      <c r="I25" s="51">
        <v>9.5299999999999994</v>
      </c>
      <c r="J25" s="51">
        <v>0.83</v>
      </c>
      <c r="K25" s="51">
        <v>55.23</v>
      </c>
      <c r="L25" s="51">
        <v>28.13</v>
      </c>
      <c r="M25" s="51">
        <v>46.44</v>
      </c>
      <c r="N25" s="51">
        <v>32.4</v>
      </c>
      <c r="O25" s="51">
        <v>0</v>
      </c>
      <c r="P25" s="51">
        <v>0.92</v>
      </c>
      <c r="Q25" s="51">
        <v>4.87</v>
      </c>
    </row>
    <row r="26" spans="1:17" customFormat="1">
      <c r="A26" s="50" t="s">
        <v>293</v>
      </c>
      <c r="B26" s="51">
        <v>6.52</v>
      </c>
      <c r="C26" s="51">
        <v>20.170000000000002</v>
      </c>
      <c r="D26" s="51">
        <v>17.03</v>
      </c>
      <c r="E26" s="51">
        <v>5.4</v>
      </c>
      <c r="F26" s="51">
        <v>3.39</v>
      </c>
      <c r="G26" s="51">
        <v>103.99</v>
      </c>
      <c r="H26" s="51">
        <v>46.99</v>
      </c>
      <c r="I26" s="51">
        <v>9.32</v>
      </c>
      <c r="J26" s="51">
        <v>0.3</v>
      </c>
      <c r="K26" s="51">
        <v>171.2</v>
      </c>
      <c r="L26" s="51">
        <v>26.87</v>
      </c>
      <c r="M26" s="51">
        <v>64.25</v>
      </c>
      <c r="N26" s="51">
        <v>1.8</v>
      </c>
      <c r="O26" s="51">
        <v>0</v>
      </c>
      <c r="P26" s="51">
        <v>0.91</v>
      </c>
      <c r="Q26" s="51">
        <v>4.8899999999999997</v>
      </c>
    </row>
    <row r="27" spans="1:17" customFormat="1">
      <c r="A27" s="50" t="s">
        <v>294</v>
      </c>
      <c r="B27" s="51">
        <v>8.2899999999999991</v>
      </c>
      <c r="C27" s="51">
        <v>23.29</v>
      </c>
      <c r="D27" s="51">
        <v>20.170000000000002</v>
      </c>
      <c r="E27" s="51">
        <v>7.79</v>
      </c>
      <c r="F27" s="51">
        <v>2.42</v>
      </c>
      <c r="G27" s="51">
        <v>114.06</v>
      </c>
      <c r="H27" s="51">
        <v>47.53</v>
      </c>
      <c r="I27" s="51">
        <v>9.39</v>
      </c>
      <c r="J27" s="51">
        <v>0.24</v>
      </c>
      <c r="K27" s="51">
        <v>170.84</v>
      </c>
      <c r="L27" s="51">
        <v>23.72</v>
      </c>
      <c r="M27" s="51">
        <v>71.760000000000005</v>
      </c>
      <c r="N27" s="51">
        <v>0</v>
      </c>
      <c r="O27" s="51">
        <v>0</v>
      </c>
      <c r="P27" s="51">
        <v>0.98</v>
      </c>
      <c r="Q27" s="51">
        <v>4.9000000000000004</v>
      </c>
    </row>
    <row r="28" spans="1:17" customFormat="1">
      <c r="A28" s="50" t="s">
        <v>295</v>
      </c>
      <c r="B28" s="51">
        <v>10.98</v>
      </c>
      <c r="C28" s="51">
        <v>27.34</v>
      </c>
      <c r="D28" s="51">
        <v>24.44</v>
      </c>
      <c r="E28" s="51">
        <v>7.63</v>
      </c>
      <c r="F28" s="51">
        <v>2.46</v>
      </c>
      <c r="G28" s="51">
        <v>126.64</v>
      </c>
      <c r="H28" s="51">
        <v>47.49</v>
      </c>
      <c r="I28" s="51">
        <v>10.25</v>
      </c>
      <c r="J28" s="51">
        <v>0.22</v>
      </c>
      <c r="K28" s="51">
        <v>185.28</v>
      </c>
      <c r="L28" s="51">
        <v>22.94</v>
      </c>
      <c r="M28" s="51">
        <v>77.42</v>
      </c>
      <c r="N28" s="51">
        <v>0</v>
      </c>
      <c r="O28" s="51">
        <v>0</v>
      </c>
      <c r="P28" s="51">
        <v>1.0900000000000001</v>
      </c>
      <c r="Q28" s="51">
        <v>4.96</v>
      </c>
    </row>
    <row r="29" spans="1:17" customFormat="1">
      <c r="A29" s="50" t="s">
        <v>296</v>
      </c>
      <c r="B29" s="51">
        <v>11.65</v>
      </c>
      <c r="C29" s="51">
        <v>28.03</v>
      </c>
      <c r="D29" s="51">
        <v>25.34</v>
      </c>
      <c r="E29" s="51">
        <v>8</v>
      </c>
      <c r="F29" s="51">
        <v>2.36</v>
      </c>
      <c r="G29" s="51">
        <v>117.93</v>
      </c>
      <c r="H29" s="51">
        <v>47.13</v>
      </c>
      <c r="I29" s="51">
        <v>11.11</v>
      </c>
      <c r="J29" s="51">
        <v>0.22</v>
      </c>
      <c r="K29" s="51">
        <v>219.29</v>
      </c>
      <c r="L29" s="51">
        <v>21.98</v>
      </c>
      <c r="M29" s="51">
        <v>79.58</v>
      </c>
      <c r="N29" s="51">
        <v>0</v>
      </c>
      <c r="O29" s="51">
        <v>0</v>
      </c>
      <c r="P29" s="51">
        <v>1.17</v>
      </c>
      <c r="Q29" s="51">
        <v>4.96</v>
      </c>
    </row>
    <row r="30" spans="1:17" customFormat="1">
      <c r="A30" s="50" t="s">
        <v>297</v>
      </c>
      <c r="B30" s="51">
        <v>11.6</v>
      </c>
      <c r="C30" s="51">
        <v>27.49</v>
      </c>
      <c r="D30" s="51">
        <v>25.01</v>
      </c>
      <c r="E30" s="51">
        <v>8.18</v>
      </c>
      <c r="F30" s="51">
        <v>2.38</v>
      </c>
      <c r="G30" s="51">
        <v>108.09</v>
      </c>
      <c r="H30" s="51">
        <v>47.81</v>
      </c>
      <c r="I30" s="51">
        <v>11.5</v>
      </c>
      <c r="J30" s="51">
        <v>0.16</v>
      </c>
      <c r="K30" s="51">
        <v>198.13</v>
      </c>
      <c r="L30" s="51">
        <v>21.76</v>
      </c>
      <c r="M30" s="51">
        <v>81.41</v>
      </c>
      <c r="N30" s="51">
        <v>0</v>
      </c>
      <c r="O30" s="51">
        <v>0</v>
      </c>
      <c r="P30" s="51">
        <v>1.2</v>
      </c>
      <c r="Q30" s="51">
        <v>4.9000000000000004</v>
      </c>
    </row>
    <row r="31" spans="1:17" customFormat="1">
      <c r="A31" s="50" t="s">
        <v>298</v>
      </c>
      <c r="B31" s="51">
        <v>11.81</v>
      </c>
      <c r="C31" s="51">
        <v>27.38</v>
      </c>
      <c r="D31" s="51">
        <v>25.13</v>
      </c>
      <c r="E31" s="51">
        <v>8.1</v>
      </c>
      <c r="F31" s="51">
        <v>2.25</v>
      </c>
      <c r="G31" s="51">
        <v>98.16</v>
      </c>
      <c r="H31" s="51">
        <v>45.24</v>
      </c>
      <c r="I31" s="51">
        <v>11.99</v>
      </c>
      <c r="J31" s="51">
        <v>0.14000000000000001</v>
      </c>
      <c r="K31" s="51">
        <v>257.75</v>
      </c>
      <c r="L31" s="51">
        <v>21.96</v>
      </c>
      <c r="M31" s="51">
        <v>75.260000000000005</v>
      </c>
      <c r="N31" s="51">
        <v>0</v>
      </c>
      <c r="O31" s="51">
        <v>0</v>
      </c>
      <c r="P31" s="51">
        <v>1.23</v>
      </c>
      <c r="Q31" s="51">
        <v>4.87</v>
      </c>
    </row>
    <row r="32" spans="1:17" customFormat="1">
      <c r="A32" s="50" t="s">
        <v>299</v>
      </c>
      <c r="B32" s="51">
        <v>18.899999999999999</v>
      </c>
      <c r="C32" s="51">
        <v>30.42</v>
      </c>
      <c r="D32" s="51">
        <v>31.53</v>
      </c>
      <c r="E32" s="51">
        <v>8.6300000000000008</v>
      </c>
      <c r="F32" s="51">
        <v>2.68</v>
      </c>
      <c r="G32" s="51">
        <v>100.06</v>
      </c>
      <c r="H32" s="51">
        <v>47.67</v>
      </c>
      <c r="I32" s="51">
        <v>12.33</v>
      </c>
      <c r="J32" s="51">
        <v>0.27</v>
      </c>
      <c r="K32" s="51">
        <v>178.5</v>
      </c>
      <c r="L32" s="51">
        <v>21.81</v>
      </c>
      <c r="M32" s="51">
        <v>83.41</v>
      </c>
      <c r="N32" s="51">
        <v>0</v>
      </c>
      <c r="O32" s="51">
        <v>0</v>
      </c>
      <c r="P32" s="51">
        <v>1.25</v>
      </c>
      <c r="Q32" s="51">
        <v>4.95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4.88</v>
      </c>
      <c r="C34" s="41">
        <f t="shared" si="0"/>
        <v>20</v>
      </c>
      <c r="D34" s="41">
        <f t="shared" si="0"/>
        <v>15.7</v>
      </c>
      <c r="E34" s="41">
        <f t="shared" si="0"/>
        <v>5.4</v>
      </c>
      <c r="F34" s="41">
        <f t="shared" si="0"/>
        <v>2.2400000000000002</v>
      </c>
      <c r="G34" s="41">
        <f t="shared" si="0"/>
        <v>98.16</v>
      </c>
      <c r="H34" s="41">
        <f t="shared" si="0"/>
        <v>45.24</v>
      </c>
      <c r="I34" s="41">
        <f t="shared" si="0"/>
        <v>9.32</v>
      </c>
      <c r="J34" s="41">
        <f t="shared" si="0"/>
        <v>0.14000000000000001</v>
      </c>
      <c r="K34" s="41">
        <f t="shared" si="0"/>
        <v>44.25</v>
      </c>
      <c r="L34" s="41">
        <f t="shared" si="0"/>
        <v>17.87</v>
      </c>
      <c r="M34" s="41">
        <f t="shared" si="0"/>
        <v>41.78</v>
      </c>
      <c r="N34" s="41">
        <f t="shared" si="0"/>
        <v>0</v>
      </c>
      <c r="O34" s="41">
        <f t="shared" si="0"/>
        <v>0</v>
      </c>
      <c r="P34" s="41">
        <f t="shared" si="0"/>
        <v>0.91</v>
      </c>
      <c r="Q34" s="41">
        <f t="shared" si="0"/>
        <v>4.75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51.08</v>
      </c>
      <c r="C35" s="33">
        <f t="shared" si="1"/>
        <v>34.659999999999997</v>
      </c>
      <c r="D35" s="33">
        <f t="shared" si="1"/>
        <v>60.42</v>
      </c>
      <c r="E35" s="33">
        <f t="shared" si="1"/>
        <v>10.65</v>
      </c>
      <c r="F35" s="33">
        <f t="shared" si="1"/>
        <v>8.4499999999999993</v>
      </c>
      <c r="G35" s="33">
        <f t="shared" si="1"/>
        <v>155.33000000000001</v>
      </c>
      <c r="H35" s="33">
        <f t="shared" si="1"/>
        <v>65.97</v>
      </c>
      <c r="I35" s="33">
        <f t="shared" si="1"/>
        <v>13.93</v>
      </c>
      <c r="J35" s="33">
        <f t="shared" si="1"/>
        <v>1.06</v>
      </c>
      <c r="K35" s="33">
        <f t="shared" si="1"/>
        <v>354.35</v>
      </c>
      <c r="L35" s="33">
        <f t="shared" si="1"/>
        <v>29.52</v>
      </c>
      <c r="M35" s="33">
        <f t="shared" si="1"/>
        <v>92.91</v>
      </c>
      <c r="N35" s="33">
        <f t="shared" si="1"/>
        <v>376.7</v>
      </c>
      <c r="O35" s="33">
        <f t="shared" si="1"/>
        <v>0</v>
      </c>
      <c r="P35" s="33">
        <f t="shared" si="1"/>
        <v>1.29</v>
      </c>
      <c r="Q35" s="33">
        <f t="shared" si="1"/>
        <v>5.41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20.601666666666663</v>
      </c>
      <c r="C36" s="41">
        <f t="shared" si="2"/>
        <v>27.367083333333337</v>
      </c>
      <c r="D36" s="41">
        <f t="shared" si="2"/>
        <v>32.047500000000007</v>
      </c>
      <c r="E36" s="41">
        <f t="shared" si="2"/>
        <v>7.6133333333333333</v>
      </c>
      <c r="F36" s="41">
        <f t="shared" si="2"/>
        <v>3.7954166666666662</v>
      </c>
      <c r="G36" s="41">
        <f t="shared" si="2"/>
        <v>116.005</v>
      </c>
      <c r="H36" s="41">
        <f t="shared" si="2"/>
        <v>55.357499999999995</v>
      </c>
      <c r="I36" s="41">
        <f t="shared" si="2"/>
        <v>11.799583333333333</v>
      </c>
      <c r="J36" s="41">
        <f t="shared" si="2"/>
        <v>0.36375000000000002</v>
      </c>
      <c r="K36" s="41">
        <f t="shared" si="2"/>
        <v>235.05208333333329</v>
      </c>
      <c r="L36" s="41">
        <f t="shared" si="2"/>
        <v>23.130833333333328</v>
      </c>
      <c r="M36" s="41">
        <f t="shared" si="2"/>
        <v>72.131250000000009</v>
      </c>
      <c r="N36" s="41">
        <f t="shared" si="2"/>
        <v>75.94583333333334</v>
      </c>
      <c r="O36" s="41">
        <f t="shared" si="2"/>
        <v>0</v>
      </c>
      <c r="P36" s="41">
        <f t="shared" si="2"/>
        <v>1.1200000000000001</v>
      </c>
      <c r="Q36" s="41">
        <f t="shared" si="2"/>
        <v>5.0208333333333339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16.163346797929709</v>
      </c>
      <c r="C37" s="41">
        <f t="shared" ref="C37:Q37" si="3">STDEV(C9:C32)</f>
        <v>4.2227576804188489</v>
      </c>
      <c r="D37" s="41">
        <f t="shared" si="3"/>
        <v>14.540477012090431</v>
      </c>
      <c r="E37" s="41">
        <f t="shared" si="3"/>
        <v>1.0885757215046032</v>
      </c>
      <c r="F37" s="41">
        <f t="shared" si="3"/>
        <v>2.2683454594017221</v>
      </c>
      <c r="G37" s="41">
        <f t="shared" si="3"/>
        <v>14.306600483389021</v>
      </c>
      <c r="H37" s="41">
        <f t="shared" si="3"/>
        <v>6.6117453132253665</v>
      </c>
      <c r="I37" s="41">
        <f t="shared" si="3"/>
        <v>1.4772432585486752</v>
      </c>
      <c r="J37" s="41">
        <f t="shared" si="3"/>
        <v>0.27173856521680334</v>
      </c>
      <c r="K37" s="41">
        <f t="shared" si="3"/>
        <v>85.210703705026461</v>
      </c>
      <c r="L37" s="41">
        <f t="shared" si="3"/>
        <v>4.2087434008849938</v>
      </c>
      <c r="M37" s="41">
        <f t="shared" si="3"/>
        <v>18.473592271484275</v>
      </c>
      <c r="N37" s="41">
        <f t="shared" si="3"/>
        <v>126.93331689673045</v>
      </c>
      <c r="O37" s="41">
        <f t="shared" si="3"/>
        <v>0</v>
      </c>
      <c r="P37" s="41">
        <f t="shared" si="3"/>
        <v>0.12282897264790127</v>
      </c>
      <c r="Q37" s="41">
        <f t="shared" si="3"/>
        <v>0.20907491203053746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11/01/2024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4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 t="s">
        <v>323</v>
      </c>
      <c r="B9" s="53">
        <v>21.1</v>
      </c>
      <c r="C9" s="53">
        <v>25.86</v>
      </c>
      <c r="D9" s="53">
        <v>31.78</v>
      </c>
      <c r="E9" s="53">
        <v>7.99</v>
      </c>
      <c r="F9" s="53">
        <v>2.7</v>
      </c>
      <c r="G9" s="53">
        <v>108.14</v>
      </c>
      <c r="H9" s="53">
        <v>48.78</v>
      </c>
      <c r="I9" s="53">
        <v>12.53</v>
      </c>
      <c r="J9" s="53">
        <v>0.56999999999999995</v>
      </c>
      <c r="K9" s="53">
        <v>82.52</v>
      </c>
      <c r="L9" s="53">
        <v>21.18</v>
      </c>
      <c r="M9" s="53">
        <v>81.25</v>
      </c>
      <c r="N9" s="53">
        <v>0</v>
      </c>
      <c r="O9" s="53">
        <v>0</v>
      </c>
      <c r="P9" s="53">
        <v>1.28</v>
      </c>
      <c r="Q9" s="53">
        <v>4.96</v>
      </c>
    </row>
    <row r="10" spans="1:21" customFormat="1">
      <c r="A10" s="52" t="s">
        <v>324</v>
      </c>
      <c r="B10" s="53">
        <v>23.61</v>
      </c>
      <c r="C10" s="53">
        <v>27.23</v>
      </c>
      <c r="D10" s="53">
        <v>33.42</v>
      </c>
      <c r="E10" s="53">
        <v>8.1</v>
      </c>
      <c r="F10" s="53">
        <v>2.59</v>
      </c>
      <c r="G10" s="53">
        <v>113.81</v>
      </c>
      <c r="H10" s="53">
        <v>52.78</v>
      </c>
      <c r="I10" s="53">
        <v>13.75</v>
      </c>
      <c r="J10" s="53">
        <v>0.59</v>
      </c>
      <c r="K10" s="53">
        <v>71.03</v>
      </c>
      <c r="L10" s="53">
        <v>21.13</v>
      </c>
      <c r="M10" s="53">
        <v>77.180000000000007</v>
      </c>
      <c r="N10" s="53">
        <v>0</v>
      </c>
      <c r="O10" s="53">
        <v>0</v>
      </c>
      <c r="P10" s="53">
        <v>1.35</v>
      </c>
      <c r="Q10" s="53">
        <v>5.0199999999999996</v>
      </c>
    </row>
    <row r="11" spans="1:21" customFormat="1">
      <c r="A11" s="52" t="s">
        <v>325</v>
      </c>
      <c r="B11" s="53">
        <v>24.44</v>
      </c>
      <c r="C11" s="53">
        <v>26.33</v>
      </c>
      <c r="D11" s="53">
        <v>34.71</v>
      </c>
      <c r="E11" s="53">
        <v>8.41</v>
      </c>
      <c r="F11" s="53">
        <v>2.41</v>
      </c>
      <c r="G11" s="53">
        <v>126.17</v>
      </c>
      <c r="H11" s="53">
        <v>59.31</v>
      </c>
      <c r="I11" s="53">
        <v>14.74</v>
      </c>
      <c r="J11" s="53">
        <v>0.56000000000000005</v>
      </c>
      <c r="K11" s="53">
        <v>70.52</v>
      </c>
      <c r="L11" s="53">
        <v>20.82</v>
      </c>
      <c r="M11" s="53">
        <v>76.459999999999994</v>
      </c>
      <c r="N11" s="53">
        <v>0</v>
      </c>
      <c r="O11" s="53">
        <v>0</v>
      </c>
      <c r="P11" s="53">
        <v>1.37</v>
      </c>
      <c r="Q11" s="53">
        <v>5.07</v>
      </c>
    </row>
    <row r="12" spans="1:21" customFormat="1">
      <c r="A12" s="52" t="s">
        <v>326</v>
      </c>
      <c r="B12" s="53">
        <v>24.81</v>
      </c>
      <c r="C12" s="53">
        <v>24.69</v>
      </c>
      <c r="D12" s="53">
        <v>34.14</v>
      </c>
      <c r="E12" s="53">
        <v>7.78</v>
      </c>
      <c r="F12" s="53">
        <v>2.54</v>
      </c>
      <c r="G12" s="53">
        <v>127.83</v>
      </c>
      <c r="H12" s="53">
        <v>59.71</v>
      </c>
      <c r="I12" s="53">
        <v>14.74</v>
      </c>
      <c r="J12" s="53">
        <v>0.83</v>
      </c>
      <c r="K12" s="53">
        <v>43.98</v>
      </c>
      <c r="L12" s="53">
        <v>20.56</v>
      </c>
      <c r="M12" s="53">
        <v>79.930000000000007</v>
      </c>
      <c r="N12" s="53">
        <v>0</v>
      </c>
      <c r="O12" s="53">
        <v>0</v>
      </c>
      <c r="P12" s="53">
        <v>1.34</v>
      </c>
      <c r="Q12" s="53">
        <v>5.0999999999999996</v>
      </c>
    </row>
    <row r="13" spans="1:21" customFormat="1">
      <c r="A13" s="52" t="s">
        <v>327</v>
      </c>
      <c r="B13" s="53">
        <v>23.87</v>
      </c>
      <c r="C13" s="53">
        <v>26.16</v>
      </c>
      <c r="D13" s="53">
        <v>33.799999999999997</v>
      </c>
      <c r="E13" s="53">
        <v>8.09</v>
      </c>
      <c r="F13" s="53">
        <v>2.41</v>
      </c>
      <c r="G13" s="53">
        <v>116.61</v>
      </c>
      <c r="H13" s="53">
        <v>55.63</v>
      </c>
      <c r="I13" s="53">
        <v>14.29</v>
      </c>
      <c r="J13" s="53">
        <v>1.06</v>
      </c>
      <c r="K13" s="53">
        <v>48.82</v>
      </c>
      <c r="L13" s="53">
        <v>19.64</v>
      </c>
      <c r="M13" s="53">
        <v>83.43</v>
      </c>
      <c r="N13" s="53">
        <v>0</v>
      </c>
      <c r="O13" s="53">
        <v>0</v>
      </c>
      <c r="P13" s="53">
        <v>1.27</v>
      </c>
      <c r="Q13" s="53">
        <v>5.14</v>
      </c>
    </row>
    <row r="14" spans="1:21" customFormat="1">
      <c r="A14" s="52" t="s">
        <v>328</v>
      </c>
      <c r="B14" s="53">
        <v>21.38</v>
      </c>
      <c r="C14" s="53">
        <v>26.61</v>
      </c>
      <c r="D14" s="53">
        <v>32.17</v>
      </c>
      <c r="E14" s="53">
        <v>7.9</v>
      </c>
      <c r="F14" s="53">
        <v>2.4300000000000002</v>
      </c>
      <c r="G14" s="53">
        <v>100.8</v>
      </c>
      <c r="H14" s="53">
        <v>50.79</v>
      </c>
      <c r="I14" s="53">
        <v>13.42</v>
      </c>
      <c r="J14" s="53">
        <v>1.07</v>
      </c>
      <c r="K14" s="53">
        <v>75.989999999999995</v>
      </c>
      <c r="L14" s="53">
        <v>19.38</v>
      </c>
      <c r="M14" s="53">
        <v>83.61</v>
      </c>
      <c r="N14" s="53">
        <v>0</v>
      </c>
      <c r="O14" s="53">
        <v>0</v>
      </c>
      <c r="P14" s="53">
        <v>1.17</v>
      </c>
      <c r="Q14" s="53">
        <v>5.1100000000000003</v>
      </c>
    </row>
    <row r="15" spans="1:21" customFormat="1">
      <c r="A15" s="52" t="s">
        <v>329</v>
      </c>
      <c r="B15" s="53">
        <v>19.96</v>
      </c>
      <c r="C15" s="53">
        <v>26.95</v>
      </c>
      <c r="D15" s="53">
        <v>31.43</v>
      </c>
      <c r="E15" s="53">
        <v>8</v>
      </c>
      <c r="F15" s="53">
        <v>2.23</v>
      </c>
      <c r="G15" s="53">
        <v>88.27</v>
      </c>
      <c r="H15" s="53">
        <v>47.07</v>
      </c>
      <c r="I15" s="53">
        <v>12.36</v>
      </c>
      <c r="J15" s="53">
        <v>0.36</v>
      </c>
      <c r="K15" s="53">
        <v>182.78</v>
      </c>
      <c r="L15" s="53">
        <v>19.27</v>
      </c>
      <c r="M15" s="53">
        <v>86.94</v>
      </c>
      <c r="N15" s="53">
        <v>4.8</v>
      </c>
      <c r="O15" s="53">
        <v>0</v>
      </c>
      <c r="P15" s="53">
        <v>1.0900000000000001</v>
      </c>
      <c r="Q15" s="53">
        <v>5.05</v>
      </c>
    </row>
    <row r="16" spans="1:21" customFormat="1">
      <c r="A16" s="52" t="s">
        <v>330</v>
      </c>
      <c r="B16" s="53">
        <v>18.71</v>
      </c>
      <c r="C16" s="53">
        <v>27</v>
      </c>
      <c r="D16" s="53">
        <v>30.2</v>
      </c>
      <c r="E16" s="53">
        <v>8.1199999999999992</v>
      </c>
      <c r="F16" s="53">
        <v>2.27</v>
      </c>
      <c r="G16" s="53">
        <v>84.82</v>
      </c>
      <c r="H16" s="53">
        <v>45.24</v>
      </c>
      <c r="I16" s="53">
        <v>11.69</v>
      </c>
      <c r="J16" s="53">
        <v>0.61</v>
      </c>
      <c r="K16" s="53">
        <v>208.23</v>
      </c>
      <c r="L16" s="53">
        <v>20.29</v>
      </c>
      <c r="M16" s="53">
        <v>85.96</v>
      </c>
      <c r="N16" s="53">
        <v>36.6</v>
      </c>
      <c r="O16" s="53">
        <v>0</v>
      </c>
      <c r="P16" s="53">
        <v>1.02</v>
      </c>
      <c r="Q16" s="53">
        <v>4.97</v>
      </c>
    </row>
    <row r="17" spans="1:17" customFormat="1">
      <c r="A17" s="52" t="s">
        <v>331</v>
      </c>
      <c r="B17" s="53">
        <v>17.89</v>
      </c>
      <c r="C17" s="53">
        <v>27.57</v>
      </c>
      <c r="D17" s="53">
        <v>29.92</v>
      </c>
      <c r="E17" s="53">
        <v>7.76</v>
      </c>
      <c r="F17" s="53">
        <v>2.39</v>
      </c>
      <c r="G17" s="53">
        <v>91.03</v>
      </c>
      <c r="H17" s="53">
        <v>47.5</v>
      </c>
      <c r="I17" s="53">
        <v>12.7</v>
      </c>
      <c r="J17" s="53">
        <v>1.18</v>
      </c>
      <c r="K17" s="53">
        <v>74.3</v>
      </c>
      <c r="L17" s="53">
        <v>21.67</v>
      </c>
      <c r="M17" s="53">
        <v>82.48</v>
      </c>
      <c r="N17" s="53">
        <v>154</v>
      </c>
      <c r="O17" s="53">
        <v>0</v>
      </c>
      <c r="P17" s="53">
        <v>1.03</v>
      </c>
      <c r="Q17" s="53">
        <v>4.96</v>
      </c>
    </row>
    <row r="18" spans="1:17" customFormat="1">
      <c r="A18" s="52" t="s">
        <v>332</v>
      </c>
      <c r="B18" s="53">
        <v>15.63</v>
      </c>
      <c r="C18" s="53">
        <v>28</v>
      </c>
      <c r="D18" s="53">
        <v>28.51</v>
      </c>
      <c r="E18" s="53">
        <v>7.87</v>
      </c>
      <c r="F18" s="53">
        <v>2.83</v>
      </c>
      <c r="G18" s="53">
        <v>102.42</v>
      </c>
      <c r="H18" s="53">
        <v>49.36</v>
      </c>
      <c r="I18" s="53">
        <v>12.54</v>
      </c>
      <c r="J18" s="53">
        <v>1.42</v>
      </c>
      <c r="K18" s="53">
        <v>58.61</v>
      </c>
      <c r="L18" s="53">
        <v>23.56</v>
      </c>
      <c r="M18" s="53">
        <v>76.38</v>
      </c>
      <c r="N18" s="53">
        <v>197.9</v>
      </c>
      <c r="O18" s="53">
        <v>0</v>
      </c>
      <c r="P18" s="53">
        <v>1.02</v>
      </c>
      <c r="Q18" s="53">
        <v>4.92</v>
      </c>
    </row>
    <row r="19" spans="1:17" customFormat="1">
      <c r="A19" s="52" t="s">
        <v>333</v>
      </c>
      <c r="B19" s="53">
        <v>15.53</v>
      </c>
      <c r="C19" s="53">
        <v>23.1</v>
      </c>
      <c r="D19" s="53">
        <v>25.87</v>
      </c>
      <c r="E19" s="53">
        <v>6.5</v>
      </c>
      <c r="F19" s="53">
        <v>2.8</v>
      </c>
      <c r="G19" s="53">
        <v>102.97</v>
      </c>
      <c r="H19" s="53">
        <v>50.07</v>
      </c>
      <c r="I19" s="53">
        <v>12.16</v>
      </c>
      <c r="J19" s="53">
        <v>1.2</v>
      </c>
      <c r="K19" s="53">
        <v>77.12</v>
      </c>
      <c r="L19" s="53">
        <v>26.42</v>
      </c>
      <c r="M19" s="53">
        <v>65.28</v>
      </c>
      <c r="N19" s="53">
        <v>330.3</v>
      </c>
      <c r="O19" s="53">
        <v>0</v>
      </c>
      <c r="P19" s="53">
        <v>1</v>
      </c>
      <c r="Q19" s="53">
        <v>4.91</v>
      </c>
    </row>
    <row r="20" spans="1:17" customFormat="1">
      <c r="A20" s="52" t="s">
        <v>334</v>
      </c>
      <c r="B20" s="53">
        <v>14.69</v>
      </c>
      <c r="C20" s="53">
        <v>21.92</v>
      </c>
      <c r="D20" s="53">
        <v>24.56</v>
      </c>
      <c r="E20" s="53">
        <v>6.62</v>
      </c>
      <c r="F20" s="53">
        <v>3.64</v>
      </c>
      <c r="G20" s="53">
        <v>102.99</v>
      </c>
      <c r="H20" s="53">
        <v>49.76</v>
      </c>
      <c r="I20" s="53">
        <v>11.73</v>
      </c>
      <c r="J20" s="53">
        <v>1.06</v>
      </c>
      <c r="K20" s="53">
        <v>84.36</v>
      </c>
      <c r="L20" s="53">
        <v>27.25</v>
      </c>
      <c r="M20" s="53">
        <v>53.44</v>
      </c>
      <c r="N20" s="53">
        <v>360.4</v>
      </c>
      <c r="O20" s="53">
        <v>0</v>
      </c>
      <c r="P20" s="53">
        <v>0.95</v>
      </c>
      <c r="Q20" s="53">
        <v>4.92</v>
      </c>
    </row>
    <row r="21" spans="1:17" customFormat="1">
      <c r="A21" s="52" t="s">
        <v>335</v>
      </c>
      <c r="B21" s="53">
        <v>13.11</v>
      </c>
      <c r="C21" s="53">
        <v>22.84</v>
      </c>
      <c r="D21" s="53">
        <v>22.89</v>
      </c>
      <c r="E21" s="53">
        <v>13.55</v>
      </c>
      <c r="F21" s="53">
        <v>6.52</v>
      </c>
      <c r="G21" s="53">
        <v>91.34</v>
      </c>
      <c r="H21" s="53">
        <v>42</v>
      </c>
      <c r="I21" s="53">
        <v>10.96</v>
      </c>
      <c r="J21" s="53">
        <v>1.02</v>
      </c>
      <c r="K21" s="53">
        <v>59.28</v>
      </c>
      <c r="L21" s="53">
        <v>28.48</v>
      </c>
      <c r="M21" s="53">
        <v>47.83</v>
      </c>
      <c r="N21" s="53">
        <v>364.3</v>
      </c>
      <c r="O21" s="53">
        <v>0</v>
      </c>
      <c r="P21" s="53">
        <v>0.91</v>
      </c>
      <c r="Q21" s="53">
        <v>4.92</v>
      </c>
    </row>
    <row r="22" spans="1:17" customFormat="1">
      <c r="A22" s="52" t="s">
        <v>336</v>
      </c>
      <c r="B22" s="53">
        <v>5.35</v>
      </c>
      <c r="C22" s="53">
        <v>23.72</v>
      </c>
      <c r="D22" s="53">
        <v>18.010000000000002</v>
      </c>
      <c r="E22" s="53">
        <v>14.53</v>
      </c>
      <c r="F22" s="53">
        <v>10.19</v>
      </c>
      <c r="G22" s="53">
        <v>86.38</v>
      </c>
      <c r="H22" s="53">
        <v>36.67</v>
      </c>
      <c r="I22" s="53">
        <v>9.3800000000000008</v>
      </c>
      <c r="J22" s="53">
        <v>0.9</v>
      </c>
      <c r="K22" s="53">
        <v>46.39</v>
      </c>
      <c r="L22" s="53">
        <v>28.77</v>
      </c>
      <c r="M22" s="53">
        <v>44.52</v>
      </c>
      <c r="N22" s="53">
        <v>328.3</v>
      </c>
      <c r="O22" s="53">
        <v>0</v>
      </c>
      <c r="P22" s="53">
        <v>0.77</v>
      </c>
      <c r="Q22" s="53">
        <v>4.8600000000000003</v>
      </c>
    </row>
    <row r="23" spans="1:17" customFormat="1">
      <c r="A23" s="52" t="s">
        <v>337</v>
      </c>
      <c r="B23" s="53">
        <v>7.04</v>
      </c>
      <c r="C23" s="53">
        <v>26.87</v>
      </c>
      <c r="D23" s="53">
        <v>20.89</v>
      </c>
      <c r="E23" s="53">
        <v>13.88</v>
      </c>
      <c r="F23" s="53">
        <v>8.91</v>
      </c>
      <c r="G23" s="53">
        <v>81.84</v>
      </c>
      <c r="H23" s="53">
        <v>35.24</v>
      </c>
      <c r="I23" s="53">
        <v>7.37</v>
      </c>
      <c r="J23" s="53">
        <v>0.93</v>
      </c>
      <c r="K23" s="53">
        <v>40.89</v>
      </c>
      <c r="L23" s="53">
        <v>28.94</v>
      </c>
      <c r="M23" s="53">
        <v>42.45</v>
      </c>
      <c r="N23" s="53">
        <v>292.10000000000002</v>
      </c>
      <c r="O23" s="53">
        <v>0</v>
      </c>
      <c r="P23" s="53">
        <v>0.7</v>
      </c>
      <c r="Q23" s="53">
        <v>4.88</v>
      </c>
    </row>
    <row r="24" spans="1:17" customFormat="1">
      <c r="A24" s="52" t="s">
        <v>338</v>
      </c>
      <c r="B24" s="53">
        <v>4.8</v>
      </c>
      <c r="C24" s="53">
        <v>30.37</v>
      </c>
      <c r="D24" s="53">
        <v>21.07</v>
      </c>
      <c r="E24" s="53">
        <v>8.51</v>
      </c>
      <c r="F24" s="53">
        <v>7.5</v>
      </c>
      <c r="G24" s="53">
        <v>87.43</v>
      </c>
      <c r="H24" s="53">
        <v>35.659999999999997</v>
      </c>
      <c r="I24" s="53">
        <v>6.64</v>
      </c>
      <c r="J24" s="53">
        <v>0.95</v>
      </c>
      <c r="K24" s="53">
        <v>311.66000000000003</v>
      </c>
      <c r="L24" s="53">
        <v>28.52</v>
      </c>
      <c r="M24" s="53">
        <v>42.17</v>
      </c>
      <c r="N24" s="53">
        <v>74</v>
      </c>
      <c r="O24" s="53">
        <v>0</v>
      </c>
      <c r="P24" s="53">
        <v>0.69</v>
      </c>
      <c r="Q24" s="53">
        <v>4.8899999999999997</v>
      </c>
    </row>
    <row r="25" spans="1:17" customFormat="1">
      <c r="A25" s="52" t="s">
        <v>339</v>
      </c>
      <c r="B25" s="53">
        <v>6.05</v>
      </c>
      <c r="C25" s="53">
        <v>29.58</v>
      </c>
      <c r="D25" s="53">
        <v>21.66</v>
      </c>
      <c r="E25" s="53">
        <v>7.4</v>
      </c>
      <c r="F25" s="53">
        <v>6.04</v>
      </c>
      <c r="G25" s="53">
        <v>85.71</v>
      </c>
      <c r="H25" s="53">
        <v>36.54</v>
      </c>
      <c r="I25" s="53">
        <v>6.48</v>
      </c>
      <c r="J25" s="53">
        <v>1</v>
      </c>
      <c r="K25" s="53">
        <v>53</v>
      </c>
      <c r="L25" s="53">
        <v>27.91</v>
      </c>
      <c r="M25" s="53">
        <v>46.06</v>
      </c>
      <c r="N25" s="53">
        <v>38</v>
      </c>
      <c r="O25" s="53">
        <v>0</v>
      </c>
      <c r="P25" s="53">
        <v>0.67</v>
      </c>
      <c r="Q25" s="53">
        <v>4.8600000000000003</v>
      </c>
    </row>
    <row r="26" spans="1:17" customFormat="1">
      <c r="A26" s="52" t="s">
        <v>340</v>
      </c>
      <c r="B26" s="53">
        <v>8.94</v>
      </c>
      <c r="C26" s="53">
        <v>31.76</v>
      </c>
      <c r="D26" s="53">
        <v>25.11</v>
      </c>
      <c r="E26" s="53">
        <v>6.3</v>
      </c>
      <c r="F26" s="53">
        <v>2.93</v>
      </c>
      <c r="G26" s="53">
        <v>89.07</v>
      </c>
      <c r="H26" s="53">
        <v>34.82</v>
      </c>
      <c r="I26" s="53">
        <v>6.38</v>
      </c>
      <c r="J26" s="53">
        <v>0.74</v>
      </c>
      <c r="K26" s="53">
        <v>63.34</v>
      </c>
      <c r="L26" s="53">
        <v>26.92</v>
      </c>
      <c r="M26" s="53">
        <v>53.49</v>
      </c>
      <c r="N26" s="53">
        <v>2.6</v>
      </c>
      <c r="O26" s="53">
        <v>0</v>
      </c>
      <c r="P26" s="53">
        <v>0.72</v>
      </c>
      <c r="Q26" s="53">
        <v>4.88</v>
      </c>
    </row>
    <row r="27" spans="1:17" customFormat="1">
      <c r="A27" s="52" t="s">
        <v>341</v>
      </c>
      <c r="B27" s="53">
        <v>9.8800000000000008</v>
      </c>
      <c r="C27" s="53">
        <v>32.049999999999997</v>
      </c>
      <c r="D27" s="53">
        <v>25.91</v>
      </c>
      <c r="E27" s="53">
        <v>7.52</v>
      </c>
      <c r="F27" s="53">
        <v>2.4700000000000002</v>
      </c>
      <c r="G27" s="53">
        <v>96.09</v>
      </c>
      <c r="H27" s="53">
        <v>34.81</v>
      </c>
      <c r="I27" s="53">
        <v>7.02</v>
      </c>
      <c r="J27" s="53">
        <v>0.28000000000000003</v>
      </c>
      <c r="K27" s="53">
        <v>170.35</v>
      </c>
      <c r="L27" s="53">
        <v>24.82</v>
      </c>
      <c r="M27" s="53">
        <v>69.59</v>
      </c>
      <c r="N27" s="53">
        <v>0</v>
      </c>
      <c r="O27" s="53">
        <v>0</v>
      </c>
      <c r="P27" s="53">
        <v>0.79</v>
      </c>
      <c r="Q27" s="53">
        <v>4.9000000000000004</v>
      </c>
    </row>
    <row r="28" spans="1:17" customFormat="1">
      <c r="A28" s="52" t="s">
        <v>342</v>
      </c>
      <c r="B28" s="53">
        <v>11.53</v>
      </c>
      <c r="C28" s="53">
        <v>31.85</v>
      </c>
      <c r="D28" s="53">
        <v>26.17</v>
      </c>
      <c r="E28" s="53">
        <v>7.09</v>
      </c>
      <c r="F28" s="53">
        <v>2.6</v>
      </c>
      <c r="G28" s="53">
        <v>106.66</v>
      </c>
      <c r="H28" s="53">
        <v>36.4</v>
      </c>
      <c r="I28" s="53">
        <v>7.78</v>
      </c>
      <c r="J28" s="53">
        <v>0.21</v>
      </c>
      <c r="K28" s="53">
        <v>183.97</v>
      </c>
      <c r="L28" s="53">
        <v>22.7</v>
      </c>
      <c r="M28" s="53">
        <v>76.900000000000006</v>
      </c>
      <c r="N28" s="53">
        <v>0</v>
      </c>
      <c r="O28" s="53">
        <v>0</v>
      </c>
      <c r="P28" s="53">
        <v>0.85</v>
      </c>
      <c r="Q28" s="53">
        <v>4.88</v>
      </c>
    </row>
    <row r="29" spans="1:17" customFormat="1">
      <c r="A29" s="52" t="s">
        <v>343</v>
      </c>
      <c r="B29" s="53">
        <v>12.8</v>
      </c>
      <c r="C29" s="53">
        <v>25.08</v>
      </c>
      <c r="D29" s="53">
        <v>24.72</v>
      </c>
      <c r="E29" s="53">
        <v>6.89</v>
      </c>
      <c r="F29" s="53">
        <v>2.5499999999999998</v>
      </c>
      <c r="G29" s="53">
        <v>107.28</v>
      </c>
      <c r="H29" s="53">
        <v>38.549999999999997</v>
      </c>
      <c r="I29" s="53">
        <v>8.4</v>
      </c>
      <c r="J29" s="53">
        <v>0.2</v>
      </c>
      <c r="K29" s="53">
        <v>195.59</v>
      </c>
      <c r="L29" s="53">
        <v>21.33</v>
      </c>
      <c r="M29" s="53">
        <v>82.55</v>
      </c>
      <c r="N29" s="53">
        <v>0</v>
      </c>
      <c r="O29" s="53">
        <v>0</v>
      </c>
      <c r="P29" s="53">
        <v>0.89</v>
      </c>
      <c r="Q29" s="53">
        <v>4.88</v>
      </c>
    </row>
    <row r="30" spans="1:17" customFormat="1">
      <c r="A30" s="52" t="s">
        <v>344</v>
      </c>
      <c r="B30" s="53">
        <v>13.27</v>
      </c>
      <c r="C30" s="53">
        <v>25.12</v>
      </c>
      <c r="D30" s="53">
        <v>24.89</v>
      </c>
      <c r="E30" s="53">
        <v>6.51</v>
      </c>
      <c r="F30" s="53">
        <v>2.56</v>
      </c>
      <c r="G30" s="53">
        <v>104.05</v>
      </c>
      <c r="H30" s="53">
        <v>39.35</v>
      </c>
      <c r="I30" s="53">
        <v>8.9700000000000006</v>
      </c>
      <c r="J30" s="53">
        <v>0.19</v>
      </c>
      <c r="K30" s="53">
        <v>204.96</v>
      </c>
      <c r="L30" s="53">
        <v>20.66</v>
      </c>
      <c r="M30" s="53">
        <v>82.64</v>
      </c>
      <c r="N30" s="53">
        <v>0</v>
      </c>
      <c r="O30" s="53">
        <v>0</v>
      </c>
      <c r="P30" s="53">
        <v>0.89</v>
      </c>
      <c r="Q30" s="53">
        <v>4.91</v>
      </c>
    </row>
    <row r="31" spans="1:17" customFormat="1">
      <c r="A31" s="52" t="s">
        <v>345</v>
      </c>
      <c r="B31" s="53">
        <v>14.64</v>
      </c>
      <c r="C31" s="53">
        <v>23.29</v>
      </c>
      <c r="D31" s="53">
        <v>24.97</v>
      </c>
      <c r="E31" s="53">
        <v>6.87</v>
      </c>
      <c r="F31" s="53">
        <v>2.48</v>
      </c>
      <c r="G31" s="53">
        <v>100.82</v>
      </c>
      <c r="H31" s="53">
        <v>39.479999999999997</v>
      </c>
      <c r="I31" s="53">
        <v>9.3000000000000007</v>
      </c>
      <c r="J31" s="53">
        <v>0.15</v>
      </c>
      <c r="K31" s="53">
        <v>197.43</v>
      </c>
      <c r="L31" s="53">
        <v>20.09</v>
      </c>
      <c r="M31" s="53">
        <v>86.74</v>
      </c>
      <c r="N31" s="53">
        <v>0</v>
      </c>
      <c r="O31" s="53">
        <v>0</v>
      </c>
      <c r="P31" s="53">
        <v>0.9</v>
      </c>
      <c r="Q31" s="53">
        <v>4.96</v>
      </c>
    </row>
    <row r="32" spans="1:17" customFormat="1">
      <c r="A32" s="52">
        <v>45303</v>
      </c>
      <c r="B32" s="53">
        <v>16.8</v>
      </c>
      <c r="C32" s="53">
        <v>21.59</v>
      </c>
      <c r="D32" s="53">
        <v>25.6</v>
      </c>
      <c r="E32" s="53">
        <v>6.66</v>
      </c>
      <c r="F32" s="53">
        <v>2.41</v>
      </c>
      <c r="G32" s="53">
        <v>98.22</v>
      </c>
      <c r="H32" s="53">
        <v>41.75</v>
      </c>
      <c r="I32" s="53">
        <v>9.42</v>
      </c>
      <c r="J32" s="53">
        <v>0.38</v>
      </c>
      <c r="K32" s="53">
        <v>208.74</v>
      </c>
      <c r="L32" s="53">
        <v>20.010000000000002</v>
      </c>
      <c r="M32" s="53">
        <v>84.27</v>
      </c>
      <c r="N32" s="53">
        <v>0</v>
      </c>
      <c r="O32" s="53">
        <v>0</v>
      </c>
      <c r="P32" s="53">
        <v>0.88</v>
      </c>
      <c r="Q32" s="53">
        <v>4.9800000000000004</v>
      </c>
    </row>
    <row r="33" spans="1:17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</row>
    <row r="34" spans="1:17" customFormat="1">
      <c r="A34" s="32" t="s">
        <v>48</v>
      </c>
      <c r="B34" s="41">
        <f t="shared" ref="B34:Q34" si="0">MIN(B9:B32)</f>
        <v>4.8</v>
      </c>
      <c r="C34" s="41">
        <f t="shared" si="0"/>
        <v>21.59</v>
      </c>
      <c r="D34" s="41">
        <f t="shared" si="0"/>
        <v>18.010000000000002</v>
      </c>
      <c r="E34" s="41">
        <f t="shared" si="0"/>
        <v>6.3</v>
      </c>
      <c r="F34" s="41">
        <f t="shared" si="0"/>
        <v>2.23</v>
      </c>
      <c r="G34" s="41">
        <f t="shared" si="0"/>
        <v>81.84</v>
      </c>
      <c r="H34" s="41">
        <f t="shared" si="0"/>
        <v>34.81</v>
      </c>
      <c r="I34" s="41">
        <f t="shared" si="0"/>
        <v>6.38</v>
      </c>
      <c r="J34" s="41">
        <f t="shared" si="0"/>
        <v>0.15</v>
      </c>
      <c r="K34" s="41">
        <f t="shared" si="0"/>
        <v>40.89</v>
      </c>
      <c r="L34" s="41">
        <f t="shared" si="0"/>
        <v>19.27</v>
      </c>
      <c r="M34" s="41">
        <f t="shared" si="0"/>
        <v>42.17</v>
      </c>
      <c r="N34" s="41">
        <f t="shared" si="0"/>
        <v>0</v>
      </c>
      <c r="O34" s="41">
        <f t="shared" si="0"/>
        <v>0</v>
      </c>
      <c r="P34" s="41">
        <f t="shared" si="0"/>
        <v>0.67</v>
      </c>
      <c r="Q34" s="41">
        <f t="shared" si="0"/>
        <v>4.8600000000000003</v>
      </c>
    </row>
    <row r="35" spans="1:17" customFormat="1">
      <c r="A35" s="32" t="s">
        <v>49</v>
      </c>
      <c r="B35" s="33">
        <f t="shared" ref="B35:Q35" si="1">MAX(B9:B32)</f>
        <v>24.81</v>
      </c>
      <c r="C35" s="33">
        <f t="shared" si="1"/>
        <v>32.049999999999997</v>
      </c>
      <c r="D35" s="33">
        <f t="shared" si="1"/>
        <v>34.71</v>
      </c>
      <c r="E35" s="33">
        <f t="shared" si="1"/>
        <v>14.53</v>
      </c>
      <c r="F35" s="33">
        <f t="shared" si="1"/>
        <v>10.19</v>
      </c>
      <c r="G35" s="33">
        <f t="shared" si="1"/>
        <v>127.83</v>
      </c>
      <c r="H35" s="33">
        <f t="shared" si="1"/>
        <v>59.71</v>
      </c>
      <c r="I35" s="33">
        <f t="shared" si="1"/>
        <v>14.74</v>
      </c>
      <c r="J35" s="33">
        <f t="shared" si="1"/>
        <v>1.42</v>
      </c>
      <c r="K35" s="33">
        <f t="shared" si="1"/>
        <v>311.66000000000003</v>
      </c>
      <c r="L35" s="33">
        <f t="shared" si="1"/>
        <v>28.94</v>
      </c>
      <c r="M35" s="33">
        <f t="shared" si="1"/>
        <v>86.94</v>
      </c>
      <c r="N35" s="33">
        <f t="shared" si="1"/>
        <v>364.3</v>
      </c>
      <c r="O35" s="33">
        <f t="shared" si="1"/>
        <v>0</v>
      </c>
      <c r="P35" s="33">
        <f t="shared" si="1"/>
        <v>1.37</v>
      </c>
      <c r="Q35" s="33">
        <f t="shared" si="1"/>
        <v>5.14</v>
      </c>
    </row>
    <row r="36" spans="1:17" customFormat="1">
      <c r="A36" s="32" t="s">
        <v>50</v>
      </c>
      <c r="B36" s="41">
        <f t="shared" ref="B36:Q36" si="2">AVERAGE(B9:B32)</f>
        <v>15.242916666666668</v>
      </c>
      <c r="C36" s="41">
        <f t="shared" si="2"/>
        <v>26.480833333333337</v>
      </c>
      <c r="D36" s="41">
        <f t="shared" si="2"/>
        <v>27.183333333333337</v>
      </c>
      <c r="E36" s="41">
        <f t="shared" si="2"/>
        <v>8.2854166666666682</v>
      </c>
      <c r="F36" s="41">
        <f t="shared" si="2"/>
        <v>3.6833333333333336</v>
      </c>
      <c r="G36" s="41">
        <f t="shared" si="2"/>
        <v>100.03125</v>
      </c>
      <c r="H36" s="41">
        <f t="shared" si="2"/>
        <v>44.469583333333333</v>
      </c>
      <c r="I36" s="41">
        <f t="shared" si="2"/>
        <v>10.614583333333334</v>
      </c>
      <c r="J36" s="41">
        <f t="shared" si="2"/>
        <v>0.72749999999999992</v>
      </c>
      <c r="K36" s="41">
        <f t="shared" si="2"/>
        <v>117.24416666666666</v>
      </c>
      <c r="L36" s="41">
        <f t="shared" si="2"/>
        <v>23.346666666666668</v>
      </c>
      <c r="M36" s="41">
        <f t="shared" si="2"/>
        <v>70.481250000000003</v>
      </c>
      <c r="N36" s="41">
        <f t="shared" si="2"/>
        <v>90.970833333333317</v>
      </c>
      <c r="O36" s="41">
        <f t="shared" si="2"/>
        <v>0</v>
      </c>
      <c r="P36" s="41">
        <f t="shared" si="2"/>
        <v>0.98124999999999984</v>
      </c>
      <c r="Q36" s="41">
        <f t="shared" si="2"/>
        <v>4.9554166666666655</v>
      </c>
    </row>
    <row r="37" spans="1:17" customFormat="1">
      <c r="A37" s="32" t="s">
        <v>51</v>
      </c>
      <c r="B37" s="41">
        <f>STDEV(B9:B32)</f>
        <v>6.229413734133769</v>
      </c>
      <c r="C37" s="41">
        <f t="shared" ref="C37:Q37" si="3">STDEV(C9:C32)</f>
        <v>3.0352994504040298</v>
      </c>
      <c r="D37" s="41">
        <f t="shared" si="3"/>
        <v>4.7294541156336392</v>
      </c>
      <c r="E37" s="41">
        <f t="shared" si="3"/>
        <v>2.2997542007914586</v>
      </c>
      <c r="F37" s="41">
        <f t="shared" si="3"/>
        <v>2.3052598960650394</v>
      </c>
      <c r="G37" s="41">
        <f t="shared" si="3"/>
        <v>12.631586809506102</v>
      </c>
      <c r="H37" s="41">
        <f t="shared" si="3"/>
        <v>7.9184717888627381</v>
      </c>
      <c r="I37" s="41">
        <f t="shared" si="3"/>
        <v>2.7938067829718811</v>
      </c>
      <c r="J37" s="41">
        <f t="shared" si="3"/>
        <v>0.37572249241208316</v>
      </c>
      <c r="K37" s="41">
        <f t="shared" si="3"/>
        <v>75.977539754202695</v>
      </c>
      <c r="L37" s="41">
        <f t="shared" si="3"/>
        <v>3.5493436829518532</v>
      </c>
      <c r="M37" s="41">
        <f t="shared" si="3"/>
        <v>16.261460256505629</v>
      </c>
      <c r="N37" s="41">
        <f t="shared" si="3"/>
        <v>137.89680917948778</v>
      </c>
      <c r="O37" s="41">
        <f t="shared" si="3"/>
        <v>0</v>
      </c>
      <c r="P37" s="41">
        <f t="shared" si="3"/>
        <v>0.21955117260289161</v>
      </c>
      <c r="Q37" s="41">
        <f t="shared" si="3"/>
        <v>8.3976143955443908E-2</v>
      </c>
    </row>
    <row r="38" spans="1:17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</row>
    <row r="39" spans="1:17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</row>
    <row r="40" spans="1:17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</row>
    <row r="41" spans="1:17" customForma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</row>
    <row r="42" spans="1:17" customFormat="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customFormat="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customFormat="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</row>
    <row r="45" spans="1:17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 spans="1:17" customFormat="1"/>
    <row r="47" spans="1:17" customFormat="1"/>
    <row r="48" spans="1:17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spans="1:1" customFormat="1"/>
    <row r="98" spans="1:1" customFormat="1"/>
    <row r="99" spans="1:1" customFormat="1"/>
    <row r="100" spans="1:1" customFormat="1"/>
    <row r="101" spans="1:1" customFormat="1"/>
    <row r="102" spans="1:1" customFormat="1"/>
    <row r="103" spans="1:1" customFormat="1"/>
    <row r="104" spans="1: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12/01/2024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 t="s">
        <v>346</v>
      </c>
      <c r="B9" s="53">
        <v>20.56</v>
      </c>
      <c r="C9" s="53">
        <v>25.4</v>
      </c>
      <c r="D9" s="53">
        <v>31.06</v>
      </c>
      <c r="E9" s="53">
        <v>7.01</v>
      </c>
      <c r="F9" s="53">
        <v>2.4300000000000002</v>
      </c>
      <c r="G9" s="53">
        <v>96.14</v>
      </c>
      <c r="H9" s="53">
        <v>37.79</v>
      </c>
      <c r="I9" s="53">
        <v>9.4</v>
      </c>
      <c r="J9" s="53">
        <v>0.21</v>
      </c>
      <c r="K9" s="53">
        <v>182.85</v>
      </c>
      <c r="L9" s="53">
        <v>20.149999999999999</v>
      </c>
      <c r="M9" s="53">
        <v>85.23</v>
      </c>
      <c r="N9" s="53">
        <v>0</v>
      </c>
      <c r="O9" s="53">
        <v>0</v>
      </c>
      <c r="P9" s="53">
        <v>0.88</v>
      </c>
      <c r="Q9" s="53">
        <v>5.07</v>
      </c>
    </row>
    <row r="10" spans="1:21" customFormat="1">
      <c r="A10" s="52" t="s">
        <v>347</v>
      </c>
      <c r="B10" s="53">
        <v>21.07</v>
      </c>
      <c r="C10" s="53">
        <v>26.73</v>
      </c>
      <c r="D10" s="53">
        <v>32.21</v>
      </c>
      <c r="E10" s="53">
        <v>6.78</v>
      </c>
      <c r="F10" s="53">
        <v>2.2999999999999998</v>
      </c>
      <c r="G10" s="53">
        <v>82.87</v>
      </c>
      <c r="H10" s="53">
        <v>35.299999999999997</v>
      </c>
      <c r="I10" s="53">
        <v>9.1999999999999993</v>
      </c>
      <c r="J10" s="53">
        <v>0.17</v>
      </c>
      <c r="K10" s="53">
        <v>196.4</v>
      </c>
      <c r="L10" s="53">
        <v>19.05</v>
      </c>
      <c r="M10" s="53">
        <v>88.94</v>
      </c>
      <c r="N10" s="53">
        <v>0</v>
      </c>
      <c r="O10" s="53">
        <v>0</v>
      </c>
      <c r="P10" s="53">
        <v>0.85</v>
      </c>
      <c r="Q10" s="53">
        <v>5.08</v>
      </c>
    </row>
    <row r="11" spans="1:21" customFormat="1">
      <c r="A11" s="52" t="s">
        <v>348</v>
      </c>
      <c r="B11" s="53">
        <v>24.44</v>
      </c>
      <c r="C11" s="53">
        <v>28.68</v>
      </c>
      <c r="D11" s="53">
        <v>35.94</v>
      </c>
      <c r="E11" s="53">
        <v>8.76</v>
      </c>
      <c r="F11" s="53">
        <v>2.3199999999999998</v>
      </c>
      <c r="G11" s="53">
        <v>86.95</v>
      </c>
      <c r="H11" s="53">
        <v>35.85</v>
      </c>
      <c r="I11" s="53">
        <v>9.09</v>
      </c>
      <c r="J11" s="53">
        <v>0.2</v>
      </c>
      <c r="K11" s="53">
        <v>72.64</v>
      </c>
      <c r="L11" s="53">
        <v>18.920000000000002</v>
      </c>
      <c r="M11" s="53">
        <v>81.95</v>
      </c>
      <c r="N11" s="53">
        <v>0</v>
      </c>
      <c r="O11" s="53">
        <v>0</v>
      </c>
      <c r="P11" s="53">
        <v>0.83</v>
      </c>
      <c r="Q11" s="53">
        <v>5.09</v>
      </c>
    </row>
    <row r="12" spans="1:21" customFormat="1">
      <c r="A12" s="52" t="s">
        <v>349</v>
      </c>
      <c r="B12" s="53">
        <v>24.72</v>
      </c>
      <c r="C12" s="53">
        <v>29.24</v>
      </c>
      <c r="D12" s="53">
        <v>36.33</v>
      </c>
      <c r="E12" s="53">
        <v>9.1199999999999992</v>
      </c>
      <c r="F12" s="53">
        <v>2.2999999999999998</v>
      </c>
      <c r="G12" s="53">
        <v>83.68</v>
      </c>
      <c r="H12" s="53">
        <v>35.76</v>
      </c>
      <c r="I12" s="53">
        <v>8.94</v>
      </c>
      <c r="J12" s="53">
        <v>0.76</v>
      </c>
      <c r="K12" s="53">
        <v>87.48</v>
      </c>
      <c r="L12" s="53">
        <v>19.100000000000001</v>
      </c>
      <c r="M12" s="53">
        <v>79.540000000000006</v>
      </c>
      <c r="N12" s="53">
        <v>0</v>
      </c>
      <c r="O12" s="53">
        <v>0</v>
      </c>
      <c r="P12" s="53">
        <v>0.78</v>
      </c>
      <c r="Q12" s="53">
        <v>5.05</v>
      </c>
    </row>
    <row r="13" spans="1:21" customFormat="1">
      <c r="A13" s="52" t="s">
        <v>350</v>
      </c>
      <c r="B13" s="53">
        <v>24.61</v>
      </c>
      <c r="C13" s="53">
        <v>29.44</v>
      </c>
      <c r="D13" s="53">
        <v>36.47</v>
      </c>
      <c r="E13" s="53">
        <v>9.01</v>
      </c>
      <c r="F13" s="53">
        <v>2.31</v>
      </c>
      <c r="G13" s="53">
        <v>83.87</v>
      </c>
      <c r="H13" s="53">
        <v>35.86</v>
      </c>
      <c r="I13" s="53">
        <v>8.75</v>
      </c>
      <c r="J13" s="53">
        <v>0.43</v>
      </c>
      <c r="K13" s="53">
        <v>191.41</v>
      </c>
      <c r="L13" s="53">
        <v>19.16</v>
      </c>
      <c r="M13" s="53">
        <v>80.709999999999994</v>
      </c>
      <c r="N13" s="53">
        <v>0</v>
      </c>
      <c r="O13" s="53">
        <v>0</v>
      </c>
      <c r="P13" s="53">
        <v>0.74</v>
      </c>
      <c r="Q13" s="53">
        <v>5.04</v>
      </c>
    </row>
    <row r="14" spans="1:21" customFormat="1">
      <c r="A14" s="52" t="s">
        <v>351</v>
      </c>
      <c r="B14" s="53">
        <v>25.22</v>
      </c>
      <c r="C14" s="53">
        <v>29.57</v>
      </c>
      <c r="D14" s="53">
        <v>36.1</v>
      </c>
      <c r="E14" s="53">
        <v>8.5</v>
      </c>
      <c r="F14" s="53">
        <v>2.58</v>
      </c>
      <c r="G14" s="53">
        <v>78.94</v>
      </c>
      <c r="H14" s="53">
        <v>33.909999999999997</v>
      </c>
      <c r="I14" s="53">
        <v>8.41</v>
      </c>
      <c r="J14" s="53">
        <v>0.47</v>
      </c>
      <c r="K14" s="53">
        <v>315.45</v>
      </c>
      <c r="L14" s="53">
        <v>18.28</v>
      </c>
      <c r="M14" s="53">
        <v>80.92</v>
      </c>
      <c r="N14" s="53">
        <v>0</v>
      </c>
      <c r="O14" s="53">
        <v>0</v>
      </c>
      <c r="P14" s="53">
        <v>0.71</v>
      </c>
      <c r="Q14" s="53">
        <v>5.0199999999999996</v>
      </c>
    </row>
    <row r="15" spans="1:21" customFormat="1">
      <c r="A15" s="52" t="s">
        <v>352</v>
      </c>
      <c r="B15" s="53">
        <v>26.26</v>
      </c>
      <c r="C15" s="53">
        <v>23.73</v>
      </c>
      <c r="D15" s="53">
        <v>34.799999999999997</v>
      </c>
      <c r="E15" s="53">
        <v>8.56</v>
      </c>
      <c r="F15" s="53">
        <v>2.2999999999999998</v>
      </c>
      <c r="G15" s="53">
        <v>79.16</v>
      </c>
      <c r="H15" s="53">
        <v>33.799999999999997</v>
      </c>
      <c r="I15" s="53">
        <v>8.1999999999999993</v>
      </c>
      <c r="J15" s="53">
        <v>0.2</v>
      </c>
      <c r="K15" s="53">
        <v>236.75</v>
      </c>
      <c r="L15" s="53">
        <v>17.48</v>
      </c>
      <c r="M15" s="53">
        <v>85.43</v>
      </c>
      <c r="N15" s="53">
        <v>1.2</v>
      </c>
      <c r="O15" s="53">
        <v>0</v>
      </c>
      <c r="P15" s="53">
        <v>0.69</v>
      </c>
      <c r="Q15" s="53">
        <v>5.05</v>
      </c>
    </row>
    <row r="16" spans="1:21" customFormat="1">
      <c r="A16" s="52" t="s">
        <v>353</v>
      </c>
      <c r="B16" s="53">
        <v>29.63</v>
      </c>
      <c r="C16" s="53">
        <v>24.47</v>
      </c>
      <c r="D16" s="53">
        <v>37.549999999999997</v>
      </c>
      <c r="E16" s="53">
        <v>8.5</v>
      </c>
      <c r="F16" s="53">
        <v>2.5499999999999998</v>
      </c>
      <c r="G16" s="53">
        <v>73.87</v>
      </c>
      <c r="H16" s="53">
        <v>31.36</v>
      </c>
      <c r="I16" s="53">
        <v>8.41</v>
      </c>
      <c r="J16" s="53">
        <v>1.21</v>
      </c>
      <c r="K16" s="53">
        <v>65.55</v>
      </c>
      <c r="L16" s="53">
        <v>19.170000000000002</v>
      </c>
      <c r="M16" s="53">
        <v>78.95</v>
      </c>
      <c r="N16" s="53">
        <v>53.4</v>
      </c>
      <c r="O16" s="53">
        <v>0</v>
      </c>
      <c r="P16" s="53">
        <v>0.72</v>
      </c>
      <c r="Q16" s="53">
        <v>5.0999999999999996</v>
      </c>
    </row>
    <row r="17" spans="1:17" customFormat="1">
      <c r="A17" s="52" t="s">
        <v>354</v>
      </c>
      <c r="B17" s="53">
        <v>29.73</v>
      </c>
      <c r="C17" s="53">
        <v>24.47</v>
      </c>
      <c r="D17" s="53">
        <v>37.74</v>
      </c>
      <c r="E17" s="53">
        <v>8.84</v>
      </c>
      <c r="F17" s="53">
        <v>2.39</v>
      </c>
      <c r="G17" s="53">
        <v>74.099999999999994</v>
      </c>
      <c r="H17" s="53">
        <v>30.34</v>
      </c>
      <c r="I17" s="53">
        <v>8.67</v>
      </c>
      <c r="J17" s="53">
        <v>1.39</v>
      </c>
      <c r="K17" s="53">
        <v>60.89</v>
      </c>
      <c r="L17" s="53">
        <v>21.82</v>
      </c>
      <c r="M17" s="53">
        <v>66.16</v>
      </c>
      <c r="N17" s="53">
        <v>189.5</v>
      </c>
      <c r="O17" s="53">
        <v>0</v>
      </c>
      <c r="P17" s="53">
        <v>0.72</v>
      </c>
      <c r="Q17" s="53">
        <v>5.12</v>
      </c>
    </row>
    <row r="18" spans="1:17" customFormat="1">
      <c r="A18" s="52" t="s">
        <v>355</v>
      </c>
      <c r="B18" s="53">
        <v>27.96</v>
      </c>
      <c r="C18" s="53">
        <v>22.79</v>
      </c>
      <c r="D18" s="53">
        <v>35.61</v>
      </c>
      <c r="E18" s="53">
        <v>9.69</v>
      </c>
      <c r="F18" s="53">
        <v>2.5</v>
      </c>
      <c r="G18" s="53">
        <v>75.09</v>
      </c>
      <c r="H18" s="53">
        <v>30.09</v>
      </c>
      <c r="I18" s="53">
        <v>8.85</v>
      </c>
      <c r="J18" s="53">
        <v>1.24</v>
      </c>
      <c r="K18" s="53">
        <v>65.81</v>
      </c>
      <c r="L18" s="53">
        <v>24.48</v>
      </c>
      <c r="M18" s="53">
        <v>49.87</v>
      </c>
      <c r="N18" s="53">
        <v>222.7</v>
      </c>
      <c r="O18" s="53">
        <v>0</v>
      </c>
      <c r="P18" s="53">
        <v>0.71</v>
      </c>
      <c r="Q18" s="53">
        <v>5.15</v>
      </c>
    </row>
    <row r="19" spans="1:17" customFormat="1">
      <c r="A19" s="52" t="s">
        <v>356</v>
      </c>
      <c r="B19" s="53">
        <v>24.89</v>
      </c>
      <c r="C19" s="53">
        <v>26.53</v>
      </c>
      <c r="D19" s="53">
        <v>34.119999999999997</v>
      </c>
      <c r="E19" s="53">
        <v>10.71</v>
      </c>
      <c r="F19" s="53">
        <v>2.73</v>
      </c>
      <c r="G19" s="53">
        <v>68.64</v>
      </c>
      <c r="H19" s="53">
        <v>29.47</v>
      </c>
      <c r="I19" s="53">
        <v>8.8800000000000008</v>
      </c>
      <c r="J19" s="53">
        <v>1.19</v>
      </c>
      <c r="K19" s="53">
        <v>73.319999999999993</v>
      </c>
      <c r="L19" s="53">
        <v>25.95</v>
      </c>
      <c r="M19" s="53">
        <v>46.38</v>
      </c>
      <c r="N19" s="53">
        <v>380.5</v>
      </c>
      <c r="O19" s="53">
        <v>0</v>
      </c>
      <c r="P19" s="53">
        <v>0.71</v>
      </c>
      <c r="Q19" s="53">
        <v>5.13</v>
      </c>
    </row>
    <row r="20" spans="1:17" customFormat="1">
      <c r="A20" s="52" t="s">
        <v>357</v>
      </c>
      <c r="B20" s="53">
        <v>21</v>
      </c>
      <c r="C20" s="53">
        <v>27.66</v>
      </c>
      <c r="D20" s="53">
        <v>32.299999999999997</v>
      </c>
      <c r="E20" s="53">
        <v>11.53</v>
      </c>
      <c r="F20" s="53">
        <v>3.29</v>
      </c>
      <c r="G20" s="53">
        <v>63.2</v>
      </c>
      <c r="H20" s="53">
        <v>24.63</v>
      </c>
      <c r="I20" s="53">
        <v>8.56</v>
      </c>
      <c r="J20" s="53">
        <v>0.89</v>
      </c>
      <c r="K20" s="53">
        <v>150.72999999999999</v>
      </c>
      <c r="L20" s="53">
        <v>28.52</v>
      </c>
      <c r="M20" s="53">
        <v>42.8</v>
      </c>
      <c r="N20" s="53">
        <v>406.4</v>
      </c>
      <c r="O20" s="53">
        <v>0</v>
      </c>
      <c r="P20" s="53">
        <v>0.67</v>
      </c>
      <c r="Q20" s="53">
        <v>5.1100000000000003</v>
      </c>
    </row>
    <row r="21" spans="1:17" customFormat="1">
      <c r="A21" s="52" t="s">
        <v>358</v>
      </c>
      <c r="B21" s="53">
        <v>15.43</v>
      </c>
      <c r="C21" s="53">
        <v>27.16</v>
      </c>
      <c r="D21" s="53">
        <v>27.83</v>
      </c>
      <c r="E21" s="53">
        <v>10.81</v>
      </c>
      <c r="F21" s="53">
        <v>4.5</v>
      </c>
      <c r="G21" s="53">
        <v>52.53</v>
      </c>
      <c r="H21" s="53">
        <v>25.71</v>
      </c>
      <c r="I21" s="53">
        <v>7.87</v>
      </c>
      <c r="J21" s="53">
        <v>0.64</v>
      </c>
      <c r="K21" s="53">
        <v>83.6</v>
      </c>
      <c r="L21" s="53">
        <v>28.75</v>
      </c>
      <c r="M21" s="53">
        <v>40.119999999999997</v>
      </c>
      <c r="N21" s="53">
        <v>418</v>
      </c>
      <c r="O21" s="53">
        <v>0</v>
      </c>
      <c r="P21" s="53">
        <v>0.62</v>
      </c>
      <c r="Q21" s="53">
        <v>5.01</v>
      </c>
    </row>
    <row r="22" spans="1:17" customFormat="1">
      <c r="A22" s="52" t="s">
        <v>359</v>
      </c>
      <c r="B22" s="53">
        <v>10.26</v>
      </c>
      <c r="C22" s="53">
        <v>26.59</v>
      </c>
      <c r="D22" s="53">
        <v>23.47</v>
      </c>
      <c r="E22" s="53">
        <v>10.44</v>
      </c>
      <c r="F22" s="53">
        <v>4.33</v>
      </c>
      <c r="G22" s="53">
        <v>51.55</v>
      </c>
      <c r="H22" s="53">
        <v>22.19</v>
      </c>
      <c r="I22" s="53">
        <v>7.19</v>
      </c>
      <c r="J22" s="53">
        <v>0.33</v>
      </c>
      <c r="K22" s="53">
        <v>204.42</v>
      </c>
      <c r="L22" s="53">
        <v>29.77</v>
      </c>
      <c r="M22" s="53">
        <v>39.619999999999997</v>
      </c>
      <c r="N22" s="53">
        <v>380.3</v>
      </c>
      <c r="O22" s="53">
        <v>0</v>
      </c>
      <c r="P22" s="53">
        <v>0.56999999999999995</v>
      </c>
      <c r="Q22" s="53">
        <v>4.9000000000000004</v>
      </c>
    </row>
    <row r="23" spans="1:17" customFormat="1">
      <c r="A23" s="52" t="s">
        <v>360</v>
      </c>
      <c r="B23" s="53">
        <v>7.02</v>
      </c>
      <c r="C23" s="53">
        <v>24.71</v>
      </c>
      <c r="D23" s="53">
        <v>19.89</v>
      </c>
      <c r="E23" s="53">
        <v>10.81</v>
      </c>
      <c r="F23" s="53">
        <v>5.77</v>
      </c>
      <c r="G23" s="53">
        <v>48.81</v>
      </c>
      <c r="H23" s="53">
        <v>22</v>
      </c>
      <c r="I23" s="53">
        <v>6.67</v>
      </c>
      <c r="J23" s="53">
        <v>0.46</v>
      </c>
      <c r="K23" s="53">
        <v>341.48</v>
      </c>
      <c r="L23" s="53">
        <v>29.33</v>
      </c>
      <c r="M23" s="53">
        <v>40</v>
      </c>
      <c r="N23" s="53">
        <v>291</v>
      </c>
      <c r="O23" s="53">
        <v>0</v>
      </c>
      <c r="P23" s="53">
        <v>0.53</v>
      </c>
      <c r="Q23" s="53">
        <v>4.83</v>
      </c>
    </row>
    <row r="24" spans="1:17" customFormat="1">
      <c r="A24" s="52" t="s">
        <v>361</v>
      </c>
      <c r="B24" s="53">
        <v>6.93</v>
      </c>
      <c r="C24" s="53">
        <v>23.67</v>
      </c>
      <c r="D24" s="53">
        <v>18.829999999999998</v>
      </c>
      <c r="E24" s="53">
        <v>10.14</v>
      </c>
      <c r="F24" s="53">
        <v>3.59</v>
      </c>
      <c r="G24" s="53">
        <v>48.17</v>
      </c>
      <c r="H24" s="53">
        <v>21.43</v>
      </c>
      <c r="I24" s="53">
        <v>6.24</v>
      </c>
      <c r="J24" s="53">
        <v>0.47</v>
      </c>
      <c r="K24" s="53">
        <v>226.89</v>
      </c>
      <c r="L24" s="53">
        <v>28.33</v>
      </c>
      <c r="M24" s="53">
        <v>45.72</v>
      </c>
      <c r="N24" s="53">
        <v>68.5</v>
      </c>
      <c r="O24" s="53">
        <v>0</v>
      </c>
      <c r="P24" s="53">
        <v>0.54</v>
      </c>
      <c r="Q24" s="53">
        <v>4.78</v>
      </c>
    </row>
    <row r="25" spans="1:17" customFormat="1">
      <c r="A25" s="52" t="s">
        <v>362</v>
      </c>
      <c r="B25" s="53">
        <v>7.63</v>
      </c>
      <c r="C25" s="53">
        <v>18.61</v>
      </c>
      <c r="D25" s="53">
        <v>16.690000000000001</v>
      </c>
      <c r="E25" s="53">
        <v>9.8699999999999992</v>
      </c>
      <c r="F25" s="53">
        <v>3.01</v>
      </c>
      <c r="G25" s="53">
        <v>52.33</v>
      </c>
      <c r="H25" s="53">
        <v>23.38</v>
      </c>
      <c r="I25" s="53">
        <v>6.23</v>
      </c>
      <c r="J25" s="53">
        <v>0.43</v>
      </c>
      <c r="K25" s="53">
        <v>172.76</v>
      </c>
      <c r="L25" s="53">
        <v>27.39</v>
      </c>
      <c r="M25" s="53">
        <v>51.37</v>
      </c>
      <c r="N25" s="53">
        <v>33.700000000000003</v>
      </c>
      <c r="O25" s="53">
        <v>0</v>
      </c>
      <c r="P25" s="53">
        <v>0.53</v>
      </c>
      <c r="Q25" s="53">
        <v>4.83</v>
      </c>
    </row>
    <row r="26" spans="1:17" customFormat="1">
      <c r="A26" s="52" t="s">
        <v>363</v>
      </c>
      <c r="B26" s="53">
        <v>8.16</v>
      </c>
      <c r="C26" s="53">
        <v>17.34</v>
      </c>
      <c r="D26" s="53">
        <v>16.95</v>
      </c>
      <c r="E26" s="53">
        <v>9.6199999999999992</v>
      </c>
      <c r="F26" s="53">
        <v>2.8</v>
      </c>
      <c r="G26" s="53">
        <v>59.8</v>
      </c>
      <c r="H26" s="53">
        <v>24.95</v>
      </c>
      <c r="I26" s="53">
        <v>6.19</v>
      </c>
      <c r="J26" s="53">
        <v>0.26</v>
      </c>
      <c r="K26" s="53">
        <v>179.02</v>
      </c>
      <c r="L26" s="53">
        <v>25.47</v>
      </c>
      <c r="M26" s="53">
        <v>66.599999999999994</v>
      </c>
      <c r="N26" s="53">
        <v>2.5</v>
      </c>
      <c r="O26" s="53">
        <v>0</v>
      </c>
      <c r="P26" s="53">
        <v>0.53</v>
      </c>
      <c r="Q26" s="53">
        <v>4.84</v>
      </c>
    </row>
    <row r="27" spans="1:17" customFormat="1">
      <c r="A27" s="52" t="s">
        <v>364</v>
      </c>
      <c r="B27" s="53">
        <v>11.55</v>
      </c>
      <c r="C27" s="53">
        <v>20.9</v>
      </c>
      <c r="D27" s="53">
        <v>21.53</v>
      </c>
      <c r="E27" s="53">
        <v>8.58</v>
      </c>
      <c r="F27" s="53">
        <v>2.2799999999999998</v>
      </c>
      <c r="G27" s="53">
        <v>73.459999999999994</v>
      </c>
      <c r="H27" s="53">
        <v>25.68</v>
      </c>
      <c r="I27" s="53">
        <v>6.37</v>
      </c>
      <c r="J27" s="53">
        <v>0.23</v>
      </c>
      <c r="K27" s="53">
        <v>175.38</v>
      </c>
      <c r="L27" s="53">
        <v>22.93</v>
      </c>
      <c r="M27" s="53">
        <v>71.239999999999995</v>
      </c>
      <c r="N27" s="53">
        <v>0</v>
      </c>
      <c r="O27" s="53">
        <v>0</v>
      </c>
      <c r="P27" s="53">
        <v>0.64</v>
      </c>
      <c r="Q27" s="53">
        <v>4.9000000000000004</v>
      </c>
    </row>
    <row r="28" spans="1:17" customFormat="1">
      <c r="A28" s="52" t="s">
        <v>365</v>
      </c>
      <c r="B28" s="53">
        <v>22.86</v>
      </c>
      <c r="C28" s="53">
        <v>24.31</v>
      </c>
      <c r="D28" s="53">
        <v>32.380000000000003</v>
      </c>
      <c r="E28" s="53">
        <v>8.41</v>
      </c>
      <c r="F28" s="53">
        <v>2.46</v>
      </c>
      <c r="G28" s="53">
        <v>91.24</v>
      </c>
      <c r="H28" s="53">
        <v>28.1</v>
      </c>
      <c r="I28" s="53">
        <v>7.59</v>
      </c>
      <c r="J28" s="53">
        <v>0.19</v>
      </c>
      <c r="K28" s="53">
        <v>182.32</v>
      </c>
      <c r="L28" s="53">
        <v>22.19</v>
      </c>
      <c r="M28" s="53">
        <v>78.77</v>
      </c>
      <c r="N28" s="53">
        <v>0</v>
      </c>
      <c r="O28" s="53">
        <v>0</v>
      </c>
      <c r="P28" s="53">
        <v>0.84</v>
      </c>
      <c r="Q28" s="53">
        <v>5.05</v>
      </c>
    </row>
    <row r="29" spans="1:17" customFormat="1">
      <c r="A29" s="52" t="s">
        <v>366</v>
      </c>
      <c r="B29" s="53">
        <v>29.55</v>
      </c>
      <c r="C29" s="53">
        <v>28.69</v>
      </c>
      <c r="D29" s="53">
        <v>40.04</v>
      </c>
      <c r="E29" s="53">
        <v>8.9</v>
      </c>
      <c r="F29" s="53">
        <v>2.37</v>
      </c>
      <c r="G29" s="53">
        <v>112.73</v>
      </c>
      <c r="H29" s="53">
        <v>34.659999999999997</v>
      </c>
      <c r="I29" s="53">
        <v>9</v>
      </c>
      <c r="J29" s="53">
        <v>0.19</v>
      </c>
      <c r="K29" s="53">
        <v>189.17</v>
      </c>
      <c r="L29" s="53">
        <v>21.1</v>
      </c>
      <c r="M29" s="53">
        <v>77.78</v>
      </c>
      <c r="N29" s="53">
        <v>0</v>
      </c>
      <c r="O29" s="53">
        <v>0</v>
      </c>
      <c r="P29" s="53">
        <v>1</v>
      </c>
      <c r="Q29" s="53">
        <v>5.16</v>
      </c>
    </row>
    <row r="30" spans="1:17" customFormat="1">
      <c r="A30" s="52" t="s">
        <v>367</v>
      </c>
      <c r="B30" s="53">
        <v>45.06</v>
      </c>
      <c r="C30" s="53">
        <v>32.130000000000003</v>
      </c>
      <c r="D30" s="53">
        <v>54.27</v>
      </c>
      <c r="E30" s="53">
        <v>9.41</v>
      </c>
      <c r="F30" s="53">
        <v>2.4300000000000002</v>
      </c>
      <c r="G30" s="53">
        <v>118.47</v>
      </c>
      <c r="H30" s="53">
        <v>38.14</v>
      </c>
      <c r="I30" s="53">
        <v>10.01</v>
      </c>
      <c r="J30" s="53">
        <v>0.19</v>
      </c>
      <c r="K30" s="53">
        <v>236.13</v>
      </c>
      <c r="L30" s="53">
        <v>21.32</v>
      </c>
      <c r="M30" s="53">
        <v>78.19</v>
      </c>
      <c r="N30" s="53">
        <v>0</v>
      </c>
      <c r="O30" s="53">
        <v>0</v>
      </c>
      <c r="P30" s="53">
        <v>1.1399999999999999</v>
      </c>
      <c r="Q30" s="53">
        <v>5.32</v>
      </c>
    </row>
    <row r="31" spans="1:17" customFormat="1">
      <c r="A31" s="52" t="s">
        <v>368</v>
      </c>
      <c r="B31" s="53">
        <v>61.29</v>
      </c>
      <c r="C31" s="53">
        <v>34.35</v>
      </c>
      <c r="D31" s="53">
        <v>68.44</v>
      </c>
      <c r="E31" s="53">
        <v>9.74</v>
      </c>
      <c r="F31" s="53">
        <v>2.33</v>
      </c>
      <c r="G31" s="53">
        <v>126.53</v>
      </c>
      <c r="H31" s="53">
        <v>42.22</v>
      </c>
      <c r="I31" s="53">
        <v>10.94</v>
      </c>
      <c r="J31" s="53">
        <v>0.95</v>
      </c>
      <c r="K31" s="53">
        <v>202.95</v>
      </c>
      <c r="L31" s="53">
        <v>21.59</v>
      </c>
      <c r="M31" s="53">
        <v>76.349999999999994</v>
      </c>
      <c r="N31" s="53">
        <v>0</v>
      </c>
      <c r="O31" s="53">
        <v>0</v>
      </c>
      <c r="P31" s="53">
        <v>1.25</v>
      </c>
      <c r="Q31" s="53">
        <v>5.49</v>
      </c>
    </row>
    <row r="32" spans="1:17" customFormat="1">
      <c r="A32" s="52">
        <v>45304</v>
      </c>
      <c r="B32" s="53">
        <v>61.41</v>
      </c>
      <c r="C32" s="53">
        <v>34.630000000000003</v>
      </c>
      <c r="D32" s="53">
        <v>68.69</v>
      </c>
      <c r="E32" s="53">
        <v>9.76</v>
      </c>
      <c r="F32" s="53">
        <v>2.38</v>
      </c>
      <c r="G32" s="53">
        <v>135.63</v>
      </c>
      <c r="H32" s="53">
        <v>42.89</v>
      </c>
      <c r="I32" s="53">
        <v>11.29</v>
      </c>
      <c r="J32" s="53">
        <v>0.68</v>
      </c>
      <c r="K32" s="53">
        <v>153.21</v>
      </c>
      <c r="L32" s="53">
        <v>21.95</v>
      </c>
      <c r="M32" s="53">
        <v>69.599999999999994</v>
      </c>
      <c r="N32" s="53">
        <v>0</v>
      </c>
      <c r="O32" s="53">
        <v>0</v>
      </c>
      <c r="P32" s="53">
        <v>1.25</v>
      </c>
      <c r="Q32" s="53">
        <v>5.51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6.93</v>
      </c>
      <c r="C34" s="41">
        <f t="shared" si="0"/>
        <v>17.34</v>
      </c>
      <c r="D34" s="41">
        <f t="shared" si="0"/>
        <v>16.690000000000001</v>
      </c>
      <c r="E34" s="41">
        <f t="shared" si="0"/>
        <v>6.78</v>
      </c>
      <c r="F34" s="41">
        <f t="shared" si="0"/>
        <v>2.2799999999999998</v>
      </c>
      <c r="G34" s="41">
        <f t="shared" si="0"/>
        <v>48.17</v>
      </c>
      <c r="H34" s="41">
        <f t="shared" si="0"/>
        <v>21.43</v>
      </c>
      <c r="I34" s="41">
        <f t="shared" si="0"/>
        <v>6.19</v>
      </c>
      <c r="J34" s="41">
        <f t="shared" si="0"/>
        <v>0.17</v>
      </c>
      <c r="K34" s="41">
        <f t="shared" si="0"/>
        <v>60.89</v>
      </c>
      <c r="L34" s="41">
        <f t="shared" si="0"/>
        <v>17.48</v>
      </c>
      <c r="M34" s="41">
        <f t="shared" si="0"/>
        <v>39.619999999999997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4.78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61.41</v>
      </c>
      <c r="C35" s="33">
        <f t="shared" si="1"/>
        <v>34.630000000000003</v>
      </c>
      <c r="D35" s="33">
        <f t="shared" si="1"/>
        <v>68.69</v>
      </c>
      <c r="E35" s="33">
        <f t="shared" si="1"/>
        <v>11.53</v>
      </c>
      <c r="F35" s="33">
        <f t="shared" si="1"/>
        <v>5.77</v>
      </c>
      <c r="G35" s="33">
        <f t="shared" si="1"/>
        <v>135.63</v>
      </c>
      <c r="H35" s="33">
        <f t="shared" si="1"/>
        <v>42.89</v>
      </c>
      <c r="I35" s="33">
        <f t="shared" si="1"/>
        <v>11.29</v>
      </c>
      <c r="J35" s="33">
        <f t="shared" si="1"/>
        <v>1.39</v>
      </c>
      <c r="K35" s="33">
        <f t="shared" si="1"/>
        <v>341.48</v>
      </c>
      <c r="L35" s="33">
        <f t="shared" si="1"/>
        <v>29.77</v>
      </c>
      <c r="M35" s="33">
        <f t="shared" si="1"/>
        <v>88.94</v>
      </c>
      <c r="N35" s="33">
        <f t="shared" si="1"/>
        <v>418</v>
      </c>
      <c r="O35" s="33">
        <f t="shared" si="1"/>
        <v>0</v>
      </c>
      <c r="P35" s="33">
        <f t="shared" si="1"/>
        <v>1.25</v>
      </c>
      <c r="Q35" s="33">
        <f t="shared" si="1"/>
        <v>5.51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24.468333333333334</v>
      </c>
      <c r="C36" s="41">
        <f t="shared" si="2"/>
        <v>26.324999999999999</v>
      </c>
      <c r="D36" s="41">
        <f t="shared" si="2"/>
        <v>34.551666666666669</v>
      </c>
      <c r="E36" s="41">
        <f t="shared" si="2"/>
        <v>9.3125</v>
      </c>
      <c r="F36" s="41">
        <f t="shared" si="2"/>
        <v>2.8437499999999996</v>
      </c>
      <c r="G36" s="41">
        <f t="shared" si="2"/>
        <v>79.90666666666668</v>
      </c>
      <c r="H36" s="41">
        <f t="shared" si="2"/>
        <v>31.062916666666663</v>
      </c>
      <c r="I36" s="41">
        <f t="shared" si="2"/>
        <v>8.3729166666666668</v>
      </c>
      <c r="J36" s="41">
        <f t="shared" si="2"/>
        <v>0.5575</v>
      </c>
      <c r="K36" s="41">
        <f t="shared" si="2"/>
        <v>168.60874999999999</v>
      </c>
      <c r="L36" s="41">
        <f t="shared" si="2"/>
        <v>23.008333333333329</v>
      </c>
      <c r="M36" s="41">
        <f t="shared" si="2"/>
        <v>66.759999999999977</v>
      </c>
      <c r="N36" s="41">
        <f t="shared" si="2"/>
        <v>101.9875</v>
      </c>
      <c r="O36" s="41">
        <f t="shared" si="2"/>
        <v>0</v>
      </c>
      <c r="P36" s="41">
        <f t="shared" si="2"/>
        <v>0.76874999999999993</v>
      </c>
      <c r="Q36" s="41">
        <f t="shared" si="2"/>
        <v>5.0679166666666662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14.587574720695827</v>
      </c>
      <c r="C37" s="41">
        <f t="shared" ref="C37:Q37" si="3">STDEV(C9:C32)</f>
        <v>4.2736024921451961</v>
      </c>
      <c r="D37" s="41">
        <f t="shared" si="3"/>
        <v>13.546173105239033</v>
      </c>
      <c r="E37" s="41">
        <f t="shared" si="3"/>
        <v>1.1426827700825255</v>
      </c>
      <c r="F37" s="41">
        <f t="shared" si="3"/>
        <v>0.87850076093110219</v>
      </c>
      <c r="G37" s="41">
        <f t="shared" si="3"/>
        <v>24.279747449919704</v>
      </c>
      <c r="H37" s="41">
        <f t="shared" si="3"/>
        <v>6.3797168256406618</v>
      </c>
      <c r="I37" s="41">
        <f t="shared" si="3"/>
        <v>1.3927373083769001</v>
      </c>
      <c r="J37" s="41">
        <f t="shared" si="3"/>
        <v>0.39279655094562965</v>
      </c>
      <c r="K37" s="41">
        <f t="shared" si="3"/>
        <v>76.394867760267161</v>
      </c>
      <c r="L37" s="41">
        <f t="shared" si="3"/>
        <v>3.9750796181982042</v>
      </c>
      <c r="M37" s="41">
        <f t="shared" si="3"/>
        <v>17.134816577087634</v>
      </c>
      <c r="N37" s="41">
        <f t="shared" si="3"/>
        <v>155.83327576919032</v>
      </c>
      <c r="O37" s="41">
        <f t="shared" si="3"/>
        <v>0</v>
      </c>
      <c r="P37" s="41">
        <f t="shared" si="3"/>
        <v>0.21016168723772849</v>
      </c>
      <c r="Q37" s="41">
        <f t="shared" si="3"/>
        <v>0.18346849431385473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13/01/2024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 t="s">
        <v>369</v>
      </c>
      <c r="B9" s="53">
        <v>53.95</v>
      </c>
      <c r="C9" s="53">
        <v>34.299999999999997</v>
      </c>
      <c r="D9" s="53">
        <v>61.33</v>
      </c>
      <c r="E9" s="53">
        <v>10.3</v>
      </c>
      <c r="F9" s="53">
        <v>2.31</v>
      </c>
      <c r="G9" s="53">
        <v>120.37</v>
      </c>
      <c r="H9" s="53">
        <v>43.59</v>
      </c>
      <c r="I9" s="53">
        <v>11.01</v>
      </c>
      <c r="J9" s="53">
        <v>0.24</v>
      </c>
      <c r="K9" s="53">
        <v>192.56</v>
      </c>
      <c r="L9" s="53">
        <v>20.61</v>
      </c>
      <c r="M9" s="53">
        <v>72.650000000000006</v>
      </c>
      <c r="N9" s="53">
        <v>0</v>
      </c>
      <c r="O9" s="53">
        <v>0</v>
      </c>
      <c r="P9" s="53">
        <v>1.1499999999999999</v>
      </c>
      <c r="Q9" s="53">
        <v>5.42</v>
      </c>
    </row>
    <row r="10" spans="1:21" customFormat="1">
      <c r="A10" s="52" t="s">
        <v>370</v>
      </c>
      <c r="B10" s="53">
        <v>46.25</v>
      </c>
      <c r="C10" s="53">
        <v>31.99</v>
      </c>
      <c r="D10" s="53">
        <v>55.16</v>
      </c>
      <c r="E10" s="53">
        <v>9.58</v>
      </c>
      <c r="F10" s="53">
        <v>2.65</v>
      </c>
      <c r="G10" s="53">
        <v>101.02</v>
      </c>
      <c r="H10" s="53">
        <v>35.020000000000003</v>
      </c>
      <c r="I10" s="53">
        <v>10.37</v>
      </c>
      <c r="J10" s="53">
        <v>0.21</v>
      </c>
      <c r="K10" s="53">
        <v>172.25</v>
      </c>
      <c r="L10" s="53">
        <v>19.11</v>
      </c>
      <c r="M10" s="53">
        <v>77.2</v>
      </c>
      <c r="N10" s="53">
        <v>0</v>
      </c>
      <c r="O10" s="53">
        <v>0</v>
      </c>
      <c r="P10" s="53">
        <v>1.04</v>
      </c>
      <c r="Q10" s="53">
        <v>5.29</v>
      </c>
    </row>
    <row r="11" spans="1:21" customFormat="1">
      <c r="A11" s="52" t="s">
        <v>371</v>
      </c>
      <c r="B11" s="53">
        <v>42.93</v>
      </c>
      <c r="C11" s="53">
        <v>27.45</v>
      </c>
      <c r="D11" s="53">
        <v>49.39</v>
      </c>
      <c r="E11" s="53">
        <v>8.65</v>
      </c>
      <c r="F11" s="53">
        <v>2.36</v>
      </c>
      <c r="G11" s="53">
        <v>97.57</v>
      </c>
      <c r="H11" s="53">
        <v>33.71</v>
      </c>
      <c r="I11" s="53">
        <v>9.74</v>
      </c>
      <c r="J11" s="53">
        <v>0.11</v>
      </c>
      <c r="K11" s="53">
        <v>244.95</v>
      </c>
      <c r="L11" s="53">
        <v>18.11</v>
      </c>
      <c r="M11" s="53">
        <v>79.44</v>
      </c>
      <c r="N11" s="53">
        <v>0</v>
      </c>
      <c r="O11" s="53">
        <v>0</v>
      </c>
      <c r="P11" s="53">
        <v>0.93</v>
      </c>
      <c r="Q11" s="53">
        <v>5.31</v>
      </c>
    </row>
    <row r="12" spans="1:21" customFormat="1">
      <c r="A12" s="52" t="s">
        <v>372</v>
      </c>
      <c r="B12" s="53">
        <v>42.97</v>
      </c>
      <c r="C12" s="53">
        <v>27.21</v>
      </c>
      <c r="D12" s="53">
        <v>49.92</v>
      </c>
      <c r="E12" s="53">
        <v>8.27</v>
      </c>
      <c r="F12" s="53">
        <v>2.62</v>
      </c>
      <c r="G12" s="53">
        <v>106.23</v>
      </c>
      <c r="H12" s="53">
        <v>35.1</v>
      </c>
      <c r="I12" s="53">
        <v>9.4</v>
      </c>
      <c r="J12" s="53">
        <v>0.25</v>
      </c>
      <c r="K12" s="53">
        <v>213.42</v>
      </c>
      <c r="L12" s="53">
        <v>17.170000000000002</v>
      </c>
      <c r="M12" s="53">
        <v>88.19</v>
      </c>
      <c r="N12" s="53">
        <v>0</v>
      </c>
      <c r="O12" s="53">
        <v>0</v>
      </c>
      <c r="P12" s="53">
        <v>0.89</v>
      </c>
      <c r="Q12" s="53">
        <v>5.34</v>
      </c>
    </row>
    <row r="13" spans="1:21" customFormat="1">
      <c r="A13" s="52" t="s">
        <v>373</v>
      </c>
      <c r="B13" s="53">
        <v>39.19</v>
      </c>
      <c r="C13" s="53">
        <v>24.91</v>
      </c>
      <c r="D13" s="53">
        <v>45.66</v>
      </c>
      <c r="E13" s="53">
        <v>8.06</v>
      </c>
      <c r="F13" s="53">
        <v>2.48</v>
      </c>
      <c r="G13" s="53">
        <v>98.6</v>
      </c>
      <c r="H13" s="53">
        <v>36.96</v>
      </c>
      <c r="I13" s="53">
        <v>9.02</v>
      </c>
      <c r="J13" s="53">
        <v>0.22</v>
      </c>
      <c r="K13" s="53">
        <v>239.43</v>
      </c>
      <c r="L13" s="53">
        <v>16.04</v>
      </c>
      <c r="M13" s="53">
        <v>88.29</v>
      </c>
      <c r="N13" s="53">
        <v>0</v>
      </c>
      <c r="O13" s="53">
        <v>0</v>
      </c>
      <c r="P13" s="53">
        <v>0.81</v>
      </c>
      <c r="Q13" s="53">
        <v>5.29</v>
      </c>
    </row>
    <row r="14" spans="1:21" customFormat="1">
      <c r="A14" s="52" t="s">
        <v>374</v>
      </c>
      <c r="B14" s="53">
        <v>36.69</v>
      </c>
      <c r="C14" s="53">
        <v>26.1</v>
      </c>
      <c r="D14" s="53">
        <v>44.41</v>
      </c>
      <c r="E14" s="53">
        <v>8.2899999999999991</v>
      </c>
      <c r="F14" s="53">
        <v>2.29</v>
      </c>
      <c r="G14" s="53">
        <v>86.9</v>
      </c>
      <c r="H14" s="53">
        <v>30.68</v>
      </c>
      <c r="I14" s="53">
        <v>8.6300000000000008</v>
      </c>
      <c r="J14" s="53">
        <v>0.2</v>
      </c>
      <c r="K14" s="53">
        <v>249.49</v>
      </c>
      <c r="L14" s="53">
        <v>15.83</v>
      </c>
      <c r="M14" s="53">
        <v>87.93</v>
      </c>
      <c r="N14" s="53">
        <v>0</v>
      </c>
      <c r="O14" s="53">
        <v>0</v>
      </c>
      <c r="P14" s="53">
        <v>0.75</v>
      </c>
      <c r="Q14" s="53">
        <v>5.26</v>
      </c>
    </row>
    <row r="15" spans="1:21" customFormat="1">
      <c r="A15" s="52" t="s">
        <v>375</v>
      </c>
      <c r="B15" s="53">
        <v>48.25</v>
      </c>
      <c r="C15" s="53">
        <v>27.56</v>
      </c>
      <c r="D15" s="53">
        <v>54.44</v>
      </c>
      <c r="E15" s="53">
        <v>8.61</v>
      </c>
      <c r="F15" s="53">
        <v>2.31</v>
      </c>
      <c r="G15" s="53">
        <v>80.02</v>
      </c>
      <c r="H15" s="53">
        <v>32.5</v>
      </c>
      <c r="I15" s="53">
        <v>8.4700000000000006</v>
      </c>
      <c r="J15" s="53">
        <v>0.18</v>
      </c>
      <c r="K15" s="53">
        <v>241.07</v>
      </c>
      <c r="L15" s="53">
        <v>15.53</v>
      </c>
      <c r="M15" s="53">
        <v>89.9</v>
      </c>
      <c r="N15" s="53">
        <v>3.1</v>
      </c>
      <c r="O15" s="53">
        <v>0</v>
      </c>
      <c r="P15" s="53">
        <v>0.76</v>
      </c>
      <c r="Q15" s="53">
        <v>5.37</v>
      </c>
    </row>
    <row r="16" spans="1:21" customFormat="1">
      <c r="A16" s="52" t="s">
        <v>376</v>
      </c>
      <c r="B16" s="53">
        <v>45.32</v>
      </c>
      <c r="C16" s="53">
        <v>27.74</v>
      </c>
      <c r="D16" s="53">
        <v>51.89</v>
      </c>
      <c r="E16" s="53">
        <v>8.48</v>
      </c>
      <c r="F16" s="53">
        <v>2.38</v>
      </c>
      <c r="G16" s="53">
        <v>74.95</v>
      </c>
      <c r="H16" s="53">
        <v>31.02</v>
      </c>
      <c r="I16" s="53">
        <v>8.6999999999999993</v>
      </c>
      <c r="J16" s="53">
        <v>0.28999999999999998</v>
      </c>
      <c r="K16" s="53">
        <v>262.68</v>
      </c>
      <c r="L16" s="53">
        <v>17.989999999999998</v>
      </c>
      <c r="M16" s="53">
        <v>83.29</v>
      </c>
      <c r="N16" s="53">
        <v>39.9</v>
      </c>
      <c r="O16" s="53">
        <v>0</v>
      </c>
      <c r="P16" s="53">
        <v>0.75</v>
      </c>
      <c r="Q16" s="53">
        <v>5.34</v>
      </c>
    </row>
    <row r="17" spans="1:17" customFormat="1">
      <c r="A17" s="52" t="s">
        <v>377</v>
      </c>
      <c r="B17" s="53">
        <v>37.08</v>
      </c>
      <c r="C17" s="53">
        <v>28.72</v>
      </c>
      <c r="D17" s="53">
        <v>45.84</v>
      </c>
      <c r="E17" s="53">
        <v>8.82</v>
      </c>
      <c r="F17" s="53">
        <v>2.46</v>
      </c>
      <c r="G17" s="53">
        <v>74.819999999999993</v>
      </c>
      <c r="H17" s="53">
        <v>31.13</v>
      </c>
      <c r="I17" s="53">
        <v>8.7899999999999991</v>
      </c>
      <c r="J17" s="53">
        <v>0.98</v>
      </c>
      <c r="K17" s="53">
        <v>115.97</v>
      </c>
      <c r="L17" s="53">
        <v>21.78</v>
      </c>
      <c r="M17" s="53">
        <v>58.19</v>
      </c>
      <c r="N17" s="53">
        <v>218.1</v>
      </c>
      <c r="O17" s="53">
        <v>0</v>
      </c>
      <c r="P17" s="53">
        <v>0.74</v>
      </c>
      <c r="Q17" s="53">
        <v>5.23</v>
      </c>
    </row>
    <row r="18" spans="1:17" customFormat="1">
      <c r="A18" s="52" t="s">
        <v>378</v>
      </c>
      <c r="B18" s="53">
        <v>30.68</v>
      </c>
      <c r="C18" s="53">
        <v>29.35</v>
      </c>
      <c r="D18" s="53">
        <v>41.1</v>
      </c>
      <c r="E18" s="53">
        <v>9.93</v>
      </c>
      <c r="F18" s="53">
        <v>2.56</v>
      </c>
      <c r="G18" s="53">
        <v>65.290000000000006</v>
      </c>
      <c r="H18" s="53">
        <v>24.59</v>
      </c>
      <c r="I18" s="53">
        <v>8.68</v>
      </c>
      <c r="J18" s="53">
        <v>0.76</v>
      </c>
      <c r="K18" s="53">
        <v>188.86</v>
      </c>
      <c r="L18" s="53">
        <v>24.99</v>
      </c>
      <c r="M18" s="53">
        <v>41.37</v>
      </c>
      <c r="N18" s="53">
        <v>250</v>
      </c>
      <c r="O18" s="53">
        <v>0</v>
      </c>
      <c r="P18" s="53">
        <v>0.71</v>
      </c>
      <c r="Q18" s="53">
        <v>5.15</v>
      </c>
    </row>
    <row r="19" spans="1:17" customFormat="1">
      <c r="A19" s="52" t="s">
        <v>379</v>
      </c>
      <c r="B19" s="53">
        <v>25.32</v>
      </c>
      <c r="C19" s="53">
        <v>28.99</v>
      </c>
      <c r="D19" s="53">
        <v>36.799999999999997</v>
      </c>
      <c r="E19" s="53">
        <v>8.86</v>
      </c>
      <c r="F19" s="53">
        <v>2.6</v>
      </c>
      <c r="G19" s="53">
        <v>61.5</v>
      </c>
      <c r="H19" s="53">
        <v>25.8</v>
      </c>
      <c r="I19" s="53">
        <v>8.19</v>
      </c>
      <c r="J19" s="53">
        <v>0.55000000000000004</v>
      </c>
      <c r="K19" s="53">
        <v>337.54</v>
      </c>
      <c r="L19" s="53">
        <v>26.75</v>
      </c>
      <c r="M19" s="53">
        <v>37.68</v>
      </c>
      <c r="N19" s="53">
        <v>404.3</v>
      </c>
      <c r="O19" s="53">
        <v>0</v>
      </c>
      <c r="P19" s="53">
        <v>0.66</v>
      </c>
      <c r="Q19" s="53">
        <v>5.09</v>
      </c>
    </row>
    <row r="20" spans="1:17" customFormat="1">
      <c r="A20" s="52" t="s">
        <v>380</v>
      </c>
      <c r="B20" s="53">
        <v>19.7</v>
      </c>
      <c r="C20" s="53">
        <v>25.83</v>
      </c>
      <c r="D20" s="53">
        <v>30.65</v>
      </c>
      <c r="E20" s="53">
        <v>7.93</v>
      </c>
      <c r="F20" s="53">
        <v>3.3</v>
      </c>
      <c r="G20" s="53">
        <v>56.27</v>
      </c>
      <c r="H20" s="53">
        <v>23.15</v>
      </c>
      <c r="I20" s="53">
        <v>7.52</v>
      </c>
      <c r="J20" s="53">
        <v>0.68</v>
      </c>
      <c r="K20" s="53">
        <v>333.34</v>
      </c>
      <c r="L20" s="53">
        <v>27.25</v>
      </c>
      <c r="M20" s="53">
        <v>36.25</v>
      </c>
      <c r="N20" s="53">
        <v>438.7</v>
      </c>
      <c r="O20" s="53">
        <v>0</v>
      </c>
      <c r="P20" s="53">
        <v>0.62</v>
      </c>
      <c r="Q20" s="53">
        <v>4.99</v>
      </c>
    </row>
    <row r="21" spans="1:17" customFormat="1">
      <c r="A21" s="52" t="s">
        <v>381</v>
      </c>
      <c r="B21" s="53">
        <v>16.190000000000001</v>
      </c>
      <c r="C21" s="53">
        <v>24.61</v>
      </c>
      <c r="D21" s="53">
        <v>26.4</v>
      </c>
      <c r="E21" s="53">
        <v>9.8699999999999992</v>
      </c>
      <c r="F21" s="53">
        <v>3.95</v>
      </c>
      <c r="G21" s="53">
        <v>49.57</v>
      </c>
      <c r="H21" s="53">
        <v>21.66</v>
      </c>
      <c r="I21" s="53">
        <v>7.07</v>
      </c>
      <c r="J21" s="53">
        <v>0.62</v>
      </c>
      <c r="K21" s="53">
        <v>321.41000000000003</v>
      </c>
      <c r="L21" s="53">
        <v>28.65</v>
      </c>
      <c r="M21" s="53">
        <v>35.700000000000003</v>
      </c>
      <c r="N21" s="53">
        <v>429.6</v>
      </c>
      <c r="O21" s="53">
        <v>0</v>
      </c>
      <c r="P21" s="53">
        <v>0.59</v>
      </c>
      <c r="Q21" s="53">
        <v>4.95</v>
      </c>
    </row>
    <row r="22" spans="1:17" customFormat="1">
      <c r="A22" s="52" t="s">
        <v>382</v>
      </c>
      <c r="B22" s="53">
        <v>8.44</v>
      </c>
      <c r="C22" s="53">
        <v>24.64</v>
      </c>
      <c r="D22" s="53">
        <v>20.99</v>
      </c>
      <c r="E22" s="53">
        <v>7.85</v>
      </c>
      <c r="F22" s="53">
        <v>3.95</v>
      </c>
      <c r="G22" s="53">
        <v>64.28</v>
      </c>
      <c r="H22" s="53">
        <v>24.98</v>
      </c>
      <c r="I22" s="53">
        <v>7.11</v>
      </c>
      <c r="J22" s="53">
        <v>1.02</v>
      </c>
      <c r="K22" s="53">
        <v>342.64</v>
      </c>
      <c r="L22" s="53">
        <v>29.27</v>
      </c>
      <c r="M22" s="53">
        <v>36.229999999999997</v>
      </c>
      <c r="N22" s="53">
        <v>377.2</v>
      </c>
      <c r="O22" s="53">
        <v>0</v>
      </c>
      <c r="P22" s="53">
        <v>0.61</v>
      </c>
      <c r="Q22" s="53">
        <v>4.87</v>
      </c>
    </row>
    <row r="23" spans="1:17" customFormat="1">
      <c r="A23" s="52" t="s">
        <v>383</v>
      </c>
      <c r="B23" s="53">
        <v>5.42</v>
      </c>
      <c r="C23" s="53">
        <v>22.8</v>
      </c>
      <c r="D23" s="53">
        <v>17.61</v>
      </c>
      <c r="E23" s="53">
        <v>8.17</v>
      </c>
      <c r="F23" s="53">
        <v>5.65</v>
      </c>
      <c r="G23" s="53">
        <v>68.17</v>
      </c>
      <c r="H23" s="53">
        <v>28.69</v>
      </c>
      <c r="I23" s="53">
        <v>7.01</v>
      </c>
      <c r="J23" s="53">
        <v>1.08</v>
      </c>
      <c r="K23" s="53">
        <v>312.27</v>
      </c>
      <c r="L23" s="53">
        <v>29</v>
      </c>
      <c r="M23" s="53">
        <v>37.53</v>
      </c>
      <c r="N23" s="53">
        <v>340.5</v>
      </c>
      <c r="O23" s="53">
        <v>0</v>
      </c>
      <c r="P23" s="53">
        <v>0.54</v>
      </c>
      <c r="Q23" s="53">
        <v>4.84</v>
      </c>
    </row>
    <row r="24" spans="1:17" customFormat="1">
      <c r="A24" s="52" t="s">
        <v>384</v>
      </c>
      <c r="B24" s="53">
        <v>5.21</v>
      </c>
      <c r="C24" s="53">
        <v>21.25</v>
      </c>
      <c r="D24" s="53">
        <v>16.39</v>
      </c>
      <c r="E24" s="53">
        <v>8.34</v>
      </c>
      <c r="F24" s="53">
        <v>6.93</v>
      </c>
      <c r="G24" s="53">
        <v>59.57</v>
      </c>
      <c r="H24" s="53">
        <v>24</v>
      </c>
      <c r="I24" s="53">
        <v>6.64</v>
      </c>
      <c r="J24" s="53">
        <v>1.1200000000000001</v>
      </c>
      <c r="K24" s="53">
        <v>324.33999999999997</v>
      </c>
      <c r="L24" s="53">
        <v>28.79</v>
      </c>
      <c r="M24" s="53">
        <v>38.28</v>
      </c>
      <c r="N24" s="53">
        <v>57.3</v>
      </c>
      <c r="O24" s="53">
        <v>0</v>
      </c>
      <c r="P24" s="53">
        <v>0.52</v>
      </c>
      <c r="Q24" s="53">
        <v>4.84</v>
      </c>
    </row>
    <row r="25" spans="1:17" customFormat="1">
      <c r="A25" s="52" t="s">
        <v>385</v>
      </c>
      <c r="B25" s="53">
        <v>5.47</v>
      </c>
      <c r="C25" s="53">
        <v>23.61</v>
      </c>
      <c r="D25" s="53">
        <v>18.07</v>
      </c>
      <c r="E25" s="53">
        <v>8.6</v>
      </c>
      <c r="F25" s="53">
        <v>6.54</v>
      </c>
      <c r="G25" s="53">
        <v>57.92</v>
      </c>
      <c r="H25" s="53">
        <v>24.67</v>
      </c>
      <c r="I25" s="53">
        <v>6.2</v>
      </c>
      <c r="J25" s="53">
        <v>0.73</v>
      </c>
      <c r="K25" s="53">
        <v>356.71</v>
      </c>
      <c r="L25" s="53">
        <v>28.42</v>
      </c>
      <c r="M25" s="53">
        <v>41.35</v>
      </c>
      <c r="N25" s="53">
        <v>34</v>
      </c>
      <c r="O25" s="53">
        <v>0</v>
      </c>
      <c r="P25" s="53">
        <v>0.52</v>
      </c>
      <c r="Q25" s="53">
        <v>4.8499999999999996</v>
      </c>
    </row>
    <row r="26" spans="1:17" customFormat="1">
      <c r="A26" s="52" t="s">
        <v>386</v>
      </c>
      <c r="B26" s="53">
        <v>6.29</v>
      </c>
      <c r="C26" s="53">
        <v>24.79</v>
      </c>
      <c r="D26" s="53">
        <v>19.34</v>
      </c>
      <c r="E26" s="53">
        <v>8.0299999999999994</v>
      </c>
      <c r="F26" s="53">
        <v>3.92</v>
      </c>
      <c r="G26" s="53">
        <v>61.85</v>
      </c>
      <c r="H26" s="53">
        <v>23.87</v>
      </c>
      <c r="I26" s="53">
        <v>5.76</v>
      </c>
      <c r="J26" s="53">
        <v>0.32</v>
      </c>
      <c r="K26" s="53">
        <v>174.22</v>
      </c>
      <c r="L26" s="53">
        <v>27.32</v>
      </c>
      <c r="M26" s="53">
        <v>60.61</v>
      </c>
      <c r="N26" s="53">
        <v>3.1</v>
      </c>
      <c r="O26" s="53">
        <v>0</v>
      </c>
      <c r="P26" s="53">
        <v>0.55000000000000004</v>
      </c>
      <c r="Q26" s="53">
        <v>4.88</v>
      </c>
    </row>
    <row r="27" spans="1:17" customFormat="1">
      <c r="A27" s="52" t="s">
        <v>387</v>
      </c>
      <c r="B27" s="53">
        <v>7.34</v>
      </c>
      <c r="C27" s="53">
        <v>25.04</v>
      </c>
      <c r="D27" s="53">
        <v>20.309999999999999</v>
      </c>
      <c r="E27" s="53">
        <v>6.98</v>
      </c>
      <c r="F27" s="53">
        <v>2.41</v>
      </c>
      <c r="G27" s="53">
        <v>67.63</v>
      </c>
      <c r="H27" s="53">
        <v>26.19</v>
      </c>
      <c r="I27" s="53">
        <v>6.08</v>
      </c>
      <c r="J27" s="53">
        <v>0.27</v>
      </c>
      <c r="K27" s="53">
        <v>173.96</v>
      </c>
      <c r="L27" s="53">
        <v>23.57</v>
      </c>
      <c r="M27" s="53">
        <v>70.989999999999995</v>
      </c>
      <c r="N27" s="53">
        <v>0</v>
      </c>
      <c r="O27" s="53">
        <v>0</v>
      </c>
      <c r="P27" s="53">
        <v>0.59</v>
      </c>
      <c r="Q27" s="53">
        <v>4.8899999999999997</v>
      </c>
    </row>
    <row r="28" spans="1:17" customFormat="1">
      <c r="A28" s="52" t="s">
        <v>388</v>
      </c>
      <c r="B28" s="53">
        <v>9.89</v>
      </c>
      <c r="C28" s="53">
        <v>26.85</v>
      </c>
      <c r="D28" s="53">
        <v>23.31</v>
      </c>
      <c r="E28" s="53">
        <v>7.36</v>
      </c>
      <c r="F28" s="53">
        <v>2.36</v>
      </c>
      <c r="G28" s="53">
        <v>66.7</v>
      </c>
      <c r="H28" s="53">
        <v>24.94</v>
      </c>
      <c r="I28" s="53">
        <v>6.96</v>
      </c>
      <c r="J28" s="53">
        <v>0.21</v>
      </c>
      <c r="K28" s="53">
        <v>192.55</v>
      </c>
      <c r="L28" s="53">
        <v>22.16</v>
      </c>
      <c r="M28" s="53">
        <v>75.540000000000006</v>
      </c>
      <c r="N28" s="53">
        <v>0</v>
      </c>
      <c r="O28" s="53">
        <v>0</v>
      </c>
      <c r="P28" s="53">
        <v>0.68</v>
      </c>
      <c r="Q28" s="53">
        <v>4.87</v>
      </c>
    </row>
    <row r="29" spans="1:17" customFormat="1">
      <c r="A29" s="52" t="s">
        <v>389</v>
      </c>
      <c r="B29" s="53">
        <v>12.24</v>
      </c>
      <c r="C29" s="53">
        <v>28.25</v>
      </c>
      <c r="D29" s="53">
        <v>25.77</v>
      </c>
      <c r="E29" s="53">
        <v>7.31</v>
      </c>
      <c r="F29" s="53">
        <v>2.41</v>
      </c>
      <c r="G29" s="53">
        <v>80.430000000000007</v>
      </c>
      <c r="H29" s="53">
        <v>28.6</v>
      </c>
      <c r="I29" s="53">
        <v>7.71</v>
      </c>
      <c r="J29" s="53">
        <v>0.59</v>
      </c>
      <c r="K29" s="53">
        <v>230.87</v>
      </c>
      <c r="L29" s="53">
        <v>20.86</v>
      </c>
      <c r="M29" s="53">
        <v>78.33</v>
      </c>
      <c r="N29" s="53">
        <v>0</v>
      </c>
      <c r="O29" s="53">
        <v>0</v>
      </c>
      <c r="P29" s="53">
        <v>0.74</v>
      </c>
      <c r="Q29" s="53">
        <v>4.91</v>
      </c>
    </row>
    <row r="30" spans="1:17" customFormat="1">
      <c r="A30" s="52" t="s">
        <v>390</v>
      </c>
      <c r="B30" s="53">
        <v>16.25</v>
      </c>
      <c r="C30" s="53">
        <v>24.56</v>
      </c>
      <c r="D30" s="53">
        <v>27.21</v>
      </c>
      <c r="E30" s="53">
        <v>6.92</v>
      </c>
      <c r="F30" s="53">
        <v>2.52</v>
      </c>
      <c r="G30" s="53">
        <v>80.56</v>
      </c>
      <c r="H30" s="53">
        <v>28.19</v>
      </c>
      <c r="I30" s="53">
        <v>8.36</v>
      </c>
      <c r="J30" s="53">
        <v>0.28000000000000003</v>
      </c>
      <c r="K30" s="53">
        <v>207.45</v>
      </c>
      <c r="L30" s="53">
        <v>21.16</v>
      </c>
      <c r="M30" s="53">
        <v>75.349999999999994</v>
      </c>
      <c r="N30" s="53">
        <v>0</v>
      </c>
      <c r="O30" s="53">
        <v>0</v>
      </c>
      <c r="P30" s="53">
        <v>0.79</v>
      </c>
      <c r="Q30" s="53">
        <v>4.9400000000000004</v>
      </c>
    </row>
    <row r="31" spans="1:17" customFormat="1">
      <c r="A31" s="52" t="s">
        <v>391</v>
      </c>
      <c r="B31" s="53">
        <v>19.989999999999998</v>
      </c>
      <c r="C31" s="53">
        <v>26.43</v>
      </c>
      <c r="D31" s="53">
        <v>30.79</v>
      </c>
      <c r="E31" s="53">
        <v>7.17</v>
      </c>
      <c r="F31" s="53">
        <v>2.52</v>
      </c>
      <c r="G31" s="53">
        <v>95.46</v>
      </c>
      <c r="H31" s="53">
        <v>31.04</v>
      </c>
      <c r="I31" s="53">
        <v>8.92</v>
      </c>
      <c r="J31" s="53">
        <v>0.26</v>
      </c>
      <c r="K31" s="53">
        <v>188.04</v>
      </c>
      <c r="L31" s="53">
        <v>20.2</v>
      </c>
      <c r="M31" s="53">
        <v>80.44</v>
      </c>
      <c r="N31" s="53">
        <v>0</v>
      </c>
      <c r="O31" s="53">
        <v>0</v>
      </c>
      <c r="P31" s="53">
        <v>0.81</v>
      </c>
      <c r="Q31" s="53">
        <v>5.04</v>
      </c>
    </row>
    <row r="32" spans="1:17" customFormat="1">
      <c r="A32" s="52">
        <v>45305</v>
      </c>
      <c r="B32" s="53">
        <v>19.64</v>
      </c>
      <c r="C32" s="53">
        <v>25.02</v>
      </c>
      <c r="D32" s="53">
        <v>30.17</v>
      </c>
      <c r="E32" s="53">
        <v>7.27</v>
      </c>
      <c r="F32" s="53">
        <v>2.31</v>
      </c>
      <c r="G32" s="53">
        <v>92.45</v>
      </c>
      <c r="H32" s="53">
        <v>29.36</v>
      </c>
      <c r="I32" s="53">
        <v>8.94</v>
      </c>
      <c r="J32" s="53">
        <v>0.36</v>
      </c>
      <c r="K32" s="53">
        <v>300.68</v>
      </c>
      <c r="L32" s="53">
        <v>20.03</v>
      </c>
      <c r="M32" s="53">
        <v>75.069999999999993</v>
      </c>
      <c r="N32" s="53">
        <v>0</v>
      </c>
      <c r="O32" s="53">
        <v>0</v>
      </c>
      <c r="P32" s="53">
        <v>0.77</v>
      </c>
      <c r="Q32" s="53">
        <v>5.0199999999999996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5.21</v>
      </c>
      <c r="C34" s="41">
        <f t="shared" si="0"/>
        <v>21.25</v>
      </c>
      <c r="D34" s="41">
        <f t="shared" si="0"/>
        <v>16.39</v>
      </c>
      <c r="E34" s="41">
        <f t="shared" si="0"/>
        <v>6.92</v>
      </c>
      <c r="F34" s="41">
        <f t="shared" si="0"/>
        <v>2.29</v>
      </c>
      <c r="G34" s="41">
        <f t="shared" si="0"/>
        <v>49.57</v>
      </c>
      <c r="H34" s="41">
        <f t="shared" si="0"/>
        <v>21.66</v>
      </c>
      <c r="I34" s="41">
        <f t="shared" si="0"/>
        <v>5.76</v>
      </c>
      <c r="J34" s="41">
        <f t="shared" si="0"/>
        <v>0.11</v>
      </c>
      <c r="K34" s="41">
        <f t="shared" si="0"/>
        <v>115.97</v>
      </c>
      <c r="L34" s="41">
        <f t="shared" si="0"/>
        <v>15.53</v>
      </c>
      <c r="M34" s="41">
        <f t="shared" si="0"/>
        <v>35.700000000000003</v>
      </c>
      <c r="N34" s="41">
        <f t="shared" si="0"/>
        <v>0</v>
      </c>
      <c r="O34" s="41">
        <f t="shared" si="0"/>
        <v>0</v>
      </c>
      <c r="P34" s="41">
        <f t="shared" si="0"/>
        <v>0.52</v>
      </c>
      <c r="Q34" s="41">
        <f t="shared" si="0"/>
        <v>4.84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53.95</v>
      </c>
      <c r="C35" s="33">
        <f t="shared" si="1"/>
        <v>34.299999999999997</v>
      </c>
      <c r="D35" s="33">
        <f t="shared" si="1"/>
        <v>61.33</v>
      </c>
      <c r="E35" s="33">
        <f t="shared" si="1"/>
        <v>10.3</v>
      </c>
      <c r="F35" s="33">
        <f t="shared" si="1"/>
        <v>6.93</v>
      </c>
      <c r="G35" s="33">
        <f t="shared" si="1"/>
        <v>120.37</v>
      </c>
      <c r="H35" s="33">
        <f t="shared" si="1"/>
        <v>43.59</v>
      </c>
      <c r="I35" s="33">
        <f t="shared" si="1"/>
        <v>11.01</v>
      </c>
      <c r="J35" s="33">
        <f t="shared" si="1"/>
        <v>1.1200000000000001</v>
      </c>
      <c r="K35" s="33">
        <f t="shared" si="1"/>
        <v>356.71</v>
      </c>
      <c r="L35" s="33">
        <f t="shared" si="1"/>
        <v>29.27</v>
      </c>
      <c r="M35" s="33">
        <f t="shared" si="1"/>
        <v>89.9</v>
      </c>
      <c r="N35" s="33">
        <f t="shared" si="1"/>
        <v>438.7</v>
      </c>
      <c r="O35" s="33">
        <f t="shared" si="1"/>
        <v>0</v>
      </c>
      <c r="P35" s="33">
        <f t="shared" si="1"/>
        <v>1.1499999999999999</v>
      </c>
      <c r="Q35" s="33">
        <f t="shared" si="1"/>
        <v>5.42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25.029166666666669</v>
      </c>
      <c r="C36" s="41">
        <f t="shared" si="2"/>
        <v>26.583333333333329</v>
      </c>
      <c r="D36" s="41">
        <f t="shared" si="2"/>
        <v>35.122916666666661</v>
      </c>
      <c r="E36" s="41">
        <f t="shared" si="2"/>
        <v>8.3187499999999996</v>
      </c>
      <c r="F36" s="41">
        <f t="shared" si="2"/>
        <v>3.1579166666666665</v>
      </c>
      <c r="G36" s="41">
        <f t="shared" si="2"/>
        <v>77.83874999999999</v>
      </c>
      <c r="H36" s="41">
        <f t="shared" si="2"/>
        <v>29.143333333333342</v>
      </c>
      <c r="I36" s="41">
        <f t="shared" si="2"/>
        <v>8.1366666666666667</v>
      </c>
      <c r="J36" s="41">
        <f t="shared" si="2"/>
        <v>0.48041666666666655</v>
      </c>
      <c r="K36" s="41">
        <f t="shared" si="2"/>
        <v>246.52916666666667</v>
      </c>
      <c r="L36" s="41">
        <f t="shared" si="2"/>
        <v>22.524583333333336</v>
      </c>
      <c r="M36" s="41">
        <f t="shared" si="2"/>
        <v>64.408333333333317</v>
      </c>
      <c r="N36" s="41">
        <f t="shared" si="2"/>
        <v>108.15833333333335</v>
      </c>
      <c r="O36" s="41">
        <f t="shared" si="2"/>
        <v>0</v>
      </c>
      <c r="P36" s="41">
        <f t="shared" si="2"/>
        <v>0.73</v>
      </c>
      <c r="Q36" s="41">
        <f t="shared" si="2"/>
        <v>5.0824999999999996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16.31705080893753</v>
      </c>
      <c r="C37" s="41">
        <f t="shared" ref="C37:Q37" si="3">STDEV(C9:C32)</f>
        <v>2.8598048985850797</v>
      </c>
      <c r="D37" s="41">
        <f t="shared" si="3"/>
        <v>14.082806192432798</v>
      </c>
      <c r="E37" s="41">
        <f t="shared" si="3"/>
        <v>0.93284190608009343</v>
      </c>
      <c r="F37" s="41">
        <f t="shared" si="3"/>
        <v>1.3612238073230973</v>
      </c>
      <c r="G37" s="41">
        <f t="shared" si="3"/>
        <v>18.410357272234176</v>
      </c>
      <c r="H37" s="41">
        <f t="shared" si="3"/>
        <v>5.2280860798164621</v>
      </c>
      <c r="I37" s="41">
        <f t="shared" si="3"/>
        <v>1.3541166434461884</v>
      </c>
      <c r="J37" s="41">
        <f t="shared" si="3"/>
        <v>0.32076646206922244</v>
      </c>
      <c r="K37" s="41">
        <f t="shared" si="3"/>
        <v>67.554834662160829</v>
      </c>
      <c r="L37" s="41">
        <f t="shared" si="3"/>
        <v>4.6908819780382602</v>
      </c>
      <c r="M37" s="41">
        <f t="shared" si="3"/>
        <v>20.483959719670995</v>
      </c>
      <c r="N37" s="41">
        <f t="shared" si="3"/>
        <v>166.03472113744283</v>
      </c>
      <c r="O37" s="41">
        <f t="shared" si="3"/>
        <v>0</v>
      </c>
      <c r="P37" s="41">
        <f t="shared" si="3"/>
        <v>0.1599184574821757</v>
      </c>
      <c r="Q37" s="41">
        <f t="shared" si="3"/>
        <v>0.20289748964526294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14/01/2024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 t="s">
        <v>300</v>
      </c>
      <c r="B9" s="53">
        <v>24.09</v>
      </c>
      <c r="C9" s="53">
        <v>25.87</v>
      </c>
      <c r="D9" s="53">
        <v>33.58</v>
      </c>
      <c r="E9" s="53">
        <v>7.32</v>
      </c>
      <c r="F9" s="53">
        <v>2.4</v>
      </c>
      <c r="G9" s="53">
        <v>87.19</v>
      </c>
      <c r="H9" s="53">
        <v>29.81</v>
      </c>
      <c r="I9" s="53">
        <v>8.65</v>
      </c>
      <c r="J9" s="53">
        <v>0.32</v>
      </c>
      <c r="K9" s="53">
        <v>216.16</v>
      </c>
      <c r="L9" s="53">
        <v>19.329999999999998</v>
      </c>
      <c r="M9" s="53">
        <v>78.72</v>
      </c>
      <c r="N9" s="53">
        <v>0</v>
      </c>
      <c r="O9" s="53">
        <v>0</v>
      </c>
      <c r="P9" s="53">
        <v>0.76</v>
      </c>
      <c r="Q9" s="53">
        <v>5.08</v>
      </c>
    </row>
    <row r="10" spans="1:21" customFormat="1">
      <c r="A10" s="52" t="s">
        <v>301</v>
      </c>
      <c r="B10" s="53">
        <v>27.16</v>
      </c>
      <c r="C10" s="53">
        <v>27.69</v>
      </c>
      <c r="D10" s="53">
        <v>37.590000000000003</v>
      </c>
      <c r="E10" s="53">
        <v>7.46</v>
      </c>
      <c r="F10" s="53">
        <v>2.4</v>
      </c>
      <c r="G10" s="53">
        <v>81.08</v>
      </c>
      <c r="H10" s="53">
        <v>27.82</v>
      </c>
      <c r="I10" s="53">
        <v>8.32</v>
      </c>
      <c r="J10" s="53">
        <v>0.19</v>
      </c>
      <c r="K10" s="53">
        <v>189.29</v>
      </c>
      <c r="L10" s="53">
        <v>18.239999999999998</v>
      </c>
      <c r="M10" s="53">
        <v>79.989999999999995</v>
      </c>
      <c r="N10" s="53">
        <v>0</v>
      </c>
      <c r="O10" s="53">
        <v>0</v>
      </c>
      <c r="P10" s="53">
        <v>0.71</v>
      </c>
      <c r="Q10" s="53">
        <v>5.12</v>
      </c>
    </row>
    <row r="11" spans="1:21" customFormat="1">
      <c r="A11" s="52" t="s">
        <v>302</v>
      </c>
      <c r="B11" s="53">
        <v>30.04</v>
      </c>
      <c r="C11" s="53">
        <v>28.29</v>
      </c>
      <c r="D11" s="53">
        <v>40.22</v>
      </c>
      <c r="E11" s="53">
        <v>7.49</v>
      </c>
      <c r="F11" s="53">
        <v>2.33</v>
      </c>
      <c r="G11" s="53">
        <v>78.59</v>
      </c>
      <c r="H11" s="53">
        <v>28.68</v>
      </c>
      <c r="I11" s="53">
        <v>8.0399999999999991</v>
      </c>
      <c r="J11" s="53">
        <v>0.26</v>
      </c>
      <c r="K11" s="53">
        <v>250.97</v>
      </c>
      <c r="L11" s="53">
        <v>18.13</v>
      </c>
      <c r="M11" s="53">
        <v>83.56</v>
      </c>
      <c r="N11" s="53">
        <v>0</v>
      </c>
      <c r="O11" s="53">
        <v>0</v>
      </c>
      <c r="P11" s="53">
        <v>0.71</v>
      </c>
      <c r="Q11" s="53">
        <v>5.16</v>
      </c>
    </row>
    <row r="12" spans="1:21" customFormat="1">
      <c r="A12" s="52" t="s">
        <v>303</v>
      </c>
      <c r="B12" s="53">
        <v>28.67</v>
      </c>
      <c r="C12" s="53">
        <v>28.2</v>
      </c>
      <c r="D12" s="53">
        <v>39.07</v>
      </c>
      <c r="E12" s="53">
        <v>7.67</v>
      </c>
      <c r="F12" s="53">
        <v>2.36</v>
      </c>
      <c r="G12" s="53">
        <v>72.02</v>
      </c>
      <c r="H12" s="53">
        <v>26.18</v>
      </c>
      <c r="I12" s="53">
        <v>7.88</v>
      </c>
      <c r="J12" s="53">
        <v>0.18</v>
      </c>
      <c r="K12" s="53">
        <v>238.29</v>
      </c>
      <c r="L12" s="53">
        <v>16.77</v>
      </c>
      <c r="M12" s="53">
        <v>85.86</v>
      </c>
      <c r="N12" s="53">
        <v>0</v>
      </c>
      <c r="O12" s="53">
        <v>0</v>
      </c>
      <c r="P12" s="53">
        <v>0.69</v>
      </c>
      <c r="Q12" s="53">
        <v>5.14</v>
      </c>
    </row>
    <row r="13" spans="1:21" customFormat="1">
      <c r="A13" s="52" t="s">
        <v>304</v>
      </c>
      <c r="B13" s="53">
        <v>24.96</v>
      </c>
      <c r="C13" s="53">
        <v>27.22</v>
      </c>
      <c r="D13" s="53">
        <v>35.590000000000003</v>
      </c>
      <c r="E13" s="53">
        <v>7.84</v>
      </c>
      <c r="F13" s="53">
        <v>2.2599999999999998</v>
      </c>
      <c r="G13" s="53">
        <v>72.88</v>
      </c>
      <c r="H13" s="53">
        <v>24.66</v>
      </c>
      <c r="I13" s="53">
        <v>7.92</v>
      </c>
      <c r="J13" s="53">
        <v>0.2</v>
      </c>
      <c r="K13" s="53">
        <v>198.01</v>
      </c>
      <c r="L13" s="53">
        <v>16.66</v>
      </c>
      <c r="M13" s="53">
        <v>86.49</v>
      </c>
      <c r="N13" s="53">
        <v>0</v>
      </c>
      <c r="O13" s="53">
        <v>0</v>
      </c>
      <c r="P13" s="53">
        <v>0.66</v>
      </c>
      <c r="Q13" s="53">
        <v>5.09</v>
      </c>
    </row>
    <row r="14" spans="1:21" customFormat="1">
      <c r="A14" s="52" t="s">
        <v>305</v>
      </c>
      <c r="B14" s="53">
        <v>21.79</v>
      </c>
      <c r="C14" s="53">
        <v>25.92</v>
      </c>
      <c r="D14" s="53">
        <v>32.369999999999997</v>
      </c>
      <c r="E14" s="53">
        <v>7.71</v>
      </c>
      <c r="F14" s="53">
        <v>2.2599999999999998</v>
      </c>
      <c r="G14" s="53">
        <v>68.64</v>
      </c>
      <c r="H14" s="53">
        <v>24.37</v>
      </c>
      <c r="I14" s="53">
        <v>7.89</v>
      </c>
      <c r="J14" s="53">
        <v>0.21</v>
      </c>
      <c r="K14" s="53">
        <v>236.35</v>
      </c>
      <c r="L14" s="53">
        <v>16.05</v>
      </c>
      <c r="M14" s="53">
        <v>88.16</v>
      </c>
      <c r="N14" s="53">
        <v>0</v>
      </c>
      <c r="O14" s="53">
        <v>0</v>
      </c>
      <c r="P14" s="53">
        <v>0.64</v>
      </c>
      <c r="Q14" s="53">
        <v>5.0199999999999996</v>
      </c>
    </row>
    <row r="15" spans="1:21" customFormat="1">
      <c r="A15" s="52" t="s">
        <v>306</v>
      </c>
      <c r="B15" s="53">
        <v>22.86</v>
      </c>
      <c r="C15" s="53">
        <v>24.81</v>
      </c>
      <c r="D15" s="53">
        <v>31.92</v>
      </c>
      <c r="E15" s="53">
        <v>7.62</v>
      </c>
      <c r="F15" s="53">
        <v>2.42</v>
      </c>
      <c r="G15" s="53">
        <v>60.38</v>
      </c>
      <c r="H15" s="53">
        <v>24.6</v>
      </c>
      <c r="I15" s="53">
        <v>7.61</v>
      </c>
      <c r="J15" s="53">
        <v>0.28000000000000003</v>
      </c>
      <c r="K15" s="53">
        <v>194.02</v>
      </c>
      <c r="L15" s="53">
        <v>16.350000000000001</v>
      </c>
      <c r="M15" s="53">
        <v>90.37</v>
      </c>
      <c r="N15" s="53">
        <v>1.3</v>
      </c>
      <c r="O15" s="53">
        <v>0</v>
      </c>
      <c r="P15" s="53">
        <v>0.6</v>
      </c>
      <c r="Q15" s="53">
        <v>4.99</v>
      </c>
    </row>
    <row r="16" spans="1:21" customFormat="1">
      <c r="A16" s="52" t="s">
        <v>307</v>
      </c>
      <c r="B16" s="53">
        <v>29.08</v>
      </c>
      <c r="C16" s="53">
        <v>26.14</v>
      </c>
      <c r="D16" s="53">
        <v>38.33</v>
      </c>
      <c r="E16" s="53">
        <v>7.51</v>
      </c>
      <c r="F16" s="53">
        <v>2.5099999999999998</v>
      </c>
      <c r="G16" s="53">
        <v>60.62</v>
      </c>
      <c r="H16" s="53">
        <v>26.48</v>
      </c>
      <c r="I16" s="53">
        <v>7.64</v>
      </c>
      <c r="J16" s="53">
        <v>1.1000000000000001</v>
      </c>
      <c r="K16" s="53">
        <v>56.31</v>
      </c>
      <c r="L16" s="53">
        <v>17.97</v>
      </c>
      <c r="M16" s="53">
        <v>78.16</v>
      </c>
      <c r="N16" s="53">
        <v>48.7</v>
      </c>
      <c r="O16" s="53">
        <v>0</v>
      </c>
      <c r="P16" s="53">
        <v>0.64</v>
      </c>
      <c r="Q16" s="53">
        <v>5.1100000000000003</v>
      </c>
    </row>
    <row r="17" spans="1:17" customFormat="1">
      <c r="A17" s="52" t="s">
        <v>308</v>
      </c>
      <c r="B17" s="53">
        <v>29.38</v>
      </c>
      <c r="C17" s="53">
        <v>26.52</v>
      </c>
      <c r="D17" s="53">
        <v>38.71</v>
      </c>
      <c r="E17" s="53">
        <v>8.0500000000000007</v>
      </c>
      <c r="F17" s="53">
        <v>2.5299999999999998</v>
      </c>
      <c r="G17" s="53">
        <v>76.040000000000006</v>
      </c>
      <c r="H17" s="53">
        <v>29.56</v>
      </c>
      <c r="I17" s="53">
        <v>8.09</v>
      </c>
      <c r="J17" s="53">
        <v>0.82</v>
      </c>
      <c r="K17" s="53">
        <v>58.48</v>
      </c>
      <c r="L17" s="53">
        <v>20.77</v>
      </c>
      <c r="M17" s="53">
        <v>68.62</v>
      </c>
      <c r="N17" s="53">
        <v>187.5</v>
      </c>
      <c r="O17" s="53">
        <v>0</v>
      </c>
      <c r="P17" s="53">
        <v>0.67</v>
      </c>
      <c r="Q17" s="53">
        <v>5.12</v>
      </c>
    </row>
    <row r="18" spans="1:17" customFormat="1">
      <c r="A18" s="52" t="s">
        <v>309</v>
      </c>
      <c r="B18" s="53">
        <v>28.25</v>
      </c>
      <c r="C18" s="53">
        <v>26.52</v>
      </c>
      <c r="D18" s="53">
        <v>37.869999999999997</v>
      </c>
      <c r="E18" s="53">
        <v>8.0399999999999991</v>
      </c>
      <c r="F18" s="53">
        <v>2.56</v>
      </c>
      <c r="G18" s="53">
        <v>85.21</v>
      </c>
      <c r="H18" s="53">
        <v>33.020000000000003</v>
      </c>
      <c r="I18" s="53">
        <v>8.1999999999999993</v>
      </c>
      <c r="J18" s="53">
        <v>0.98</v>
      </c>
      <c r="K18" s="53">
        <v>57.57</v>
      </c>
      <c r="L18" s="53">
        <v>24.01</v>
      </c>
      <c r="M18" s="53">
        <v>56.1</v>
      </c>
      <c r="N18" s="53">
        <v>237.3</v>
      </c>
      <c r="O18" s="53">
        <v>0</v>
      </c>
      <c r="P18" s="53">
        <v>0.68</v>
      </c>
      <c r="Q18" s="53">
        <v>5.12</v>
      </c>
    </row>
    <row r="19" spans="1:17" customFormat="1">
      <c r="A19" s="52" t="s">
        <v>310</v>
      </c>
      <c r="B19" s="53">
        <v>25.27</v>
      </c>
      <c r="C19" s="53">
        <v>25.09</v>
      </c>
      <c r="D19" s="53">
        <v>34.299999999999997</v>
      </c>
      <c r="E19" s="53">
        <v>9.2799999999999994</v>
      </c>
      <c r="F19" s="53">
        <v>2.65</v>
      </c>
      <c r="G19" s="53">
        <v>88.45</v>
      </c>
      <c r="H19" s="53">
        <v>32.51</v>
      </c>
      <c r="I19" s="53">
        <v>8.1999999999999993</v>
      </c>
      <c r="J19" s="53">
        <v>0.72</v>
      </c>
      <c r="K19" s="53">
        <v>67.98</v>
      </c>
      <c r="L19" s="53">
        <v>26.05</v>
      </c>
      <c r="M19" s="53">
        <v>44.98</v>
      </c>
      <c r="N19" s="53">
        <v>375.2</v>
      </c>
      <c r="O19" s="53">
        <v>0</v>
      </c>
      <c r="P19" s="53">
        <v>0.69</v>
      </c>
      <c r="Q19" s="53">
        <v>5.08</v>
      </c>
    </row>
    <row r="20" spans="1:17" customFormat="1">
      <c r="A20" s="52" t="s">
        <v>311</v>
      </c>
      <c r="B20" s="53">
        <v>22.48</v>
      </c>
      <c r="C20" s="53">
        <v>25.91</v>
      </c>
      <c r="D20" s="53">
        <v>31.67</v>
      </c>
      <c r="E20" s="53">
        <v>9.4</v>
      </c>
      <c r="F20" s="53">
        <v>3.61</v>
      </c>
      <c r="G20" s="53">
        <v>91.77</v>
      </c>
      <c r="H20" s="53">
        <v>30.85</v>
      </c>
      <c r="I20" s="53">
        <v>8.0399999999999991</v>
      </c>
      <c r="J20" s="53">
        <v>0.71</v>
      </c>
      <c r="K20" s="53">
        <v>120.2</v>
      </c>
      <c r="L20" s="53">
        <v>27.61</v>
      </c>
      <c r="M20" s="53">
        <v>34.25</v>
      </c>
      <c r="N20" s="53">
        <v>419.1</v>
      </c>
      <c r="O20" s="53">
        <v>0</v>
      </c>
      <c r="P20" s="53">
        <v>0.66</v>
      </c>
      <c r="Q20" s="53">
        <v>5.07</v>
      </c>
    </row>
    <row r="21" spans="1:17" customFormat="1">
      <c r="A21" s="52" t="s">
        <v>312</v>
      </c>
      <c r="B21" s="53">
        <v>15.24</v>
      </c>
      <c r="C21" s="53">
        <v>26.21</v>
      </c>
      <c r="D21" s="53">
        <v>27.27</v>
      </c>
      <c r="E21" s="53">
        <v>9.19</v>
      </c>
      <c r="F21" s="53">
        <v>3.57</v>
      </c>
      <c r="G21" s="53">
        <v>82.22</v>
      </c>
      <c r="H21" s="53">
        <v>27.72</v>
      </c>
      <c r="I21" s="53">
        <v>7.57</v>
      </c>
      <c r="J21" s="53">
        <v>0.4</v>
      </c>
      <c r="K21" s="53">
        <v>211.78</v>
      </c>
      <c r="L21" s="53">
        <v>29.2</v>
      </c>
      <c r="M21" s="53">
        <v>32.85</v>
      </c>
      <c r="N21" s="53">
        <v>426.7</v>
      </c>
      <c r="O21" s="53">
        <v>0</v>
      </c>
      <c r="P21" s="53">
        <v>0.61</v>
      </c>
      <c r="Q21" s="53">
        <v>4.97</v>
      </c>
    </row>
    <row r="22" spans="1:17" customFormat="1">
      <c r="A22" s="52" t="s">
        <v>313</v>
      </c>
      <c r="B22" s="53">
        <v>8.43</v>
      </c>
      <c r="C22" s="53">
        <v>25.55</v>
      </c>
      <c r="D22" s="53">
        <v>21.46</v>
      </c>
      <c r="E22" s="53">
        <v>8.58</v>
      </c>
      <c r="F22" s="53">
        <v>4.42</v>
      </c>
      <c r="G22" s="53">
        <v>65.709999999999994</v>
      </c>
      <c r="H22" s="53">
        <v>22.96</v>
      </c>
      <c r="I22" s="53">
        <v>6.86</v>
      </c>
      <c r="J22" s="53">
        <v>0.36</v>
      </c>
      <c r="K22" s="53">
        <v>330.42</v>
      </c>
      <c r="L22" s="53">
        <v>30.06</v>
      </c>
      <c r="M22" s="53">
        <v>33.17</v>
      </c>
      <c r="N22" s="53">
        <v>381.1</v>
      </c>
      <c r="O22" s="53">
        <v>0</v>
      </c>
      <c r="P22" s="53">
        <v>0.54</v>
      </c>
      <c r="Q22" s="53">
        <v>4.8899999999999997</v>
      </c>
    </row>
    <row r="23" spans="1:17" customFormat="1">
      <c r="A23" s="52" t="s">
        <v>314</v>
      </c>
      <c r="B23" s="53">
        <v>5.2</v>
      </c>
      <c r="C23" s="53">
        <v>23.73</v>
      </c>
      <c r="D23" s="53">
        <v>17.920000000000002</v>
      </c>
      <c r="E23" s="53">
        <v>10.45</v>
      </c>
      <c r="F23" s="53">
        <v>6.48</v>
      </c>
      <c r="G23" s="53">
        <v>56.26</v>
      </c>
      <c r="H23" s="53">
        <v>23.06</v>
      </c>
      <c r="I23" s="53">
        <v>6.28</v>
      </c>
      <c r="J23" s="53">
        <v>0.54</v>
      </c>
      <c r="K23" s="53">
        <v>332.26</v>
      </c>
      <c r="L23" s="53">
        <v>29.77</v>
      </c>
      <c r="M23" s="53">
        <v>34.46</v>
      </c>
      <c r="N23" s="53">
        <v>299.7</v>
      </c>
      <c r="O23" s="53">
        <v>0</v>
      </c>
      <c r="P23" s="53">
        <v>0.53</v>
      </c>
      <c r="Q23" s="53">
        <v>4.84</v>
      </c>
    </row>
    <row r="24" spans="1:17" customFormat="1">
      <c r="A24" s="52" t="s">
        <v>315</v>
      </c>
      <c r="B24" s="53">
        <v>4.76</v>
      </c>
      <c r="C24" s="53">
        <v>23.81</v>
      </c>
      <c r="D24" s="53">
        <v>17.61</v>
      </c>
      <c r="E24" s="53">
        <v>10.69</v>
      </c>
      <c r="F24" s="53">
        <v>7.15</v>
      </c>
      <c r="G24" s="53">
        <v>61.05</v>
      </c>
      <c r="H24" s="53">
        <v>25.48</v>
      </c>
      <c r="I24" s="53">
        <v>6.04</v>
      </c>
      <c r="J24" s="53">
        <v>0.85</v>
      </c>
      <c r="K24" s="53">
        <v>326.61</v>
      </c>
      <c r="L24" s="53">
        <v>28.59</v>
      </c>
      <c r="M24" s="53">
        <v>35.68</v>
      </c>
      <c r="N24" s="53">
        <v>66.2</v>
      </c>
      <c r="O24" s="53">
        <v>0</v>
      </c>
      <c r="P24" s="53">
        <v>0.54</v>
      </c>
      <c r="Q24" s="53">
        <v>4.8099999999999996</v>
      </c>
    </row>
    <row r="25" spans="1:17" customFormat="1">
      <c r="A25" s="52" t="s">
        <v>316</v>
      </c>
      <c r="B25" s="53">
        <v>5.29</v>
      </c>
      <c r="C25" s="53">
        <v>23.82</v>
      </c>
      <c r="D25" s="53">
        <v>17.75</v>
      </c>
      <c r="E25" s="53">
        <v>9.68</v>
      </c>
      <c r="F25" s="53">
        <v>6.59</v>
      </c>
      <c r="G25" s="53">
        <v>61.57</v>
      </c>
      <c r="H25" s="53">
        <v>25.07</v>
      </c>
      <c r="I25" s="53">
        <v>5.9</v>
      </c>
      <c r="J25" s="53">
        <v>0.62</v>
      </c>
      <c r="K25" s="53">
        <v>342.99</v>
      </c>
      <c r="L25" s="53">
        <v>28.12</v>
      </c>
      <c r="M25" s="53">
        <v>39.82</v>
      </c>
      <c r="N25" s="53">
        <v>35.6</v>
      </c>
      <c r="O25" s="53">
        <v>0</v>
      </c>
      <c r="P25" s="53">
        <v>0.54</v>
      </c>
      <c r="Q25" s="53">
        <v>4.79</v>
      </c>
    </row>
    <row r="26" spans="1:17" customFormat="1">
      <c r="A26" s="52" t="s">
        <v>317</v>
      </c>
      <c r="B26" s="53">
        <v>7.08</v>
      </c>
      <c r="C26" s="53">
        <v>20.57</v>
      </c>
      <c r="D26" s="53">
        <v>17.11</v>
      </c>
      <c r="E26" s="53">
        <v>8.26</v>
      </c>
      <c r="F26" s="53">
        <v>3.27</v>
      </c>
      <c r="G26" s="53">
        <v>66.260000000000005</v>
      </c>
      <c r="H26" s="53">
        <v>26.27</v>
      </c>
      <c r="I26" s="53">
        <v>5.77</v>
      </c>
      <c r="J26" s="53">
        <v>0.28000000000000003</v>
      </c>
      <c r="K26" s="53">
        <v>157.25</v>
      </c>
      <c r="L26" s="53">
        <v>26.84</v>
      </c>
      <c r="M26" s="53">
        <v>54.17</v>
      </c>
      <c r="N26" s="53">
        <v>4</v>
      </c>
      <c r="O26" s="53">
        <v>0</v>
      </c>
      <c r="P26" s="53">
        <v>0.55000000000000004</v>
      </c>
      <c r="Q26" s="53">
        <v>4.8099999999999996</v>
      </c>
    </row>
    <row r="27" spans="1:17" customFormat="1">
      <c r="A27" s="52" t="s">
        <v>318</v>
      </c>
      <c r="B27" s="53">
        <v>8.73</v>
      </c>
      <c r="C27" s="53">
        <v>22.68</v>
      </c>
      <c r="D27" s="53">
        <v>20.2</v>
      </c>
      <c r="E27" s="53">
        <v>7.72</v>
      </c>
      <c r="F27" s="53">
        <v>2.4</v>
      </c>
      <c r="G27" s="53">
        <v>85.48</v>
      </c>
      <c r="H27" s="53">
        <v>28.45</v>
      </c>
      <c r="I27" s="53">
        <v>6.1</v>
      </c>
      <c r="J27" s="53">
        <v>0.3</v>
      </c>
      <c r="K27" s="53">
        <v>170.57</v>
      </c>
      <c r="L27" s="53">
        <v>23.49</v>
      </c>
      <c r="M27" s="53">
        <v>67.73</v>
      </c>
      <c r="N27" s="53">
        <v>0</v>
      </c>
      <c r="O27" s="53">
        <v>0</v>
      </c>
      <c r="P27" s="53">
        <v>0.63</v>
      </c>
      <c r="Q27" s="53">
        <v>4.84</v>
      </c>
    </row>
    <row r="28" spans="1:17" customFormat="1">
      <c r="A28" s="52" t="s">
        <v>319</v>
      </c>
      <c r="B28" s="53">
        <v>11.15</v>
      </c>
      <c r="C28" s="53">
        <v>22.63</v>
      </c>
      <c r="D28" s="53">
        <v>22.12</v>
      </c>
      <c r="E28" s="53">
        <v>7.67</v>
      </c>
      <c r="F28" s="53">
        <v>2.4700000000000002</v>
      </c>
      <c r="G28" s="53">
        <v>98.37</v>
      </c>
      <c r="H28" s="53">
        <v>31.5</v>
      </c>
      <c r="I28" s="53">
        <v>7.02</v>
      </c>
      <c r="J28" s="53">
        <v>0.26</v>
      </c>
      <c r="K28" s="53">
        <v>217.99</v>
      </c>
      <c r="L28" s="53">
        <v>22.16</v>
      </c>
      <c r="M28" s="53">
        <v>75.33</v>
      </c>
      <c r="N28" s="53">
        <v>0</v>
      </c>
      <c r="O28" s="53">
        <v>0</v>
      </c>
      <c r="P28" s="53">
        <v>0.72</v>
      </c>
      <c r="Q28" s="53">
        <v>4.9000000000000004</v>
      </c>
    </row>
    <row r="29" spans="1:17" customFormat="1">
      <c r="A29" s="52" t="s">
        <v>320</v>
      </c>
      <c r="B29" s="53">
        <v>11.65</v>
      </c>
      <c r="C29" s="53">
        <v>23.88</v>
      </c>
      <c r="D29" s="53">
        <v>22.96</v>
      </c>
      <c r="E29" s="53">
        <v>7.68</v>
      </c>
      <c r="F29" s="53">
        <v>2.61</v>
      </c>
      <c r="G29" s="53">
        <v>103</v>
      </c>
      <c r="H29" s="53">
        <v>30.77</v>
      </c>
      <c r="I29" s="53">
        <v>7.57</v>
      </c>
      <c r="J29" s="53">
        <v>0.25</v>
      </c>
      <c r="K29" s="53">
        <v>185.07</v>
      </c>
      <c r="L29" s="53">
        <v>20.190000000000001</v>
      </c>
      <c r="M29" s="53">
        <v>77.83</v>
      </c>
      <c r="N29" s="53">
        <v>0</v>
      </c>
      <c r="O29" s="53">
        <v>0</v>
      </c>
      <c r="P29" s="53">
        <v>0.74</v>
      </c>
      <c r="Q29" s="53">
        <v>4.91</v>
      </c>
    </row>
    <row r="30" spans="1:17" customFormat="1">
      <c r="A30" s="52" t="s">
        <v>321</v>
      </c>
      <c r="B30" s="53">
        <v>11.65</v>
      </c>
      <c r="C30" s="53">
        <v>22.66</v>
      </c>
      <c r="D30" s="53">
        <v>22.54</v>
      </c>
      <c r="E30" s="53">
        <v>8.07</v>
      </c>
      <c r="F30" s="53">
        <v>2.67</v>
      </c>
      <c r="G30" s="53">
        <v>93.47</v>
      </c>
      <c r="H30" s="53">
        <v>32.229999999999997</v>
      </c>
      <c r="I30" s="53">
        <v>7.86</v>
      </c>
      <c r="J30" s="53">
        <v>0.32</v>
      </c>
      <c r="K30" s="53">
        <v>188.3</v>
      </c>
      <c r="L30" s="53">
        <v>20.28</v>
      </c>
      <c r="M30" s="53">
        <v>73.77</v>
      </c>
      <c r="N30" s="53">
        <v>0</v>
      </c>
      <c r="O30" s="53">
        <v>0</v>
      </c>
      <c r="P30" s="53">
        <v>0.77</v>
      </c>
      <c r="Q30" s="53">
        <v>4.93</v>
      </c>
    </row>
    <row r="31" spans="1:17" customFormat="1">
      <c r="A31" s="52" t="s">
        <v>322</v>
      </c>
      <c r="B31" s="53">
        <v>18.940000000000001</v>
      </c>
      <c r="C31" s="53">
        <v>28.05</v>
      </c>
      <c r="D31" s="53">
        <v>31.2</v>
      </c>
      <c r="E31" s="53">
        <v>8.31</v>
      </c>
      <c r="F31" s="53">
        <v>2.4</v>
      </c>
      <c r="G31" s="53">
        <v>96.43</v>
      </c>
      <c r="H31" s="53">
        <v>35.76</v>
      </c>
      <c r="I31" s="53">
        <v>8.86</v>
      </c>
      <c r="J31" s="53">
        <v>0.67</v>
      </c>
      <c r="K31" s="53">
        <v>80.680000000000007</v>
      </c>
      <c r="L31" s="53">
        <v>21.12</v>
      </c>
      <c r="M31" s="53">
        <v>70.900000000000006</v>
      </c>
      <c r="N31" s="53">
        <v>0</v>
      </c>
      <c r="O31" s="53">
        <v>0</v>
      </c>
      <c r="P31" s="53">
        <v>0.85</v>
      </c>
      <c r="Q31" s="53">
        <v>5.05</v>
      </c>
    </row>
    <row r="32" spans="1:17" customFormat="1">
      <c r="A32" s="52">
        <v>45306</v>
      </c>
      <c r="B32" s="53">
        <v>18.100000000000001</v>
      </c>
      <c r="C32" s="53">
        <v>29.34</v>
      </c>
      <c r="D32" s="53">
        <v>30.69</v>
      </c>
      <c r="E32" s="53">
        <v>8.0500000000000007</v>
      </c>
      <c r="F32" s="53">
        <v>2.4900000000000002</v>
      </c>
      <c r="G32" s="53">
        <v>95.21</v>
      </c>
      <c r="H32" s="53">
        <v>35.729999999999997</v>
      </c>
      <c r="I32" s="53">
        <v>9.02</v>
      </c>
      <c r="J32" s="53">
        <v>0.76</v>
      </c>
      <c r="K32" s="53">
        <v>115.1</v>
      </c>
      <c r="L32" s="53">
        <v>21.19</v>
      </c>
      <c r="M32" s="53">
        <v>62.33</v>
      </c>
      <c r="N32" s="53">
        <v>0</v>
      </c>
      <c r="O32" s="53">
        <v>0</v>
      </c>
      <c r="P32" s="53">
        <v>0.83</v>
      </c>
      <c r="Q32" s="53">
        <v>5.0599999999999996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4.76</v>
      </c>
      <c r="C34" s="41">
        <f t="shared" si="0"/>
        <v>20.57</v>
      </c>
      <c r="D34" s="41">
        <f t="shared" si="0"/>
        <v>17.11</v>
      </c>
      <c r="E34" s="41">
        <f t="shared" si="0"/>
        <v>7.32</v>
      </c>
      <c r="F34" s="41">
        <f t="shared" si="0"/>
        <v>2.2599999999999998</v>
      </c>
      <c r="G34" s="41">
        <f t="shared" si="0"/>
        <v>56.26</v>
      </c>
      <c r="H34" s="41">
        <f t="shared" si="0"/>
        <v>22.96</v>
      </c>
      <c r="I34" s="41">
        <f t="shared" si="0"/>
        <v>5.77</v>
      </c>
      <c r="J34" s="41">
        <f t="shared" si="0"/>
        <v>0.18</v>
      </c>
      <c r="K34" s="41">
        <f t="shared" si="0"/>
        <v>56.31</v>
      </c>
      <c r="L34" s="41">
        <f t="shared" si="0"/>
        <v>16.05</v>
      </c>
      <c r="M34" s="41">
        <f t="shared" si="0"/>
        <v>32.85</v>
      </c>
      <c r="N34" s="41">
        <f t="shared" si="0"/>
        <v>0</v>
      </c>
      <c r="O34" s="41">
        <f t="shared" si="0"/>
        <v>0</v>
      </c>
      <c r="P34" s="41">
        <f t="shared" si="0"/>
        <v>0.53</v>
      </c>
      <c r="Q34" s="41">
        <f t="shared" si="0"/>
        <v>4.79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30.04</v>
      </c>
      <c r="C35" s="33">
        <f t="shared" si="1"/>
        <v>29.34</v>
      </c>
      <c r="D35" s="33">
        <f t="shared" si="1"/>
        <v>40.22</v>
      </c>
      <c r="E35" s="33">
        <f t="shared" si="1"/>
        <v>10.69</v>
      </c>
      <c r="F35" s="33">
        <f t="shared" si="1"/>
        <v>7.15</v>
      </c>
      <c r="G35" s="33">
        <f t="shared" si="1"/>
        <v>103</v>
      </c>
      <c r="H35" s="33">
        <f t="shared" si="1"/>
        <v>35.76</v>
      </c>
      <c r="I35" s="33">
        <f t="shared" si="1"/>
        <v>9.02</v>
      </c>
      <c r="J35" s="33">
        <f t="shared" si="1"/>
        <v>1.1000000000000001</v>
      </c>
      <c r="K35" s="33">
        <f t="shared" si="1"/>
        <v>342.99</v>
      </c>
      <c r="L35" s="33">
        <f t="shared" si="1"/>
        <v>30.06</v>
      </c>
      <c r="M35" s="33">
        <f t="shared" si="1"/>
        <v>90.37</v>
      </c>
      <c r="N35" s="33">
        <f t="shared" si="1"/>
        <v>426.7</v>
      </c>
      <c r="O35" s="33">
        <f t="shared" si="1"/>
        <v>0</v>
      </c>
      <c r="P35" s="33">
        <f t="shared" si="1"/>
        <v>0.85</v>
      </c>
      <c r="Q35" s="33">
        <f t="shared" si="1"/>
        <v>5.16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18.343749999999996</v>
      </c>
      <c r="C36" s="41">
        <f t="shared" si="2"/>
        <v>25.462916666666668</v>
      </c>
      <c r="D36" s="41">
        <f t="shared" si="2"/>
        <v>29.168750000000006</v>
      </c>
      <c r="E36" s="41">
        <f t="shared" si="2"/>
        <v>8.3224999999999998</v>
      </c>
      <c r="F36" s="41">
        <f t="shared" si="2"/>
        <v>3.200416666666666</v>
      </c>
      <c r="G36" s="41">
        <f t="shared" si="2"/>
        <v>78.662500000000009</v>
      </c>
      <c r="H36" s="41">
        <f t="shared" si="2"/>
        <v>28.480833333333333</v>
      </c>
      <c r="I36" s="41">
        <f t="shared" si="2"/>
        <v>7.5554166666666696</v>
      </c>
      <c r="J36" s="41">
        <f t="shared" si="2"/>
        <v>0.48249999999999998</v>
      </c>
      <c r="K36" s="41">
        <f t="shared" si="2"/>
        <v>189.27708333333339</v>
      </c>
      <c r="L36" s="41">
        <f t="shared" si="2"/>
        <v>22.456250000000001</v>
      </c>
      <c r="M36" s="41">
        <f t="shared" si="2"/>
        <v>63.887499999999996</v>
      </c>
      <c r="N36" s="41">
        <f t="shared" si="2"/>
        <v>103.43333333333332</v>
      </c>
      <c r="O36" s="41">
        <f t="shared" si="2"/>
        <v>0</v>
      </c>
      <c r="P36" s="41">
        <f t="shared" si="2"/>
        <v>0.66499999999999992</v>
      </c>
      <c r="Q36" s="41">
        <f t="shared" si="2"/>
        <v>4.9958333333333345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8.9130455501058119</v>
      </c>
      <c r="C37" s="41">
        <f t="shared" ref="C37:Q37" si="3">STDEV(C9:C32)</f>
        <v>2.1685689113303424</v>
      </c>
      <c r="D37" s="41">
        <f t="shared" si="3"/>
        <v>7.9969446951020808</v>
      </c>
      <c r="E37" s="41">
        <f t="shared" si="3"/>
        <v>0.95548417046019063</v>
      </c>
      <c r="F37" s="41">
        <f t="shared" si="3"/>
        <v>1.4648415233074872</v>
      </c>
      <c r="G37" s="41">
        <f t="shared" si="3"/>
        <v>14.000191691234219</v>
      </c>
      <c r="H37" s="41">
        <f t="shared" si="3"/>
        <v>3.739533703396837</v>
      </c>
      <c r="I37" s="41">
        <f t="shared" si="3"/>
        <v>0.9420005500167411</v>
      </c>
      <c r="J37" s="41">
        <f t="shared" si="3"/>
        <v>0.27931982603709204</v>
      </c>
      <c r="K37" s="41">
        <f t="shared" si="3"/>
        <v>89.37932021685728</v>
      </c>
      <c r="L37" s="41">
        <f t="shared" si="3"/>
        <v>4.7342634636739653</v>
      </c>
      <c r="M37" s="41">
        <f t="shared" si="3"/>
        <v>20.221192767898795</v>
      </c>
      <c r="N37" s="41">
        <f t="shared" si="3"/>
        <v>158.29167537414475</v>
      </c>
      <c r="O37" s="41">
        <f t="shared" si="3"/>
        <v>0</v>
      </c>
      <c r="P37" s="41">
        <f t="shared" si="3"/>
        <v>8.9394095710097529E-2</v>
      </c>
      <c r="Q37" s="41">
        <f t="shared" si="3"/>
        <v>0.12086343952777966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15/01/2024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 t="s">
        <v>392</v>
      </c>
      <c r="B9" s="53">
        <v>14.54</v>
      </c>
      <c r="C9" s="53">
        <v>29.51</v>
      </c>
      <c r="D9" s="53">
        <v>28.27</v>
      </c>
      <c r="E9" s="53">
        <v>7.91</v>
      </c>
      <c r="F9" s="53">
        <v>2.5499999999999998</v>
      </c>
      <c r="G9" s="53">
        <v>86.8</v>
      </c>
      <c r="H9" s="53">
        <v>33.450000000000003</v>
      </c>
      <c r="I9" s="53">
        <v>8.5299999999999994</v>
      </c>
      <c r="J9" s="53">
        <v>0.5</v>
      </c>
      <c r="K9" s="53">
        <v>77.41</v>
      </c>
      <c r="L9" s="53">
        <v>20.190000000000001</v>
      </c>
      <c r="M9" s="53">
        <v>63.57</v>
      </c>
      <c r="N9" s="53">
        <v>0</v>
      </c>
      <c r="O9" s="53">
        <v>0</v>
      </c>
      <c r="P9" s="53">
        <v>0.78</v>
      </c>
      <c r="Q9" s="53">
        <v>4.99</v>
      </c>
    </row>
    <row r="10" spans="1:21" customFormat="1">
      <c r="A10" s="52" t="s">
        <v>393</v>
      </c>
      <c r="B10" s="53">
        <v>13.27</v>
      </c>
      <c r="C10" s="53">
        <v>29.91</v>
      </c>
      <c r="D10" s="53">
        <v>27.62</v>
      </c>
      <c r="E10" s="53">
        <v>8.01</v>
      </c>
      <c r="F10" s="53">
        <v>2.48</v>
      </c>
      <c r="G10" s="53">
        <v>77.44</v>
      </c>
      <c r="H10" s="53">
        <v>31.54</v>
      </c>
      <c r="I10" s="53">
        <v>7.99</v>
      </c>
      <c r="J10" s="53">
        <v>0.44</v>
      </c>
      <c r="K10" s="53">
        <v>119.78</v>
      </c>
      <c r="L10" s="53">
        <v>19.45</v>
      </c>
      <c r="M10" s="53">
        <v>65.959999999999994</v>
      </c>
      <c r="N10" s="53">
        <v>0</v>
      </c>
      <c r="O10" s="53">
        <v>0</v>
      </c>
      <c r="P10" s="53">
        <v>0.74</v>
      </c>
      <c r="Q10" s="53">
        <v>4.97</v>
      </c>
    </row>
    <row r="11" spans="1:21" customFormat="1">
      <c r="A11" s="52" t="s">
        <v>394</v>
      </c>
      <c r="B11" s="53">
        <v>12.13</v>
      </c>
      <c r="C11" s="53">
        <v>29.55</v>
      </c>
      <c r="D11" s="53">
        <v>26.44</v>
      </c>
      <c r="E11" s="53">
        <v>8.6999999999999993</v>
      </c>
      <c r="F11" s="53">
        <v>2.63</v>
      </c>
      <c r="G11" s="53">
        <v>81.56</v>
      </c>
      <c r="H11" s="53">
        <v>34.42</v>
      </c>
      <c r="I11" s="53">
        <v>7.66</v>
      </c>
      <c r="J11" s="53">
        <v>0.57999999999999996</v>
      </c>
      <c r="K11" s="53">
        <v>97.04</v>
      </c>
      <c r="L11" s="53">
        <v>19.14</v>
      </c>
      <c r="M11" s="53">
        <v>64.91</v>
      </c>
      <c r="N11" s="53">
        <v>0</v>
      </c>
      <c r="O11" s="53">
        <v>0</v>
      </c>
      <c r="P11" s="53">
        <v>0.7</v>
      </c>
      <c r="Q11" s="53">
        <v>4.9400000000000004</v>
      </c>
    </row>
    <row r="12" spans="1:21" customFormat="1">
      <c r="A12" s="52" t="s">
        <v>395</v>
      </c>
      <c r="B12" s="53">
        <v>11.03</v>
      </c>
      <c r="C12" s="53">
        <v>25.37</v>
      </c>
      <c r="D12" s="53">
        <v>23.46</v>
      </c>
      <c r="E12" s="53">
        <v>8.5399999999999991</v>
      </c>
      <c r="F12" s="53">
        <v>2.5099999999999998</v>
      </c>
      <c r="G12" s="53">
        <v>75.84</v>
      </c>
      <c r="H12" s="53">
        <v>29.88</v>
      </c>
      <c r="I12" s="53">
        <v>7.34</v>
      </c>
      <c r="J12" s="53">
        <v>0.85</v>
      </c>
      <c r="K12" s="53">
        <v>79.62</v>
      </c>
      <c r="L12" s="53">
        <v>18.95</v>
      </c>
      <c r="M12" s="53">
        <v>60.21</v>
      </c>
      <c r="N12" s="53">
        <v>0</v>
      </c>
      <c r="O12" s="53">
        <v>0</v>
      </c>
      <c r="P12" s="53">
        <v>0.65</v>
      </c>
      <c r="Q12" s="53">
        <v>4.9000000000000004</v>
      </c>
    </row>
    <row r="13" spans="1:21" customFormat="1">
      <c r="A13" s="52" t="s">
        <v>396</v>
      </c>
      <c r="B13" s="53">
        <v>9.26</v>
      </c>
      <c r="C13" s="53">
        <v>23.51</v>
      </c>
      <c r="D13" s="53">
        <v>20.8</v>
      </c>
      <c r="E13" s="53">
        <v>8.64</v>
      </c>
      <c r="F13" s="53">
        <v>2.5</v>
      </c>
      <c r="G13" s="53">
        <v>63.47</v>
      </c>
      <c r="H13" s="53">
        <v>27.59</v>
      </c>
      <c r="I13" s="53">
        <v>7</v>
      </c>
      <c r="J13" s="53">
        <v>0.82</v>
      </c>
      <c r="K13" s="53">
        <v>72.459999999999994</v>
      </c>
      <c r="L13" s="53">
        <v>18.559999999999999</v>
      </c>
      <c r="M13" s="53">
        <v>55.88</v>
      </c>
      <c r="N13" s="53">
        <v>0</v>
      </c>
      <c r="O13" s="53">
        <v>0</v>
      </c>
      <c r="P13" s="53">
        <v>0.59</v>
      </c>
      <c r="Q13" s="53">
        <v>4.91</v>
      </c>
    </row>
    <row r="14" spans="1:21" customFormat="1">
      <c r="A14" s="52" t="s">
        <v>397</v>
      </c>
      <c r="B14" s="53">
        <v>8.81</v>
      </c>
      <c r="C14" s="53">
        <v>23.47</v>
      </c>
      <c r="D14" s="53">
        <v>20.68</v>
      </c>
      <c r="E14" s="53">
        <v>8.5399999999999991</v>
      </c>
      <c r="F14" s="53">
        <v>2.41</v>
      </c>
      <c r="G14" s="53">
        <v>53.03</v>
      </c>
      <c r="H14" s="53">
        <v>24.24</v>
      </c>
      <c r="I14" s="53">
        <v>6.84</v>
      </c>
      <c r="J14" s="53">
        <v>0.68</v>
      </c>
      <c r="K14" s="53">
        <v>77.55</v>
      </c>
      <c r="L14" s="53">
        <v>18.43</v>
      </c>
      <c r="M14" s="53">
        <v>55.6</v>
      </c>
      <c r="N14" s="53">
        <v>0</v>
      </c>
      <c r="O14" s="53">
        <v>0</v>
      </c>
      <c r="P14" s="53">
        <v>0.56000000000000005</v>
      </c>
      <c r="Q14" s="53">
        <v>4.87</v>
      </c>
    </row>
    <row r="15" spans="1:21" customFormat="1">
      <c r="A15" s="52" t="s">
        <v>398</v>
      </c>
      <c r="B15" s="53">
        <v>10.3</v>
      </c>
      <c r="C15" s="53">
        <v>24.4</v>
      </c>
      <c r="D15" s="53">
        <v>22.36</v>
      </c>
      <c r="E15" s="53">
        <v>8.57</v>
      </c>
      <c r="F15" s="53">
        <v>2.44</v>
      </c>
      <c r="G15" s="53">
        <v>47.26</v>
      </c>
      <c r="H15" s="53">
        <v>22.09</v>
      </c>
      <c r="I15" s="53">
        <v>6.74</v>
      </c>
      <c r="J15" s="53">
        <v>0.53</v>
      </c>
      <c r="K15" s="53">
        <v>83.95</v>
      </c>
      <c r="L15" s="53">
        <v>17.89</v>
      </c>
      <c r="M15" s="53">
        <v>59.74</v>
      </c>
      <c r="N15" s="53">
        <v>0.2</v>
      </c>
      <c r="O15" s="53">
        <v>0</v>
      </c>
      <c r="P15" s="53">
        <v>0.53</v>
      </c>
      <c r="Q15" s="53">
        <v>4.88</v>
      </c>
    </row>
    <row r="16" spans="1:21" customFormat="1">
      <c r="A16" s="52" t="s">
        <v>399</v>
      </c>
      <c r="B16" s="53">
        <v>13.43</v>
      </c>
      <c r="C16" s="53">
        <v>26.51</v>
      </c>
      <c r="D16" s="53">
        <v>25.97</v>
      </c>
      <c r="E16" s="53">
        <v>8.68</v>
      </c>
      <c r="F16" s="53">
        <v>2.5099999999999998</v>
      </c>
      <c r="G16" s="53">
        <v>49.7</v>
      </c>
      <c r="H16" s="53">
        <v>22.36</v>
      </c>
      <c r="I16" s="53">
        <v>7.04</v>
      </c>
      <c r="J16" s="53">
        <v>0.92</v>
      </c>
      <c r="K16" s="53">
        <v>65.39</v>
      </c>
      <c r="L16" s="53">
        <v>18.72</v>
      </c>
      <c r="M16" s="53">
        <v>55.86</v>
      </c>
      <c r="N16" s="53">
        <v>46</v>
      </c>
      <c r="O16" s="53">
        <v>0</v>
      </c>
      <c r="P16" s="53">
        <v>0.57999999999999996</v>
      </c>
      <c r="Q16" s="53">
        <v>4.93</v>
      </c>
    </row>
    <row r="17" spans="1:17" customFormat="1">
      <c r="A17" s="52" t="s">
        <v>400</v>
      </c>
      <c r="B17" s="53">
        <v>14.03</v>
      </c>
      <c r="C17" s="53">
        <v>27.84</v>
      </c>
      <c r="D17" s="53">
        <v>27.07</v>
      </c>
      <c r="E17" s="53">
        <v>9.11</v>
      </c>
      <c r="F17" s="53">
        <v>2.6</v>
      </c>
      <c r="G17" s="53">
        <v>59.81</v>
      </c>
      <c r="H17" s="53">
        <v>26.25</v>
      </c>
      <c r="I17" s="53">
        <v>8.4499999999999993</v>
      </c>
      <c r="J17" s="53">
        <v>1.06</v>
      </c>
      <c r="K17" s="53">
        <v>68.94</v>
      </c>
      <c r="L17" s="53">
        <v>21.48</v>
      </c>
      <c r="M17" s="53">
        <v>53.54</v>
      </c>
      <c r="N17" s="53">
        <v>180.3</v>
      </c>
      <c r="O17" s="53">
        <v>0</v>
      </c>
      <c r="P17" s="53">
        <v>0.61</v>
      </c>
      <c r="Q17" s="53">
        <v>4.95</v>
      </c>
    </row>
    <row r="18" spans="1:17" customFormat="1">
      <c r="A18" s="52" t="s">
        <v>401</v>
      </c>
      <c r="B18" s="53">
        <v>14.41</v>
      </c>
      <c r="C18" s="53">
        <v>29.47</v>
      </c>
      <c r="D18" s="53">
        <v>28.3</v>
      </c>
      <c r="E18" s="53">
        <v>10.35</v>
      </c>
      <c r="F18" s="53">
        <v>2.64</v>
      </c>
      <c r="G18" s="53">
        <v>70.91</v>
      </c>
      <c r="H18" s="53">
        <v>26.06</v>
      </c>
      <c r="I18" s="53">
        <v>8.64</v>
      </c>
      <c r="J18" s="53">
        <v>1.0900000000000001</v>
      </c>
      <c r="K18" s="53">
        <v>71.94</v>
      </c>
      <c r="L18" s="53">
        <v>23.78</v>
      </c>
      <c r="M18" s="53">
        <v>43.45</v>
      </c>
      <c r="N18" s="53">
        <v>207.9</v>
      </c>
      <c r="O18" s="53">
        <v>0</v>
      </c>
      <c r="P18" s="53">
        <v>0.61</v>
      </c>
      <c r="Q18" s="53">
        <v>4.95</v>
      </c>
    </row>
    <row r="19" spans="1:17" customFormat="1">
      <c r="A19" s="52" t="s">
        <v>402</v>
      </c>
      <c r="B19" s="53">
        <v>14.8</v>
      </c>
      <c r="C19" s="53">
        <v>31.06</v>
      </c>
      <c r="D19" s="53">
        <v>28.95</v>
      </c>
      <c r="E19" s="53">
        <v>10.41</v>
      </c>
      <c r="F19" s="53">
        <v>2.82</v>
      </c>
      <c r="G19" s="53">
        <v>74.7</v>
      </c>
      <c r="H19" s="53">
        <v>24.63</v>
      </c>
      <c r="I19" s="53">
        <v>8.2200000000000006</v>
      </c>
      <c r="J19" s="53">
        <v>1.53</v>
      </c>
      <c r="K19" s="53">
        <v>65.959999999999994</v>
      </c>
      <c r="L19" s="53">
        <v>24.82</v>
      </c>
      <c r="M19" s="53">
        <v>35.049999999999997</v>
      </c>
      <c r="N19" s="53">
        <v>303.8</v>
      </c>
      <c r="O19" s="53">
        <v>0</v>
      </c>
      <c r="P19" s="53">
        <v>0.59</v>
      </c>
      <c r="Q19" s="53">
        <v>4.97</v>
      </c>
    </row>
    <row r="20" spans="1:17" customFormat="1">
      <c r="A20" s="52" t="s">
        <v>403</v>
      </c>
      <c r="B20" s="53">
        <v>15.06</v>
      </c>
      <c r="C20" s="53">
        <v>31.42</v>
      </c>
      <c r="D20" s="53">
        <v>29.23</v>
      </c>
      <c r="E20" s="53">
        <v>11.43</v>
      </c>
      <c r="F20" s="53">
        <v>3.19</v>
      </c>
      <c r="G20" s="53">
        <v>70.569999999999993</v>
      </c>
      <c r="H20" s="53">
        <v>23.98</v>
      </c>
      <c r="I20" s="53">
        <v>7.41</v>
      </c>
      <c r="J20" s="53">
        <v>1.82</v>
      </c>
      <c r="K20" s="53">
        <v>55.93</v>
      </c>
      <c r="L20" s="53">
        <v>25.54</v>
      </c>
      <c r="M20" s="53">
        <v>31.91</v>
      </c>
      <c r="N20" s="53">
        <v>373.5</v>
      </c>
      <c r="O20" s="53">
        <v>0</v>
      </c>
      <c r="P20" s="53">
        <v>0.56000000000000005</v>
      </c>
      <c r="Q20" s="53">
        <v>4.96</v>
      </c>
    </row>
    <row r="21" spans="1:17" customFormat="1">
      <c r="A21" s="52" t="s">
        <v>404</v>
      </c>
      <c r="B21" s="53">
        <v>13.56</v>
      </c>
      <c r="C21" s="53">
        <v>31.21</v>
      </c>
      <c r="D21" s="53">
        <v>28.54</v>
      </c>
      <c r="E21" s="53">
        <v>10.81</v>
      </c>
      <c r="F21" s="53">
        <v>3.13</v>
      </c>
      <c r="G21" s="53">
        <v>74.8</v>
      </c>
      <c r="H21" s="53">
        <v>22.1</v>
      </c>
      <c r="I21" s="53">
        <v>6.63</v>
      </c>
      <c r="J21" s="53">
        <v>1.56</v>
      </c>
      <c r="K21" s="53">
        <v>52</v>
      </c>
      <c r="L21" s="53">
        <v>26.52</v>
      </c>
      <c r="M21" s="53">
        <v>31.92</v>
      </c>
      <c r="N21" s="53">
        <v>375</v>
      </c>
      <c r="O21" s="53">
        <v>0</v>
      </c>
      <c r="P21" s="53">
        <v>0.54</v>
      </c>
      <c r="Q21" s="53">
        <v>4.9400000000000004</v>
      </c>
    </row>
    <row r="22" spans="1:17" customFormat="1">
      <c r="A22" s="52" t="s">
        <v>405</v>
      </c>
      <c r="B22" s="53">
        <v>12.38</v>
      </c>
      <c r="C22" s="53">
        <v>27.2</v>
      </c>
      <c r="D22" s="53">
        <v>25.49</v>
      </c>
      <c r="E22" s="53">
        <v>9.14</v>
      </c>
      <c r="F22" s="53">
        <v>3.05</v>
      </c>
      <c r="G22" s="53">
        <v>68.150000000000006</v>
      </c>
      <c r="H22" s="53">
        <v>22.51</v>
      </c>
      <c r="I22" s="53">
        <v>6.17</v>
      </c>
      <c r="J22" s="53">
        <v>1.05</v>
      </c>
      <c r="K22" s="53">
        <v>359.89</v>
      </c>
      <c r="L22" s="53">
        <v>27.33</v>
      </c>
      <c r="M22" s="53">
        <v>31.77</v>
      </c>
      <c r="N22" s="53">
        <v>348.1</v>
      </c>
      <c r="O22" s="53">
        <v>0</v>
      </c>
      <c r="P22" s="53">
        <v>0.52</v>
      </c>
      <c r="Q22" s="53">
        <v>4.91</v>
      </c>
    </row>
    <row r="23" spans="1:17" customFormat="1">
      <c r="A23" s="52" t="s">
        <v>406</v>
      </c>
      <c r="B23" s="53">
        <v>10.46</v>
      </c>
      <c r="C23" s="53">
        <v>24.85</v>
      </c>
      <c r="D23" s="53">
        <v>22.72</v>
      </c>
      <c r="E23" s="53">
        <v>8.24</v>
      </c>
      <c r="F23" s="53">
        <v>2.92</v>
      </c>
      <c r="G23" s="53">
        <v>58.75</v>
      </c>
      <c r="H23" s="53">
        <v>20.51</v>
      </c>
      <c r="I23" s="53">
        <v>5.81</v>
      </c>
      <c r="J23" s="53">
        <v>0.79</v>
      </c>
      <c r="K23" s="53">
        <v>328.92</v>
      </c>
      <c r="L23" s="53">
        <v>27.12</v>
      </c>
      <c r="M23" s="53">
        <v>33.9</v>
      </c>
      <c r="N23" s="53">
        <v>306.89999999999998</v>
      </c>
      <c r="O23" s="53">
        <v>0</v>
      </c>
      <c r="P23" s="53">
        <v>0.49</v>
      </c>
      <c r="Q23" s="53">
        <v>4.8899999999999997</v>
      </c>
    </row>
    <row r="24" spans="1:17" customFormat="1">
      <c r="A24" s="52" t="s">
        <v>407</v>
      </c>
      <c r="B24" s="53">
        <v>9.35</v>
      </c>
      <c r="C24" s="53">
        <v>23.05</v>
      </c>
      <c r="D24" s="53">
        <v>20.89</v>
      </c>
      <c r="E24" s="53">
        <v>7.92</v>
      </c>
      <c r="F24" s="53">
        <v>2.9</v>
      </c>
      <c r="G24" s="53">
        <v>49.22</v>
      </c>
      <c r="H24" s="53">
        <v>18.96</v>
      </c>
      <c r="I24" s="53">
        <v>5.61</v>
      </c>
      <c r="J24" s="53">
        <v>0.85</v>
      </c>
      <c r="K24" s="53">
        <v>325.55</v>
      </c>
      <c r="L24" s="53">
        <v>26.82</v>
      </c>
      <c r="M24" s="53">
        <v>35.590000000000003</v>
      </c>
      <c r="N24" s="53">
        <v>68.5</v>
      </c>
      <c r="O24" s="53">
        <v>0</v>
      </c>
      <c r="P24" s="53">
        <v>0.49</v>
      </c>
      <c r="Q24" s="53">
        <v>4.88</v>
      </c>
    </row>
    <row r="25" spans="1:17" customFormat="1">
      <c r="A25" s="52" t="s">
        <v>408</v>
      </c>
      <c r="B25" s="53">
        <v>8.5</v>
      </c>
      <c r="C25" s="53">
        <v>23.78</v>
      </c>
      <c r="D25" s="53">
        <v>20.59</v>
      </c>
      <c r="E25" s="53">
        <v>8.5500000000000007</v>
      </c>
      <c r="F25" s="53">
        <v>3.02</v>
      </c>
      <c r="G25" s="53">
        <v>58.96</v>
      </c>
      <c r="H25" s="53">
        <v>22.08</v>
      </c>
      <c r="I25" s="53">
        <v>5.44</v>
      </c>
      <c r="J25" s="53">
        <v>0.64</v>
      </c>
      <c r="K25" s="53">
        <v>47.17</v>
      </c>
      <c r="L25" s="53">
        <v>26.62</v>
      </c>
      <c r="M25" s="53">
        <v>36.78</v>
      </c>
      <c r="N25" s="53">
        <v>35.9</v>
      </c>
      <c r="O25" s="53">
        <v>0</v>
      </c>
      <c r="P25" s="53">
        <v>0.5</v>
      </c>
      <c r="Q25" s="53">
        <v>4.8899999999999997</v>
      </c>
    </row>
    <row r="26" spans="1:17" customFormat="1">
      <c r="A26" s="52" t="s">
        <v>409</v>
      </c>
      <c r="B26" s="53">
        <v>11.13</v>
      </c>
      <c r="C26" s="53">
        <v>30.34</v>
      </c>
      <c r="D26" s="53">
        <v>26.13</v>
      </c>
      <c r="E26" s="53">
        <v>9.2899999999999991</v>
      </c>
      <c r="F26" s="53">
        <v>2.75</v>
      </c>
      <c r="G26" s="53">
        <v>72.150000000000006</v>
      </c>
      <c r="H26" s="53">
        <v>24.66</v>
      </c>
      <c r="I26" s="53">
        <v>5.62</v>
      </c>
      <c r="J26" s="53">
        <v>1.01</v>
      </c>
      <c r="K26" s="53">
        <v>56.76</v>
      </c>
      <c r="L26" s="53">
        <v>25.59</v>
      </c>
      <c r="M26" s="53">
        <v>43.75</v>
      </c>
      <c r="N26" s="53">
        <v>3.3</v>
      </c>
      <c r="O26" s="53">
        <v>0</v>
      </c>
      <c r="P26" s="53">
        <v>0.61</v>
      </c>
      <c r="Q26" s="53">
        <v>4.9800000000000004</v>
      </c>
    </row>
    <row r="27" spans="1:17" customFormat="1">
      <c r="A27" s="52" t="s">
        <v>410</v>
      </c>
      <c r="B27" s="53">
        <v>14.65</v>
      </c>
      <c r="C27" s="53">
        <v>34.71</v>
      </c>
      <c r="D27" s="53">
        <v>31.23</v>
      </c>
      <c r="E27" s="53">
        <v>9.14</v>
      </c>
      <c r="F27" s="53">
        <v>2.63</v>
      </c>
      <c r="G27" s="53">
        <v>92.01</v>
      </c>
      <c r="H27" s="53">
        <v>29.04</v>
      </c>
      <c r="I27" s="53">
        <v>6.19</v>
      </c>
      <c r="J27" s="53">
        <v>0.61</v>
      </c>
      <c r="K27" s="53">
        <v>77.78</v>
      </c>
      <c r="L27" s="53">
        <v>23.39</v>
      </c>
      <c r="M27" s="53">
        <v>50.04</v>
      </c>
      <c r="N27" s="53">
        <v>0</v>
      </c>
      <c r="O27" s="53">
        <v>0</v>
      </c>
      <c r="P27" s="53">
        <v>0.72</v>
      </c>
      <c r="Q27" s="53">
        <v>5.03</v>
      </c>
    </row>
    <row r="28" spans="1:17" customFormat="1">
      <c r="A28" s="52" t="s">
        <v>411</v>
      </c>
      <c r="B28" s="53">
        <v>14.97</v>
      </c>
      <c r="C28" s="53">
        <v>34.9</v>
      </c>
      <c r="D28" s="53">
        <v>31.58</v>
      </c>
      <c r="E28" s="53">
        <v>8.7899999999999991</v>
      </c>
      <c r="F28" s="53">
        <v>2.52</v>
      </c>
      <c r="G28" s="53">
        <v>107.75</v>
      </c>
      <c r="H28" s="53">
        <v>33.369999999999997</v>
      </c>
      <c r="I28" s="53">
        <v>6.9</v>
      </c>
      <c r="J28" s="53">
        <v>0.42</v>
      </c>
      <c r="K28" s="53">
        <v>155.07</v>
      </c>
      <c r="L28" s="53">
        <v>21.89</v>
      </c>
      <c r="M28" s="53">
        <v>59.04</v>
      </c>
      <c r="N28" s="53">
        <v>0</v>
      </c>
      <c r="O28" s="53">
        <v>0</v>
      </c>
      <c r="P28" s="53">
        <v>0.8</v>
      </c>
      <c r="Q28" s="53">
        <v>5.04</v>
      </c>
    </row>
    <row r="29" spans="1:17" customFormat="1">
      <c r="A29" s="52" t="s">
        <v>412</v>
      </c>
      <c r="B29" s="53">
        <v>17.649999999999999</v>
      </c>
      <c r="C29" s="53">
        <v>35.54</v>
      </c>
      <c r="D29" s="53">
        <v>34.07</v>
      </c>
      <c r="E29" s="53">
        <v>8.58</v>
      </c>
      <c r="F29" s="53">
        <v>2.4900000000000002</v>
      </c>
      <c r="G29" s="53">
        <v>111.17</v>
      </c>
      <c r="H29" s="53">
        <v>36.56</v>
      </c>
      <c r="I29" s="53">
        <v>7.62</v>
      </c>
      <c r="J29" s="53">
        <v>0.25</v>
      </c>
      <c r="K29" s="53">
        <v>209.9</v>
      </c>
      <c r="L29" s="53">
        <v>20.25</v>
      </c>
      <c r="M29" s="53">
        <v>70.319999999999993</v>
      </c>
      <c r="N29" s="53">
        <v>0</v>
      </c>
      <c r="O29" s="53">
        <v>0</v>
      </c>
      <c r="P29" s="53">
        <v>0.91</v>
      </c>
      <c r="Q29" s="53">
        <v>5.03</v>
      </c>
    </row>
    <row r="30" spans="1:17" customFormat="1">
      <c r="A30" s="52" t="s">
        <v>413</v>
      </c>
      <c r="B30" s="53">
        <v>24.36</v>
      </c>
      <c r="C30" s="53">
        <v>36.799999999999997</v>
      </c>
      <c r="D30" s="53">
        <v>40.11</v>
      </c>
      <c r="E30" s="53">
        <v>8.8000000000000007</v>
      </c>
      <c r="F30" s="53">
        <v>2.38</v>
      </c>
      <c r="G30" s="53">
        <v>111.51</v>
      </c>
      <c r="H30" s="53">
        <v>38.270000000000003</v>
      </c>
      <c r="I30" s="53">
        <v>8.56</v>
      </c>
      <c r="J30" s="53">
        <v>0.24</v>
      </c>
      <c r="K30" s="53">
        <v>216.14</v>
      </c>
      <c r="L30" s="53">
        <v>19.29</v>
      </c>
      <c r="M30" s="53">
        <v>74.52</v>
      </c>
      <c r="N30" s="53">
        <v>0</v>
      </c>
      <c r="O30" s="53">
        <v>0</v>
      </c>
      <c r="P30" s="53">
        <v>1.01</v>
      </c>
      <c r="Q30" s="53">
        <v>5.0999999999999996</v>
      </c>
    </row>
    <row r="31" spans="1:17" customFormat="1">
      <c r="A31" s="52" t="s">
        <v>414</v>
      </c>
      <c r="B31" s="53">
        <v>31.9</v>
      </c>
      <c r="C31" s="53">
        <v>37.18</v>
      </c>
      <c r="D31" s="53">
        <v>43.67</v>
      </c>
      <c r="E31" s="53">
        <v>7.83</v>
      </c>
      <c r="F31" s="53">
        <v>2.52</v>
      </c>
      <c r="G31" s="53">
        <v>113.07</v>
      </c>
      <c r="H31" s="53">
        <v>40.200000000000003</v>
      </c>
      <c r="I31" s="53">
        <v>9.17</v>
      </c>
      <c r="J31" s="53">
        <v>0.18</v>
      </c>
      <c r="K31" s="53">
        <v>216.01</v>
      </c>
      <c r="L31" s="53">
        <v>18.53</v>
      </c>
      <c r="M31" s="53">
        <v>75.31</v>
      </c>
      <c r="N31" s="53">
        <v>0</v>
      </c>
      <c r="O31" s="53">
        <v>0</v>
      </c>
      <c r="P31" s="53">
        <v>1.04</v>
      </c>
      <c r="Q31" s="53">
        <v>5.16</v>
      </c>
    </row>
    <row r="32" spans="1:17" customFormat="1">
      <c r="A32" s="52">
        <v>45307</v>
      </c>
      <c r="B32" s="53">
        <v>45.83</v>
      </c>
      <c r="C32" s="53">
        <v>35.36</v>
      </c>
      <c r="D32" s="53">
        <v>56.58</v>
      </c>
      <c r="E32" s="53">
        <v>8.27</v>
      </c>
      <c r="F32" s="53">
        <v>2.4700000000000002</v>
      </c>
      <c r="G32" s="53">
        <v>120.76</v>
      </c>
      <c r="H32" s="53">
        <v>42.34</v>
      </c>
      <c r="I32" s="53">
        <v>9.59</v>
      </c>
      <c r="J32" s="53">
        <v>0.5</v>
      </c>
      <c r="K32" s="53">
        <v>259.25</v>
      </c>
      <c r="L32" s="53">
        <v>18.32</v>
      </c>
      <c r="M32" s="53">
        <v>74.28</v>
      </c>
      <c r="N32" s="53">
        <v>0</v>
      </c>
      <c r="O32" s="53">
        <v>0</v>
      </c>
      <c r="P32" s="53">
        <v>1.0900000000000001</v>
      </c>
      <c r="Q32" s="53">
        <v>5.32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8.5</v>
      </c>
      <c r="C34" s="41">
        <f t="shared" si="0"/>
        <v>23.05</v>
      </c>
      <c r="D34" s="41">
        <f t="shared" si="0"/>
        <v>20.59</v>
      </c>
      <c r="E34" s="41">
        <f t="shared" si="0"/>
        <v>7.83</v>
      </c>
      <c r="F34" s="41">
        <f t="shared" si="0"/>
        <v>2.38</v>
      </c>
      <c r="G34" s="41">
        <f t="shared" si="0"/>
        <v>47.26</v>
      </c>
      <c r="H34" s="41">
        <f t="shared" si="0"/>
        <v>18.96</v>
      </c>
      <c r="I34" s="41">
        <f t="shared" si="0"/>
        <v>5.44</v>
      </c>
      <c r="J34" s="41">
        <f t="shared" si="0"/>
        <v>0.18</v>
      </c>
      <c r="K34" s="41">
        <f t="shared" si="0"/>
        <v>47.17</v>
      </c>
      <c r="L34" s="41">
        <f t="shared" si="0"/>
        <v>17.89</v>
      </c>
      <c r="M34" s="41">
        <f t="shared" si="0"/>
        <v>31.77</v>
      </c>
      <c r="N34" s="41">
        <f t="shared" si="0"/>
        <v>0</v>
      </c>
      <c r="O34" s="41">
        <f t="shared" si="0"/>
        <v>0</v>
      </c>
      <c r="P34" s="41">
        <f t="shared" si="0"/>
        <v>0.49</v>
      </c>
      <c r="Q34" s="41">
        <f t="shared" si="0"/>
        <v>4.87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45.83</v>
      </c>
      <c r="C35" s="33">
        <f t="shared" si="1"/>
        <v>37.18</v>
      </c>
      <c r="D35" s="33">
        <f t="shared" si="1"/>
        <v>56.58</v>
      </c>
      <c r="E35" s="33">
        <f t="shared" si="1"/>
        <v>11.43</v>
      </c>
      <c r="F35" s="33">
        <f t="shared" si="1"/>
        <v>3.19</v>
      </c>
      <c r="G35" s="33">
        <f t="shared" si="1"/>
        <v>120.76</v>
      </c>
      <c r="H35" s="33">
        <f t="shared" si="1"/>
        <v>42.34</v>
      </c>
      <c r="I35" s="33">
        <f t="shared" si="1"/>
        <v>9.59</v>
      </c>
      <c r="J35" s="33">
        <f t="shared" si="1"/>
        <v>1.82</v>
      </c>
      <c r="K35" s="33">
        <f t="shared" si="1"/>
        <v>359.89</v>
      </c>
      <c r="L35" s="33">
        <f t="shared" si="1"/>
        <v>27.33</v>
      </c>
      <c r="M35" s="33">
        <f t="shared" si="1"/>
        <v>75.31</v>
      </c>
      <c r="N35" s="33">
        <f t="shared" si="1"/>
        <v>375</v>
      </c>
      <c r="O35" s="33">
        <f t="shared" si="1"/>
        <v>0</v>
      </c>
      <c r="P35" s="33">
        <f t="shared" si="1"/>
        <v>1.0900000000000001</v>
      </c>
      <c r="Q35" s="33">
        <f t="shared" si="1"/>
        <v>5.32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15.242083333333332</v>
      </c>
      <c r="C36" s="41">
        <f t="shared" si="2"/>
        <v>29.455833333333327</v>
      </c>
      <c r="D36" s="41">
        <f t="shared" si="2"/>
        <v>28.781250000000004</v>
      </c>
      <c r="E36" s="41">
        <f t="shared" si="2"/>
        <v>8.9270833333333339</v>
      </c>
      <c r="F36" s="41">
        <f t="shared" si="2"/>
        <v>2.6691666666666674</v>
      </c>
      <c r="G36" s="41">
        <f t="shared" si="2"/>
        <v>77.057916666666671</v>
      </c>
      <c r="H36" s="41">
        <f t="shared" si="2"/>
        <v>28.212083333333336</v>
      </c>
      <c r="I36" s="41">
        <f t="shared" si="2"/>
        <v>7.298750000000001</v>
      </c>
      <c r="J36" s="41">
        <f t="shared" si="2"/>
        <v>0.78833333333333344</v>
      </c>
      <c r="K36" s="41">
        <f t="shared" si="2"/>
        <v>135.01708333333337</v>
      </c>
      <c r="L36" s="41">
        <f t="shared" si="2"/>
        <v>22.025833333333335</v>
      </c>
      <c r="M36" s="41">
        <f t="shared" si="2"/>
        <v>52.62083333333333</v>
      </c>
      <c r="N36" s="41">
        <f t="shared" si="2"/>
        <v>93.725000000000023</v>
      </c>
      <c r="O36" s="41">
        <f t="shared" si="2"/>
        <v>0</v>
      </c>
      <c r="P36" s="41">
        <f t="shared" si="2"/>
        <v>0.67583333333333329</v>
      </c>
      <c r="Q36" s="41">
        <f t="shared" si="2"/>
        <v>4.9745833333333342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8.268590111230349</v>
      </c>
      <c r="C37" s="41">
        <f t="shared" ref="C37:Q37" si="3">STDEV(C9:C32)</f>
        <v>4.5564535376299267</v>
      </c>
      <c r="D37" s="41">
        <f t="shared" si="3"/>
        <v>8.2511555514838211</v>
      </c>
      <c r="E37" s="41">
        <f t="shared" si="3"/>
        <v>0.9373064051319917</v>
      </c>
      <c r="F37" s="41">
        <f t="shared" si="3"/>
        <v>0.24270068641930273</v>
      </c>
      <c r="G37" s="41">
        <f t="shared" si="3"/>
        <v>22.034737787957837</v>
      </c>
      <c r="H37" s="41">
        <f t="shared" si="3"/>
        <v>6.6378578126214469</v>
      </c>
      <c r="I37" s="41">
        <f t="shared" si="3"/>
        <v>1.1737465562296061</v>
      </c>
      <c r="J37" s="41">
        <f t="shared" si="3"/>
        <v>0.42106146062444183</v>
      </c>
      <c r="K37" s="41">
        <f t="shared" si="3"/>
        <v>98.943187672397926</v>
      </c>
      <c r="L37" s="41">
        <f t="shared" si="3"/>
        <v>3.4505776664036989</v>
      </c>
      <c r="M37" s="41">
        <f t="shared" si="3"/>
        <v>14.843785675777134</v>
      </c>
      <c r="N37" s="41">
        <f t="shared" si="3"/>
        <v>141.54372269649616</v>
      </c>
      <c r="O37" s="41">
        <f t="shared" si="3"/>
        <v>0</v>
      </c>
      <c r="P37" s="41">
        <f t="shared" si="3"/>
        <v>0.17839664323871288</v>
      </c>
      <c r="Q37" s="41">
        <f t="shared" si="3"/>
        <v>0.10278636209088905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45307.041666666664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45307.041666666664</v>
      </c>
      <c r="B9" s="50">
        <v>46.24</v>
      </c>
      <c r="C9" s="50">
        <v>34.840000000000003</v>
      </c>
      <c r="D9" s="50">
        <v>56.64</v>
      </c>
      <c r="E9" s="50">
        <v>8.44</v>
      </c>
      <c r="F9" s="50">
        <v>2.6</v>
      </c>
      <c r="G9" s="50">
        <v>127.53</v>
      </c>
      <c r="H9" s="50">
        <v>46.39</v>
      </c>
      <c r="I9" s="50">
        <v>10.01</v>
      </c>
      <c r="J9" s="50">
        <v>0.21</v>
      </c>
      <c r="K9" s="50">
        <v>183.59</v>
      </c>
      <c r="L9" s="50">
        <v>18.440000000000001</v>
      </c>
      <c r="M9" s="50">
        <v>74.73</v>
      </c>
      <c r="N9" s="50">
        <v>0</v>
      </c>
      <c r="O9" s="50">
        <v>0</v>
      </c>
      <c r="P9" s="50">
        <v>1.0900000000000001</v>
      </c>
      <c r="Q9" s="50">
        <v>5.36</v>
      </c>
    </row>
    <row r="10" spans="1:21" customFormat="1">
      <c r="A10" s="55">
        <v>45307.083333333336</v>
      </c>
      <c r="B10" s="50">
        <v>41.96</v>
      </c>
      <c r="C10" s="50">
        <v>33.78</v>
      </c>
      <c r="D10" s="50">
        <v>52.65</v>
      </c>
      <c r="E10" s="50">
        <v>7.88</v>
      </c>
      <c r="F10" s="50">
        <v>2.41</v>
      </c>
      <c r="G10" s="50">
        <v>114.36</v>
      </c>
      <c r="H10" s="50">
        <v>46.41</v>
      </c>
      <c r="I10" s="50">
        <v>10.1</v>
      </c>
      <c r="J10" s="50">
        <v>0.28000000000000003</v>
      </c>
      <c r="K10" s="50">
        <v>165.32</v>
      </c>
      <c r="L10" s="50">
        <v>17.23</v>
      </c>
      <c r="M10" s="50">
        <v>73.64</v>
      </c>
      <c r="N10" s="50">
        <v>0</v>
      </c>
      <c r="O10" s="50">
        <v>0</v>
      </c>
      <c r="P10" s="50">
        <v>1.06</v>
      </c>
      <c r="Q10" s="50">
        <v>5.32</v>
      </c>
    </row>
    <row r="11" spans="1:21" customFormat="1">
      <c r="A11" s="55">
        <v>45307.125</v>
      </c>
      <c r="B11" s="50">
        <v>35.22</v>
      </c>
      <c r="C11" s="50">
        <v>34.36</v>
      </c>
      <c r="D11" s="50">
        <v>47.14</v>
      </c>
      <c r="E11" s="50">
        <v>8.3800000000000008</v>
      </c>
      <c r="F11" s="50">
        <v>2.44</v>
      </c>
      <c r="G11" s="50">
        <v>101.31</v>
      </c>
      <c r="H11" s="50">
        <v>42.52</v>
      </c>
      <c r="I11" s="50">
        <v>9.9600000000000009</v>
      </c>
      <c r="J11" s="50">
        <v>0.76</v>
      </c>
      <c r="K11" s="50">
        <v>243.65</v>
      </c>
      <c r="L11" s="50">
        <v>17.16</v>
      </c>
      <c r="M11" s="50">
        <v>73.36</v>
      </c>
      <c r="N11" s="50">
        <v>0</v>
      </c>
      <c r="O11" s="50">
        <v>0</v>
      </c>
      <c r="P11" s="50">
        <v>1</v>
      </c>
      <c r="Q11" s="50">
        <v>5.23</v>
      </c>
    </row>
    <row r="12" spans="1:21" customFormat="1">
      <c r="A12" s="55">
        <v>45307.166666666664</v>
      </c>
      <c r="B12" s="50">
        <v>30.31</v>
      </c>
      <c r="C12" s="50">
        <v>34.25</v>
      </c>
      <c r="D12" s="50">
        <v>43.52</v>
      </c>
      <c r="E12" s="50">
        <v>8.77</v>
      </c>
      <c r="F12" s="50">
        <v>2.5499999999999998</v>
      </c>
      <c r="G12" s="50">
        <v>92.68</v>
      </c>
      <c r="H12" s="50">
        <v>43.18</v>
      </c>
      <c r="I12" s="50">
        <v>9.8000000000000007</v>
      </c>
      <c r="J12" s="50">
        <v>0.75</v>
      </c>
      <c r="K12" s="50">
        <v>113.16</v>
      </c>
      <c r="L12" s="50">
        <v>17.11</v>
      </c>
      <c r="M12" s="50">
        <v>67.17</v>
      </c>
      <c r="N12" s="50">
        <v>0</v>
      </c>
      <c r="O12" s="50">
        <v>0</v>
      </c>
      <c r="P12" s="50">
        <v>0.92</v>
      </c>
      <c r="Q12" s="50">
        <v>5.19</v>
      </c>
    </row>
    <row r="13" spans="1:21" customFormat="1">
      <c r="A13" s="55">
        <v>45307.208333333336</v>
      </c>
      <c r="B13" s="50">
        <v>22.45</v>
      </c>
      <c r="C13" s="50">
        <v>33.299999999999997</v>
      </c>
      <c r="D13" s="50">
        <v>36.75</v>
      </c>
      <c r="E13" s="50">
        <v>8.2799999999999994</v>
      </c>
      <c r="F13" s="50">
        <v>2.5</v>
      </c>
      <c r="G13" s="50">
        <v>82.05</v>
      </c>
      <c r="H13" s="50">
        <v>32.92</v>
      </c>
      <c r="I13" s="50">
        <v>9.3000000000000007</v>
      </c>
      <c r="J13" s="50">
        <v>1</v>
      </c>
      <c r="K13" s="50">
        <v>74.56</v>
      </c>
      <c r="L13" s="50">
        <v>16.53</v>
      </c>
      <c r="M13" s="50">
        <v>64.84</v>
      </c>
      <c r="N13" s="50">
        <v>0</v>
      </c>
      <c r="O13" s="50">
        <v>0</v>
      </c>
      <c r="P13" s="50">
        <v>0.84</v>
      </c>
      <c r="Q13" s="50">
        <v>5.09</v>
      </c>
    </row>
    <row r="14" spans="1:21" customFormat="1">
      <c r="A14" s="55">
        <v>45307.25</v>
      </c>
      <c r="B14" s="50">
        <v>18.510000000000002</v>
      </c>
      <c r="C14" s="50">
        <v>32.76</v>
      </c>
      <c r="D14" s="50">
        <v>33.31</v>
      </c>
      <c r="E14" s="50">
        <v>8.02</v>
      </c>
      <c r="F14" s="50">
        <v>2.4500000000000002</v>
      </c>
      <c r="G14" s="50">
        <v>68</v>
      </c>
      <c r="H14" s="50">
        <v>33.49</v>
      </c>
      <c r="I14" s="50">
        <v>8.57</v>
      </c>
      <c r="J14" s="50">
        <v>0.88</v>
      </c>
      <c r="K14" s="50">
        <v>69.349999999999994</v>
      </c>
      <c r="L14" s="50">
        <v>16.21</v>
      </c>
      <c r="M14" s="50">
        <v>61.36</v>
      </c>
      <c r="N14" s="50">
        <v>0</v>
      </c>
      <c r="O14" s="50">
        <v>0</v>
      </c>
      <c r="P14" s="50">
        <v>0.76</v>
      </c>
      <c r="Q14" s="50">
        <v>5.03</v>
      </c>
    </row>
    <row r="15" spans="1:21" customFormat="1">
      <c r="A15" s="55">
        <v>45307.291666666664</v>
      </c>
      <c r="B15" s="50">
        <v>16.3</v>
      </c>
      <c r="C15" s="50">
        <v>31.26</v>
      </c>
      <c r="D15" s="50">
        <v>30.76</v>
      </c>
      <c r="E15" s="50">
        <v>7.97</v>
      </c>
      <c r="F15" s="50">
        <v>2.36</v>
      </c>
      <c r="G15" s="50">
        <v>59.16</v>
      </c>
      <c r="H15" s="50">
        <v>28.79</v>
      </c>
      <c r="I15" s="50">
        <v>7.92</v>
      </c>
      <c r="J15" s="50">
        <v>0.68</v>
      </c>
      <c r="K15" s="50">
        <v>75.25</v>
      </c>
      <c r="L15" s="50">
        <v>15.71</v>
      </c>
      <c r="M15" s="50">
        <v>62.44</v>
      </c>
      <c r="N15" s="50">
        <v>0.8</v>
      </c>
      <c r="O15" s="50">
        <v>0</v>
      </c>
      <c r="P15" s="50">
        <v>0.69</v>
      </c>
      <c r="Q15" s="50">
        <v>4.9800000000000004</v>
      </c>
    </row>
    <row r="16" spans="1:21" customFormat="1">
      <c r="A16" s="55">
        <v>45307.333333333336</v>
      </c>
      <c r="B16" s="50">
        <v>18.75</v>
      </c>
      <c r="C16" s="50">
        <v>31.94</v>
      </c>
      <c r="D16" s="50">
        <v>33.049999999999997</v>
      </c>
      <c r="E16" s="50">
        <v>7.75</v>
      </c>
      <c r="F16" s="50">
        <v>2.4900000000000002</v>
      </c>
      <c r="G16" s="50">
        <v>56.91</v>
      </c>
      <c r="H16" s="50">
        <v>26.47</v>
      </c>
      <c r="I16" s="50">
        <v>8.1300000000000008</v>
      </c>
      <c r="J16" s="50">
        <v>1.17</v>
      </c>
      <c r="K16" s="50">
        <v>64.52</v>
      </c>
      <c r="L16" s="50">
        <v>16.670000000000002</v>
      </c>
      <c r="M16" s="50">
        <v>61.34</v>
      </c>
      <c r="N16" s="50">
        <v>35.5</v>
      </c>
      <c r="O16" s="50">
        <v>0</v>
      </c>
      <c r="P16" s="50">
        <v>0.68</v>
      </c>
      <c r="Q16" s="50">
        <v>5.01</v>
      </c>
    </row>
    <row r="17" spans="1:17" customFormat="1">
      <c r="A17" s="55">
        <v>45307.375</v>
      </c>
      <c r="B17" s="50">
        <v>17.86</v>
      </c>
      <c r="C17" s="50">
        <v>31.8</v>
      </c>
      <c r="D17" s="50">
        <v>32.29</v>
      </c>
      <c r="E17" s="50">
        <v>7.41</v>
      </c>
      <c r="F17" s="50">
        <v>2.61</v>
      </c>
      <c r="G17" s="50">
        <v>68.78</v>
      </c>
      <c r="H17" s="50">
        <v>28.25</v>
      </c>
      <c r="I17" s="50">
        <v>9.0399999999999991</v>
      </c>
      <c r="J17" s="50">
        <v>1.26</v>
      </c>
      <c r="K17" s="50">
        <v>56.59</v>
      </c>
      <c r="L17" s="50">
        <v>19.48</v>
      </c>
      <c r="M17" s="50">
        <v>55.08</v>
      </c>
      <c r="N17" s="50">
        <v>219.7</v>
      </c>
      <c r="O17" s="50">
        <v>0</v>
      </c>
      <c r="P17" s="50">
        <v>0.69</v>
      </c>
      <c r="Q17" s="50">
        <v>5</v>
      </c>
    </row>
    <row r="18" spans="1:17" customFormat="1">
      <c r="A18" s="55">
        <v>45307.416666666664</v>
      </c>
      <c r="B18" s="50">
        <v>16.55</v>
      </c>
      <c r="C18" s="50">
        <v>31.04</v>
      </c>
      <c r="D18" s="50">
        <v>30.84</v>
      </c>
      <c r="E18" s="50">
        <v>8.08</v>
      </c>
      <c r="F18" s="50">
        <v>2.6</v>
      </c>
      <c r="G18" s="50">
        <v>74.09</v>
      </c>
      <c r="H18" s="50">
        <v>28.88</v>
      </c>
      <c r="I18" s="50">
        <v>9.15</v>
      </c>
      <c r="J18" s="50">
        <v>1.38</v>
      </c>
      <c r="K18" s="50">
        <v>90.08</v>
      </c>
      <c r="L18" s="50">
        <v>23.01</v>
      </c>
      <c r="M18" s="50">
        <v>46.74</v>
      </c>
      <c r="N18" s="50">
        <v>246.8</v>
      </c>
      <c r="O18" s="50">
        <v>0</v>
      </c>
      <c r="P18" s="50">
        <v>0.67</v>
      </c>
      <c r="Q18" s="50">
        <v>4.97</v>
      </c>
    </row>
    <row r="19" spans="1:17" customFormat="1">
      <c r="A19" s="55">
        <v>45307.458333333336</v>
      </c>
      <c r="B19" s="50">
        <v>14.91</v>
      </c>
      <c r="C19" s="50">
        <v>28.89</v>
      </c>
      <c r="D19" s="50">
        <v>28.4</v>
      </c>
      <c r="E19" s="50">
        <v>8.27</v>
      </c>
      <c r="F19" s="50">
        <v>2.82</v>
      </c>
      <c r="G19" s="50">
        <v>70.87</v>
      </c>
      <c r="H19" s="50">
        <v>27.98</v>
      </c>
      <c r="I19" s="50">
        <v>9.07</v>
      </c>
      <c r="J19" s="50">
        <v>1.03</v>
      </c>
      <c r="K19" s="50">
        <v>74.41</v>
      </c>
      <c r="L19" s="50">
        <v>24.36</v>
      </c>
      <c r="M19" s="50">
        <v>42.65</v>
      </c>
      <c r="N19" s="50">
        <v>367.4</v>
      </c>
      <c r="O19" s="50">
        <v>0</v>
      </c>
      <c r="P19" s="50">
        <v>0.66</v>
      </c>
      <c r="Q19" s="50">
        <v>4.9400000000000004</v>
      </c>
    </row>
    <row r="20" spans="1:17" customFormat="1">
      <c r="A20" s="55">
        <v>45307.5</v>
      </c>
      <c r="B20" s="50">
        <v>5.34</v>
      </c>
      <c r="C20" s="50">
        <v>25.48</v>
      </c>
      <c r="D20" s="50">
        <v>18.2</v>
      </c>
      <c r="E20" s="50">
        <v>12.1</v>
      </c>
      <c r="F20" s="50">
        <v>9.85</v>
      </c>
      <c r="G20" s="50">
        <v>0</v>
      </c>
      <c r="H20" s="50">
        <v>0</v>
      </c>
      <c r="I20" s="50">
        <v>17.95</v>
      </c>
      <c r="J20" s="50">
        <v>0.99</v>
      </c>
      <c r="K20" s="50">
        <v>81.39</v>
      </c>
      <c r="L20" s="50">
        <v>26.08</v>
      </c>
      <c r="M20" s="50">
        <v>40.44</v>
      </c>
      <c r="N20" s="50">
        <v>384.8</v>
      </c>
      <c r="O20" s="50">
        <v>0</v>
      </c>
      <c r="P20" s="50">
        <v>0.7</v>
      </c>
      <c r="Q20" s="50">
        <v>4.88</v>
      </c>
    </row>
    <row r="21" spans="1:17" customFormat="1">
      <c r="A21" s="55">
        <v>45307.541666666664</v>
      </c>
      <c r="B21" s="50">
        <v>4.37</v>
      </c>
      <c r="C21" s="50">
        <v>24.68</v>
      </c>
      <c r="D21" s="50">
        <v>17.48</v>
      </c>
      <c r="E21" s="50">
        <v>8.51</v>
      </c>
      <c r="F21" s="50">
        <v>5.64</v>
      </c>
      <c r="G21" s="50">
        <v>47.87</v>
      </c>
      <c r="H21" s="50">
        <v>25.72</v>
      </c>
      <c r="I21" s="50">
        <v>16.37</v>
      </c>
      <c r="J21" s="50">
        <v>0.3</v>
      </c>
      <c r="K21" s="50">
        <v>342.3</v>
      </c>
      <c r="L21" s="50">
        <v>27.83</v>
      </c>
      <c r="M21" s="50">
        <v>37.33</v>
      </c>
      <c r="N21" s="50">
        <v>404.2</v>
      </c>
      <c r="O21" s="50">
        <v>0</v>
      </c>
      <c r="P21" s="50">
        <v>0.67</v>
      </c>
      <c r="Q21" s="50">
        <v>4.83</v>
      </c>
    </row>
    <row r="22" spans="1:17" customFormat="1">
      <c r="A22" s="55">
        <v>45307.583333333336</v>
      </c>
      <c r="B22" s="50">
        <v>4.67</v>
      </c>
      <c r="C22" s="50">
        <v>23.47</v>
      </c>
      <c r="D22" s="50">
        <v>17.170000000000002</v>
      </c>
      <c r="E22" s="50">
        <v>9.1300000000000008</v>
      </c>
      <c r="F22" s="50">
        <v>7.24</v>
      </c>
      <c r="G22" s="50">
        <v>49.74</v>
      </c>
      <c r="H22" s="50">
        <v>25.72</v>
      </c>
      <c r="I22" s="50">
        <v>14.31</v>
      </c>
      <c r="J22" s="50">
        <v>0.78</v>
      </c>
      <c r="K22" s="50">
        <v>350.68</v>
      </c>
      <c r="L22" s="50">
        <v>28.49</v>
      </c>
      <c r="M22" s="50">
        <v>37.67</v>
      </c>
      <c r="N22" s="50">
        <v>357.9</v>
      </c>
      <c r="O22" s="50">
        <v>0</v>
      </c>
      <c r="P22" s="50">
        <v>0.67</v>
      </c>
      <c r="Q22" s="50">
        <v>4.8099999999999996</v>
      </c>
    </row>
    <row r="23" spans="1:17" customFormat="1">
      <c r="A23" s="55">
        <v>45307.625</v>
      </c>
      <c r="B23" s="50">
        <v>5.12</v>
      </c>
      <c r="C23" s="50">
        <v>22.53</v>
      </c>
      <c r="D23" s="50">
        <v>17.16</v>
      </c>
      <c r="E23" s="50">
        <v>9.2100000000000009</v>
      </c>
      <c r="F23" s="50">
        <v>7.51</v>
      </c>
      <c r="G23" s="50">
        <v>50.52</v>
      </c>
      <c r="H23" s="50">
        <v>27.09</v>
      </c>
      <c r="I23" s="50">
        <v>12.22</v>
      </c>
      <c r="J23" s="50">
        <v>0.82</v>
      </c>
      <c r="K23" s="50">
        <v>288.13</v>
      </c>
      <c r="L23" s="50">
        <v>27.72</v>
      </c>
      <c r="M23" s="50">
        <v>38.72</v>
      </c>
      <c r="N23" s="50">
        <v>332.3</v>
      </c>
      <c r="O23" s="50">
        <v>0</v>
      </c>
      <c r="P23" s="50">
        <v>0.65</v>
      </c>
      <c r="Q23" s="50">
        <v>4.78</v>
      </c>
    </row>
    <row r="24" spans="1:17" customFormat="1">
      <c r="A24" s="55">
        <v>45307.666666666664</v>
      </c>
      <c r="B24" s="50">
        <v>5.43</v>
      </c>
      <c r="C24" s="50">
        <v>22.01</v>
      </c>
      <c r="D24" s="50">
        <v>17.079999999999998</v>
      </c>
      <c r="E24" s="50">
        <v>9.5399999999999991</v>
      </c>
      <c r="F24" s="50">
        <v>7.12</v>
      </c>
      <c r="G24" s="50">
        <v>50.52</v>
      </c>
      <c r="H24" s="50">
        <v>27.09</v>
      </c>
      <c r="I24" s="50">
        <v>10.51</v>
      </c>
      <c r="J24" s="50">
        <v>0.51</v>
      </c>
      <c r="K24" s="50">
        <v>287.66000000000003</v>
      </c>
      <c r="L24" s="50">
        <v>27.48</v>
      </c>
      <c r="M24" s="50">
        <v>39.450000000000003</v>
      </c>
      <c r="N24" s="50">
        <v>70.5</v>
      </c>
      <c r="O24" s="50">
        <v>0</v>
      </c>
      <c r="P24" s="50">
        <v>0.63</v>
      </c>
      <c r="Q24" s="50">
        <v>4.8</v>
      </c>
    </row>
    <row r="25" spans="1:17" customFormat="1">
      <c r="A25" s="55">
        <v>45307.708333333336</v>
      </c>
      <c r="B25" s="50">
        <v>5.69</v>
      </c>
      <c r="C25" s="50">
        <v>21.7</v>
      </c>
      <c r="D25" s="50">
        <v>17.2</v>
      </c>
      <c r="E25" s="50">
        <v>9.3000000000000007</v>
      </c>
      <c r="F25" s="50">
        <v>6.1</v>
      </c>
      <c r="G25" s="50">
        <v>50.39</v>
      </c>
      <c r="H25" s="50">
        <v>25.88</v>
      </c>
      <c r="I25" s="50">
        <v>9.3000000000000007</v>
      </c>
      <c r="J25" s="50">
        <v>0.25</v>
      </c>
      <c r="K25" s="50">
        <v>179.68</v>
      </c>
      <c r="L25" s="50">
        <v>26.86</v>
      </c>
      <c r="M25" s="50">
        <v>43.86</v>
      </c>
      <c r="N25" s="50">
        <v>36.700000000000003</v>
      </c>
      <c r="O25" s="50">
        <v>0</v>
      </c>
      <c r="P25" s="50">
        <v>0.62</v>
      </c>
      <c r="Q25" s="50">
        <v>4.78</v>
      </c>
    </row>
    <row r="26" spans="1:17" customFormat="1">
      <c r="A26" s="55">
        <v>45307.75</v>
      </c>
      <c r="B26" s="50">
        <v>6.7</v>
      </c>
      <c r="C26" s="50">
        <v>27.18</v>
      </c>
      <c r="D26" s="50">
        <v>20.93</v>
      </c>
      <c r="E26" s="50">
        <v>9.5500000000000007</v>
      </c>
      <c r="F26" s="50">
        <v>6.09</v>
      </c>
      <c r="G26" s="50">
        <v>50.39</v>
      </c>
      <c r="H26" s="50">
        <v>26.99</v>
      </c>
      <c r="I26" s="50">
        <v>8.34</v>
      </c>
      <c r="J26" s="50">
        <v>0.68</v>
      </c>
      <c r="K26" s="50">
        <v>125.42</v>
      </c>
      <c r="L26" s="50">
        <v>25.29</v>
      </c>
      <c r="M26" s="50">
        <v>47.35</v>
      </c>
      <c r="N26" s="50">
        <v>3.2</v>
      </c>
      <c r="O26" s="50">
        <v>0</v>
      </c>
      <c r="P26" s="50">
        <v>0.66</v>
      </c>
      <c r="Q26" s="50">
        <v>4.7699999999999996</v>
      </c>
    </row>
    <row r="27" spans="1:17" customFormat="1">
      <c r="A27" s="55">
        <v>45307.791666666664</v>
      </c>
      <c r="B27" s="50">
        <v>8.77</v>
      </c>
      <c r="C27" s="50">
        <v>26.52</v>
      </c>
      <c r="D27" s="50">
        <v>21.09</v>
      </c>
      <c r="E27" s="50">
        <v>7.09</v>
      </c>
      <c r="F27" s="50">
        <v>3.83</v>
      </c>
      <c r="G27" s="50">
        <v>141.26</v>
      </c>
      <c r="H27" s="50">
        <v>33.78</v>
      </c>
      <c r="I27" s="50">
        <v>8.42</v>
      </c>
      <c r="J27" s="50">
        <v>0.81</v>
      </c>
      <c r="K27" s="50">
        <v>58.8</v>
      </c>
      <c r="L27" s="50">
        <v>24.06</v>
      </c>
      <c r="M27" s="50">
        <v>51.79</v>
      </c>
      <c r="N27" s="50">
        <v>0</v>
      </c>
      <c r="O27" s="50">
        <v>0</v>
      </c>
      <c r="P27" s="50">
        <v>0.73</v>
      </c>
      <c r="Q27" s="50">
        <v>4.82</v>
      </c>
    </row>
    <row r="28" spans="1:17" customFormat="1">
      <c r="A28" s="55">
        <v>45307.833333333336</v>
      </c>
      <c r="B28" s="50">
        <v>11.11</v>
      </c>
      <c r="C28" s="50">
        <v>27.85</v>
      </c>
      <c r="D28" s="50">
        <v>24.71</v>
      </c>
      <c r="E28" s="50">
        <v>7.43</v>
      </c>
      <c r="F28" s="50">
        <v>3.54</v>
      </c>
      <c r="G28" s="50">
        <v>141.26</v>
      </c>
      <c r="H28" s="50">
        <v>44.24</v>
      </c>
      <c r="I28" s="50">
        <v>8.9</v>
      </c>
      <c r="J28" s="50">
        <v>0.65</v>
      </c>
      <c r="K28" s="50">
        <v>160.38</v>
      </c>
      <c r="L28" s="50">
        <v>22.81</v>
      </c>
      <c r="M28" s="50">
        <v>63.66</v>
      </c>
      <c r="N28" s="50">
        <v>0</v>
      </c>
      <c r="O28" s="50">
        <v>0</v>
      </c>
      <c r="P28" s="50">
        <v>0.83</v>
      </c>
      <c r="Q28" s="50">
        <v>4.87</v>
      </c>
    </row>
    <row r="29" spans="1:17" customFormat="1">
      <c r="A29" s="55">
        <v>45307.875</v>
      </c>
      <c r="B29" s="50">
        <v>12.62</v>
      </c>
      <c r="C29" s="50">
        <v>29.26</v>
      </c>
      <c r="D29" s="50">
        <v>26.76</v>
      </c>
      <c r="E29" s="50">
        <v>7.05</v>
      </c>
      <c r="F29" s="50">
        <v>3.61</v>
      </c>
      <c r="G29" s="50">
        <v>137.82</v>
      </c>
      <c r="H29" s="50">
        <v>44.65</v>
      </c>
      <c r="I29" s="50">
        <v>9.23</v>
      </c>
      <c r="J29" s="50">
        <v>0.4</v>
      </c>
      <c r="K29" s="50">
        <v>148.56</v>
      </c>
      <c r="L29" s="50">
        <v>21.15</v>
      </c>
      <c r="M29" s="50">
        <v>64.459999999999994</v>
      </c>
      <c r="N29" s="50">
        <v>0</v>
      </c>
      <c r="O29" s="50">
        <v>0</v>
      </c>
      <c r="P29" s="50">
        <v>0.9</v>
      </c>
      <c r="Q29" s="50">
        <v>4.88</v>
      </c>
    </row>
    <row r="30" spans="1:17" customFormat="1">
      <c r="A30" s="55">
        <v>45307.916666666664</v>
      </c>
      <c r="B30" s="50">
        <v>13.29</v>
      </c>
      <c r="C30" s="50">
        <v>29.5</v>
      </c>
      <c r="D30" s="50">
        <v>27.03</v>
      </c>
      <c r="E30" s="50">
        <v>7.58</v>
      </c>
      <c r="F30" s="50">
        <v>3.48</v>
      </c>
      <c r="G30" s="50">
        <v>133.91</v>
      </c>
      <c r="H30" s="50">
        <v>44.83</v>
      </c>
      <c r="I30" s="50">
        <v>9.43</v>
      </c>
      <c r="J30" s="50">
        <v>0.3</v>
      </c>
      <c r="K30" s="50">
        <v>200.84</v>
      </c>
      <c r="L30" s="50">
        <v>20.64</v>
      </c>
      <c r="M30" s="50">
        <v>73.13</v>
      </c>
      <c r="N30" s="50">
        <v>0</v>
      </c>
      <c r="O30" s="50">
        <v>0</v>
      </c>
      <c r="P30" s="50">
        <v>0.92</v>
      </c>
      <c r="Q30" s="50">
        <v>4.8899999999999997</v>
      </c>
    </row>
    <row r="31" spans="1:17" customFormat="1">
      <c r="A31" s="55">
        <v>45307.958333333336</v>
      </c>
      <c r="B31" s="50">
        <v>13.13</v>
      </c>
      <c r="C31" s="50">
        <v>28.68</v>
      </c>
      <c r="D31" s="50">
        <v>26.55</v>
      </c>
      <c r="E31" s="50">
        <v>7.57</v>
      </c>
      <c r="F31" s="50">
        <v>3.39</v>
      </c>
      <c r="G31" s="50">
        <v>133.91</v>
      </c>
      <c r="H31" s="50">
        <v>44.83</v>
      </c>
      <c r="I31" s="50">
        <v>9.48</v>
      </c>
      <c r="J31" s="50">
        <v>0.26</v>
      </c>
      <c r="K31" s="50">
        <v>229.53</v>
      </c>
      <c r="L31" s="50">
        <v>19.239999999999998</v>
      </c>
      <c r="M31" s="50">
        <v>76.260000000000005</v>
      </c>
      <c r="N31" s="50">
        <v>0</v>
      </c>
      <c r="O31" s="50">
        <v>0</v>
      </c>
      <c r="P31" s="50">
        <v>0.95</v>
      </c>
      <c r="Q31" s="50">
        <v>4.92</v>
      </c>
    </row>
    <row r="32" spans="1:17" customFormat="1">
      <c r="A32" s="55">
        <v>45308</v>
      </c>
      <c r="B32" s="50">
        <v>12.61</v>
      </c>
      <c r="C32" s="50">
        <v>28.3</v>
      </c>
      <c r="D32" s="50">
        <v>26.23</v>
      </c>
      <c r="E32" s="50">
        <v>7.17</v>
      </c>
      <c r="F32" s="50">
        <v>3.5</v>
      </c>
      <c r="G32" s="50">
        <v>93.19</v>
      </c>
      <c r="H32" s="50">
        <v>43.36</v>
      </c>
      <c r="I32" s="50">
        <v>9.49</v>
      </c>
      <c r="J32" s="50">
        <v>0.28999999999999998</v>
      </c>
      <c r="K32" s="50">
        <v>197.45</v>
      </c>
      <c r="L32" s="50">
        <v>18.670000000000002</v>
      </c>
      <c r="M32" s="50">
        <v>78.459999999999994</v>
      </c>
      <c r="N32" s="50">
        <v>0</v>
      </c>
      <c r="O32" s="50">
        <v>0</v>
      </c>
      <c r="P32" s="50">
        <v>0.96</v>
      </c>
      <c r="Q32" s="50">
        <v>4.92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4.37</v>
      </c>
      <c r="C34" s="41">
        <f t="shared" si="0"/>
        <v>21.7</v>
      </c>
      <c r="D34" s="41">
        <f t="shared" si="0"/>
        <v>17.079999999999998</v>
      </c>
      <c r="E34" s="41">
        <f t="shared" si="0"/>
        <v>7.05</v>
      </c>
      <c r="F34" s="41">
        <f t="shared" si="0"/>
        <v>2.36</v>
      </c>
      <c r="G34" s="41">
        <f t="shared" si="0"/>
        <v>0</v>
      </c>
      <c r="H34" s="41">
        <f t="shared" si="0"/>
        <v>0</v>
      </c>
      <c r="I34" s="41">
        <f t="shared" si="0"/>
        <v>7.92</v>
      </c>
      <c r="J34" s="41">
        <f t="shared" si="0"/>
        <v>0.21</v>
      </c>
      <c r="K34" s="41">
        <f t="shared" si="0"/>
        <v>56.59</v>
      </c>
      <c r="L34" s="41">
        <f t="shared" si="0"/>
        <v>15.71</v>
      </c>
      <c r="M34" s="41">
        <f t="shared" si="0"/>
        <v>37.33</v>
      </c>
      <c r="N34" s="41">
        <f t="shared" si="0"/>
        <v>0</v>
      </c>
      <c r="O34" s="41">
        <f t="shared" si="0"/>
        <v>0</v>
      </c>
      <c r="P34" s="41">
        <f t="shared" si="0"/>
        <v>0.62</v>
      </c>
      <c r="Q34" s="41">
        <f t="shared" si="0"/>
        <v>4.7699999999999996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46.24</v>
      </c>
      <c r="C35" s="33">
        <f t="shared" si="1"/>
        <v>34.840000000000003</v>
      </c>
      <c r="D35" s="33">
        <f t="shared" si="1"/>
        <v>56.64</v>
      </c>
      <c r="E35" s="33">
        <f t="shared" si="1"/>
        <v>12.1</v>
      </c>
      <c r="F35" s="33">
        <f t="shared" si="1"/>
        <v>9.85</v>
      </c>
      <c r="G35" s="33">
        <f t="shared" si="1"/>
        <v>141.26</v>
      </c>
      <c r="H35" s="33">
        <f t="shared" si="1"/>
        <v>46.41</v>
      </c>
      <c r="I35" s="33">
        <f t="shared" si="1"/>
        <v>17.95</v>
      </c>
      <c r="J35" s="33">
        <f t="shared" si="1"/>
        <v>1.38</v>
      </c>
      <c r="K35" s="33">
        <f t="shared" si="1"/>
        <v>350.68</v>
      </c>
      <c r="L35" s="33">
        <f t="shared" si="1"/>
        <v>28.49</v>
      </c>
      <c r="M35" s="33">
        <f t="shared" si="1"/>
        <v>78.459999999999994</v>
      </c>
      <c r="N35" s="33">
        <f t="shared" si="1"/>
        <v>404.2</v>
      </c>
      <c r="O35" s="33">
        <f t="shared" si="1"/>
        <v>0</v>
      </c>
      <c r="P35" s="33">
        <f t="shared" si="1"/>
        <v>1.0900000000000001</v>
      </c>
      <c r="Q35" s="33">
        <f t="shared" si="1"/>
        <v>5.36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16.162916666666668</v>
      </c>
      <c r="C36" s="41">
        <f t="shared" si="2"/>
        <v>28.974166666666662</v>
      </c>
      <c r="D36" s="41">
        <f t="shared" si="2"/>
        <v>29.28916666666667</v>
      </c>
      <c r="E36" s="41">
        <f t="shared" si="2"/>
        <v>8.3533333333333335</v>
      </c>
      <c r="F36" s="41">
        <f t="shared" si="2"/>
        <v>4.1137500000000005</v>
      </c>
      <c r="G36" s="41">
        <f t="shared" si="2"/>
        <v>83.188333333333347</v>
      </c>
      <c r="H36" s="41">
        <f t="shared" si="2"/>
        <v>33.310833333333342</v>
      </c>
      <c r="I36" s="41">
        <f t="shared" si="2"/>
        <v>10.208333333333332</v>
      </c>
      <c r="J36" s="41">
        <f t="shared" si="2"/>
        <v>0.68500000000000005</v>
      </c>
      <c r="K36" s="41">
        <f t="shared" si="2"/>
        <v>160.88750000000002</v>
      </c>
      <c r="L36" s="41">
        <f t="shared" si="2"/>
        <v>21.592916666666667</v>
      </c>
      <c r="M36" s="41">
        <f t="shared" si="2"/>
        <v>57.330416666666672</v>
      </c>
      <c r="N36" s="41">
        <f t="shared" si="2"/>
        <v>102.49166666666666</v>
      </c>
      <c r="O36" s="41">
        <f t="shared" si="2"/>
        <v>0</v>
      </c>
      <c r="P36" s="41">
        <f t="shared" si="2"/>
        <v>0.7895833333333333</v>
      </c>
      <c r="Q36" s="41">
        <f t="shared" si="2"/>
        <v>4.9612500000000006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11.679155150790308</v>
      </c>
      <c r="C37" s="41">
        <f t="shared" ref="C37:Q37" si="3">STDEV(C9:C32)</f>
        <v>4.1123492880185708</v>
      </c>
      <c r="D37" s="41">
        <f t="shared" si="3"/>
        <v>11.331690812348658</v>
      </c>
      <c r="E37" s="41">
        <f t="shared" si="3"/>
        <v>1.1013733192727084</v>
      </c>
      <c r="F37" s="41">
        <f t="shared" si="3"/>
        <v>2.1177075638734815</v>
      </c>
      <c r="G37" s="41">
        <f t="shared" si="3"/>
        <v>38.360643743370566</v>
      </c>
      <c r="H37" s="41">
        <f t="shared" si="3"/>
        <v>10.790447432664731</v>
      </c>
      <c r="I37" s="41">
        <f t="shared" si="3"/>
        <v>2.535157428722294</v>
      </c>
      <c r="J37" s="41">
        <f t="shared" si="3"/>
        <v>0.3474127979420345</v>
      </c>
      <c r="K37" s="41">
        <f t="shared" si="3"/>
        <v>91.563261393183879</v>
      </c>
      <c r="L37" s="41">
        <f t="shared" si="3"/>
        <v>4.3702118933472116</v>
      </c>
      <c r="M37" s="41">
        <f t="shared" si="3"/>
        <v>14.088267545285174</v>
      </c>
      <c r="N37" s="41">
        <f t="shared" si="3"/>
        <v>154.58285218097706</v>
      </c>
      <c r="O37" s="41">
        <f t="shared" si="3"/>
        <v>0</v>
      </c>
      <c r="P37" s="41">
        <f t="shared" si="3"/>
        <v>0.14851377235701155</v>
      </c>
      <c r="Q37" s="41">
        <f t="shared" si="3"/>
        <v>0.16896906071308601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45308.041666666664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45308.041666666664</v>
      </c>
      <c r="B9" s="50">
        <v>9.5</v>
      </c>
      <c r="C9" s="50">
        <v>27.35</v>
      </c>
      <c r="D9" s="50">
        <v>22.9</v>
      </c>
      <c r="E9" s="50">
        <v>7.28</v>
      </c>
      <c r="F9" s="50">
        <v>3.58</v>
      </c>
      <c r="G9" s="50">
        <v>89.51</v>
      </c>
      <c r="H9" s="50">
        <v>40.75</v>
      </c>
      <c r="I9" s="50">
        <v>9.44</v>
      </c>
      <c r="J9" s="50">
        <v>0.16</v>
      </c>
      <c r="K9" s="50">
        <v>225.43</v>
      </c>
      <c r="L9" s="50">
        <v>18.149999999999999</v>
      </c>
      <c r="M9" s="50">
        <v>80.48</v>
      </c>
      <c r="N9" s="50">
        <v>0</v>
      </c>
      <c r="O9" s="50">
        <v>0</v>
      </c>
      <c r="P9" s="50">
        <v>0.95</v>
      </c>
      <c r="Q9" s="50">
        <v>4.8899999999999997</v>
      </c>
    </row>
    <row r="10" spans="1:21" customFormat="1">
      <c r="A10" s="55">
        <v>45308.083333333336</v>
      </c>
      <c r="B10" s="50">
        <v>8.14</v>
      </c>
      <c r="C10" s="50">
        <v>27.29</v>
      </c>
      <c r="D10" s="50">
        <v>22.14</v>
      </c>
      <c r="E10" s="50">
        <v>7.02</v>
      </c>
      <c r="F10" s="50">
        <v>3.54</v>
      </c>
      <c r="G10" s="50">
        <v>85.26</v>
      </c>
      <c r="H10" s="50">
        <v>38.869999999999997</v>
      </c>
      <c r="I10" s="50">
        <v>9.18</v>
      </c>
      <c r="J10" s="50">
        <v>0.28999999999999998</v>
      </c>
      <c r="K10" s="50">
        <v>267.43</v>
      </c>
      <c r="L10" s="50">
        <v>17.79</v>
      </c>
      <c r="M10" s="50">
        <v>78.569999999999993</v>
      </c>
      <c r="N10" s="50">
        <v>0</v>
      </c>
      <c r="O10" s="50">
        <v>0</v>
      </c>
      <c r="P10" s="50">
        <v>0.9</v>
      </c>
      <c r="Q10" s="50">
        <v>4.87</v>
      </c>
    </row>
    <row r="11" spans="1:21" customFormat="1">
      <c r="A11" s="55">
        <v>45308.125</v>
      </c>
      <c r="B11" s="50">
        <v>6.74</v>
      </c>
      <c r="C11" s="50">
        <v>25.98</v>
      </c>
      <c r="D11" s="50">
        <v>20.29</v>
      </c>
      <c r="E11" s="50">
        <v>7.46</v>
      </c>
      <c r="F11" s="50">
        <v>3.76</v>
      </c>
      <c r="G11" s="50">
        <v>80.849999999999994</v>
      </c>
      <c r="H11" s="50">
        <v>37.65</v>
      </c>
      <c r="I11" s="50">
        <v>8.7100000000000009</v>
      </c>
      <c r="J11" s="50">
        <v>0.1</v>
      </c>
      <c r="K11" s="50">
        <v>265.37</v>
      </c>
      <c r="L11" s="50">
        <v>17.77</v>
      </c>
      <c r="M11" s="50">
        <v>78.56</v>
      </c>
      <c r="N11" s="50">
        <v>0</v>
      </c>
      <c r="O11" s="50">
        <v>0</v>
      </c>
      <c r="P11" s="50">
        <v>0.85</v>
      </c>
      <c r="Q11" s="50">
        <v>4.83</v>
      </c>
    </row>
    <row r="12" spans="1:21" customFormat="1">
      <c r="A12" s="55">
        <v>45308.166666666664</v>
      </c>
      <c r="B12" s="50">
        <v>7.36</v>
      </c>
      <c r="C12" s="50">
        <v>27.51</v>
      </c>
      <c r="D12" s="50">
        <v>21.46</v>
      </c>
      <c r="E12" s="50">
        <v>7.28</v>
      </c>
      <c r="F12" s="50">
        <v>3.69</v>
      </c>
      <c r="G12" s="50">
        <v>69.28</v>
      </c>
      <c r="H12" s="50">
        <v>35.81</v>
      </c>
      <c r="I12" s="50">
        <v>8.2200000000000006</v>
      </c>
      <c r="J12" s="50">
        <v>0.38</v>
      </c>
      <c r="K12" s="50">
        <v>293.69</v>
      </c>
      <c r="L12" s="50">
        <v>18.62</v>
      </c>
      <c r="M12" s="50">
        <v>75.22</v>
      </c>
      <c r="N12" s="50">
        <v>0</v>
      </c>
      <c r="O12" s="50">
        <v>0</v>
      </c>
      <c r="P12" s="50">
        <v>0.8</v>
      </c>
      <c r="Q12" s="50">
        <v>4.82</v>
      </c>
    </row>
    <row r="13" spans="1:21" customFormat="1">
      <c r="A13" s="55">
        <v>45308.208333333336</v>
      </c>
      <c r="B13" s="50">
        <v>8.34</v>
      </c>
      <c r="C13" s="50">
        <v>25.38</v>
      </c>
      <c r="D13" s="50">
        <v>21.3</v>
      </c>
      <c r="E13" s="50">
        <v>6.66</v>
      </c>
      <c r="F13" s="50">
        <v>3.76</v>
      </c>
      <c r="G13" s="50">
        <v>69.28</v>
      </c>
      <c r="H13" s="50">
        <v>37.61</v>
      </c>
      <c r="I13" s="50">
        <v>7.81</v>
      </c>
      <c r="J13" s="50">
        <v>0.18</v>
      </c>
      <c r="K13" s="50">
        <v>221.7</v>
      </c>
      <c r="L13" s="50">
        <v>18.12</v>
      </c>
      <c r="M13" s="50">
        <v>84.48</v>
      </c>
      <c r="N13" s="50">
        <v>0</v>
      </c>
      <c r="O13" s="50">
        <v>0</v>
      </c>
      <c r="P13" s="50">
        <v>0.77</v>
      </c>
      <c r="Q13" s="50">
        <v>4.83</v>
      </c>
    </row>
    <row r="14" spans="1:21" customFormat="1">
      <c r="A14" s="55">
        <v>45308.25</v>
      </c>
      <c r="B14" s="50">
        <v>12.17</v>
      </c>
      <c r="C14" s="50">
        <v>27.4</v>
      </c>
      <c r="D14" s="50">
        <v>25.43</v>
      </c>
      <c r="E14" s="50">
        <v>6.66</v>
      </c>
      <c r="F14" s="50">
        <v>3.28</v>
      </c>
      <c r="G14" s="50">
        <v>68.989999999999995</v>
      </c>
      <c r="H14" s="50">
        <v>37.61</v>
      </c>
      <c r="I14" s="50">
        <v>7.64</v>
      </c>
      <c r="J14" s="50">
        <v>0.66</v>
      </c>
      <c r="K14" s="50">
        <v>87.01</v>
      </c>
      <c r="L14" s="50">
        <v>17.73</v>
      </c>
      <c r="M14" s="50">
        <v>84.92</v>
      </c>
      <c r="N14" s="50">
        <v>0</v>
      </c>
      <c r="O14" s="50">
        <v>0</v>
      </c>
      <c r="P14" s="50">
        <v>0.79</v>
      </c>
      <c r="Q14" s="50">
        <v>4.8899999999999997</v>
      </c>
    </row>
    <row r="15" spans="1:21" customFormat="1">
      <c r="A15" s="55">
        <v>45308.291666666664</v>
      </c>
      <c r="B15" s="50">
        <v>16.09</v>
      </c>
      <c r="C15" s="50">
        <v>28.17</v>
      </c>
      <c r="D15" s="50">
        <v>28.98</v>
      </c>
      <c r="E15" s="50">
        <v>7.16</v>
      </c>
      <c r="F15" s="50">
        <v>3.45</v>
      </c>
      <c r="G15" s="50">
        <v>87.79</v>
      </c>
      <c r="H15" s="50">
        <v>36.64</v>
      </c>
      <c r="I15" s="50">
        <v>8.32</v>
      </c>
      <c r="J15" s="50">
        <v>0.39</v>
      </c>
      <c r="K15" s="50">
        <v>301.10000000000002</v>
      </c>
      <c r="L15" s="50">
        <v>17.75</v>
      </c>
      <c r="M15" s="50">
        <v>80.45</v>
      </c>
      <c r="N15" s="50">
        <v>0</v>
      </c>
      <c r="O15" s="50">
        <v>0</v>
      </c>
      <c r="P15" s="50">
        <v>0.84</v>
      </c>
      <c r="Q15" s="50">
        <v>4.97</v>
      </c>
    </row>
    <row r="16" spans="1:21" customFormat="1">
      <c r="A16" s="55">
        <v>45308.333333333336</v>
      </c>
      <c r="B16" s="50">
        <v>17.79</v>
      </c>
      <c r="C16" s="50">
        <v>28.39</v>
      </c>
      <c r="D16" s="50">
        <v>30.45</v>
      </c>
      <c r="E16" s="50">
        <v>7.3</v>
      </c>
      <c r="F16" s="50">
        <v>3.34</v>
      </c>
      <c r="G16" s="50">
        <v>95.77</v>
      </c>
      <c r="H16" s="50">
        <v>43.87</v>
      </c>
      <c r="I16" s="50">
        <v>8.7899999999999991</v>
      </c>
      <c r="J16" s="50">
        <v>0.67</v>
      </c>
      <c r="K16" s="50">
        <v>179.58</v>
      </c>
      <c r="L16" s="50">
        <v>18.739999999999998</v>
      </c>
      <c r="M16" s="50">
        <v>82.04</v>
      </c>
      <c r="N16" s="50">
        <v>42.4</v>
      </c>
      <c r="O16" s="50">
        <v>0</v>
      </c>
      <c r="P16" s="50">
        <v>0.9</v>
      </c>
      <c r="Q16" s="50">
        <v>4.9800000000000004</v>
      </c>
    </row>
    <row r="17" spans="1:17" customFormat="1">
      <c r="A17" s="55">
        <v>45308.375</v>
      </c>
      <c r="B17" s="50">
        <v>19.100000000000001</v>
      </c>
      <c r="C17" s="50">
        <v>29.37</v>
      </c>
      <c r="D17" s="50">
        <v>32.01</v>
      </c>
      <c r="E17" s="50">
        <v>7.59</v>
      </c>
      <c r="F17" s="50">
        <v>3.49</v>
      </c>
      <c r="G17" s="50">
        <v>127.78</v>
      </c>
      <c r="H17" s="50">
        <v>52.11</v>
      </c>
      <c r="I17" s="50">
        <v>9.77</v>
      </c>
      <c r="J17" s="50">
        <v>0.82</v>
      </c>
      <c r="K17" s="50">
        <v>52.57</v>
      </c>
      <c r="L17" s="50">
        <v>20.079999999999998</v>
      </c>
      <c r="M17" s="50">
        <v>73.900000000000006</v>
      </c>
      <c r="N17" s="50">
        <v>73.2</v>
      </c>
      <c r="O17" s="50">
        <v>0</v>
      </c>
      <c r="P17" s="50">
        <v>1</v>
      </c>
      <c r="Q17" s="50">
        <v>5.01</v>
      </c>
    </row>
    <row r="18" spans="1:17" customFormat="1">
      <c r="A18" s="55">
        <v>45308.416666666664</v>
      </c>
      <c r="B18" s="50">
        <v>19.170000000000002</v>
      </c>
      <c r="C18" s="50">
        <v>31.57</v>
      </c>
      <c r="D18" s="50">
        <v>32.659999999999997</v>
      </c>
      <c r="E18" s="50">
        <v>7.78</v>
      </c>
      <c r="F18" s="50">
        <v>3.53</v>
      </c>
      <c r="G18" s="50">
        <v>133.16</v>
      </c>
      <c r="H18" s="50">
        <v>54.22</v>
      </c>
      <c r="I18" s="50">
        <v>10.199999999999999</v>
      </c>
      <c r="J18" s="50">
        <v>0.62</v>
      </c>
      <c r="K18" s="50">
        <v>58.51</v>
      </c>
      <c r="L18" s="50">
        <v>21.71</v>
      </c>
      <c r="M18" s="50">
        <v>69.77</v>
      </c>
      <c r="N18" s="50">
        <v>106.7</v>
      </c>
      <c r="O18" s="50">
        <v>0</v>
      </c>
      <c r="P18" s="50">
        <v>1.04</v>
      </c>
      <c r="Q18" s="50">
        <v>5.03</v>
      </c>
    </row>
    <row r="19" spans="1:17" customFormat="1">
      <c r="A19" s="55">
        <v>45308.458333333336</v>
      </c>
      <c r="B19" s="50">
        <v>16.16</v>
      </c>
      <c r="C19" s="50">
        <v>32.6</v>
      </c>
      <c r="D19" s="50">
        <v>30.87</v>
      </c>
      <c r="E19" s="50">
        <v>9.2200000000000006</v>
      </c>
      <c r="F19" s="50">
        <v>3.64</v>
      </c>
      <c r="G19" s="50">
        <v>133.16</v>
      </c>
      <c r="H19" s="50">
        <v>54.22</v>
      </c>
      <c r="I19" s="50">
        <v>10.18</v>
      </c>
      <c r="J19" s="50">
        <v>0.45</v>
      </c>
      <c r="K19" s="50">
        <v>53.69</v>
      </c>
      <c r="L19" s="50">
        <v>24.09</v>
      </c>
      <c r="M19" s="50">
        <v>66.11</v>
      </c>
      <c r="N19" s="50">
        <v>249.6</v>
      </c>
      <c r="O19" s="50">
        <v>0</v>
      </c>
      <c r="P19" s="50">
        <v>1.08</v>
      </c>
      <c r="Q19" s="50">
        <v>4.9800000000000004</v>
      </c>
    </row>
    <row r="20" spans="1:17" customFormat="1">
      <c r="A20" s="55">
        <v>45308.5</v>
      </c>
      <c r="B20" s="50">
        <v>12.17</v>
      </c>
      <c r="C20" s="50">
        <v>32.83</v>
      </c>
      <c r="D20" s="50">
        <v>28.18</v>
      </c>
      <c r="E20" s="50">
        <v>9.9600000000000009</v>
      </c>
      <c r="F20" s="50">
        <v>4.24</v>
      </c>
      <c r="G20" s="50">
        <v>121.32</v>
      </c>
      <c r="H20" s="50">
        <v>50.31</v>
      </c>
      <c r="I20" s="50">
        <v>10.19</v>
      </c>
      <c r="J20" s="50">
        <v>0.76</v>
      </c>
      <c r="K20" s="50">
        <v>347.75</v>
      </c>
      <c r="L20" s="50">
        <v>25.93</v>
      </c>
      <c r="M20" s="50">
        <v>55.5</v>
      </c>
      <c r="N20" s="50">
        <v>256.10000000000002</v>
      </c>
      <c r="O20" s="50">
        <v>0</v>
      </c>
      <c r="P20" s="50">
        <v>1.0900000000000001</v>
      </c>
      <c r="Q20" s="50">
        <v>4.96</v>
      </c>
    </row>
    <row r="21" spans="1:17" customFormat="1">
      <c r="A21" s="55">
        <v>45308.541666666664</v>
      </c>
      <c r="B21" s="50">
        <v>7.31</v>
      </c>
      <c r="C21" s="50">
        <v>32.46</v>
      </c>
      <c r="D21" s="50">
        <v>24.17</v>
      </c>
      <c r="E21" s="50">
        <v>9.49</v>
      </c>
      <c r="F21" s="50">
        <v>5.09</v>
      </c>
      <c r="G21" s="50">
        <v>115.83</v>
      </c>
      <c r="H21" s="50">
        <v>49.92</v>
      </c>
      <c r="I21" s="50">
        <v>10.17</v>
      </c>
      <c r="J21" s="50">
        <v>0.8</v>
      </c>
      <c r="K21" s="50">
        <v>299.61</v>
      </c>
      <c r="L21" s="50">
        <v>27.14</v>
      </c>
      <c r="M21" s="50">
        <v>56.83</v>
      </c>
      <c r="N21" s="50">
        <v>288.3</v>
      </c>
      <c r="O21" s="50">
        <v>0</v>
      </c>
      <c r="P21" s="50">
        <v>1.08</v>
      </c>
      <c r="Q21" s="50">
        <v>4.84</v>
      </c>
    </row>
    <row r="22" spans="1:17" customFormat="1">
      <c r="A22" s="55">
        <v>45308.583333333336</v>
      </c>
      <c r="B22" s="50">
        <v>5.05</v>
      </c>
      <c r="C22" s="50">
        <v>28.78</v>
      </c>
      <c r="D22" s="50">
        <v>20.440000000000001</v>
      </c>
      <c r="E22" s="50">
        <v>9.4600000000000009</v>
      </c>
      <c r="F22" s="50">
        <v>5.45</v>
      </c>
      <c r="G22" s="50">
        <v>103.25</v>
      </c>
      <c r="H22" s="50">
        <v>46.84</v>
      </c>
      <c r="I22" s="50">
        <v>10.07</v>
      </c>
      <c r="J22" s="50">
        <v>0.65</v>
      </c>
      <c r="K22" s="50">
        <v>301.48</v>
      </c>
      <c r="L22" s="50">
        <v>27.85</v>
      </c>
      <c r="M22" s="50">
        <v>51.06</v>
      </c>
      <c r="N22" s="50">
        <v>261.39999999999998</v>
      </c>
      <c r="O22" s="50">
        <v>0</v>
      </c>
      <c r="P22" s="50">
        <v>1.01</v>
      </c>
      <c r="Q22" s="50">
        <v>4.78</v>
      </c>
    </row>
    <row r="23" spans="1:17" customFormat="1">
      <c r="A23" s="55">
        <v>45308.625</v>
      </c>
      <c r="B23" s="50">
        <v>4.57</v>
      </c>
      <c r="C23" s="50">
        <v>21.73</v>
      </c>
      <c r="D23" s="50">
        <v>16.3</v>
      </c>
      <c r="E23" s="50">
        <v>8.9600000000000009</v>
      </c>
      <c r="F23" s="50">
        <v>5.56</v>
      </c>
      <c r="G23" s="50">
        <v>94.64</v>
      </c>
      <c r="H23" s="50">
        <v>46.84</v>
      </c>
      <c r="I23" s="50">
        <v>9.8699999999999992</v>
      </c>
      <c r="J23" s="50">
        <v>0.46</v>
      </c>
      <c r="K23" s="50">
        <v>315.70999999999998</v>
      </c>
      <c r="L23" s="50">
        <v>27.7</v>
      </c>
      <c r="M23" s="50">
        <v>51.8</v>
      </c>
      <c r="N23" s="50">
        <v>200</v>
      </c>
      <c r="O23" s="50">
        <v>0</v>
      </c>
      <c r="P23" s="50">
        <v>0.9</v>
      </c>
      <c r="Q23" s="50">
        <v>4.7300000000000004</v>
      </c>
    </row>
    <row r="24" spans="1:17" customFormat="1">
      <c r="A24" s="55">
        <v>45308.666666666664</v>
      </c>
      <c r="B24" s="50">
        <v>4.51</v>
      </c>
      <c r="C24" s="50">
        <v>18.28</v>
      </c>
      <c r="D24" s="50">
        <v>14.41</v>
      </c>
      <c r="E24" s="50">
        <v>9.1199999999999992</v>
      </c>
      <c r="F24" s="50">
        <v>4.8899999999999997</v>
      </c>
      <c r="G24" s="50">
        <v>80.540000000000006</v>
      </c>
      <c r="H24" s="50">
        <v>43.34</v>
      </c>
      <c r="I24" s="50">
        <v>9.7899999999999991</v>
      </c>
      <c r="J24" s="50">
        <v>0.59</v>
      </c>
      <c r="K24" s="50">
        <v>282.05</v>
      </c>
      <c r="L24" s="50">
        <v>27.55</v>
      </c>
      <c r="M24" s="50">
        <v>52.83</v>
      </c>
      <c r="N24" s="50">
        <v>88.5</v>
      </c>
      <c r="O24" s="50">
        <v>0</v>
      </c>
      <c r="P24" s="50">
        <v>0.87</v>
      </c>
      <c r="Q24" s="50">
        <v>4.76</v>
      </c>
    </row>
    <row r="25" spans="1:17" customFormat="1">
      <c r="A25" s="55">
        <v>45308.708333333336</v>
      </c>
      <c r="B25" s="50">
        <v>4.7300000000000004</v>
      </c>
      <c r="C25" s="50">
        <v>15.95</v>
      </c>
      <c r="D25" s="50">
        <v>13.29</v>
      </c>
      <c r="E25" s="50">
        <v>8.84</v>
      </c>
      <c r="F25" s="50">
        <v>6.44</v>
      </c>
      <c r="G25" s="50">
        <v>76.790000000000006</v>
      </c>
      <c r="H25" s="50">
        <v>42.09</v>
      </c>
      <c r="I25" s="50">
        <v>9.24</v>
      </c>
      <c r="J25" s="50">
        <v>0.42</v>
      </c>
      <c r="K25" s="50">
        <v>274.41000000000003</v>
      </c>
      <c r="L25" s="50">
        <v>26.98</v>
      </c>
      <c r="M25" s="50">
        <v>57.09</v>
      </c>
      <c r="N25" s="50">
        <v>44</v>
      </c>
      <c r="O25" s="50">
        <v>0</v>
      </c>
      <c r="P25" s="50">
        <v>0.81</v>
      </c>
      <c r="Q25" s="50">
        <v>4.76</v>
      </c>
    </row>
    <row r="26" spans="1:17" customFormat="1">
      <c r="A26" s="55">
        <v>45308.75</v>
      </c>
      <c r="B26" s="50">
        <v>5.79</v>
      </c>
      <c r="C26" s="50">
        <v>16.54</v>
      </c>
      <c r="D26" s="50">
        <v>14.63</v>
      </c>
      <c r="E26" s="50">
        <v>9.24</v>
      </c>
      <c r="F26" s="50">
        <v>4.04</v>
      </c>
      <c r="G26" s="50">
        <v>59.41</v>
      </c>
      <c r="H26" s="50">
        <v>33.51</v>
      </c>
      <c r="I26" s="50">
        <v>8.68</v>
      </c>
      <c r="J26" s="50">
        <v>0.25</v>
      </c>
      <c r="K26" s="50">
        <v>174.51</v>
      </c>
      <c r="L26" s="50">
        <v>25.45</v>
      </c>
      <c r="M26" s="50">
        <v>70.39</v>
      </c>
      <c r="N26" s="50">
        <v>2.7</v>
      </c>
      <c r="O26" s="50">
        <v>0</v>
      </c>
      <c r="P26" s="50">
        <v>0.78</v>
      </c>
      <c r="Q26" s="50">
        <v>4.8</v>
      </c>
    </row>
    <row r="27" spans="1:17" customFormat="1">
      <c r="A27" s="55">
        <v>45308.791666666664</v>
      </c>
      <c r="B27" s="50">
        <v>10.84</v>
      </c>
      <c r="C27" s="50">
        <v>25.09</v>
      </c>
      <c r="D27" s="50">
        <v>23.15</v>
      </c>
      <c r="E27" s="50">
        <v>8.39</v>
      </c>
      <c r="F27" s="50">
        <v>3.3</v>
      </c>
      <c r="G27" s="50">
        <v>153.37</v>
      </c>
      <c r="H27" s="50">
        <v>41.36</v>
      </c>
      <c r="I27" s="50">
        <v>8.58</v>
      </c>
      <c r="J27" s="50">
        <v>0.3</v>
      </c>
      <c r="K27" s="50">
        <v>175.72</v>
      </c>
      <c r="L27" s="50">
        <v>23.42</v>
      </c>
      <c r="M27" s="50">
        <v>74.19</v>
      </c>
      <c r="N27" s="50">
        <v>0</v>
      </c>
      <c r="O27" s="50">
        <v>0</v>
      </c>
      <c r="P27" s="50">
        <v>0.92</v>
      </c>
      <c r="Q27" s="50">
        <v>4.9000000000000004</v>
      </c>
    </row>
    <row r="28" spans="1:17" customFormat="1">
      <c r="A28" s="55">
        <v>45308.833333333336</v>
      </c>
      <c r="B28" s="50">
        <v>19.8</v>
      </c>
      <c r="C28" s="50">
        <v>31.65</v>
      </c>
      <c r="D28" s="50">
        <v>33.76</v>
      </c>
      <c r="E28" s="50">
        <v>8.5299999999999994</v>
      </c>
      <c r="F28" s="50">
        <v>3.33</v>
      </c>
      <c r="G28" s="50">
        <v>153.37</v>
      </c>
      <c r="H28" s="50">
        <v>52</v>
      </c>
      <c r="I28" s="50">
        <v>9.4</v>
      </c>
      <c r="J28" s="50">
        <v>0.36</v>
      </c>
      <c r="K28" s="50">
        <v>173.97</v>
      </c>
      <c r="L28" s="50">
        <v>22.72</v>
      </c>
      <c r="M28" s="50">
        <v>76.430000000000007</v>
      </c>
      <c r="N28" s="50">
        <v>0</v>
      </c>
      <c r="O28" s="50">
        <v>0</v>
      </c>
      <c r="P28" s="50">
        <v>1.1000000000000001</v>
      </c>
      <c r="Q28" s="50">
        <v>4.99</v>
      </c>
    </row>
    <row r="29" spans="1:17" customFormat="1">
      <c r="A29" s="55">
        <v>45308.875</v>
      </c>
      <c r="B29" s="50">
        <v>23.25</v>
      </c>
      <c r="C29" s="50">
        <v>33.96</v>
      </c>
      <c r="D29" s="50">
        <v>37.74</v>
      </c>
      <c r="E29" s="50">
        <v>8.9700000000000006</v>
      </c>
      <c r="F29" s="50">
        <v>3.18</v>
      </c>
      <c r="G29" s="50">
        <v>136.47</v>
      </c>
      <c r="H29" s="50">
        <v>54.41</v>
      </c>
      <c r="I29" s="50">
        <v>10.7</v>
      </c>
      <c r="J29" s="50">
        <v>0.31</v>
      </c>
      <c r="K29" s="50">
        <v>191.88</v>
      </c>
      <c r="L29" s="50">
        <v>21.75</v>
      </c>
      <c r="M29" s="50">
        <v>80.59</v>
      </c>
      <c r="N29" s="50">
        <v>0</v>
      </c>
      <c r="O29" s="50">
        <v>0</v>
      </c>
      <c r="P29" s="50">
        <v>1.19</v>
      </c>
      <c r="Q29" s="50">
        <v>5.03</v>
      </c>
    </row>
    <row r="30" spans="1:17" customFormat="1">
      <c r="A30" s="55">
        <v>45308.916666666664</v>
      </c>
      <c r="B30" s="50">
        <v>22.83</v>
      </c>
      <c r="C30" s="50">
        <v>34.380000000000003</v>
      </c>
      <c r="D30" s="50">
        <v>37.5</v>
      </c>
      <c r="E30" s="50">
        <v>8.76</v>
      </c>
      <c r="F30" s="50">
        <v>3.35</v>
      </c>
      <c r="G30" s="50">
        <v>136.47</v>
      </c>
      <c r="H30" s="50">
        <v>54.41</v>
      </c>
      <c r="I30" s="50">
        <v>11.27</v>
      </c>
      <c r="J30" s="50">
        <v>0.2</v>
      </c>
      <c r="K30" s="50">
        <v>186.2</v>
      </c>
      <c r="L30" s="50">
        <v>21.13</v>
      </c>
      <c r="M30" s="50">
        <v>83.81</v>
      </c>
      <c r="N30" s="50">
        <v>0</v>
      </c>
      <c r="O30" s="50">
        <v>0</v>
      </c>
      <c r="P30" s="50">
        <v>1.21</v>
      </c>
      <c r="Q30" s="50">
        <v>5.03</v>
      </c>
    </row>
    <row r="31" spans="1:17" customFormat="1">
      <c r="A31" s="55">
        <v>45308.958333333336</v>
      </c>
      <c r="B31" s="50">
        <v>21.16</v>
      </c>
      <c r="C31" s="50">
        <v>34.14</v>
      </c>
      <c r="D31" s="50">
        <v>36.159999999999997</v>
      </c>
      <c r="E31" s="50">
        <v>9.0299999999999994</v>
      </c>
      <c r="F31" s="50">
        <v>3.33</v>
      </c>
      <c r="G31" s="50">
        <v>109.48</v>
      </c>
      <c r="H31" s="50">
        <v>48.16</v>
      </c>
      <c r="I31" s="50">
        <v>11.44</v>
      </c>
      <c r="J31" s="50">
        <v>0.27</v>
      </c>
      <c r="K31" s="50">
        <v>259.74</v>
      </c>
      <c r="L31" s="50">
        <v>20.77</v>
      </c>
      <c r="M31" s="50">
        <v>86.89</v>
      </c>
      <c r="N31" s="50">
        <v>0</v>
      </c>
      <c r="O31" s="50">
        <v>0</v>
      </c>
      <c r="P31" s="50">
        <v>1.21</v>
      </c>
      <c r="Q31" s="50">
        <v>5</v>
      </c>
    </row>
    <row r="32" spans="1:17" customFormat="1">
      <c r="A32" s="55">
        <v>45309</v>
      </c>
      <c r="B32" s="50">
        <v>20.23</v>
      </c>
      <c r="C32" s="50">
        <v>33.479999999999997</v>
      </c>
      <c r="D32" s="50">
        <v>35.07</v>
      </c>
      <c r="E32" s="50">
        <v>9</v>
      </c>
      <c r="F32" s="50">
        <v>3.55</v>
      </c>
      <c r="G32" s="50">
        <v>99.32</v>
      </c>
      <c r="H32" s="50">
        <v>48.16</v>
      </c>
      <c r="I32" s="50">
        <v>11.45</v>
      </c>
      <c r="J32" s="50">
        <v>0.21</v>
      </c>
      <c r="K32" s="50">
        <v>255.04</v>
      </c>
      <c r="L32" s="50">
        <v>19.8</v>
      </c>
      <c r="M32" s="50">
        <v>87.77</v>
      </c>
      <c r="N32" s="50">
        <v>0</v>
      </c>
      <c r="O32" s="50">
        <v>0</v>
      </c>
      <c r="P32" s="50">
        <v>1.2</v>
      </c>
      <c r="Q32" s="50">
        <v>4.95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4.51</v>
      </c>
      <c r="C34" s="41">
        <f t="shared" si="0"/>
        <v>15.95</v>
      </c>
      <c r="D34" s="41">
        <f t="shared" si="0"/>
        <v>13.29</v>
      </c>
      <c r="E34" s="41">
        <f t="shared" si="0"/>
        <v>6.66</v>
      </c>
      <c r="F34" s="41">
        <f t="shared" si="0"/>
        <v>3.18</v>
      </c>
      <c r="G34" s="41">
        <f t="shared" si="0"/>
        <v>59.41</v>
      </c>
      <c r="H34" s="41">
        <f t="shared" si="0"/>
        <v>33.51</v>
      </c>
      <c r="I34" s="41">
        <f t="shared" si="0"/>
        <v>7.64</v>
      </c>
      <c r="J34" s="41">
        <f t="shared" si="0"/>
        <v>0.1</v>
      </c>
      <c r="K34" s="41">
        <f t="shared" si="0"/>
        <v>52.57</v>
      </c>
      <c r="L34" s="41">
        <f t="shared" si="0"/>
        <v>17.73</v>
      </c>
      <c r="M34" s="41">
        <f t="shared" si="0"/>
        <v>51.06</v>
      </c>
      <c r="N34" s="41">
        <f t="shared" si="0"/>
        <v>0</v>
      </c>
      <c r="O34" s="41">
        <f t="shared" si="0"/>
        <v>0</v>
      </c>
      <c r="P34" s="41">
        <f t="shared" si="0"/>
        <v>0.77</v>
      </c>
      <c r="Q34" s="41">
        <f t="shared" si="0"/>
        <v>4.7300000000000004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23.25</v>
      </c>
      <c r="C35" s="33">
        <f t="shared" si="1"/>
        <v>34.380000000000003</v>
      </c>
      <c r="D35" s="33">
        <f t="shared" si="1"/>
        <v>37.74</v>
      </c>
      <c r="E35" s="33">
        <f t="shared" si="1"/>
        <v>9.9600000000000009</v>
      </c>
      <c r="F35" s="33">
        <f t="shared" si="1"/>
        <v>6.44</v>
      </c>
      <c r="G35" s="33">
        <f t="shared" si="1"/>
        <v>153.37</v>
      </c>
      <c r="H35" s="33">
        <f t="shared" si="1"/>
        <v>54.41</v>
      </c>
      <c r="I35" s="33">
        <f t="shared" si="1"/>
        <v>11.45</v>
      </c>
      <c r="J35" s="33">
        <f t="shared" si="1"/>
        <v>0.82</v>
      </c>
      <c r="K35" s="33">
        <f t="shared" si="1"/>
        <v>347.75</v>
      </c>
      <c r="L35" s="33">
        <f t="shared" si="1"/>
        <v>27.85</v>
      </c>
      <c r="M35" s="33">
        <f t="shared" si="1"/>
        <v>87.77</v>
      </c>
      <c r="N35" s="33">
        <f t="shared" si="1"/>
        <v>288.3</v>
      </c>
      <c r="O35" s="33">
        <f t="shared" si="1"/>
        <v>0</v>
      </c>
      <c r="P35" s="33">
        <f t="shared" si="1"/>
        <v>1.21</v>
      </c>
      <c r="Q35" s="33">
        <f t="shared" si="1"/>
        <v>5.03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12.616666666666667</v>
      </c>
      <c r="C36" s="41">
        <f t="shared" si="2"/>
        <v>27.928333333333338</v>
      </c>
      <c r="D36" s="41">
        <f t="shared" si="2"/>
        <v>25.970416666666665</v>
      </c>
      <c r="E36" s="41">
        <f t="shared" si="2"/>
        <v>8.2983333333333338</v>
      </c>
      <c r="F36" s="41">
        <f t="shared" si="2"/>
        <v>3.9504166666666669</v>
      </c>
      <c r="G36" s="41">
        <f t="shared" si="2"/>
        <v>103.37874999999998</v>
      </c>
      <c r="H36" s="41">
        <f t="shared" si="2"/>
        <v>45.029583333333342</v>
      </c>
      <c r="I36" s="41">
        <f t="shared" si="2"/>
        <v>9.5462500000000006</v>
      </c>
      <c r="J36" s="41">
        <f t="shared" si="2"/>
        <v>0.4291666666666667</v>
      </c>
      <c r="K36" s="41">
        <f t="shared" si="2"/>
        <v>218.50625000000002</v>
      </c>
      <c r="L36" s="41">
        <f t="shared" si="2"/>
        <v>22.030833333333334</v>
      </c>
      <c r="M36" s="41">
        <f t="shared" si="2"/>
        <v>72.486666666666665</v>
      </c>
      <c r="N36" s="41">
        <f t="shared" si="2"/>
        <v>67.204166666666666</v>
      </c>
      <c r="O36" s="41">
        <f t="shared" si="2"/>
        <v>0</v>
      </c>
      <c r="P36" s="41">
        <f t="shared" si="2"/>
        <v>0.97041666666666693</v>
      </c>
      <c r="Q36" s="41">
        <f t="shared" si="2"/>
        <v>4.9012500000000001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6.5100134686741491</v>
      </c>
      <c r="C37" s="41">
        <f t="shared" ref="C37:Q37" si="3">STDEV(C9:C32)</f>
        <v>5.3900549861409406</v>
      </c>
      <c r="D37" s="41">
        <f t="shared" si="3"/>
        <v>7.5617944035426783</v>
      </c>
      <c r="E37" s="41">
        <f t="shared" si="3"/>
        <v>1.0058380311598629</v>
      </c>
      <c r="F37" s="41">
        <f t="shared" si="3"/>
        <v>0.87530605413523588</v>
      </c>
      <c r="G37" s="41">
        <f t="shared" si="3"/>
        <v>28.101923547423251</v>
      </c>
      <c r="H37" s="41">
        <f t="shared" si="3"/>
        <v>6.7784540235421389</v>
      </c>
      <c r="I37" s="41">
        <f t="shared" si="3"/>
        <v>1.0786658929880153</v>
      </c>
      <c r="J37" s="41">
        <f t="shared" si="3"/>
        <v>0.21703369136704498</v>
      </c>
      <c r="K37" s="41">
        <f t="shared" si="3"/>
        <v>86.863754426988493</v>
      </c>
      <c r="L37" s="41">
        <f t="shared" si="3"/>
        <v>3.7168627685966187</v>
      </c>
      <c r="M37" s="41">
        <f t="shared" si="3"/>
        <v>12.069239977032021</v>
      </c>
      <c r="N37" s="41">
        <f t="shared" si="3"/>
        <v>101.99255079007813</v>
      </c>
      <c r="O37" s="41">
        <f t="shared" si="3"/>
        <v>0</v>
      </c>
      <c r="P37" s="41">
        <f t="shared" si="3"/>
        <v>0.14763289272547631</v>
      </c>
      <c r="Q37" s="41">
        <f t="shared" si="3"/>
        <v>9.7370315090757317E-2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45309.041666666664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45309.041666666664</v>
      </c>
      <c r="B9" s="50">
        <v>18.739999999999998</v>
      </c>
      <c r="C9" s="50">
        <v>26.42</v>
      </c>
      <c r="D9" s="50">
        <v>29.33</v>
      </c>
      <c r="E9" s="50">
        <v>8.44</v>
      </c>
      <c r="F9" s="50">
        <v>3.56</v>
      </c>
      <c r="G9" s="50">
        <v>99.32</v>
      </c>
      <c r="H9" s="50">
        <v>46.59</v>
      </c>
      <c r="I9" s="50">
        <v>11.29</v>
      </c>
      <c r="J9" s="50">
        <v>0.15</v>
      </c>
      <c r="K9" s="50">
        <v>186.46</v>
      </c>
      <c r="L9" s="50">
        <v>19.350000000000001</v>
      </c>
      <c r="M9" s="50">
        <v>88.62</v>
      </c>
      <c r="N9" s="50">
        <v>0</v>
      </c>
      <c r="O9" s="50">
        <v>0</v>
      </c>
      <c r="P9" s="50">
        <v>1.1399999999999999</v>
      </c>
      <c r="Q9" s="50">
        <v>4.93</v>
      </c>
    </row>
    <row r="10" spans="1:21" customFormat="1">
      <c r="A10" s="55">
        <v>45309.083333333336</v>
      </c>
      <c r="B10" s="50">
        <v>17.41</v>
      </c>
      <c r="C10" s="50">
        <v>25.38</v>
      </c>
      <c r="D10" s="50">
        <v>28.57</v>
      </c>
      <c r="E10" s="50">
        <v>8.2200000000000006</v>
      </c>
      <c r="F10" s="50">
        <v>3.55</v>
      </c>
      <c r="G10" s="50">
        <v>88.67</v>
      </c>
      <c r="H10" s="50">
        <v>44.33</v>
      </c>
      <c r="I10" s="50">
        <v>11.32</v>
      </c>
      <c r="J10" s="50">
        <v>0.15</v>
      </c>
      <c r="K10" s="50">
        <v>240.41</v>
      </c>
      <c r="L10" s="50">
        <v>19.239999999999998</v>
      </c>
      <c r="M10" s="50">
        <v>90.45</v>
      </c>
      <c r="N10" s="50">
        <v>0</v>
      </c>
      <c r="O10" s="50">
        <v>0</v>
      </c>
      <c r="P10" s="50">
        <v>1.1200000000000001</v>
      </c>
      <c r="Q10" s="50">
        <v>4.92</v>
      </c>
    </row>
    <row r="11" spans="1:21" customFormat="1">
      <c r="A11" s="55">
        <v>45309.125</v>
      </c>
      <c r="B11" s="50">
        <v>16.36</v>
      </c>
      <c r="C11" s="50">
        <v>24.41</v>
      </c>
      <c r="D11" s="50">
        <v>27.23</v>
      </c>
      <c r="E11" s="50">
        <v>9.02</v>
      </c>
      <c r="F11" s="50">
        <v>3.53</v>
      </c>
      <c r="G11" s="50">
        <v>69.92</v>
      </c>
      <c r="H11" s="50">
        <v>44.33</v>
      </c>
      <c r="I11" s="50">
        <v>11.22</v>
      </c>
      <c r="J11" s="50">
        <v>0.22</v>
      </c>
      <c r="K11" s="50">
        <v>184.62</v>
      </c>
      <c r="L11" s="50">
        <v>19.07</v>
      </c>
      <c r="M11" s="50">
        <v>91.82</v>
      </c>
      <c r="N11" s="50">
        <v>0</v>
      </c>
      <c r="O11" s="50">
        <v>0</v>
      </c>
      <c r="P11" s="50">
        <v>1.0900000000000001</v>
      </c>
      <c r="Q11" s="50">
        <v>4.93</v>
      </c>
    </row>
    <row r="12" spans="1:21" customFormat="1">
      <c r="A12" s="55">
        <v>45309.166666666664</v>
      </c>
      <c r="B12" s="50">
        <v>18.14</v>
      </c>
      <c r="C12" s="50">
        <v>23.88</v>
      </c>
      <c r="D12" s="50">
        <v>28</v>
      </c>
      <c r="E12" s="50">
        <v>8.6300000000000008</v>
      </c>
      <c r="F12" s="50">
        <v>3.62</v>
      </c>
      <c r="G12" s="50">
        <v>74.27</v>
      </c>
      <c r="H12" s="50">
        <v>41.85</v>
      </c>
      <c r="I12" s="50">
        <v>11.19</v>
      </c>
      <c r="J12" s="50">
        <v>0.7</v>
      </c>
      <c r="K12" s="50">
        <v>55.21</v>
      </c>
      <c r="L12" s="50">
        <v>19.13</v>
      </c>
      <c r="M12" s="50">
        <v>89.23</v>
      </c>
      <c r="N12" s="50">
        <v>0</v>
      </c>
      <c r="O12" s="50">
        <v>0</v>
      </c>
      <c r="P12" s="50">
        <v>1.05</v>
      </c>
      <c r="Q12" s="50">
        <v>4.97</v>
      </c>
    </row>
    <row r="13" spans="1:21" customFormat="1">
      <c r="A13" s="55">
        <v>45309.208333333336</v>
      </c>
      <c r="B13" s="50">
        <v>18.61</v>
      </c>
      <c r="C13" s="50">
        <v>25.05</v>
      </c>
      <c r="D13" s="50">
        <v>29.06</v>
      </c>
      <c r="E13" s="50">
        <v>9.02</v>
      </c>
      <c r="F13" s="50">
        <v>3.58</v>
      </c>
      <c r="G13" s="50">
        <v>85.62</v>
      </c>
      <c r="H13" s="50">
        <v>43.25</v>
      </c>
      <c r="I13" s="50">
        <v>11.33</v>
      </c>
      <c r="J13" s="50">
        <v>0.36</v>
      </c>
      <c r="K13" s="50">
        <v>338.43</v>
      </c>
      <c r="L13" s="50">
        <v>19.02</v>
      </c>
      <c r="M13" s="50">
        <v>91.41</v>
      </c>
      <c r="N13" s="50">
        <v>0</v>
      </c>
      <c r="O13" s="50">
        <v>0</v>
      </c>
      <c r="P13" s="50">
        <v>1.06</v>
      </c>
      <c r="Q13" s="50">
        <v>5.04</v>
      </c>
    </row>
    <row r="14" spans="1:21" customFormat="1">
      <c r="A14" s="55">
        <v>45309.25</v>
      </c>
      <c r="B14" s="50">
        <v>19.97</v>
      </c>
      <c r="C14" s="50">
        <v>26.8</v>
      </c>
      <c r="D14" s="50">
        <v>31.37</v>
      </c>
      <c r="E14" s="50">
        <v>9.0500000000000007</v>
      </c>
      <c r="F14" s="50">
        <v>3.41</v>
      </c>
      <c r="G14" s="50">
        <v>94.03</v>
      </c>
      <c r="H14" s="50">
        <v>43.25</v>
      </c>
      <c r="I14" s="50">
        <v>11.27</v>
      </c>
      <c r="J14" s="50">
        <v>0.28000000000000003</v>
      </c>
      <c r="K14" s="50">
        <v>225.39</v>
      </c>
      <c r="L14" s="50">
        <v>18.47</v>
      </c>
      <c r="M14" s="50">
        <v>91.68</v>
      </c>
      <c r="N14" s="50">
        <v>0</v>
      </c>
      <c r="O14" s="50">
        <v>0</v>
      </c>
      <c r="P14" s="50">
        <v>1.04</v>
      </c>
      <c r="Q14" s="50">
        <v>5.01</v>
      </c>
    </row>
    <row r="15" spans="1:21" customFormat="1">
      <c r="A15" s="55">
        <v>45309.291666666664</v>
      </c>
      <c r="B15" s="50">
        <v>22.93</v>
      </c>
      <c r="C15" s="50">
        <v>27.98</v>
      </c>
      <c r="D15" s="50">
        <v>34.36</v>
      </c>
      <c r="E15" s="50">
        <v>9.1199999999999992</v>
      </c>
      <c r="F15" s="50">
        <v>3.33</v>
      </c>
      <c r="G15" s="50">
        <v>94.38</v>
      </c>
      <c r="H15" s="50">
        <v>43.71</v>
      </c>
      <c r="I15" s="50">
        <v>11.2</v>
      </c>
      <c r="J15" s="50">
        <v>0.37</v>
      </c>
      <c r="K15" s="50">
        <v>242.51</v>
      </c>
      <c r="L15" s="50">
        <v>18.420000000000002</v>
      </c>
      <c r="M15" s="50">
        <v>91.96</v>
      </c>
      <c r="N15" s="50">
        <v>0.7</v>
      </c>
      <c r="O15" s="50">
        <v>0</v>
      </c>
      <c r="P15" s="50">
        <v>1.04</v>
      </c>
      <c r="Q15" s="50">
        <v>5.05</v>
      </c>
    </row>
    <row r="16" spans="1:21" customFormat="1">
      <c r="A16" s="55">
        <v>45309.333333333336</v>
      </c>
      <c r="B16" s="50">
        <v>25.64</v>
      </c>
      <c r="C16" s="50">
        <v>29.29</v>
      </c>
      <c r="D16" s="50">
        <v>37.22</v>
      </c>
      <c r="E16" s="50">
        <v>9.3800000000000008</v>
      </c>
      <c r="F16" s="50">
        <v>3.3</v>
      </c>
      <c r="G16" s="50">
        <v>109.44</v>
      </c>
      <c r="H16" s="50">
        <v>45.96</v>
      </c>
      <c r="I16" s="50">
        <v>11.63</v>
      </c>
      <c r="J16" s="50">
        <v>0.64</v>
      </c>
      <c r="K16" s="50">
        <v>117.63</v>
      </c>
      <c r="L16" s="50">
        <v>19.309999999999999</v>
      </c>
      <c r="M16" s="50">
        <v>91.72</v>
      </c>
      <c r="N16" s="50">
        <v>39</v>
      </c>
      <c r="O16" s="50">
        <v>0</v>
      </c>
      <c r="P16" s="50">
        <v>1.0900000000000001</v>
      </c>
      <c r="Q16" s="50">
        <v>5.04</v>
      </c>
    </row>
    <row r="17" spans="1:17" customFormat="1">
      <c r="A17" s="55">
        <v>45309.375</v>
      </c>
      <c r="B17" s="50">
        <v>25.43</v>
      </c>
      <c r="C17" s="50">
        <v>30</v>
      </c>
      <c r="D17" s="50">
        <v>37.01</v>
      </c>
      <c r="E17" s="50">
        <v>9.73</v>
      </c>
      <c r="F17" s="50">
        <v>3.4</v>
      </c>
      <c r="G17" s="50">
        <v>111.38</v>
      </c>
      <c r="H17" s="50">
        <v>49.28</v>
      </c>
      <c r="I17" s="50">
        <v>12.03</v>
      </c>
      <c r="J17" s="50">
        <v>0.6</v>
      </c>
      <c r="K17" s="50">
        <v>83.56</v>
      </c>
      <c r="L17" s="50">
        <v>21.18</v>
      </c>
      <c r="M17" s="50">
        <v>90</v>
      </c>
      <c r="N17" s="50">
        <v>111.3</v>
      </c>
      <c r="O17" s="50">
        <v>0</v>
      </c>
      <c r="P17" s="50">
        <v>1.1100000000000001</v>
      </c>
      <c r="Q17" s="50">
        <v>5.0599999999999996</v>
      </c>
    </row>
    <row r="18" spans="1:17" customFormat="1">
      <c r="A18" s="55">
        <v>45309.416666666664</v>
      </c>
      <c r="B18" s="50">
        <v>22.82</v>
      </c>
      <c r="C18" s="50">
        <v>30.75</v>
      </c>
      <c r="D18" s="50">
        <v>35.51</v>
      </c>
      <c r="E18" s="50">
        <v>9.92</v>
      </c>
      <c r="F18" s="50">
        <v>3.73</v>
      </c>
      <c r="G18" s="50">
        <v>111.38</v>
      </c>
      <c r="H18" s="50">
        <v>49.28</v>
      </c>
      <c r="I18" s="50">
        <v>12.06</v>
      </c>
      <c r="J18" s="50">
        <v>0.52</v>
      </c>
      <c r="K18" s="50">
        <v>113.08</v>
      </c>
      <c r="L18" s="50">
        <v>23.67</v>
      </c>
      <c r="M18" s="50">
        <v>82.66</v>
      </c>
      <c r="N18" s="50">
        <v>171.3</v>
      </c>
      <c r="O18" s="50">
        <v>0</v>
      </c>
      <c r="P18" s="50">
        <v>1.1200000000000001</v>
      </c>
      <c r="Q18" s="50">
        <v>5.01</v>
      </c>
    </row>
    <row r="19" spans="1:17" customFormat="1">
      <c r="A19" s="55">
        <v>45309.458333333336</v>
      </c>
      <c r="B19" s="50">
        <v>21.53</v>
      </c>
      <c r="C19" s="50">
        <v>23.94</v>
      </c>
      <c r="D19" s="50">
        <v>31.13</v>
      </c>
      <c r="E19" s="50">
        <v>7.18</v>
      </c>
      <c r="F19" s="50">
        <v>3.69</v>
      </c>
      <c r="G19" s="50">
        <v>100.64</v>
      </c>
      <c r="H19" s="50">
        <v>48.35</v>
      </c>
      <c r="I19" s="50">
        <v>11.83</v>
      </c>
      <c r="J19" s="50">
        <v>0.78</v>
      </c>
      <c r="K19" s="50">
        <v>314.66000000000003</v>
      </c>
      <c r="L19" s="50">
        <v>25.15</v>
      </c>
      <c r="M19" s="50">
        <v>71.05</v>
      </c>
      <c r="N19" s="50">
        <v>224.2</v>
      </c>
      <c r="O19" s="50">
        <v>0</v>
      </c>
      <c r="P19" s="50">
        <v>1.1100000000000001</v>
      </c>
      <c r="Q19" s="50">
        <v>4.97</v>
      </c>
    </row>
    <row r="20" spans="1:17" customFormat="1">
      <c r="A20" s="55">
        <v>45309.5</v>
      </c>
      <c r="B20" s="50">
        <v>19.62</v>
      </c>
      <c r="C20" s="50">
        <v>22.94</v>
      </c>
      <c r="D20" s="50">
        <v>28.45</v>
      </c>
      <c r="E20" s="50">
        <v>6.85</v>
      </c>
      <c r="F20" s="50">
        <v>3.69</v>
      </c>
      <c r="G20" s="50">
        <v>96.75</v>
      </c>
      <c r="H20" s="50">
        <v>48.91</v>
      </c>
      <c r="I20" s="50">
        <v>11.53</v>
      </c>
      <c r="J20" s="50">
        <v>1.26</v>
      </c>
      <c r="K20" s="50">
        <v>301.2</v>
      </c>
      <c r="L20" s="50">
        <v>25.03</v>
      </c>
      <c r="M20" s="50">
        <v>62.76</v>
      </c>
      <c r="N20" s="50">
        <v>139.5</v>
      </c>
      <c r="O20" s="50">
        <v>0</v>
      </c>
      <c r="P20" s="50">
        <v>1.08</v>
      </c>
      <c r="Q20" s="50">
        <v>4.96</v>
      </c>
    </row>
    <row r="21" spans="1:17" customFormat="1">
      <c r="A21" s="55">
        <v>45309.541666666664</v>
      </c>
      <c r="B21" s="50">
        <v>16.03</v>
      </c>
      <c r="C21" s="50">
        <v>22.43</v>
      </c>
      <c r="D21" s="50">
        <v>25.7</v>
      </c>
      <c r="E21" s="50">
        <v>7.37</v>
      </c>
      <c r="F21" s="50">
        <v>3.95</v>
      </c>
      <c r="G21" s="50">
        <v>89.69</v>
      </c>
      <c r="H21" s="50">
        <v>48.91</v>
      </c>
      <c r="I21" s="50">
        <v>11</v>
      </c>
      <c r="J21" s="50">
        <v>0.76</v>
      </c>
      <c r="K21" s="50">
        <v>335.74</v>
      </c>
      <c r="L21" s="50">
        <v>25.27</v>
      </c>
      <c r="M21" s="50">
        <v>67.13</v>
      </c>
      <c r="N21" s="50">
        <v>152.6</v>
      </c>
      <c r="O21" s="50">
        <v>0</v>
      </c>
      <c r="P21" s="50">
        <v>1.03</v>
      </c>
      <c r="Q21" s="50">
        <v>4.99</v>
      </c>
    </row>
    <row r="22" spans="1:17" customFormat="1">
      <c r="A22" s="55">
        <v>45309.583333333336</v>
      </c>
      <c r="B22" s="50">
        <v>18.84</v>
      </c>
      <c r="C22" s="50">
        <v>24.45</v>
      </c>
      <c r="D22" s="50">
        <v>29.18</v>
      </c>
      <c r="E22" s="50">
        <v>8.68</v>
      </c>
      <c r="F22" s="50">
        <v>4.13</v>
      </c>
      <c r="G22" s="50">
        <v>104.23</v>
      </c>
      <c r="H22" s="50">
        <v>45.68</v>
      </c>
      <c r="I22" s="50">
        <v>10.53</v>
      </c>
      <c r="J22" s="50">
        <v>1.36</v>
      </c>
      <c r="K22" s="50">
        <v>318.73</v>
      </c>
      <c r="L22" s="50">
        <v>25.14</v>
      </c>
      <c r="M22" s="50">
        <v>69.67</v>
      </c>
      <c r="N22" s="50">
        <v>124.6</v>
      </c>
      <c r="O22" s="50">
        <v>0</v>
      </c>
      <c r="P22" s="50">
        <v>1.04</v>
      </c>
      <c r="Q22" s="50">
        <v>5.05</v>
      </c>
    </row>
    <row r="23" spans="1:17" customFormat="1">
      <c r="A23" s="55">
        <v>45309.625</v>
      </c>
      <c r="B23" s="50">
        <v>17.84</v>
      </c>
      <c r="C23" s="50">
        <v>26.55</v>
      </c>
      <c r="D23" s="50">
        <v>27.64</v>
      </c>
      <c r="E23" s="50">
        <v>7.46</v>
      </c>
      <c r="F23" s="50">
        <v>3.82</v>
      </c>
      <c r="G23" s="50">
        <v>104.23</v>
      </c>
      <c r="H23" s="50">
        <v>47.78</v>
      </c>
      <c r="I23" s="50">
        <v>10.47</v>
      </c>
      <c r="J23" s="50">
        <v>1.0900000000000001</v>
      </c>
      <c r="K23" s="50">
        <v>43.41</v>
      </c>
      <c r="L23" s="50">
        <v>25.16</v>
      </c>
      <c r="M23" s="50">
        <v>68.69</v>
      </c>
      <c r="N23" s="50">
        <v>84.4</v>
      </c>
      <c r="O23" s="50">
        <v>0</v>
      </c>
      <c r="P23" s="50">
        <v>1.04</v>
      </c>
      <c r="Q23" s="50">
        <v>5.0599999999999996</v>
      </c>
    </row>
    <row r="24" spans="1:17" customFormat="1">
      <c r="A24" s="55">
        <v>45309.666666666664</v>
      </c>
      <c r="B24" s="50">
        <v>13.65</v>
      </c>
      <c r="C24" s="50">
        <v>28.73</v>
      </c>
      <c r="D24" s="50">
        <v>26.69</v>
      </c>
      <c r="E24" s="50">
        <v>8.1999999999999993</v>
      </c>
      <c r="F24" s="50">
        <v>4.0999999999999996</v>
      </c>
      <c r="G24" s="50">
        <v>106.62</v>
      </c>
      <c r="H24" s="50">
        <v>47.78</v>
      </c>
      <c r="I24" s="50">
        <v>10.210000000000001</v>
      </c>
      <c r="J24" s="50">
        <v>1.3</v>
      </c>
      <c r="K24" s="50">
        <v>52.8</v>
      </c>
      <c r="L24" s="50">
        <v>24.67</v>
      </c>
      <c r="M24" s="50">
        <v>66.900000000000006</v>
      </c>
      <c r="N24" s="50">
        <v>75.7</v>
      </c>
      <c r="O24" s="50">
        <v>0</v>
      </c>
      <c r="P24" s="50">
        <v>1.04</v>
      </c>
      <c r="Q24" s="50">
        <v>5.03</v>
      </c>
    </row>
    <row r="25" spans="1:17" customFormat="1">
      <c r="A25" s="55">
        <v>45309.708333333336</v>
      </c>
      <c r="B25" s="50">
        <v>10.86</v>
      </c>
      <c r="C25" s="50">
        <v>29.94</v>
      </c>
      <c r="D25" s="50">
        <v>25.22</v>
      </c>
      <c r="E25" s="50">
        <v>6.95</v>
      </c>
      <c r="F25" s="50">
        <v>3.54</v>
      </c>
      <c r="G25" s="50">
        <v>106.62</v>
      </c>
      <c r="H25" s="50">
        <v>46.8</v>
      </c>
      <c r="I25" s="50">
        <v>9.82</v>
      </c>
      <c r="J25" s="50">
        <v>1.25</v>
      </c>
      <c r="K25" s="50">
        <v>58.89</v>
      </c>
      <c r="L25" s="50">
        <v>24.42</v>
      </c>
      <c r="M25" s="50">
        <v>66.599999999999994</v>
      </c>
      <c r="N25" s="50">
        <v>43.7</v>
      </c>
      <c r="O25" s="50">
        <v>0</v>
      </c>
      <c r="P25" s="50">
        <v>1.03</v>
      </c>
      <c r="Q25" s="50">
        <v>4.92</v>
      </c>
    </row>
    <row r="26" spans="1:17" customFormat="1">
      <c r="A26" s="55">
        <v>45309.75</v>
      </c>
      <c r="B26" s="50">
        <v>11.19</v>
      </c>
      <c r="C26" s="50">
        <v>31.54</v>
      </c>
      <c r="D26" s="50">
        <v>26.8</v>
      </c>
      <c r="E26" s="50">
        <v>6.73</v>
      </c>
      <c r="F26" s="50">
        <v>3.52</v>
      </c>
      <c r="G26" s="50">
        <v>90.62</v>
      </c>
      <c r="H26" s="50">
        <v>46.8</v>
      </c>
      <c r="I26" s="50">
        <v>9.49</v>
      </c>
      <c r="J26" s="50">
        <v>1.02</v>
      </c>
      <c r="K26" s="50">
        <v>64.42</v>
      </c>
      <c r="L26" s="50">
        <v>23.82</v>
      </c>
      <c r="M26" s="50">
        <v>73.83</v>
      </c>
      <c r="N26" s="50">
        <v>1.7</v>
      </c>
      <c r="O26" s="50">
        <v>0</v>
      </c>
      <c r="P26" s="50">
        <v>1.05</v>
      </c>
      <c r="Q26" s="50">
        <v>4.8899999999999997</v>
      </c>
    </row>
    <row r="27" spans="1:17" customFormat="1">
      <c r="A27" s="55">
        <v>45309.791666666664</v>
      </c>
      <c r="B27" s="50">
        <v>12.12</v>
      </c>
      <c r="C27" s="50">
        <v>32.31</v>
      </c>
      <c r="D27" s="50">
        <v>27.95</v>
      </c>
      <c r="E27" s="50">
        <v>7.93</v>
      </c>
      <c r="F27" s="50">
        <v>3.39</v>
      </c>
      <c r="G27" s="50">
        <v>95</v>
      </c>
      <c r="H27" s="50">
        <v>43.35</v>
      </c>
      <c r="I27" s="50">
        <v>9.2899999999999991</v>
      </c>
      <c r="J27" s="50">
        <v>1.06</v>
      </c>
      <c r="K27" s="50">
        <v>60.52</v>
      </c>
      <c r="L27" s="50">
        <v>22.37</v>
      </c>
      <c r="M27" s="50">
        <v>79.83</v>
      </c>
      <c r="N27" s="50">
        <v>0</v>
      </c>
      <c r="O27" s="50">
        <v>0</v>
      </c>
      <c r="P27" s="50">
        <v>1.07</v>
      </c>
      <c r="Q27" s="50">
        <v>4.9000000000000004</v>
      </c>
    </row>
    <row r="28" spans="1:17" customFormat="1">
      <c r="A28" s="55">
        <v>45309.833333333336</v>
      </c>
      <c r="B28" s="50">
        <v>13.96</v>
      </c>
      <c r="C28" s="50">
        <v>32.79</v>
      </c>
      <c r="D28" s="50">
        <v>28.91</v>
      </c>
      <c r="E28" s="50">
        <v>7.72</v>
      </c>
      <c r="F28" s="50">
        <v>3.63</v>
      </c>
      <c r="G28" s="50">
        <v>100.65</v>
      </c>
      <c r="H28" s="50">
        <v>44.41</v>
      </c>
      <c r="I28" s="50">
        <v>9.5</v>
      </c>
      <c r="J28" s="50">
        <v>0.9</v>
      </c>
      <c r="K28" s="50">
        <v>78.680000000000007</v>
      </c>
      <c r="L28" s="50">
        <v>21.44</v>
      </c>
      <c r="M28" s="50">
        <v>83.02</v>
      </c>
      <c r="N28" s="50">
        <v>0</v>
      </c>
      <c r="O28" s="50">
        <v>0</v>
      </c>
      <c r="P28" s="50">
        <v>1.08</v>
      </c>
      <c r="Q28" s="50">
        <v>4.88</v>
      </c>
    </row>
    <row r="29" spans="1:17" customFormat="1">
      <c r="A29" s="55">
        <v>45309.875</v>
      </c>
      <c r="B29" s="50">
        <v>14.74</v>
      </c>
      <c r="C29" s="50">
        <v>26.39</v>
      </c>
      <c r="D29" s="50">
        <v>26.95</v>
      </c>
      <c r="E29" s="50">
        <v>7.86</v>
      </c>
      <c r="F29" s="50">
        <v>3.59</v>
      </c>
      <c r="G29" s="50">
        <v>100.65</v>
      </c>
      <c r="H29" s="50">
        <v>44.41</v>
      </c>
      <c r="I29" s="50">
        <v>9.44</v>
      </c>
      <c r="J29" s="50">
        <v>0.77</v>
      </c>
      <c r="K29" s="50">
        <v>83.92</v>
      </c>
      <c r="L29" s="50">
        <v>20.93</v>
      </c>
      <c r="M29" s="50">
        <v>85.24</v>
      </c>
      <c r="N29" s="50">
        <v>0</v>
      </c>
      <c r="O29" s="50">
        <v>0</v>
      </c>
      <c r="P29" s="50">
        <v>1.06</v>
      </c>
      <c r="Q29" s="50">
        <v>4.9000000000000004</v>
      </c>
    </row>
    <row r="30" spans="1:17" customFormat="1">
      <c r="A30" s="55">
        <v>45309.916666666664</v>
      </c>
      <c r="B30" s="50">
        <v>15.04</v>
      </c>
      <c r="C30" s="50">
        <v>24.7</v>
      </c>
      <c r="D30" s="50">
        <v>26.08</v>
      </c>
      <c r="E30" s="50">
        <v>7.4</v>
      </c>
      <c r="F30" s="50">
        <v>3.48</v>
      </c>
      <c r="G30" s="50">
        <v>94.66</v>
      </c>
      <c r="H30" s="50">
        <v>45.46</v>
      </c>
      <c r="I30" s="50">
        <v>9.58</v>
      </c>
      <c r="J30" s="50">
        <v>0.6</v>
      </c>
      <c r="K30" s="50">
        <v>158.66999999999999</v>
      </c>
      <c r="L30" s="50">
        <v>20.25</v>
      </c>
      <c r="M30" s="50">
        <v>87.33</v>
      </c>
      <c r="N30" s="50">
        <v>0</v>
      </c>
      <c r="O30" s="50">
        <v>0</v>
      </c>
      <c r="P30" s="50">
        <v>1.06</v>
      </c>
      <c r="Q30" s="50">
        <v>4.91</v>
      </c>
    </row>
    <row r="31" spans="1:17" customFormat="1">
      <c r="A31" s="55">
        <v>45309.958333333336</v>
      </c>
      <c r="B31" s="50">
        <v>14.97</v>
      </c>
      <c r="C31" s="50">
        <v>25.28</v>
      </c>
      <c r="D31" s="50">
        <v>26.42</v>
      </c>
      <c r="E31" s="50">
        <v>7.5</v>
      </c>
      <c r="F31" s="50">
        <v>3.54</v>
      </c>
      <c r="G31" s="50">
        <v>92.7</v>
      </c>
      <c r="H31" s="50">
        <v>46.67</v>
      </c>
      <c r="I31" s="50">
        <v>9.5500000000000007</v>
      </c>
      <c r="J31" s="50">
        <v>0.16</v>
      </c>
      <c r="K31" s="50">
        <v>183.78</v>
      </c>
      <c r="L31" s="50">
        <v>19.48</v>
      </c>
      <c r="M31" s="50">
        <v>89.16</v>
      </c>
      <c r="N31" s="50">
        <v>0</v>
      </c>
      <c r="O31" s="50">
        <v>0</v>
      </c>
      <c r="P31" s="50">
        <v>1.05</v>
      </c>
      <c r="Q31" s="50">
        <v>4.9400000000000004</v>
      </c>
    </row>
    <row r="32" spans="1:17" customFormat="1">
      <c r="A32" s="55">
        <v>45310</v>
      </c>
      <c r="B32" s="50">
        <v>16.18</v>
      </c>
      <c r="C32" s="50">
        <v>24.16</v>
      </c>
      <c r="D32" s="50">
        <v>26.95</v>
      </c>
      <c r="E32" s="50">
        <v>7.67</v>
      </c>
      <c r="F32" s="50">
        <v>3.35</v>
      </c>
      <c r="G32" s="50">
        <v>86.61</v>
      </c>
      <c r="H32" s="50">
        <v>46.67</v>
      </c>
      <c r="I32" s="50">
        <v>9.39</v>
      </c>
      <c r="J32" s="50">
        <v>0.14000000000000001</v>
      </c>
      <c r="K32" s="50">
        <v>284.93</v>
      </c>
      <c r="L32" s="50">
        <v>18.96</v>
      </c>
      <c r="M32" s="50">
        <v>91.58</v>
      </c>
      <c r="N32" s="50">
        <v>0</v>
      </c>
      <c r="O32" s="50">
        <v>0</v>
      </c>
      <c r="P32" s="50">
        <v>1.03</v>
      </c>
      <c r="Q32" s="50">
        <v>5.03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10.86</v>
      </c>
      <c r="C34" s="41">
        <f t="shared" si="0"/>
        <v>22.43</v>
      </c>
      <c r="D34" s="41">
        <f t="shared" si="0"/>
        <v>25.22</v>
      </c>
      <c r="E34" s="41">
        <f t="shared" si="0"/>
        <v>6.73</v>
      </c>
      <c r="F34" s="41">
        <f t="shared" si="0"/>
        <v>3.3</v>
      </c>
      <c r="G34" s="41">
        <f t="shared" si="0"/>
        <v>69.92</v>
      </c>
      <c r="H34" s="41">
        <f t="shared" si="0"/>
        <v>41.85</v>
      </c>
      <c r="I34" s="41">
        <f t="shared" si="0"/>
        <v>9.2899999999999991</v>
      </c>
      <c r="J34" s="41">
        <f t="shared" si="0"/>
        <v>0.14000000000000001</v>
      </c>
      <c r="K34" s="41">
        <f t="shared" si="0"/>
        <v>43.41</v>
      </c>
      <c r="L34" s="41">
        <f t="shared" si="0"/>
        <v>18.420000000000002</v>
      </c>
      <c r="M34" s="41">
        <f t="shared" si="0"/>
        <v>62.76</v>
      </c>
      <c r="N34" s="41">
        <f t="shared" si="0"/>
        <v>0</v>
      </c>
      <c r="O34" s="41">
        <f t="shared" si="0"/>
        <v>0</v>
      </c>
      <c r="P34" s="41">
        <f t="shared" si="0"/>
        <v>1.03</v>
      </c>
      <c r="Q34" s="41">
        <f t="shared" si="0"/>
        <v>4.88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25.64</v>
      </c>
      <c r="C35" s="33">
        <f t="shared" si="1"/>
        <v>32.79</v>
      </c>
      <c r="D35" s="33">
        <f t="shared" si="1"/>
        <v>37.22</v>
      </c>
      <c r="E35" s="33">
        <f t="shared" si="1"/>
        <v>9.92</v>
      </c>
      <c r="F35" s="33">
        <f t="shared" si="1"/>
        <v>4.13</v>
      </c>
      <c r="G35" s="33">
        <f t="shared" si="1"/>
        <v>111.38</v>
      </c>
      <c r="H35" s="33">
        <f t="shared" si="1"/>
        <v>49.28</v>
      </c>
      <c r="I35" s="33">
        <f t="shared" si="1"/>
        <v>12.06</v>
      </c>
      <c r="J35" s="33">
        <f t="shared" si="1"/>
        <v>1.36</v>
      </c>
      <c r="K35" s="33">
        <f t="shared" si="1"/>
        <v>338.43</v>
      </c>
      <c r="L35" s="33">
        <f t="shared" si="1"/>
        <v>25.27</v>
      </c>
      <c r="M35" s="33">
        <f t="shared" si="1"/>
        <v>91.96</v>
      </c>
      <c r="N35" s="33">
        <f t="shared" si="1"/>
        <v>224.2</v>
      </c>
      <c r="O35" s="33">
        <f t="shared" si="1"/>
        <v>0</v>
      </c>
      <c r="P35" s="33">
        <f t="shared" si="1"/>
        <v>1.1399999999999999</v>
      </c>
      <c r="Q35" s="33">
        <f t="shared" si="1"/>
        <v>5.0599999999999996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17.609166666666667</v>
      </c>
      <c r="C36" s="41">
        <f t="shared" si="2"/>
        <v>26.921249999999997</v>
      </c>
      <c r="D36" s="41">
        <f t="shared" si="2"/>
        <v>29.23875</v>
      </c>
      <c r="E36" s="41">
        <f t="shared" si="2"/>
        <v>8.1679166666666667</v>
      </c>
      <c r="F36" s="41">
        <f t="shared" si="2"/>
        <v>3.6012500000000003</v>
      </c>
      <c r="G36" s="41">
        <f t="shared" si="2"/>
        <v>96.17</v>
      </c>
      <c r="H36" s="41">
        <f t="shared" si="2"/>
        <v>45.992083333333319</v>
      </c>
      <c r="I36" s="41">
        <f t="shared" si="2"/>
        <v>10.67375</v>
      </c>
      <c r="J36" s="41">
        <f t="shared" si="2"/>
        <v>0.68500000000000005</v>
      </c>
      <c r="K36" s="41">
        <f t="shared" si="2"/>
        <v>171.98541666666665</v>
      </c>
      <c r="L36" s="41">
        <f t="shared" si="2"/>
        <v>21.622916666666669</v>
      </c>
      <c r="M36" s="41">
        <f t="shared" si="2"/>
        <v>81.764166666666668</v>
      </c>
      <c r="N36" s="41">
        <f t="shared" si="2"/>
        <v>48.695833333333347</v>
      </c>
      <c r="O36" s="41">
        <f t="shared" si="2"/>
        <v>0</v>
      </c>
      <c r="P36" s="41">
        <f t="shared" si="2"/>
        <v>1.0679166666666666</v>
      </c>
      <c r="Q36" s="41">
        <f t="shared" si="2"/>
        <v>4.9745833333333334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4.086338763826812</v>
      </c>
      <c r="C37" s="41">
        <f t="shared" ref="C37:Q37" si="3">STDEV(C9:C32)</f>
        <v>3.0677527712019876</v>
      </c>
      <c r="D37" s="41">
        <f t="shared" si="3"/>
        <v>3.4784533200835326</v>
      </c>
      <c r="E37" s="41">
        <f t="shared" si="3"/>
        <v>0.92563951649265741</v>
      </c>
      <c r="F37" s="41">
        <f t="shared" si="3"/>
        <v>0.22059824785460408</v>
      </c>
      <c r="G37" s="41">
        <f t="shared" si="3"/>
        <v>10.594048780575728</v>
      </c>
      <c r="H37" s="41">
        <f t="shared" si="3"/>
        <v>2.1717594133044353</v>
      </c>
      <c r="I37" s="41">
        <f t="shared" si="3"/>
        <v>0.94653975088213005</v>
      </c>
      <c r="J37" s="41">
        <f t="shared" si="3"/>
        <v>0.40339860533052013</v>
      </c>
      <c r="K37" s="41">
        <f t="shared" si="3"/>
        <v>104.4486708129953</v>
      </c>
      <c r="L37" s="41">
        <f t="shared" si="3"/>
        <v>2.6300396412397764</v>
      </c>
      <c r="M37" s="41">
        <f t="shared" si="3"/>
        <v>10.348203337721847</v>
      </c>
      <c r="N37" s="41">
        <f t="shared" si="3"/>
        <v>69.045130037418687</v>
      </c>
      <c r="O37" s="41">
        <f t="shared" si="3"/>
        <v>0</v>
      </c>
      <c r="P37" s="41">
        <f t="shared" si="3"/>
        <v>3.2834124172043767E-2</v>
      </c>
      <c r="Q37" s="41">
        <f t="shared" si="3"/>
        <v>6.1218011463426564E-2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45310.041666666664</v>
      </c>
      <c r="B9" s="50">
        <v>17.5</v>
      </c>
      <c r="C9" s="50">
        <v>26.61</v>
      </c>
      <c r="D9" s="50">
        <v>29.29</v>
      </c>
      <c r="E9" s="50">
        <v>7.41</v>
      </c>
      <c r="F9" s="50">
        <v>3.42</v>
      </c>
      <c r="G9" s="50">
        <v>93.34</v>
      </c>
      <c r="H9" s="50">
        <v>42.6</v>
      </c>
      <c r="I9" s="50">
        <v>9.33</v>
      </c>
      <c r="J9" s="50">
        <v>0.42</v>
      </c>
      <c r="K9" s="50">
        <v>168.23</v>
      </c>
      <c r="L9" s="50">
        <v>19.3</v>
      </c>
      <c r="M9" s="50">
        <v>90.68</v>
      </c>
      <c r="N9" s="50">
        <v>0</v>
      </c>
      <c r="O9" s="50">
        <v>0</v>
      </c>
      <c r="P9" s="50">
        <v>1.03</v>
      </c>
      <c r="Q9" s="50">
        <v>5.0599999999999996</v>
      </c>
    </row>
    <row r="10" spans="1:21" customFormat="1">
      <c r="A10" s="55">
        <v>45310.083333333336</v>
      </c>
      <c r="B10" s="50">
        <v>17.329999999999998</v>
      </c>
      <c r="C10" s="50">
        <v>27.26</v>
      </c>
      <c r="D10" s="50">
        <v>29.48</v>
      </c>
      <c r="E10" s="50">
        <v>8.34</v>
      </c>
      <c r="F10" s="50">
        <v>3.35</v>
      </c>
      <c r="G10" s="50">
        <v>93.34</v>
      </c>
      <c r="H10" s="50">
        <v>45.09</v>
      </c>
      <c r="I10" s="50">
        <v>9.2200000000000006</v>
      </c>
      <c r="J10" s="50">
        <v>0.18</v>
      </c>
      <c r="K10" s="50">
        <v>202.82</v>
      </c>
      <c r="L10" s="50">
        <v>19</v>
      </c>
      <c r="M10" s="50">
        <v>91.41</v>
      </c>
      <c r="N10" s="50">
        <v>0</v>
      </c>
      <c r="O10" s="50">
        <v>0</v>
      </c>
      <c r="P10" s="50">
        <v>1.02</v>
      </c>
      <c r="Q10" s="50">
        <v>5.07</v>
      </c>
    </row>
    <row r="11" spans="1:21" customFormat="1">
      <c r="A11" s="55">
        <v>45310.125</v>
      </c>
      <c r="B11" s="50">
        <v>16.43</v>
      </c>
      <c r="C11" s="50">
        <v>27.77</v>
      </c>
      <c r="D11" s="50">
        <v>29.03</v>
      </c>
      <c r="E11" s="50">
        <v>7.06</v>
      </c>
      <c r="F11" s="50">
        <v>3.36</v>
      </c>
      <c r="G11" s="50">
        <v>90.7</v>
      </c>
      <c r="H11" s="50">
        <v>45.48</v>
      </c>
      <c r="I11" s="50">
        <v>9.01</v>
      </c>
      <c r="J11" s="50">
        <v>0.51</v>
      </c>
      <c r="K11" s="50">
        <v>94.28</v>
      </c>
      <c r="L11" s="50">
        <v>18.32</v>
      </c>
      <c r="M11" s="50">
        <v>90.64</v>
      </c>
      <c r="N11" s="50">
        <v>0</v>
      </c>
      <c r="O11" s="50">
        <v>0</v>
      </c>
      <c r="P11" s="50">
        <v>0.98</v>
      </c>
      <c r="Q11" s="50">
        <v>4.99</v>
      </c>
    </row>
    <row r="12" spans="1:21" customFormat="1">
      <c r="A12" s="55">
        <v>45310.166666666664</v>
      </c>
      <c r="B12" s="50">
        <v>15.67</v>
      </c>
      <c r="C12" s="50">
        <v>28.16</v>
      </c>
      <c r="D12" s="50">
        <v>28.63</v>
      </c>
      <c r="E12" s="50">
        <v>6.83</v>
      </c>
      <c r="F12" s="50">
        <v>3.3</v>
      </c>
      <c r="G12" s="50">
        <v>84.12</v>
      </c>
      <c r="H12" s="50">
        <v>45.48</v>
      </c>
      <c r="I12" s="50">
        <v>8.8800000000000008</v>
      </c>
      <c r="J12" s="50">
        <v>0.23</v>
      </c>
      <c r="K12" s="50">
        <v>226.9</v>
      </c>
      <c r="L12" s="50">
        <v>18.11</v>
      </c>
      <c r="M12" s="50">
        <v>92.11</v>
      </c>
      <c r="N12" s="50">
        <v>0</v>
      </c>
      <c r="O12" s="50">
        <v>0</v>
      </c>
      <c r="P12" s="50">
        <v>0.97</v>
      </c>
      <c r="Q12" s="50">
        <v>4.9400000000000004</v>
      </c>
    </row>
    <row r="13" spans="1:21" customFormat="1">
      <c r="A13" s="55">
        <v>45310.208333333336</v>
      </c>
      <c r="B13" s="50">
        <v>13.65</v>
      </c>
      <c r="C13" s="50">
        <v>27.83</v>
      </c>
      <c r="D13" s="50">
        <v>26.69</v>
      </c>
      <c r="E13" s="50">
        <v>7.04</v>
      </c>
      <c r="F13" s="50">
        <v>3.24</v>
      </c>
      <c r="G13" s="50">
        <v>84.39</v>
      </c>
      <c r="H13" s="50">
        <v>44.6</v>
      </c>
      <c r="I13" s="50">
        <v>8.8699999999999992</v>
      </c>
      <c r="J13" s="50">
        <v>0.32</v>
      </c>
      <c r="K13" s="50">
        <v>89</v>
      </c>
      <c r="L13" s="50">
        <v>17.829999999999998</v>
      </c>
      <c r="M13" s="50">
        <v>93.82</v>
      </c>
      <c r="N13" s="50">
        <v>0</v>
      </c>
      <c r="O13" s="50">
        <v>0</v>
      </c>
      <c r="P13" s="50">
        <v>0.94</v>
      </c>
      <c r="Q13" s="50">
        <v>4.91</v>
      </c>
    </row>
    <row r="14" spans="1:21" customFormat="1">
      <c r="A14" s="55">
        <v>45310.25</v>
      </c>
      <c r="B14" s="50">
        <v>14.56</v>
      </c>
      <c r="C14" s="50">
        <v>28.31</v>
      </c>
      <c r="D14" s="50">
        <v>27.02</v>
      </c>
      <c r="E14" s="50">
        <v>6.81</v>
      </c>
      <c r="F14" s="50">
        <v>3.62</v>
      </c>
      <c r="G14" s="50">
        <v>84.39</v>
      </c>
      <c r="H14" s="50">
        <v>43.63</v>
      </c>
      <c r="I14" s="50">
        <v>8.92</v>
      </c>
      <c r="J14" s="50">
        <v>0.56999999999999995</v>
      </c>
      <c r="K14" s="50">
        <v>63.27</v>
      </c>
      <c r="L14" s="50">
        <v>17.68</v>
      </c>
      <c r="M14" s="50">
        <v>92.44</v>
      </c>
      <c r="N14" s="50">
        <v>0</v>
      </c>
      <c r="O14" s="50">
        <v>0</v>
      </c>
      <c r="P14" s="50">
        <v>0.93</v>
      </c>
      <c r="Q14" s="50">
        <v>4.8899999999999997</v>
      </c>
    </row>
    <row r="15" spans="1:21" customFormat="1">
      <c r="A15" s="55">
        <v>45310.291666666664</v>
      </c>
      <c r="B15" s="50">
        <v>15.68</v>
      </c>
      <c r="C15" s="50">
        <v>24.5</v>
      </c>
      <c r="D15" s="50">
        <v>26.5</v>
      </c>
      <c r="E15" s="50">
        <v>6.51</v>
      </c>
      <c r="F15" s="50">
        <v>3.44</v>
      </c>
      <c r="G15" s="50">
        <v>79.260000000000005</v>
      </c>
      <c r="H15" s="50">
        <v>43.63</v>
      </c>
      <c r="I15" s="50">
        <v>9.02</v>
      </c>
      <c r="J15" s="50">
        <v>1.01</v>
      </c>
      <c r="K15" s="50">
        <v>63.24</v>
      </c>
      <c r="L15" s="50">
        <v>17.95</v>
      </c>
      <c r="M15" s="50">
        <v>89.86</v>
      </c>
      <c r="N15" s="50">
        <v>0</v>
      </c>
      <c r="O15" s="50">
        <v>0</v>
      </c>
      <c r="P15" s="50">
        <v>0.93</v>
      </c>
      <c r="Q15" s="50">
        <v>4.93</v>
      </c>
    </row>
    <row r="16" spans="1:21" customFormat="1">
      <c r="A16" s="55">
        <v>45310.333333333336</v>
      </c>
      <c r="B16" s="50">
        <v>15.82</v>
      </c>
      <c r="C16" s="50">
        <v>23.39</v>
      </c>
      <c r="D16" s="50">
        <v>26.23</v>
      </c>
      <c r="E16" s="50">
        <v>6.37</v>
      </c>
      <c r="F16" s="50">
        <v>3.38</v>
      </c>
      <c r="G16" s="50">
        <v>82.56</v>
      </c>
      <c r="H16" s="50">
        <v>45.28</v>
      </c>
      <c r="I16" s="50">
        <v>9.4600000000000009</v>
      </c>
      <c r="J16" s="50">
        <v>1.18</v>
      </c>
      <c r="K16" s="50">
        <v>64.14</v>
      </c>
      <c r="L16" s="50">
        <v>18.3</v>
      </c>
      <c r="M16" s="50">
        <v>85.38</v>
      </c>
      <c r="N16" s="50">
        <v>27</v>
      </c>
      <c r="O16" s="50">
        <v>0</v>
      </c>
      <c r="P16" s="50">
        <v>0.97</v>
      </c>
      <c r="Q16" s="50">
        <v>4.9400000000000004</v>
      </c>
    </row>
    <row r="17" spans="1:17" customFormat="1">
      <c r="A17" s="55">
        <v>45310.375</v>
      </c>
      <c r="B17" s="50">
        <v>19</v>
      </c>
      <c r="C17" s="50">
        <v>24.82</v>
      </c>
      <c r="D17" s="50">
        <v>29.56</v>
      </c>
      <c r="E17" s="50">
        <v>6.53</v>
      </c>
      <c r="F17" s="50">
        <v>3.42</v>
      </c>
      <c r="G17" s="50">
        <v>86.99</v>
      </c>
      <c r="H17" s="50">
        <v>46.6</v>
      </c>
      <c r="I17" s="50">
        <v>9.7899999999999991</v>
      </c>
      <c r="J17" s="50">
        <v>1.51</v>
      </c>
      <c r="K17" s="50">
        <v>60.74</v>
      </c>
      <c r="L17" s="50">
        <v>19.11</v>
      </c>
      <c r="M17" s="50">
        <v>75.87</v>
      </c>
      <c r="N17" s="50">
        <v>95.8</v>
      </c>
      <c r="O17" s="50">
        <v>0</v>
      </c>
      <c r="P17" s="50">
        <v>0.99</v>
      </c>
      <c r="Q17" s="50">
        <v>4.99</v>
      </c>
    </row>
    <row r="18" spans="1:17" customFormat="1">
      <c r="A18" s="55">
        <v>45310.416666666664</v>
      </c>
      <c r="B18" s="50">
        <v>20.3</v>
      </c>
      <c r="C18" s="50">
        <v>25.38</v>
      </c>
      <c r="D18" s="50">
        <v>30.9</v>
      </c>
      <c r="E18" s="50">
        <v>6.64</v>
      </c>
      <c r="F18" s="50">
        <v>3.46</v>
      </c>
      <c r="G18" s="50">
        <v>86.99</v>
      </c>
      <c r="H18" s="50">
        <v>47.01</v>
      </c>
      <c r="I18" s="50">
        <v>9.94</v>
      </c>
      <c r="J18" s="50">
        <v>1.34</v>
      </c>
      <c r="K18" s="50">
        <v>69.52</v>
      </c>
      <c r="L18" s="50">
        <v>19.739999999999998</v>
      </c>
      <c r="M18" s="50">
        <v>73.36</v>
      </c>
      <c r="N18" s="50">
        <v>60.6</v>
      </c>
      <c r="O18" s="50">
        <v>0</v>
      </c>
      <c r="P18" s="50">
        <v>1.02</v>
      </c>
      <c r="Q18" s="50">
        <v>5.0199999999999996</v>
      </c>
    </row>
    <row r="19" spans="1:17" customFormat="1">
      <c r="A19" s="55">
        <v>45310.458333333336</v>
      </c>
      <c r="B19" s="50">
        <v>24.07</v>
      </c>
      <c r="C19" s="50">
        <v>28.74</v>
      </c>
      <c r="D19" s="50">
        <v>35.659999999999997</v>
      </c>
      <c r="E19" s="50">
        <v>8.35</v>
      </c>
      <c r="F19" s="50">
        <v>3.63</v>
      </c>
      <c r="G19" s="50">
        <v>92.06</v>
      </c>
      <c r="H19" s="50">
        <v>47.01</v>
      </c>
      <c r="I19" s="50">
        <v>10.16</v>
      </c>
      <c r="J19" s="50">
        <v>1.5</v>
      </c>
      <c r="K19" s="50">
        <v>46.18</v>
      </c>
      <c r="L19" s="50">
        <v>20.13</v>
      </c>
      <c r="M19" s="50">
        <v>72.69</v>
      </c>
      <c r="N19" s="50">
        <v>111.4</v>
      </c>
      <c r="O19" s="50">
        <v>0</v>
      </c>
      <c r="P19" s="50">
        <v>1.06</v>
      </c>
      <c r="Q19" s="50">
        <v>5.1100000000000003</v>
      </c>
    </row>
    <row r="20" spans="1:17" customFormat="1">
      <c r="A20" s="55">
        <v>45310.5</v>
      </c>
      <c r="B20" s="50">
        <v>24.85</v>
      </c>
      <c r="C20" s="50">
        <v>30.43</v>
      </c>
      <c r="D20" s="50">
        <v>37.1</v>
      </c>
      <c r="E20" s="50">
        <v>8.4</v>
      </c>
      <c r="F20" s="50">
        <v>3.64</v>
      </c>
      <c r="G20" s="50">
        <v>94.07</v>
      </c>
      <c r="H20" s="50">
        <v>45.84</v>
      </c>
      <c r="I20" s="50">
        <v>10.28</v>
      </c>
      <c r="J20" s="50">
        <v>1.38</v>
      </c>
      <c r="K20" s="50">
        <v>45.43</v>
      </c>
      <c r="L20" s="50">
        <v>20.21</v>
      </c>
      <c r="M20" s="50">
        <v>72.349999999999994</v>
      </c>
      <c r="N20" s="50">
        <v>125.8</v>
      </c>
      <c r="O20" s="50">
        <v>0</v>
      </c>
      <c r="P20" s="50">
        <v>1.07</v>
      </c>
      <c r="Q20" s="50">
        <v>5.15</v>
      </c>
    </row>
    <row r="21" spans="1:17" customFormat="1">
      <c r="A21" s="55">
        <v>45310.541666666664</v>
      </c>
      <c r="B21" s="50">
        <v>23.93</v>
      </c>
      <c r="C21" s="50">
        <v>30.93</v>
      </c>
      <c r="D21" s="50">
        <v>36.409999999999997</v>
      </c>
      <c r="E21" s="50">
        <v>8.19</v>
      </c>
      <c r="F21" s="50">
        <v>3.53</v>
      </c>
      <c r="G21" s="50">
        <v>98.41</v>
      </c>
      <c r="H21" s="50">
        <v>45.93</v>
      </c>
      <c r="I21" s="50">
        <v>10.38</v>
      </c>
      <c r="J21" s="50">
        <v>1.93</v>
      </c>
      <c r="K21" s="50">
        <v>56.21</v>
      </c>
      <c r="L21" s="50">
        <v>21.37</v>
      </c>
      <c r="M21" s="50">
        <v>72.78</v>
      </c>
      <c r="N21" s="50">
        <v>240</v>
      </c>
      <c r="O21" s="50">
        <v>0</v>
      </c>
      <c r="P21" s="50">
        <v>1.0900000000000001</v>
      </c>
      <c r="Q21" s="50">
        <v>5.12</v>
      </c>
    </row>
    <row r="22" spans="1:17" customFormat="1">
      <c r="A22" s="55">
        <v>45310.583333333336</v>
      </c>
      <c r="B22" s="50">
        <v>21.24</v>
      </c>
      <c r="C22" s="50">
        <v>31.59</v>
      </c>
      <c r="D22" s="50">
        <v>34.79</v>
      </c>
      <c r="E22" s="50">
        <v>8.85</v>
      </c>
      <c r="F22" s="50">
        <v>3.52</v>
      </c>
      <c r="G22" s="50">
        <v>103.77</v>
      </c>
      <c r="H22" s="50">
        <v>49.8</v>
      </c>
      <c r="I22" s="50">
        <v>10.64</v>
      </c>
      <c r="J22" s="50">
        <v>2.37</v>
      </c>
      <c r="K22" s="50">
        <v>57.55</v>
      </c>
      <c r="L22" s="50">
        <v>22.31</v>
      </c>
      <c r="M22" s="50">
        <v>70.11</v>
      </c>
      <c r="N22" s="50">
        <v>241</v>
      </c>
      <c r="O22" s="50">
        <v>0</v>
      </c>
      <c r="P22" s="50">
        <v>1.1000000000000001</v>
      </c>
      <c r="Q22" s="50">
        <v>5.07</v>
      </c>
    </row>
    <row r="23" spans="1:17" customFormat="1">
      <c r="A23" s="55">
        <v>45310.625</v>
      </c>
      <c r="B23" s="50">
        <v>16.36</v>
      </c>
      <c r="C23" s="50">
        <v>31.41</v>
      </c>
      <c r="D23" s="50">
        <v>30.82</v>
      </c>
      <c r="E23" s="50">
        <v>8.77</v>
      </c>
      <c r="F23" s="50">
        <v>3.69</v>
      </c>
      <c r="G23" s="50">
        <v>103.77</v>
      </c>
      <c r="H23" s="50">
        <v>49.8</v>
      </c>
      <c r="I23" s="50">
        <v>10.65</v>
      </c>
      <c r="J23" s="50">
        <v>2.21</v>
      </c>
      <c r="K23" s="50">
        <v>64.91</v>
      </c>
      <c r="L23" s="50">
        <v>22.48</v>
      </c>
      <c r="M23" s="50">
        <v>72.17</v>
      </c>
      <c r="N23" s="50">
        <v>208.8</v>
      </c>
      <c r="O23" s="50">
        <v>0</v>
      </c>
      <c r="P23" s="50">
        <v>1.05</v>
      </c>
      <c r="Q23" s="50">
        <v>4.99</v>
      </c>
    </row>
    <row r="24" spans="1:17" customFormat="1">
      <c r="A24" s="55">
        <v>45310.666666666664</v>
      </c>
      <c r="B24" s="50">
        <v>14</v>
      </c>
      <c r="C24" s="50">
        <v>31.51</v>
      </c>
      <c r="D24" s="50">
        <v>28.59</v>
      </c>
      <c r="E24" s="50">
        <v>7.66</v>
      </c>
      <c r="F24" s="50">
        <v>3.94</v>
      </c>
      <c r="G24" s="50">
        <v>99.29</v>
      </c>
      <c r="H24" s="50">
        <v>46.54</v>
      </c>
      <c r="I24" s="50">
        <v>10.38</v>
      </c>
      <c r="J24" s="50">
        <v>1.82</v>
      </c>
      <c r="K24" s="50">
        <v>57.06</v>
      </c>
      <c r="L24" s="50">
        <v>22.67</v>
      </c>
      <c r="M24" s="50">
        <v>71.760000000000005</v>
      </c>
      <c r="N24" s="50">
        <v>96.8</v>
      </c>
      <c r="O24" s="50">
        <v>0</v>
      </c>
      <c r="P24" s="50">
        <v>1.02</v>
      </c>
      <c r="Q24" s="50">
        <v>4.92</v>
      </c>
    </row>
    <row r="25" spans="1:17" customFormat="1">
      <c r="A25" s="55">
        <v>45310.708333333336</v>
      </c>
      <c r="B25" s="50">
        <v>15.77</v>
      </c>
      <c r="C25" s="50">
        <v>25.9</v>
      </c>
      <c r="D25" s="50">
        <v>27.53</v>
      </c>
      <c r="E25" s="50">
        <v>7.11</v>
      </c>
      <c r="F25" s="50">
        <v>3.58</v>
      </c>
      <c r="G25" s="50">
        <v>92.62</v>
      </c>
      <c r="H25" s="50">
        <v>42.27</v>
      </c>
      <c r="I25" s="50">
        <v>10.18</v>
      </c>
      <c r="J25" s="50">
        <v>1.6</v>
      </c>
      <c r="K25" s="50">
        <v>56.26</v>
      </c>
      <c r="L25" s="50">
        <v>21.92</v>
      </c>
      <c r="M25" s="50">
        <v>74.400000000000006</v>
      </c>
      <c r="N25" s="50">
        <v>46.8</v>
      </c>
      <c r="O25" s="50">
        <v>0</v>
      </c>
      <c r="P25" s="50">
        <v>1.01</v>
      </c>
      <c r="Q25" s="50">
        <v>4.9400000000000004</v>
      </c>
    </row>
    <row r="26" spans="1:17" customFormat="1">
      <c r="A26" s="55">
        <v>45310.75</v>
      </c>
      <c r="B26" s="50">
        <v>20.260000000000002</v>
      </c>
      <c r="C26" s="50">
        <v>26.27</v>
      </c>
      <c r="D26" s="50">
        <v>31.19</v>
      </c>
      <c r="E26" s="50">
        <v>7.17</v>
      </c>
      <c r="F26" s="50">
        <v>3.61</v>
      </c>
      <c r="G26" s="50">
        <v>88.89</v>
      </c>
      <c r="H26" s="50">
        <v>42.48</v>
      </c>
      <c r="I26" s="50">
        <v>10.02</v>
      </c>
      <c r="J26" s="50">
        <v>1.51</v>
      </c>
      <c r="K26" s="50">
        <v>55.29</v>
      </c>
      <c r="L26" s="50">
        <v>20.65</v>
      </c>
      <c r="M26" s="50">
        <v>79.25</v>
      </c>
      <c r="N26" s="50">
        <v>3.3</v>
      </c>
      <c r="O26" s="50">
        <v>0</v>
      </c>
      <c r="P26" s="50">
        <v>1.02</v>
      </c>
      <c r="Q26" s="50">
        <v>5.07</v>
      </c>
    </row>
    <row r="27" spans="1:17" customFormat="1">
      <c r="A27" s="55">
        <v>45310.791666666664</v>
      </c>
      <c r="B27" s="50">
        <v>27.14</v>
      </c>
      <c r="C27" s="50">
        <v>28</v>
      </c>
      <c r="D27" s="50">
        <v>37.74</v>
      </c>
      <c r="E27" s="50">
        <v>9.65</v>
      </c>
      <c r="F27" s="50">
        <v>3.46</v>
      </c>
      <c r="G27" s="50">
        <v>88.12</v>
      </c>
      <c r="H27" s="50">
        <v>42.48</v>
      </c>
      <c r="I27" s="50">
        <v>10.16</v>
      </c>
      <c r="J27" s="50">
        <v>1.28</v>
      </c>
      <c r="K27" s="50">
        <v>56.55</v>
      </c>
      <c r="L27" s="50">
        <v>19.57</v>
      </c>
      <c r="M27" s="50">
        <v>80.73</v>
      </c>
      <c r="N27" s="50">
        <v>0</v>
      </c>
      <c r="O27" s="50">
        <v>0</v>
      </c>
      <c r="P27" s="50">
        <v>1.06</v>
      </c>
      <c r="Q27" s="50">
        <v>5.18</v>
      </c>
    </row>
    <row r="28" spans="1:17" customFormat="1">
      <c r="A28" s="55">
        <v>45310.833333333336</v>
      </c>
      <c r="B28" s="50">
        <v>33.04</v>
      </c>
      <c r="C28" s="50">
        <v>30.81</v>
      </c>
      <c r="D28" s="50">
        <v>43.94</v>
      </c>
      <c r="E28" s="50">
        <v>9.6999999999999993</v>
      </c>
      <c r="F28" s="50">
        <v>3.44</v>
      </c>
      <c r="G28" s="50">
        <v>91.98</v>
      </c>
      <c r="H28" s="50">
        <v>41.82</v>
      </c>
      <c r="I28" s="50">
        <v>10.5</v>
      </c>
      <c r="J28" s="50">
        <v>1.0900000000000001</v>
      </c>
      <c r="K28" s="50">
        <v>59.07</v>
      </c>
      <c r="L28" s="50">
        <v>18.760000000000002</v>
      </c>
      <c r="M28" s="50">
        <v>81</v>
      </c>
      <c r="N28" s="50">
        <v>0</v>
      </c>
      <c r="O28" s="50">
        <v>0</v>
      </c>
      <c r="P28" s="50">
        <v>1.1100000000000001</v>
      </c>
      <c r="Q28" s="50">
        <v>5.3</v>
      </c>
    </row>
    <row r="29" spans="1:17" customFormat="1">
      <c r="A29" s="55">
        <v>45310.875</v>
      </c>
      <c r="B29" s="50">
        <v>39.4</v>
      </c>
      <c r="C29" s="50">
        <v>33.700000000000003</v>
      </c>
      <c r="D29" s="50">
        <v>50.55</v>
      </c>
      <c r="E29" s="50">
        <v>10.46</v>
      </c>
      <c r="F29" s="50">
        <v>3.41</v>
      </c>
      <c r="G29" s="50">
        <v>103.04</v>
      </c>
      <c r="H29" s="50">
        <v>45.96</v>
      </c>
      <c r="I29" s="50">
        <v>10.96</v>
      </c>
      <c r="J29" s="50">
        <v>0.96</v>
      </c>
      <c r="K29" s="50">
        <v>59.94</v>
      </c>
      <c r="L29" s="50">
        <v>18.29</v>
      </c>
      <c r="M29" s="50">
        <v>81.88</v>
      </c>
      <c r="N29" s="50">
        <v>0</v>
      </c>
      <c r="O29" s="50">
        <v>0</v>
      </c>
      <c r="P29" s="50">
        <v>1.17</v>
      </c>
      <c r="Q29" s="50">
        <v>5.35</v>
      </c>
    </row>
    <row r="30" spans="1:17" customFormat="1">
      <c r="A30" s="55">
        <v>45310.916666666664</v>
      </c>
      <c r="B30" s="50">
        <v>40.79</v>
      </c>
      <c r="C30" s="50">
        <v>34.31</v>
      </c>
      <c r="D30" s="50">
        <v>51.96</v>
      </c>
      <c r="E30" s="50">
        <v>10.07</v>
      </c>
      <c r="F30" s="50">
        <v>3.42</v>
      </c>
      <c r="G30" s="50">
        <v>104.21</v>
      </c>
      <c r="H30" s="50">
        <v>50.05</v>
      </c>
      <c r="I30" s="50">
        <v>11.66</v>
      </c>
      <c r="J30" s="50">
        <v>0.72</v>
      </c>
      <c r="K30" s="50">
        <v>59.5</v>
      </c>
      <c r="L30" s="50">
        <v>17.78</v>
      </c>
      <c r="M30" s="50">
        <v>82.74</v>
      </c>
      <c r="N30" s="50">
        <v>0</v>
      </c>
      <c r="O30" s="50">
        <v>0</v>
      </c>
      <c r="P30" s="50">
        <v>1.2</v>
      </c>
      <c r="Q30" s="50">
        <v>5.36</v>
      </c>
    </row>
    <row r="31" spans="1:17" customFormat="1">
      <c r="A31" s="55">
        <v>45310.958333333336</v>
      </c>
      <c r="B31" s="50">
        <v>44</v>
      </c>
      <c r="C31" s="50">
        <v>34.69</v>
      </c>
      <c r="D31" s="50">
        <v>54.7</v>
      </c>
      <c r="E31" s="50">
        <v>10.39</v>
      </c>
      <c r="F31" s="50">
        <v>3.54</v>
      </c>
      <c r="G31" s="50">
        <v>106.34</v>
      </c>
      <c r="H31" s="50">
        <v>51.98</v>
      </c>
      <c r="I31" s="50">
        <v>11.89</v>
      </c>
      <c r="J31" s="50">
        <v>0.73</v>
      </c>
      <c r="K31" s="50">
        <v>66.48</v>
      </c>
      <c r="L31" s="50">
        <v>17.45</v>
      </c>
      <c r="M31" s="50">
        <v>81.96</v>
      </c>
      <c r="N31" s="50">
        <v>0</v>
      </c>
      <c r="O31" s="50">
        <v>0</v>
      </c>
      <c r="P31" s="50">
        <v>1.22</v>
      </c>
      <c r="Q31" s="50">
        <v>5.35</v>
      </c>
    </row>
    <row r="32" spans="1:17" customFormat="1">
      <c r="A32" s="55">
        <v>45311</v>
      </c>
      <c r="B32" s="50">
        <v>44.27</v>
      </c>
      <c r="C32" s="50">
        <v>34.729999999999997</v>
      </c>
      <c r="D32" s="50">
        <v>54.86</v>
      </c>
      <c r="E32" s="50">
        <v>10.3</v>
      </c>
      <c r="F32" s="50">
        <v>3.41</v>
      </c>
      <c r="G32" s="50">
        <v>120.73</v>
      </c>
      <c r="H32" s="50">
        <v>54.18</v>
      </c>
      <c r="I32" s="50">
        <v>11.92</v>
      </c>
      <c r="J32" s="50">
        <v>0.65</v>
      </c>
      <c r="K32" s="50">
        <v>63.75</v>
      </c>
      <c r="L32" s="50">
        <v>17.13</v>
      </c>
      <c r="M32" s="50">
        <v>84.83</v>
      </c>
      <c r="N32" s="50">
        <v>0</v>
      </c>
      <c r="O32" s="50">
        <v>0</v>
      </c>
      <c r="P32" s="50">
        <v>1.22</v>
      </c>
      <c r="Q32" s="50">
        <v>5.34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13.65</v>
      </c>
      <c r="C34" s="41">
        <f t="shared" si="0"/>
        <v>23.39</v>
      </c>
      <c r="D34" s="41">
        <f t="shared" si="0"/>
        <v>26.23</v>
      </c>
      <c r="E34" s="41">
        <f t="shared" si="0"/>
        <v>6.37</v>
      </c>
      <c r="F34" s="41">
        <f t="shared" si="0"/>
        <v>3.24</v>
      </c>
      <c r="G34" s="41">
        <f t="shared" si="0"/>
        <v>79.260000000000005</v>
      </c>
      <c r="H34" s="41">
        <f t="shared" si="0"/>
        <v>41.82</v>
      </c>
      <c r="I34" s="41">
        <f t="shared" si="0"/>
        <v>8.8699999999999992</v>
      </c>
      <c r="J34" s="41">
        <f t="shared" si="0"/>
        <v>0.18</v>
      </c>
      <c r="K34" s="41">
        <f t="shared" si="0"/>
        <v>45.43</v>
      </c>
      <c r="L34" s="41">
        <f t="shared" si="0"/>
        <v>17.13</v>
      </c>
      <c r="M34" s="41">
        <f t="shared" si="0"/>
        <v>70.11</v>
      </c>
      <c r="N34" s="41">
        <f t="shared" si="0"/>
        <v>0</v>
      </c>
      <c r="O34" s="41">
        <f t="shared" si="0"/>
        <v>0</v>
      </c>
      <c r="P34" s="41">
        <f t="shared" si="0"/>
        <v>0.93</v>
      </c>
      <c r="Q34" s="41">
        <f t="shared" si="0"/>
        <v>4.8899999999999997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44.27</v>
      </c>
      <c r="C35" s="33">
        <f t="shared" si="1"/>
        <v>34.729999999999997</v>
      </c>
      <c r="D35" s="33">
        <f t="shared" si="1"/>
        <v>54.86</v>
      </c>
      <c r="E35" s="33">
        <f t="shared" si="1"/>
        <v>10.46</v>
      </c>
      <c r="F35" s="33">
        <f t="shared" si="1"/>
        <v>3.94</v>
      </c>
      <c r="G35" s="33">
        <f t="shared" si="1"/>
        <v>120.73</v>
      </c>
      <c r="H35" s="33">
        <f t="shared" si="1"/>
        <v>54.18</v>
      </c>
      <c r="I35" s="33">
        <f t="shared" si="1"/>
        <v>11.92</v>
      </c>
      <c r="J35" s="33">
        <f t="shared" si="1"/>
        <v>2.37</v>
      </c>
      <c r="K35" s="33">
        <f t="shared" si="1"/>
        <v>226.9</v>
      </c>
      <c r="L35" s="33">
        <f t="shared" si="1"/>
        <v>22.67</v>
      </c>
      <c r="M35" s="33">
        <f t="shared" si="1"/>
        <v>93.82</v>
      </c>
      <c r="N35" s="33">
        <f t="shared" si="1"/>
        <v>241</v>
      </c>
      <c r="O35" s="33">
        <f t="shared" si="1"/>
        <v>0</v>
      </c>
      <c r="P35" s="33">
        <f t="shared" si="1"/>
        <v>1.22</v>
      </c>
      <c r="Q35" s="33">
        <f t="shared" si="1"/>
        <v>5.36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23.127499999999998</v>
      </c>
      <c r="C36" s="41">
        <f t="shared" si="2"/>
        <v>29.043749999999999</v>
      </c>
      <c r="D36" s="41">
        <f t="shared" si="2"/>
        <v>34.965416666666677</v>
      </c>
      <c r="E36" s="41">
        <f t="shared" si="2"/>
        <v>8.1087499999999988</v>
      </c>
      <c r="F36" s="41">
        <f t="shared" si="2"/>
        <v>3.4920833333333334</v>
      </c>
      <c r="G36" s="41">
        <f t="shared" si="2"/>
        <v>93.890833333333333</v>
      </c>
      <c r="H36" s="41">
        <f t="shared" si="2"/>
        <v>46.064166666666665</v>
      </c>
      <c r="I36" s="41">
        <f t="shared" si="2"/>
        <v>10.092499999999999</v>
      </c>
      <c r="J36" s="41">
        <f t="shared" si="2"/>
        <v>1.1258333333333335</v>
      </c>
      <c r="K36" s="41">
        <f t="shared" si="2"/>
        <v>79.429999999999993</v>
      </c>
      <c r="L36" s="41">
        <f t="shared" si="2"/>
        <v>19.419166666666666</v>
      </c>
      <c r="M36" s="41">
        <f t="shared" si="2"/>
        <v>81.42583333333333</v>
      </c>
      <c r="N36" s="41">
        <f t="shared" si="2"/>
        <v>52.387499999999996</v>
      </c>
      <c r="O36" s="41">
        <f t="shared" si="2"/>
        <v>0</v>
      </c>
      <c r="P36" s="41">
        <f t="shared" si="2"/>
        <v>1.0491666666666666</v>
      </c>
      <c r="Q36" s="41">
        <f t="shared" si="2"/>
        <v>5.0829166666666659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9.860288491237716</v>
      </c>
      <c r="C37" s="41">
        <f t="shared" ref="C37:Q37" si="3">STDEV(C9:C32)</f>
        <v>3.3397732447109743</v>
      </c>
      <c r="D37" s="41">
        <f t="shared" si="3"/>
        <v>9.331356199100556</v>
      </c>
      <c r="E37" s="41">
        <f t="shared" si="3"/>
        <v>1.3805994680950602</v>
      </c>
      <c r="F37" s="41">
        <f t="shared" si="3"/>
        <v>0.14896685264985618</v>
      </c>
      <c r="G37" s="41">
        <f t="shared" si="3"/>
        <v>9.5592595295672371</v>
      </c>
      <c r="H37" s="41">
        <f t="shared" si="3"/>
        <v>3.1854805339045043</v>
      </c>
      <c r="I37" s="41">
        <f t="shared" si="3"/>
        <v>0.91600384468529994</v>
      </c>
      <c r="J37" s="41">
        <f t="shared" si="3"/>
        <v>0.61756827939114878</v>
      </c>
      <c r="K37" s="41">
        <f t="shared" si="3"/>
        <v>48.280685399118923</v>
      </c>
      <c r="L37" s="41">
        <f t="shared" si="3"/>
        <v>1.704314006245349</v>
      </c>
      <c r="M37" s="41">
        <f t="shared" si="3"/>
        <v>7.9431408291610071</v>
      </c>
      <c r="N37" s="41">
        <f t="shared" si="3"/>
        <v>79.890579041368937</v>
      </c>
      <c r="O37" s="41">
        <f t="shared" si="3"/>
        <v>0</v>
      </c>
      <c r="P37" s="41">
        <f t="shared" si="3"/>
        <v>8.6170542059574265E-2</v>
      </c>
      <c r="Q37" s="41">
        <f t="shared" si="3"/>
        <v>0.15574447206791595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45311.041666666664</v>
      </c>
      <c r="B9" s="50">
        <v>45.07</v>
      </c>
      <c r="C9" s="50">
        <v>34.409999999999997</v>
      </c>
      <c r="D9" s="50">
        <v>55.37</v>
      </c>
      <c r="E9" s="50">
        <v>10.17</v>
      </c>
      <c r="F9" s="50">
        <v>3.39</v>
      </c>
      <c r="G9" s="50">
        <v>123.57</v>
      </c>
      <c r="H9" s="50">
        <v>54.4</v>
      </c>
      <c r="I9" s="50">
        <v>11.95</v>
      </c>
      <c r="J9" s="50">
        <v>0.61</v>
      </c>
      <c r="K9" s="50">
        <v>65.5</v>
      </c>
      <c r="L9" s="50">
        <v>16.7</v>
      </c>
      <c r="M9" s="50">
        <v>86.63</v>
      </c>
      <c r="N9" s="50">
        <v>0</v>
      </c>
      <c r="O9" s="50">
        <v>0</v>
      </c>
      <c r="P9" s="50">
        <v>1.21</v>
      </c>
      <c r="Q9" s="50">
        <v>5.32</v>
      </c>
    </row>
    <row r="10" spans="1:21" customFormat="1">
      <c r="A10" s="55">
        <v>45311.083333333336</v>
      </c>
      <c r="B10" s="50">
        <v>43.57</v>
      </c>
      <c r="C10" s="50">
        <v>32.159999999999997</v>
      </c>
      <c r="D10" s="50">
        <v>53.09</v>
      </c>
      <c r="E10" s="50">
        <v>9.26</v>
      </c>
      <c r="F10" s="50">
        <v>3.55</v>
      </c>
      <c r="G10" s="50">
        <v>123.57</v>
      </c>
      <c r="H10" s="50">
        <v>54.74</v>
      </c>
      <c r="I10" s="50">
        <v>11.98</v>
      </c>
      <c r="J10" s="50">
        <v>0.86</v>
      </c>
      <c r="K10" s="50">
        <v>66.819999999999993</v>
      </c>
      <c r="L10" s="50">
        <v>16.41</v>
      </c>
      <c r="M10" s="50">
        <v>89.4</v>
      </c>
      <c r="N10" s="50">
        <v>0</v>
      </c>
      <c r="O10" s="50">
        <v>0</v>
      </c>
      <c r="P10" s="50">
        <v>1.18</v>
      </c>
      <c r="Q10" s="50">
        <v>5.3</v>
      </c>
    </row>
    <row r="11" spans="1:21" customFormat="1">
      <c r="A11" s="55">
        <v>45311.125</v>
      </c>
      <c r="B11" s="50">
        <v>40.700000000000003</v>
      </c>
      <c r="C11" s="50">
        <v>29.04</v>
      </c>
      <c r="D11" s="50">
        <v>49.06</v>
      </c>
      <c r="E11" s="50">
        <v>8.0399999999999991</v>
      </c>
      <c r="F11" s="50">
        <v>3.31</v>
      </c>
      <c r="G11" s="50">
        <v>117.58</v>
      </c>
      <c r="H11" s="50">
        <v>54.74</v>
      </c>
      <c r="I11" s="50">
        <v>11.85</v>
      </c>
      <c r="J11" s="50">
        <v>0.53</v>
      </c>
      <c r="K11" s="50">
        <v>289.47000000000003</v>
      </c>
      <c r="L11" s="50">
        <v>16.010000000000002</v>
      </c>
      <c r="M11" s="50">
        <v>90.49</v>
      </c>
      <c r="N11" s="50">
        <v>0</v>
      </c>
      <c r="O11" s="50">
        <v>0</v>
      </c>
      <c r="P11" s="50">
        <v>1.1399999999999999</v>
      </c>
      <c r="Q11" s="50">
        <v>5.3</v>
      </c>
    </row>
    <row r="12" spans="1:21" customFormat="1">
      <c r="A12" s="55">
        <v>45311.166666666664</v>
      </c>
      <c r="B12" s="50">
        <v>36.369999999999997</v>
      </c>
      <c r="C12" s="50">
        <v>28.1</v>
      </c>
      <c r="D12" s="50">
        <v>44.84</v>
      </c>
      <c r="E12" s="50">
        <v>8.09</v>
      </c>
      <c r="F12" s="50">
        <v>3.52</v>
      </c>
      <c r="G12" s="50">
        <v>116.44</v>
      </c>
      <c r="H12" s="50">
        <v>52.28</v>
      </c>
      <c r="I12" s="50">
        <v>11.64</v>
      </c>
      <c r="J12" s="50">
        <v>0.42</v>
      </c>
      <c r="K12" s="50">
        <v>80.47</v>
      </c>
      <c r="L12" s="50">
        <v>16.82</v>
      </c>
      <c r="M12" s="50">
        <v>90.11</v>
      </c>
      <c r="N12" s="50">
        <v>0</v>
      </c>
      <c r="O12" s="50">
        <v>0</v>
      </c>
      <c r="P12" s="50">
        <v>1.1000000000000001</v>
      </c>
      <c r="Q12" s="50">
        <v>5.25</v>
      </c>
    </row>
    <row r="13" spans="1:21" customFormat="1">
      <c r="A13" s="55">
        <v>45311.208333333336</v>
      </c>
      <c r="B13" s="50">
        <v>33.380000000000003</v>
      </c>
      <c r="C13" s="50">
        <v>27.52</v>
      </c>
      <c r="D13" s="50">
        <v>42.34</v>
      </c>
      <c r="E13" s="50">
        <v>8.09</v>
      </c>
      <c r="F13" s="50">
        <v>3.38</v>
      </c>
      <c r="G13" s="50">
        <v>105.57</v>
      </c>
      <c r="H13" s="50">
        <v>51.59</v>
      </c>
      <c r="I13" s="50">
        <v>11.49</v>
      </c>
      <c r="J13" s="50">
        <v>0.41</v>
      </c>
      <c r="K13" s="50">
        <v>136.35</v>
      </c>
      <c r="L13" s="50">
        <v>16.89</v>
      </c>
      <c r="M13" s="50">
        <v>81.67</v>
      </c>
      <c r="N13" s="50">
        <v>0</v>
      </c>
      <c r="O13" s="50">
        <v>0</v>
      </c>
      <c r="P13" s="50">
        <v>1.08</v>
      </c>
      <c r="Q13" s="50">
        <v>5.23</v>
      </c>
    </row>
    <row r="14" spans="1:21" customFormat="1">
      <c r="A14" s="55">
        <v>45311.25</v>
      </c>
      <c r="B14" s="50">
        <v>30.61</v>
      </c>
      <c r="C14" s="50">
        <v>27.87</v>
      </c>
      <c r="D14" s="50">
        <v>39.869999999999997</v>
      </c>
      <c r="E14" s="50">
        <v>8.16</v>
      </c>
      <c r="F14" s="50">
        <v>3.34</v>
      </c>
      <c r="G14" s="50">
        <v>99.14</v>
      </c>
      <c r="H14" s="50">
        <v>48.76</v>
      </c>
      <c r="I14" s="50">
        <v>11.43</v>
      </c>
      <c r="J14" s="50">
        <v>0.52</v>
      </c>
      <c r="K14" s="50">
        <v>135.16</v>
      </c>
      <c r="L14" s="50">
        <v>16.77</v>
      </c>
      <c r="M14" s="50">
        <v>81.260000000000005</v>
      </c>
      <c r="N14" s="50">
        <v>0</v>
      </c>
      <c r="O14" s="50">
        <v>0</v>
      </c>
      <c r="P14" s="50">
        <v>1.06</v>
      </c>
      <c r="Q14" s="50">
        <v>5.17</v>
      </c>
    </row>
    <row r="15" spans="1:21" customFormat="1">
      <c r="A15" s="55">
        <v>45311.291666666664</v>
      </c>
      <c r="B15" s="50">
        <v>27.18</v>
      </c>
      <c r="C15" s="50">
        <v>28.51</v>
      </c>
      <c r="D15" s="50">
        <v>38.04</v>
      </c>
      <c r="E15" s="50">
        <v>8.5</v>
      </c>
      <c r="F15" s="50">
        <v>3.47</v>
      </c>
      <c r="G15" s="50">
        <v>93.39</v>
      </c>
      <c r="H15" s="50">
        <v>48.76</v>
      </c>
      <c r="I15" s="50">
        <v>11.45</v>
      </c>
      <c r="J15" s="50">
        <v>0.77</v>
      </c>
      <c r="K15" s="50">
        <v>342.05</v>
      </c>
      <c r="L15" s="50">
        <v>16.670000000000002</v>
      </c>
      <c r="M15" s="50">
        <v>82.01</v>
      </c>
      <c r="N15" s="50">
        <v>0</v>
      </c>
      <c r="O15" s="50">
        <v>0</v>
      </c>
      <c r="P15" s="50">
        <v>1.06</v>
      </c>
      <c r="Q15" s="50">
        <v>5.15</v>
      </c>
    </row>
    <row r="16" spans="1:21" customFormat="1">
      <c r="A16" s="55">
        <v>45311.333333333336</v>
      </c>
      <c r="B16" s="50">
        <v>28.37</v>
      </c>
      <c r="C16" s="50">
        <v>28.92</v>
      </c>
      <c r="D16" s="50">
        <v>39.159999999999997</v>
      </c>
      <c r="E16" s="50">
        <v>8.33</v>
      </c>
      <c r="F16" s="50">
        <v>3.42</v>
      </c>
      <c r="G16" s="50">
        <v>89.13</v>
      </c>
      <c r="H16" s="50">
        <v>46.27</v>
      </c>
      <c r="I16" s="50">
        <v>11.57</v>
      </c>
      <c r="J16" s="50">
        <v>0.56000000000000005</v>
      </c>
      <c r="K16" s="50">
        <v>40.17</v>
      </c>
      <c r="L16" s="50">
        <v>16.82</v>
      </c>
      <c r="M16" s="50">
        <v>78.959999999999994</v>
      </c>
      <c r="N16" s="50">
        <v>2.6</v>
      </c>
      <c r="O16" s="50">
        <v>0</v>
      </c>
      <c r="P16" s="50">
        <v>1.1000000000000001</v>
      </c>
      <c r="Q16" s="50">
        <v>5.14</v>
      </c>
    </row>
    <row r="17" spans="1:17" customFormat="1">
      <c r="A17" s="55">
        <v>45311.375</v>
      </c>
      <c r="B17" s="50">
        <v>30.51</v>
      </c>
      <c r="C17" s="50">
        <v>29.63</v>
      </c>
      <c r="D17" s="50">
        <v>41.3</v>
      </c>
      <c r="E17" s="50">
        <v>9.01</v>
      </c>
      <c r="F17" s="50">
        <v>3.46</v>
      </c>
      <c r="G17" s="50">
        <v>91.47</v>
      </c>
      <c r="H17" s="50">
        <v>46.03</v>
      </c>
      <c r="I17" s="50">
        <v>11.98</v>
      </c>
      <c r="J17" s="50">
        <v>0.85</v>
      </c>
      <c r="K17" s="50">
        <v>45.19</v>
      </c>
      <c r="L17" s="50">
        <v>17.309999999999999</v>
      </c>
      <c r="M17" s="50">
        <v>74.62</v>
      </c>
      <c r="N17" s="50">
        <v>19.3</v>
      </c>
      <c r="O17" s="50">
        <v>0</v>
      </c>
      <c r="P17" s="50">
        <v>1.1399999999999999</v>
      </c>
      <c r="Q17" s="50">
        <v>5.16</v>
      </c>
    </row>
    <row r="18" spans="1:17" customFormat="1">
      <c r="A18" s="55">
        <v>45311.416666666664</v>
      </c>
      <c r="B18" s="50">
        <v>32.33</v>
      </c>
      <c r="C18" s="50">
        <v>30.1</v>
      </c>
      <c r="D18" s="50">
        <v>42.94</v>
      </c>
      <c r="E18" s="50">
        <v>9.23</v>
      </c>
      <c r="F18" s="50">
        <v>3.36</v>
      </c>
      <c r="G18" s="50">
        <v>105.01</v>
      </c>
      <c r="H18" s="50">
        <v>47.83</v>
      </c>
      <c r="I18" s="50">
        <v>12.38</v>
      </c>
      <c r="J18" s="50">
        <v>1.18</v>
      </c>
      <c r="K18" s="50">
        <v>52.71</v>
      </c>
      <c r="L18" s="50">
        <v>18.05</v>
      </c>
      <c r="M18" s="50">
        <v>73.53</v>
      </c>
      <c r="N18" s="50">
        <v>73.099999999999994</v>
      </c>
      <c r="O18" s="50">
        <v>0</v>
      </c>
      <c r="P18" s="50">
        <v>1.22</v>
      </c>
      <c r="Q18" s="50">
        <v>5.17</v>
      </c>
    </row>
    <row r="19" spans="1:17" customFormat="1">
      <c r="A19" s="55">
        <v>45311.458333333336</v>
      </c>
      <c r="B19" s="50">
        <v>32.49</v>
      </c>
      <c r="C19" s="50">
        <v>30.6</v>
      </c>
      <c r="D19" s="50">
        <v>43.22</v>
      </c>
      <c r="E19" s="50">
        <v>8.01</v>
      </c>
      <c r="F19" s="50">
        <v>3.45</v>
      </c>
      <c r="G19" s="50">
        <v>107.51</v>
      </c>
      <c r="H19" s="50">
        <v>47.83</v>
      </c>
      <c r="I19" s="50">
        <v>12.4</v>
      </c>
      <c r="J19" s="50">
        <v>1.0900000000000001</v>
      </c>
      <c r="K19" s="50">
        <v>50.2</v>
      </c>
      <c r="L19" s="50">
        <v>19.38</v>
      </c>
      <c r="M19" s="50">
        <v>72.75</v>
      </c>
      <c r="N19" s="50">
        <v>83.6</v>
      </c>
      <c r="O19" s="50">
        <v>0</v>
      </c>
      <c r="P19" s="50">
        <v>1.22</v>
      </c>
      <c r="Q19" s="50">
        <v>5.16</v>
      </c>
    </row>
    <row r="20" spans="1:17" customFormat="1">
      <c r="A20" s="55">
        <v>45311.5</v>
      </c>
      <c r="B20" s="50">
        <v>31.59</v>
      </c>
      <c r="C20" s="50">
        <v>27.73</v>
      </c>
      <c r="D20" s="50">
        <v>41.17</v>
      </c>
      <c r="E20" s="50">
        <v>8.19</v>
      </c>
      <c r="F20" s="50">
        <v>3.66</v>
      </c>
      <c r="G20" s="50">
        <v>110.16</v>
      </c>
      <c r="H20" s="50">
        <v>47.81</v>
      </c>
      <c r="I20" s="50">
        <v>12.34</v>
      </c>
      <c r="J20" s="50">
        <v>0.74</v>
      </c>
      <c r="K20" s="50">
        <v>125.23</v>
      </c>
      <c r="L20" s="50">
        <v>21.12</v>
      </c>
      <c r="M20" s="50">
        <v>70.45</v>
      </c>
      <c r="N20" s="50">
        <v>100</v>
      </c>
      <c r="O20" s="50">
        <v>0</v>
      </c>
      <c r="P20" s="50">
        <v>1.21</v>
      </c>
      <c r="Q20" s="50">
        <v>5.14</v>
      </c>
    </row>
    <row r="21" spans="1:17" customFormat="1">
      <c r="A21" s="55">
        <v>45311.541666666664</v>
      </c>
      <c r="B21" s="50">
        <v>28.13</v>
      </c>
      <c r="C21" s="50">
        <v>24.35</v>
      </c>
      <c r="D21" s="50">
        <v>36.15</v>
      </c>
      <c r="E21" s="50">
        <v>7.55</v>
      </c>
      <c r="F21" s="50">
        <v>3.52</v>
      </c>
      <c r="G21" s="50">
        <v>110.16</v>
      </c>
      <c r="H21" s="50">
        <v>50.59</v>
      </c>
      <c r="I21" s="50">
        <v>12.17</v>
      </c>
      <c r="J21" s="50">
        <v>1.08</v>
      </c>
      <c r="K21" s="50">
        <v>74.349999999999994</v>
      </c>
      <c r="L21" s="50">
        <v>21.37</v>
      </c>
      <c r="M21" s="50">
        <v>70.67</v>
      </c>
      <c r="N21" s="50">
        <v>94.2</v>
      </c>
      <c r="O21" s="50">
        <v>0</v>
      </c>
      <c r="P21" s="50">
        <v>1.17</v>
      </c>
      <c r="Q21" s="50">
        <v>5.12</v>
      </c>
    </row>
    <row r="22" spans="1:17" customFormat="1">
      <c r="A22" s="55">
        <v>45311.583333333336</v>
      </c>
      <c r="B22" s="50">
        <v>26.35</v>
      </c>
      <c r="C22" s="50">
        <v>23.84</v>
      </c>
      <c r="D22" s="50">
        <v>34.799999999999997</v>
      </c>
      <c r="E22" s="50">
        <v>7.86</v>
      </c>
      <c r="F22" s="50">
        <v>3.7</v>
      </c>
      <c r="G22" s="50">
        <v>106.39</v>
      </c>
      <c r="H22" s="50">
        <v>50.59</v>
      </c>
      <c r="I22" s="50">
        <v>11.97</v>
      </c>
      <c r="J22" s="50">
        <v>1.0900000000000001</v>
      </c>
      <c r="K22" s="50">
        <v>51.44</v>
      </c>
      <c r="L22" s="50">
        <v>22.53</v>
      </c>
      <c r="M22" s="50">
        <v>70.58</v>
      </c>
      <c r="N22" s="50">
        <v>148.80000000000001</v>
      </c>
      <c r="O22" s="50">
        <v>0</v>
      </c>
      <c r="P22" s="50">
        <v>1.1499999999999999</v>
      </c>
      <c r="Q22" s="50">
        <v>5.1100000000000003</v>
      </c>
    </row>
    <row r="23" spans="1:17" customFormat="1">
      <c r="A23" s="55">
        <v>45311.625</v>
      </c>
      <c r="B23" s="50">
        <v>22.81</v>
      </c>
      <c r="C23" s="50">
        <v>24.11</v>
      </c>
      <c r="D23" s="50">
        <v>32.17</v>
      </c>
      <c r="E23" s="50">
        <v>7.49</v>
      </c>
      <c r="F23" s="50">
        <v>3.62</v>
      </c>
      <c r="G23" s="50">
        <v>106.39</v>
      </c>
      <c r="H23" s="50">
        <v>49.47</v>
      </c>
      <c r="I23" s="50">
        <v>11.47</v>
      </c>
      <c r="J23" s="50">
        <v>0.84</v>
      </c>
      <c r="K23" s="50">
        <v>44.8</v>
      </c>
      <c r="L23" s="50">
        <v>23.5</v>
      </c>
      <c r="M23" s="50">
        <v>69.56</v>
      </c>
      <c r="N23" s="50">
        <v>201.1</v>
      </c>
      <c r="O23" s="50">
        <v>0</v>
      </c>
      <c r="P23" s="50">
        <v>1.1000000000000001</v>
      </c>
      <c r="Q23" s="50">
        <v>5.0599999999999996</v>
      </c>
    </row>
    <row r="24" spans="1:17" customFormat="1">
      <c r="A24" s="55">
        <v>45311.666666666664</v>
      </c>
      <c r="B24" s="50">
        <v>20.420000000000002</v>
      </c>
      <c r="C24" s="50">
        <v>25.55</v>
      </c>
      <c r="D24" s="50">
        <v>29.99</v>
      </c>
      <c r="E24" s="50">
        <v>7.35</v>
      </c>
      <c r="F24" s="50">
        <v>3.65</v>
      </c>
      <c r="G24" s="50">
        <v>102.02</v>
      </c>
      <c r="H24" s="50">
        <v>47.36</v>
      </c>
      <c r="I24" s="50">
        <v>11.02</v>
      </c>
      <c r="J24" s="50">
        <v>0.93</v>
      </c>
      <c r="K24" s="50">
        <v>65.989999999999995</v>
      </c>
      <c r="L24" s="50">
        <v>23.57</v>
      </c>
      <c r="M24" s="50">
        <v>67.209999999999994</v>
      </c>
      <c r="N24" s="50">
        <v>91</v>
      </c>
      <c r="O24" s="50">
        <v>0</v>
      </c>
      <c r="P24" s="50">
        <v>1.07</v>
      </c>
      <c r="Q24" s="50">
        <v>5.04</v>
      </c>
    </row>
    <row r="25" spans="1:17" customFormat="1">
      <c r="A25" s="55">
        <v>45311.708333333336</v>
      </c>
      <c r="B25" s="50">
        <v>15.99</v>
      </c>
      <c r="C25" s="50">
        <v>29.29</v>
      </c>
      <c r="D25" s="50">
        <v>28.33</v>
      </c>
      <c r="E25" s="50">
        <v>8.1199999999999992</v>
      </c>
      <c r="F25" s="50">
        <v>3.65</v>
      </c>
      <c r="G25" s="50">
        <v>87.7</v>
      </c>
      <c r="H25" s="50">
        <v>42.77</v>
      </c>
      <c r="I25" s="50">
        <v>10.54</v>
      </c>
      <c r="J25" s="50">
        <v>1.05</v>
      </c>
      <c r="K25" s="50">
        <v>41.4</v>
      </c>
      <c r="L25" s="50">
        <v>23.39</v>
      </c>
      <c r="M25" s="50">
        <v>70.319999999999993</v>
      </c>
      <c r="N25" s="50">
        <v>43.5</v>
      </c>
      <c r="O25" s="50">
        <v>0</v>
      </c>
      <c r="P25" s="50">
        <v>1.02</v>
      </c>
      <c r="Q25" s="50">
        <v>4.99</v>
      </c>
    </row>
    <row r="26" spans="1:17" customFormat="1">
      <c r="A26" s="55">
        <v>45311.75</v>
      </c>
      <c r="B26" s="50">
        <v>15.44</v>
      </c>
      <c r="C26" s="50">
        <v>31.12</v>
      </c>
      <c r="D26" s="50">
        <v>29.99</v>
      </c>
      <c r="E26" s="50">
        <v>8.4</v>
      </c>
      <c r="F26" s="50">
        <v>3.56</v>
      </c>
      <c r="G26" s="50">
        <v>91.9</v>
      </c>
      <c r="H26" s="50">
        <v>41.97</v>
      </c>
      <c r="I26" s="50">
        <v>10.1</v>
      </c>
      <c r="J26" s="50">
        <v>1.02</v>
      </c>
      <c r="K26" s="50">
        <v>50.53</v>
      </c>
      <c r="L26" s="50">
        <v>22.27</v>
      </c>
      <c r="M26" s="50">
        <v>76.819999999999993</v>
      </c>
      <c r="N26" s="50">
        <v>2</v>
      </c>
      <c r="O26" s="50">
        <v>0</v>
      </c>
      <c r="P26" s="50">
        <v>1.04</v>
      </c>
      <c r="Q26" s="50">
        <v>4.99</v>
      </c>
    </row>
    <row r="27" spans="1:17" customFormat="1">
      <c r="A27" s="55">
        <v>45311.791666666664</v>
      </c>
      <c r="B27" s="50">
        <v>18.600000000000001</v>
      </c>
      <c r="C27" s="50">
        <v>32.22</v>
      </c>
      <c r="D27" s="50">
        <v>33.1</v>
      </c>
      <c r="E27" s="50">
        <v>8.77</v>
      </c>
      <c r="F27" s="50">
        <v>3.27</v>
      </c>
      <c r="G27" s="50">
        <v>97.63</v>
      </c>
      <c r="H27" s="50">
        <v>40.51</v>
      </c>
      <c r="I27" s="50">
        <v>10.4</v>
      </c>
      <c r="J27" s="50">
        <v>1.1299999999999999</v>
      </c>
      <c r="K27" s="50">
        <v>63.76</v>
      </c>
      <c r="L27" s="50">
        <v>20.97</v>
      </c>
      <c r="M27" s="50">
        <v>82.1</v>
      </c>
      <c r="N27" s="50">
        <v>0</v>
      </c>
      <c r="O27" s="50">
        <v>0</v>
      </c>
      <c r="P27" s="50">
        <v>1.0900000000000001</v>
      </c>
      <c r="Q27" s="50">
        <v>4.9800000000000004</v>
      </c>
    </row>
    <row r="28" spans="1:17" customFormat="1">
      <c r="A28" s="55">
        <v>45311.833333333336</v>
      </c>
      <c r="B28" s="50">
        <v>20.54</v>
      </c>
      <c r="C28" s="50">
        <v>32.53</v>
      </c>
      <c r="D28" s="50">
        <v>34.56</v>
      </c>
      <c r="E28" s="50">
        <v>8.69</v>
      </c>
      <c r="F28" s="50">
        <v>3.54</v>
      </c>
      <c r="G28" s="50">
        <v>97.63</v>
      </c>
      <c r="H28" s="50">
        <v>45.49</v>
      </c>
      <c r="I28" s="50">
        <v>10.71</v>
      </c>
      <c r="J28" s="50">
        <v>0.95</v>
      </c>
      <c r="K28" s="50">
        <v>68.89</v>
      </c>
      <c r="L28" s="50">
        <v>20.02</v>
      </c>
      <c r="M28" s="50">
        <v>86.48</v>
      </c>
      <c r="N28" s="50">
        <v>0</v>
      </c>
      <c r="O28" s="50">
        <v>0</v>
      </c>
      <c r="P28" s="50">
        <v>1.1200000000000001</v>
      </c>
      <c r="Q28" s="50">
        <v>4.97</v>
      </c>
    </row>
    <row r="29" spans="1:17" customFormat="1">
      <c r="A29" s="55">
        <v>45311.875</v>
      </c>
      <c r="B29" s="50">
        <v>23.54</v>
      </c>
      <c r="C29" s="50">
        <v>33.130000000000003</v>
      </c>
      <c r="D29" s="50">
        <v>36.979999999999997</v>
      </c>
      <c r="E29" s="50">
        <v>8.9</v>
      </c>
      <c r="F29" s="50">
        <v>3.61</v>
      </c>
      <c r="G29" s="50">
        <v>101.14</v>
      </c>
      <c r="H29" s="50">
        <v>45.88</v>
      </c>
      <c r="I29" s="50">
        <v>11.11</v>
      </c>
      <c r="J29" s="50">
        <v>0.94</v>
      </c>
      <c r="K29" s="50">
        <v>57.85</v>
      </c>
      <c r="L29" s="50">
        <v>19.420000000000002</v>
      </c>
      <c r="M29" s="50">
        <v>90.03</v>
      </c>
      <c r="N29" s="50">
        <v>0</v>
      </c>
      <c r="O29" s="50">
        <v>0</v>
      </c>
      <c r="P29" s="50">
        <v>1.1499999999999999</v>
      </c>
      <c r="Q29" s="50">
        <v>4.9800000000000004</v>
      </c>
    </row>
    <row r="30" spans="1:17" customFormat="1">
      <c r="A30" s="55">
        <v>45311.916666666664</v>
      </c>
      <c r="B30" s="50">
        <v>25.88</v>
      </c>
      <c r="C30" s="50">
        <v>27.42</v>
      </c>
      <c r="D30" s="50">
        <v>35.76</v>
      </c>
      <c r="E30" s="50">
        <v>7.67</v>
      </c>
      <c r="F30" s="50">
        <v>3.69</v>
      </c>
      <c r="G30" s="50">
        <v>102.83</v>
      </c>
      <c r="H30" s="50">
        <v>45.88</v>
      </c>
      <c r="I30" s="50">
        <v>11.28</v>
      </c>
      <c r="J30" s="50">
        <v>0.99</v>
      </c>
      <c r="K30" s="50">
        <v>58.76</v>
      </c>
      <c r="L30" s="50">
        <v>18.75</v>
      </c>
      <c r="M30" s="50">
        <v>91.9</v>
      </c>
      <c r="N30" s="50">
        <v>0</v>
      </c>
      <c r="O30" s="50">
        <v>0</v>
      </c>
      <c r="P30" s="50">
        <v>1.1499999999999999</v>
      </c>
      <c r="Q30" s="50">
        <v>5</v>
      </c>
    </row>
    <row r="31" spans="1:17" customFormat="1">
      <c r="A31" s="55">
        <v>45311.958333333336</v>
      </c>
      <c r="B31" s="50">
        <v>27.54</v>
      </c>
      <c r="C31" s="50">
        <v>26.92</v>
      </c>
      <c r="D31" s="50">
        <v>37.26</v>
      </c>
      <c r="E31" s="50">
        <v>7.82</v>
      </c>
      <c r="F31" s="50">
        <v>3.4</v>
      </c>
      <c r="G31" s="50">
        <v>102.83</v>
      </c>
      <c r="H31" s="50">
        <v>45.46</v>
      </c>
      <c r="I31" s="50">
        <v>11.44</v>
      </c>
      <c r="J31" s="50">
        <v>0.66</v>
      </c>
      <c r="K31" s="50">
        <v>47.72</v>
      </c>
      <c r="L31" s="50">
        <v>18.47</v>
      </c>
      <c r="M31" s="50">
        <v>92.28</v>
      </c>
      <c r="N31" s="50">
        <v>0</v>
      </c>
      <c r="O31" s="50">
        <v>0</v>
      </c>
      <c r="P31" s="50">
        <v>1.17</v>
      </c>
      <c r="Q31" s="50">
        <v>5.04</v>
      </c>
    </row>
    <row r="32" spans="1:17" customFormat="1">
      <c r="A32" s="55">
        <v>45312</v>
      </c>
      <c r="B32" s="50">
        <v>28.63</v>
      </c>
      <c r="C32" s="50">
        <v>26.97</v>
      </c>
      <c r="D32" s="50">
        <v>38.369999999999997</v>
      </c>
      <c r="E32" s="50">
        <v>7.82</v>
      </c>
      <c r="F32" s="50">
        <v>3.38</v>
      </c>
      <c r="G32" s="50">
        <v>102.05</v>
      </c>
      <c r="H32" s="50">
        <v>46.1</v>
      </c>
      <c r="I32" s="50">
        <v>11.59</v>
      </c>
      <c r="J32" s="50">
        <v>0.76</v>
      </c>
      <c r="K32" s="50">
        <v>63.41</v>
      </c>
      <c r="L32" s="50">
        <v>18.420000000000002</v>
      </c>
      <c r="M32" s="50">
        <v>91.53</v>
      </c>
      <c r="N32" s="50">
        <v>0</v>
      </c>
      <c r="O32" s="50">
        <v>0</v>
      </c>
      <c r="P32" s="50">
        <v>1.17</v>
      </c>
      <c r="Q32" s="50">
        <v>5.09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15.44</v>
      </c>
      <c r="C34" s="41">
        <f t="shared" si="0"/>
        <v>23.84</v>
      </c>
      <c r="D34" s="41">
        <f t="shared" si="0"/>
        <v>28.33</v>
      </c>
      <c r="E34" s="41">
        <f t="shared" si="0"/>
        <v>7.35</v>
      </c>
      <c r="F34" s="41">
        <f t="shared" si="0"/>
        <v>3.27</v>
      </c>
      <c r="G34" s="41">
        <f t="shared" si="0"/>
        <v>87.7</v>
      </c>
      <c r="H34" s="41">
        <f t="shared" si="0"/>
        <v>40.51</v>
      </c>
      <c r="I34" s="41">
        <f t="shared" si="0"/>
        <v>10.1</v>
      </c>
      <c r="J34" s="41">
        <f t="shared" si="0"/>
        <v>0.41</v>
      </c>
      <c r="K34" s="41">
        <f t="shared" si="0"/>
        <v>40.17</v>
      </c>
      <c r="L34" s="41">
        <f t="shared" si="0"/>
        <v>16.010000000000002</v>
      </c>
      <c r="M34" s="41">
        <f t="shared" si="0"/>
        <v>67.209999999999994</v>
      </c>
      <c r="N34" s="41">
        <f t="shared" si="0"/>
        <v>0</v>
      </c>
      <c r="O34" s="41">
        <f t="shared" si="0"/>
        <v>0</v>
      </c>
      <c r="P34" s="41">
        <f t="shared" si="0"/>
        <v>1.02</v>
      </c>
      <c r="Q34" s="41">
        <f t="shared" si="0"/>
        <v>4.97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45.07</v>
      </c>
      <c r="C35" s="33">
        <f t="shared" si="1"/>
        <v>34.409999999999997</v>
      </c>
      <c r="D35" s="33">
        <f t="shared" si="1"/>
        <v>55.37</v>
      </c>
      <c r="E35" s="33">
        <f t="shared" si="1"/>
        <v>10.17</v>
      </c>
      <c r="F35" s="33">
        <f t="shared" si="1"/>
        <v>3.7</v>
      </c>
      <c r="G35" s="33">
        <f t="shared" si="1"/>
        <v>123.57</v>
      </c>
      <c r="H35" s="33">
        <f t="shared" si="1"/>
        <v>54.74</v>
      </c>
      <c r="I35" s="33">
        <f t="shared" si="1"/>
        <v>12.4</v>
      </c>
      <c r="J35" s="33">
        <f t="shared" si="1"/>
        <v>1.18</v>
      </c>
      <c r="K35" s="33">
        <f t="shared" si="1"/>
        <v>342.05</v>
      </c>
      <c r="L35" s="33">
        <f t="shared" si="1"/>
        <v>23.57</v>
      </c>
      <c r="M35" s="33">
        <f t="shared" si="1"/>
        <v>92.28</v>
      </c>
      <c r="N35" s="33">
        <f t="shared" si="1"/>
        <v>201.1</v>
      </c>
      <c r="O35" s="33">
        <f t="shared" si="1"/>
        <v>0</v>
      </c>
      <c r="P35" s="33">
        <f t="shared" si="1"/>
        <v>1.22</v>
      </c>
      <c r="Q35" s="33">
        <f t="shared" si="1"/>
        <v>5.32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28.584999999999997</v>
      </c>
      <c r="C36" s="41">
        <f t="shared" si="2"/>
        <v>28.834999999999997</v>
      </c>
      <c r="D36" s="41">
        <f t="shared" si="2"/>
        <v>39.077500000000001</v>
      </c>
      <c r="E36" s="41">
        <f t="shared" si="2"/>
        <v>8.3133333333333344</v>
      </c>
      <c r="F36" s="41">
        <f t="shared" si="2"/>
        <v>3.4958333333333336</v>
      </c>
      <c r="G36" s="41">
        <f t="shared" si="2"/>
        <v>103.80041666666669</v>
      </c>
      <c r="H36" s="41">
        <f t="shared" si="2"/>
        <v>48.046250000000008</v>
      </c>
      <c r="I36" s="41">
        <f t="shared" si="2"/>
        <v>11.510833333333332</v>
      </c>
      <c r="J36" s="41">
        <f t="shared" si="2"/>
        <v>0.83250000000000002</v>
      </c>
      <c r="K36" s="41">
        <f t="shared" si="2"/>
        <v>88.259166666666658</v>
      </c>
      <c r="L36" s="41">
        <f t="shared" si="2"/>
        <v>19.23458333333333</v>
      </c>
      <c r="M36" s="41">
        <f t="shared" si="2"/>
        <v>80.473333333333329</v>
      </c>
      <c r="N36" s="41">
        <f t="shared" si="2"/>
        <v>35.800000000000004</v>
      </c>
      <c r="O36" s="41">
        <f t="shared" si="2"/>
        <v>0</v>
      </c>
      <c r="P36" s="41">
        <f t="shared" si="2"/>
        <v>1.1300000000000001</v>
      </c>
      <c r="Q36" s="41">
        <f t="shared" si="2"/>
        <v>5.1191666666666675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7.8289818317415341</v>
      </c>
      <c r="C37" s="41">
        <f t="shared" ref="C37:Q37" si="3">STDEV(C9:C32)</f>
        <v>2.8618677391734719</v>
      </c>
      <c r="D37" s="41">
        <f t="shared" si="3"/>
        <v>6.8493327190064255</v>
      </c>
      <c r="E37" s="41">
        <f t="shared" si="3"/>
        <v>0.66081416625161493</v>
      </c>
      <c r="F37" s="41">
        <f t="shared" si="3"/>
        <v>0.12816146971237713</v>
      </c>
      <c r="G37" s="41">
        <f t="shared" si="3"/>
        <v>9.8543918609556833</v>
      </c>
      <c r="H37" s="41">
        <f t="shared" si="3"/>
        <v>3.8007113893608309</v>
      </c>
      <c r="I37" s="41">
        <f t="shared" si="3"/>
        <v>0.62324478174392661</v>
      </c>
      <c r="J37" s="41">
        <f t="shared" si="3"/>
        <v>0.23363386443042808</v>
      </c>
      <c r="K37" s="41">
        <f t="shared" si="3"/>
        <v>75.549321115510324</v>
      </c>
      <c r="L37" s="41">
        <f t="shared" si="3"/>
        <v>2.5309286475206383</v>
      </c>
      <c r="M37" s="41">
        <f t="shared" si="3"/>
        <v>8.566336879683929</v>
      </c>
      <c r="N37" s="41">
        <f t="shared" si="3"/>
        <v>56.563162078757813</v>
      </c>
      <c r="O37" s="41">
        <f t="shared" si="3"/>
        <v>0</v>
      </c>
      <c r="P37" s="41">
        <f t="shared" si="3"/>
        <v>5.8309518948447311E-2</v>
      </c>
      <c r="Q37" s="41">
        <f t="shared" si="3"/>
        <v>0.10854438750099464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45312.041666666664</v>
      </c>
      <c r="B9" s="50">
        <v>28.41</v>
      </c>
      <c r="C9" s="50">
        <v>26.07</v>
      </c>
      <c r="D9" s="50">
        <v>37.75</v>
      </c>
      <c r="E9" s="50">
        <v>7.51</v>
      </c>
      <c r="F9" s="50">
        <v>3.33</v>
      </c>
      <c r="G9" s="50">
        <v>101.27</v>
      </c>
      <c r="H9" s="50">
        <v>46.1</v>
      </c>
      <c r="I9" s="50">
        <v>11.66</v>
      </c>
      <c r="J9" s="50">
        <v>0.94</v>
      </c>
      <c r="K9" s="50">
        <v>358.6</v>
      </c>
      <c r="L9" s="50">
        <v>18.21</v>
      </c>
      <c r="M9" s="50">
        <v>91.78</v>
      </c>
      <c r="N9" s="50">
        <v>0</v>
      </c>
      <c r="O9" s="50">
        <v>0</v>
      </c>
      <c r="P9" s="50">
        <v>1.17</v>
      </c>
      <c r="Q9" s="50">
        <v>5.0999999999999996</v>
      </c>
    </row>
    <row r="10" spans="1:21" customFormat="1">
      <c r="A10" s="55">
        <v>45312.083333333336</v>
      </c>
      <c r="B10" s="50">
        <v>27.86</v>
      </c>
      <c r="C10" s="50">
        <v>26.01</v>
      </c>
      <c r="D10" s="50">
        <v>37.119999999999997</v>
      </c>
      <c r="E10" s="50">
        <v>8.1</v>
      </c>
      <c r="F10" s="50">
        <v>3.45</v>
      </c>
      <c r="G10" s="50">
        <v>100.73</v>
      </c>
      <c r="H10" s="50">
        <v>47.61</v>
      </c>
      <c r="I10" s="50">
        <v>11.78</v>
      </c>
      <c r="J10" s="50">
        <v>0.51</v>
      </c>
      <c r="K10" s="50">
        <v>93.82</v>
      </c>
      <c r="L10" s="50">
        <v>18.2</v>
      </c>
      <c r="M10" s="50">
        <v>91.21</v>
      </c>
      <c r="N10" s="50">
        <v>0</v>
      </c>
      <c r="O10" s="50">
        <v>0</v>
      </c>
      <c r="P10" s="50">
        <v>1.17</v>
      </c>
      <c r="Q10" s="50">
        <v>5.1100000000000003</v>
      </c>
    </row>
    <row r="11" spans="1:21" customFormat="1">
      <c r="A11" s="55">
        <v>45312.125</v>
      </c>
      <c r="B11" s="50">
        <v>27.67</v>
      </c>
      <c r="C11" s="50">
        <v>27.94</v>
      </c>
      <c r="D11" s="50">
        <v>38.08</v>
      </c>
      <c r="E11" s="50">
        <v>9.5</v>
      </c>
      <c r="F11" s="50">
        <v>3.44</v>
      </c>
      <c r="G11" s="50">
        <v>105.32</v>
      </c>
      <c r="H11" s="50">
        <v>49.11</v>
      </c>
      <c r="I11" s="50">
        <v>11.96</v>
      </c>
      <c r="J11" s="50">
        <v>0.83</v>
      </c>
      <c r="K11" s="50">
        <v>51.57</v>
      </c>
      <c r="L11" s="50">
        <v>18.02</v>
      </c>
      <c r="M11" s="50">
        <v>91.17</v>
      </c>
      <c r="N11" s="50">
        <v>0</v>
      </c>
      <c r="O11" s="50">
        <v>0</v>
      </c>
      <c r="P11" s="50">
        <v>1.18</v>
      </c>
      <c r="Q11" s="50">
        <v>5.1100000000000003</v>
      </c>
    </row>
    <row r="12" spans="1:21" customFormat="1">
      <c r="A12" s="55">
        <v>45312.166666666664</v>
      </c>
      <c r="B12" s="50">
        <v>27.08</v>
      </c>
      <c r="C12" s="50">
        <v>28.27</v>
      </c>
      <c r="D12" s="50">
        <v>37.78</v>
      </c>
      <c r="E12" s="50">
        <v>9.52</v>
      </c>
      <c r="F12" s="50">
        <v>3.44</v>
      </c>
      <c r="G12" s="50">
        <v>105.32</v>
      </c>
      <c r="H12" s="50">
        <v>49.11</v>
      </c>
      <c r="I12" s="50">
        <v>12.01</v>
      </c>
      <c r="J12" s="50">
        <v>1.22</v>
      </c>
      <c r="K12" s="50">
        <v>46.78</v>
      </c>
      <c r="L12" s="50">
        <v>17.86</v>
      </c>
      <c r="M12" s="50">
        <v>93.5</v>
      </c>
      <c r="N12" s="50">
        <v>0</v>
      </c>
      <c r="O12" s="50">
        <v>0</v>
      </c>
      <c r="P12" s="50">
        <v>1.2</v>
      </c>
      <c r="Q12" s="50">
        <v>5.0999999999999996</v>
      </c>
    </row>
    <row r="13" spans="1:21" customFormat="1">
      <c r="A13" s="55">
        <v>45312.208333333336</v>
      </c>
      <c r="B13" s="50">
        <v>25.18</v>
      </c>
      <c r="C13" s="50">
        <v>27.98</v>
      </c>
      <c r="D13" s="50">
        <v>36.159999999999997</v>
      </c>
      <c r="E13" s="50">
        <v>9.31</v>
      </c>
      <c r="F13" s="50">
        <v>3.3</v>
      </c>
      <c r="G13" s="50">
        <v>102.05</v>
      </c>
      <c r="H13" s="50">
        <v>47.42</v>
      </c>
      <c r="I13" s="50">
        <v>11.87</v>
      </c>
      <c r="J13" s="50">
        <v>1.1000000000000001</v>
      </c>
      <c r="K13" s="50">
        <v>74.92</v>
      </c>
      <c r="L13" s="50">
        <v>17.28</v>
      </c>
      <c r="M13" s="50">
        <v>92.02</v>
      </c>
      <c r="N13" s="50">
        <v>0</v>
      </c>
      <c r="O13" s="50">
        <v>0</v>
      </c>
      <c r="P13" s="50">
        <v>1.17</v>
      </c>
      <c r="Q13" s="50">
        <v>5.07</v>
      </c>
    </row>
    <row r="14" spans="1:21" customFormat="1">
      <c r="A14" s="55">
        <v>45312.25</v>
      </c>
      <c r="B14" s="50">
        <v>23.78</v>
      </c>
      <c r="C14" s="50">
        <v>28.02</v>
      </c>
      <c r="D14" s="50">
        <v>34.950000000000003</v>
      </c>
      <c r="E14" s="50">
        <v>9.89</v>
      </c>
      <c r="F14" s="50">
        <v>3.23</v>
      </c>
      <c r="G14" s="50">
        <v>88.71</v>
      </c>
      <c r="H14" s="50">
        <v>47.42</v>
      </c>
      <c r="I14" s="50">
        <v>11.07</v>
      </c>
      <c r="J14" s="50">
        <v>0.88</v>
      </c>
      <c r="K14" s="50">
        <v>351.06</v>
      </c>
      <c r="L14" s="50">
        <v>17.36</v>
      </c>
      <c r="M14" s="50">
        <v>89.28</v>
      </c>
      <c r="N14" s="50">
        <v>0</v>
      </c>
      <c r="O14" s="50">
        <v>0</v>
      </c>
      <c r="P14" s="50">
        <v>1.08</v>
      </c>
      <c r="Q14" s="50">
        <v>5.05</v>
      </c>
    </row>
    <row r="15" spans="1:21" customFormat="1">
      <c r="A15" s="55">
        <v>45312.291666666664</v>
      </c>
      <c r="B15" s="50">
        <v>21.45</v>
      </c>
      <c r="C15" s="50">
        <v>28.25</v>
      </c>
      <c r="D15" s="50">
        <v>32.94</v>
      </c>
      <c r="E15" s="50">
        <v>9.6999999999999993</v>
      </c>
      <c r="F15" s="50">
        <v>3.58</v>
      </c>
      <c r="G15" s="50">
        <v>83.87</v>
      </c>
      <c r="H15" s="50">
        <v>45.59</v>
      </c>
      <c r="I15" s="50">
        <v>10.38</v>
      </c>
      <c r="J15" s="50">
        <v>0.79</v>
      </c>
      <c r="K15" s="50">
        <v>298.67</v>
      </c>
      <c r="L15" s="50">
        <v>16.47</v>
      </c>
      <c r="M15" s="50">
        <v>97.53</v>
      </c>
      <c r="N15" s="50">
        <v>4.4000000000000004</v>
      </c>
      <c r="O15" s="50">
        <v>2.4</v>
      </c>
      <c r="P15" s="50">
        <v>1.02</v>
      </c>
      <c r="Q15" s="50">
        <v>5.01</v>
      </c>
    </row>
    <row r="16" spans="1:21" customFormat="1">
      <c r="A16" s="55">
        <v>45312.333333333336</v>
      </c>
      <c r="B16" s="50">
        <v>23.53</v>
      </c>
      <c r="C16" s="50">
        <v>24.36</v>
      </c>
      <c r="D16" s="50">
        <v>32.950000000000003</v>
      </c>
      <c r="E16" s="50">
        <v>9.15</v>
      </c>
      <c r="F16" s="50">
        <v>3.38</v>
      </c>
      <c r="G16" s="50">
        <v>82.09</v>
      </c>
      <c r="H16" s="50">
        <v>43.07</v>
      </c>
      <c r="I16" s="50">
        <v>9.9499999999999993</v>
      </c>
      <c r="J16" s="50">
        <v>0.78</v>
      </c>
      <c r="K16" s="50">
        <v>85.62</v>
      </c>
      <c r="L16" s="50">
        <v>16.8</v>
      </c>
      <c r="M16" s="50">
        <v>96.57</v>
      </c>
      <c r="N16" s="50">
        <v>25</v>
      </c>
      <c r="O16" s="50">
        <v>0</v>
      </c>
      <c r="P16" s="50">
        <v>0.99</v>
      </c>
      <c r="Q16" s="50">
        <v>5.01</v>
      </c>
    </row>
    <row r="17" spans="1:17" customFormat="1">
      <c r="A17" s="55">
        <v>45312.375</v>
      </c>
      <c r="B17" s="50">
        <v>24.83</v>
      </c>
      <c r="C17" s="50">
        <v>24.51</v>
      </c>
      <c r="D17" s="50">
        <v>34.07</v>
      </c>
      <c r="E17" s="50">
        <v>8.99</v>
      </c>
      <c r="F17" s="50">
        <v>3.26</v>
      </c>
      <c r="G17" s="50">
        <v>82.09</v>
      </c>
      <c r="H17" s="50">
        <v>43.07</v>
      </c>
      <c r="I17" s="50">
        <v>9.85</v>
      </c>
      <c r="J17" s="50">
        <v>0.49</v>
      </c>
      <c r="K17" s="50">
        <v>335.44</v>
      </c>
      <c r="L17" s="50">
        <v>17.059999999999999</v>
      </c>
      <c r="M17" s="50">
        <v>98.44</v>
      </c>
      <c r="N17" s="50">
        <v>25.3</v>
      </c>
      <c r="O17" s="50">
        <v>2.6</v>
      </c>
      <c r="P17" s="50">
        <v>0.99</v>
      </c>
      <c r="Q17" s="50">
        <v>5.03</v>
      </c>
    </row>
    <row r="18" spans="1:17" customFormat="1">
      <c r="A18" s="55">
        <v>45312.416666666664</v>
      </c>
      <c r="B18" s="50">
        <v>27.42</v>
      </c>
      <c r="C18" s="50">
        <v>24.05</v>
      </c>
      <c r="D18" s="50">
        <v>35.909999999999997</v>
      </c>
      <c r="E18" s="50">
        <v>9.11</v>
      </c>
      <c r="F18" s="50">
        <v>3.59</v>
      </c>
      <c r="G18" s="50">
        <v>79.31</v>
      </c>
      <c r="H18" s="50">
        <v>41.19</v>
      </c>
      <c r="I18" s="50">
        <v>9.64</v>
      </c>
      <c r="J18" s="50">
        <v>0.61</v>
      </c>
      <c r="K18" s="50">
        <v>112.07</v>
      </c>
      <c r="L18" s="50">
        <v>18.45</v>
      </c>
      <c r="M18" s="50">
        <v>99.53</v>
      </c>
      <c r="N18" s="50">
        <v>285.60000000000002</v>
      </c>
      <c r="O18" s="50">
        <v>0</v>
      </c>
      <c r="P18" s="50">
        <v>0.96</v>
      </c>
      <c r="Q18" s="50">
        <v>5.09</v>
      </c>
    </row>
    <row r="19" spans="1:17" customFormat="1">
      <c r="A19" s="55">
        <v>45312.458333333336</v>
      </c>
      <c r="B19" s="50">
        <v>27.71</v>
      </c>
      <c r="C19" s="50">
        <v>23.75</v>
      </c>
      <c r="D19" s="50">
        <v>35.869999999999997</v>
      </c>
      <c r="E19" s="50">
        <v>6.68</v>
      </c>
      <c r="F19" s="50">
        <v>3.3</v>
      </c>
      <c r="G19" s="50">
        <v>70.64</v>
      </c>
      <c r="H19" s="50">
        <v>40.82</v>
      </c>
      <c r="I19" s="50">
        <v>9.4700000000000006</v>
      </c>
      <c r="J19" s="50">
        <v>0.8</v>
      </c>
      <c r="K19" s="50">
        <v>71.790000000000006</v>
      </c>
      <c r="L19" s="50">
        <v>20.440000000000001</v>
      </c>
      <c r="M19" s="50">
        <v>91.68</v>
      </c>
      <c r="N19" s="50">
        <v>306.5</v>
      </c>
      <c r="O19" s="50">
        <v>0</v>
      </c>
      <c r="P19" s="50">
        <v>0.94</v>
      </c>
      <c r="Q19" s="50">
        <v>5.13</v>
      </c>
    </row>
    <row r="20" spans="1:17" customFormat="1">
      <c r="A20" s="55">
        <v>45312.5</v>
      </c>
      <c r="B20" s="50">
        <v>26.74</v>
      </c>
      <c r="C20" s="50">
        <v>24.24</v>
      </c>
      <c r="D20" s="50">
        <v>35.06</v>
      </c>
      <c r="E20" s="50">
        <v>6.86</v>
      </c>
      <c r="F20" s="50">
        <v>3.54</v>
      </c>
      <c r="G20" s="50">
        <v>69.739999999999995</v>
      </c>
      <c r="H20" s="50">
        <v>39.19</v>
      </c>
      <c r="I20" s="50">
        <v>9.23</v>
      </c>
      <c r="J20" s="50">
        <v>0.71</v>
      </c>
      <c r="K20" s="50">
        <v>89.42</v>
      </c>
      <c r="L20" s="50">
        <v>22.46</v>
      </c>
      <c r="M20" s="50">
        <v>80.63</v>
      </c>
      <c r="N20" s="50">
        <v>419.5</v>
      </c>
      <c r="O20" s="50">
        <v>0</v>
      </c>
      <c r="P20" s="50">
        <v>0.92</v>
      </c>
      <c r="Q20" s="50">
        <v>5.1100000000000003</v>
      </c>
    </row>
    <row r="21" spans="1:17" customFormat="1">
      <c r="A21" s="55">
        <v>45312.541666666664</v>
      </c>
      <c r="B21" s="50">
        <v>21.48</v>
      </c>
      <c r="C21" s="50">
        <v>26.71</v>
      </c>
      <c r="D21" s="50">
        <v>31.64</v>
      </c>
      <c r="E21" s="50">
        <v>7.38</v>
      </c>
      <c r="F21" s="50">
        <v>3.54</v>
      </c>
      <c r="G21" s="50">
        <v>69.739999999999995</v>
      </c>
      <c r="H21" s="50">
        <v>39.520000000000003</v>
      </c>
      <c r="I21" s="50">
        <v>8.81</v>
      </c>
      <c r="J21" s="50">
        <v>0.81</v>
      </c>
      <c r="K21" s="50">
        <v>350.43</v>
      </c>
      <c r="L21" s="50">
        <v>23.52</v>
      </c>
      <c r="M21" s="50">
        <v>73.209999999999994</v>
      </c>
      <c r="N21" s="50">
        <v>438.1</v>
      </c>
      <c r="O21" s="50">
        <v>0</v>
      </c>
      <c r="P21" s="50">
        <v>0.88</v>
      </c>
      <c r="Q21" s="50">
        <v>5.09</v>
      </c>
    </row>
    <row r="22" spans="1:17" customFormat="1">
      <c r="A22" s="55">
        <v>45312.583333333336</v>
      </c>
      <c r="B22" s="50">
        <v>16.43</v>
      </c>
      <c r="C22" s="50">
        <v>27.57</v>
      </c>
      <c r="D22" s="50">
        <v>28.63</v>
      </c>
      <c r="E22" s="50">
        <v>7.65</v>
      </c>
      <c r="F22" s="50">
        <v>3.7</v>
      </c>
      <c r="G22" s="50">
        <v>66.260000000000005</v>
      </c>
      <c r="H22" s="50">
        <v>39.520000000000003</v>
      </c>
      <c r="I22" s="50">
        <v>8.3800000000000008</v>
      </c>
      <c r="J22" s="50">
        <v>0.56999999999999995</v>
      </c>
      <c r="K22" s="50">
        <v>60.63</v>
      </c>
      <c r="L22" s="50">
        <v>24.52</v>
      </c>
      <c r="M22" s="50">
        <v>67.7</v>
      </c>
      <c r="N22" s="50">
        <v>434.3</v>
      </c>
      <c r="O22" s="50">
        <v>0</v>
      </c>
      <c r="P22" s="50">
        <v>0.85</v>
      </c>
      <c r="Q22" s="50">
        <v>5</v>
      </c>
    </row>
    <row r="23" spans="1:17" customFormat="1">
      <c r="A23" s="55">
        <v>45312.625</v>
      </c>
      <c r="B23" s="50">
        <v>12.57</v>
      </c>
      <c r="C23" s="50">
        <v>28.27</v>
      </c>
      <c r="D23" s="50">
        <v>25.89</v>
      </c>
      <c r="E23" s="50">
        <v>8.17</v>
      </c>
      <c r="F23" s="50">
        <v>3.72</v>
      </c>
      <c r="G23" s="50">
        <v>66.489999999999995</v>
      </c>
      <c r="H23" s="50">
        <v>37.270000000000003</v>
      </c>
      <c r="I23" s="50">
        <v>8.1199999999999992</v>
      </c>
      <c r="J23" s="50">
        <v>0.47</v>
      </c>
      <c r="K23" s="50">
        <v>328.37</v>
      </c>
      <c r="L23" s="50">
        <v>24.98</v>
      </c>
      <c r="M23" s="50">
        <v>65.69</v>
      </c>
      <c r="N23" s="50">
        <v>327.5</v>
      </c>
      <c r="O23" s="50">
        <v>0</v>
      </c>
      <c r="P23" s="50">
        <v>0.84</v>
      </c>
      <c r="Q23" s="50">
        <v>4.91</v>
      </c>
    </row>
    <row r="24" spans="1:17" customFormat="1">
      <c r="A24" s="55">
        <v>45312.666666666664</v>
      </c>
      <c r="B24" s="50">
        <v>11.16</v>
      </c>
      <c r="C24" s="50">
        <v>29.18</v>
      </c>
      <c r="D24" s="50">
        <v>25.47</v>
      </c>
      <c r="E24" s="50">
        <v>8.2100000000000009</v>
      </c>
      <c r="F24" s="50">
        <v>3.57</v>
      </c>
      <c r="G24" s="50">
        <v>72.680000000000007</v>
      </c>
      <c r="H24" s="50">
        <v>39.630000000000003</v>
      </c>
      <c r="I24" s="50">
        <v>7.97</v>
      </c>
      <c r="J24" s="50">
        <v>0.42</v>
      </c>
      <c r="K24" s="50">
        <v>281.01</v>
      </c>
      <c r="L24" s="50">
        <v>24.55</v>
      </c>
      <c r="M24" s="50">
        <v>68.11</v>
      </c>
      <c r="N24" s="50">
        <v>126</v>
      </c>
      <c r="O24" s="50">
        <v>0</v>
      </c>
      <c r="P24" s="50">
        <v>0.85</v>
      </c>
      <c r="Q24" s="50">
        <v>4.88</v>
      </c>
    </row>
    <row r="25" spans="1:17" customFormat="1">
      <c r="A25" s="55">
        <v>45312.708333333336</v>
      </c>
      <c r="B25" s="50">
        <v>10.91</v>
      </c>
      <c r="C25" s="50">
        <v>29.35</v>
      </c>
      <c r="D25" s="50">
        <v>25.03</v>
      </c>
      <c r="E25" s="50">
        <v>8.4600000000000009</v>
      </c>
      <c r="F25" s="50">
        <v>3.7</v>
      </c>
      <c r="G25" s="50">
        <v>83.33</v>
      </c>
      <c r="H25" s="50">
        <v>42.96</v>
      </c>
      <c r="I25" s="50">
        <v>8</v>
      </c>
      <c r="J25" s="50">
        <v>0.39</v>
      </c>
      <c r="K25" s="50">
        <v>207.55</v>
      </c>
      <c r="L25" s="50">
        <v>24.05</v>
      </c>
      <c r="M25" s="50">
        <v>73.349999999999994</v>
      </c>
      <c r="N25" s="50">
        <v>28.2</v>
      </c>
      <c r="O25" s="50">
        <v>0</v>
      </c>
      <c r="P25" s="50">
        <v>0.87</v>
      </c>
      <c r="Q25" s="50">
        <v>4.8499999999999996</v>
      </c>
    </row>
    <row r="26" spans="1:17" customFormat="1">
      <c r="A26" s="55">
        <v>45312.75</v>
      </c>
      <c r="B26" s="50">
        <v>14.18</v>
      </c>
      <c r="C26" s="50">
        <v>22.76</v>
      </c>
      <c r="D26" s="50">
        <v>23.86</v>
      </c>
      <c r="E26" s="50">
        <v>7.05</v>
      </c>
      <c r="F26" s="50">
        <v>3.71</v>
      </c>
      <c r="G26" s="50">
        <v>85.47</v>
      </c>
      <c r="H26" s="50">
        <v>48.3</v>
      </c>
      <c r="I26" s="50">
        <v>8.1999999999999993</v>
      </c>
      <c r="J26" s="50">
        <v>1</v>
      </c>
      <c r="K26" s="50">
        <v>55.33</v>
      </c>
      <c r="L26" s="50">
        <v>23.56</v>
      </c>
      <c r="M26" s="50">
        <v>76.010000000000005</v>
      </c>
      <c r="N26" s="50">
        <v>7.4</v>
      </c>
      <c r="O26" s="50">
        <v>0</v>
      </c>
      <c r="P26" s="50">
        <v>0.9</v>
      </c>
      <c r="Q26" s="50">
        <v>4.8499999999999996</v>
      </c>
    </row>
    <row r="27" spans="1:17" customFormat="1">
      <c r="A27" s="55">
        <v>45312.791666666664</v>
      </c>
      <c r="B27" s="50">
        <v>16.239999999999998</v>
      </c>
      <c r="C27" s="50">
        <v>23.39</v>
      </c>
      <c r="D27" s="50">
        <v>26.59</v>
      </c>
      <c r="E27" s="50">
        <v>7.4</v>
      </c>
      <c r="F27" s="50">
        <v>3.55</v>
      </c>
      <c r="G27" s="50">
        <v>89.8</v>
      </c>
      <c r="H27" s="50">
        <v>48.87</v>
      </c>
      <c r="I27" s="50">
        <v>8.4700000000000006</v>
      </c>
      <c r="J27" s="50">
        <v>1.08</v>
      </c>
      <c r="K27" s="50">
        <v>50.69</v>
      </c>
      <c r="L27" s="50">
        <v>22.2</v>
      </c>
      <c r="M27" s="50">
        <v>76.459999999999994</v>
      </c>
      <c r="N27" s="50">
        <v>0</v>
      </c>
      <c r="O27" s="50">
        <v>0</v>
      </c>
      <c r="P27" s="50">
        <v>0.93</v>
      </c>
      <c r="Q27" s="50">
        <v>4.88</v>
      </c>
    </row>
    <row r="28" spans="1:17" customFormat="1">
      <c r="A28" s="55">
        <v>45312.833333333336</v>
      </c>
      <c r="B28" s="50">
        <v>19.100000000000001</v>
      </c>
      <c r="C28" s="50">
        <v>24.43</v>
      </c>
      <c r="D28" s="50">
        <v>29.43</v>
      </c>
      <c r="E28" s="50">
        <v>7.28</v>
      </c>
      <c r="F28" s="50">
        <v>3.41</v>
      </c>
      <c r="G28" s="50">
        <v>93.2</v>
      </c>
      <c r="H28" s="50">
        <v>49.64</v>
      </c>
      <c r="I28" s="50">
        <v>8.6</v>
      </c>
      <c r="J28" s="50">
        <v>0.97</v>
      </c>
      <c r="K28" s="50">
        <v>74.069999999999993</v>
      </c>
      <c r="L28" s="50">
        <v>21.06</v>
      </c>
      <c r="M28" s="50">
        <v>79.88</v>
      </c>
      <c r="N28" s="50">
        <v>0</v>
      </c>
      <c r="O28" s="50">
        <v>0</v>
      </c>
      <c r="P28" s="50">
        <v>0.95</v>
      </c>
      <c r="Q28" s="50">
        <v>4.95</v>
      </c>
    </row>
    <row r="29" spans="1:17" customFormat="1">
      <c r="A29" s="55">
        <v>45312.875</v>
      </c>
      <c r="B29" s="50">
        <v>20.72</v>
      </c>
      <c r="C29" s="50">
        <v>25.24</v>
      </c>
      <c r="D29" s="50">
        <v>30.56</v>
      </c>
      <c r="E29" s="50">
        <v>7.48</v>
      </c>
      <c r="F29" s="50">
        <v>3.4</v>
      </c>
      <c r="G29" s="50">
        <v>94.46</v>
      </c>
      <c r="H29" s="50">
        <v>49.64</v>
      </c>
      <c r="I29" s="50">
        <v>8.8000000000000007</v>
      </c>
      <c r="J29" s="50">
        <v>0.69</v>
      </c>
      <c r="K29" s="50">
        <v>94.85</v>
      </c>
      <c r="L29" s="50">
        <v>20.350000000000001</v>
      </c>
      <c r="M29" s="50">
        <v>84.08</v>
      </c>
      <c r="N29" s="50">
        <v>0</v>
      </c>
      <c r="O29" s="50">
        <v>0</v>
      </c>
      <c r="P29" s="50">
        <v>0.96</v>
      </c>
      <c r="Q29" s="50">
        <v>5.01</v>
      </c>
    </row>
    <row r="30" spans="1:17" customFormat="1">
      <c r="A30" s="55">
        <v>45312.916666666664</v>
      </c>
      <c r="B30" s="50">
        <v>21.79</v>
      </c>
      <c r="C30" s="50">
        <v>25.73</v>
      </c>
      <c r="D30" s="50">
        <v>32.21</v>
      </c>
      <c r="E30" s="50">
        <v>7.38</v>
      </c>
      <c r="F30" s="50">
        <v>3.46</v>
      </c>
      <c r="G30" s="50">
        <v>95.21</v>
      </c>
      <c r="H30" s="50">
        <v>50.05</v>
      </c>
      <c r="I30" s="50">
        <v>8.89</v>
      </c>
      <c r="J30" s="50">
        <v>0.77</v>
      </c>
      <c r="K30" s="50">
        <v>95.75</v>
      </c>
      <c r="L30" s="50">
        <v>20.239999999999998</v>
      </c>
      <c r="M30" s="50">
        <v>85.43</v>
      </c>
      <c r="N30" s="50">
        <v>0</v>
      </c>
      <c r="O30" s="50">
        <v>0</v>
      </c>
      <c r="P30" s="50">
        <v>0.96</v>
      </c>
      <c r="Q30" s="50">
        <v>5.07</v>
      </c>
    </row>
    <row r="31" spans="1:17" customFormat="1">
      <c r="A31" s="55">
        <v>45312.958333333336</v>
      </c>
      <c r="B31" s="50">
        <v>21.13</v>
      </c>
      <c r="C31" s="50">
        <v>27.12</v>
      </c>
      <c r="D31" s="50">
        <v>32.32</v>
      </c>
      <c r="E31" s="50">
        <v>7.49</v>
      </c>
      <c r="F31" s="50">
        <v>3.65</v>
      </c>
      <c r="G31" s="50">
        <v>95.21</v>
      </c>
      <c r="H31" s="50">
        <v>50.05</v>
      </c>
      <c r="I31" s="50">
        <v>8.91</v>
      </c>
      <c r="J31" s="50">
        <v>0.56000000000000005</v>
      </c>
      <c r="K31" s="50">
        <v>120.04</v>
      </c>
      <c r="L31" s="50">
        <v>20.09</v>
      </c>
      <c r="M31" s="50">
        <v>87.1</v>
      </c>
      <c r="N31" s="50">
        <v>0</v>
      </c>
      <c r="O31" s="50">
        <v>0</v>
      </c>
      <c r="P31" s="50">
        <v>0.96</v>
      </c>
      <c r="Q31" s="50">
        <v>5.0599999999999996</v>
      </c>
    </row>
    <row r="32" spans="1:17" customFormat="1">
      <c r="A32" s="55">
        <v>45313</v>
      </c>
      <c r="B32" s="50">
        <v>20.82</v>
      </c>
      <c r="C32" s="50">
        <v>28.78</v>
      </c>
      <c r="D32" s="50">
        <v>32.74</v>
      </c>
      <c r="E32" s="50">
        <v>7.73</v>
      </c>
      <c r="F32" s="50">
        <v>3.55</v>
      </c>
      <c r="G32" s="50">
        <v>91.72</v>
      </c>
      <c r="H32" s="50">
        <v>48.18</v>
      </c>
      <c r="I32" s="50">
        <v>8.85</v>
      </c>
      <c r="J32" s="50">
        <v>0.74</v>
      </c>
      <c r="K32" s="50">
        <v>208.8</v>
      </c>
      <c r="L32" s="50">
        <v>19.649999999999999</v>
      </c>
      <c r="M32" s="50">
        <v>90.3</v>
      </c>
      <c r="N32" s="50">
        <v>0</v>
      </c>
      <c r="O32" s="50">
        <v>0</v>
      </c>
      <c r="P32" s="50">
        <v>0.94</v>
      </c>
      <c r="Q32" s="50">
        <v>5.0599999999999996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10.91</v>
      </c>
      <c r="C34" s="41">
        <f t="shared" si="0"/>
        <v>22.76</v>
      </c>
      <c r="D34" s="41">
        <f t="shared" si="0"/>
        <v>23.86</v>
      </c>
      <c r="E34" s="41">
        <f t="shared" si="0"/>
        <v>6.68</v>
      </c>
      <c r="F34" s="41">
        <f t="shared" si="0"/>
        <v>3.23</v>
      </c>
      <c r="G34" s="41">
        <f t="shared" si="0"/>
        <v>66.260000000000005</v>
      </c>
      <c r="H34" s="41">
        <f t="shared" si="0"/>
        <v>37.270000000000003</v>
      </c>
      <c r="I34" s="41">
        <f t="shared" si="0"/>
        <v>7.97</v>
      </c>
      <c r="J34" s="41">
        <f t="shared" si="0"/>
        <v>0.39</v>
      </c>
      <c r="K34" s="41">
        <f t="shared" si="0"/>
        <v>46.78</v>
      </c>
      <c r="L34" s="41">
        <f t="shared" si="0"/>
        <v>16.47</v>
      </c>
      <c r="M34" s="41">
        <f t="shared" si="0"/>
        <v>65.69</v>
      </c>
      <c r="N34" s="41">
        <f t="shared" si="0"/>
        <v>0</v>
      </c>
      <c r="O34" s="41">
        <f t="shared" si="0"/>
        <v>0</v>
      </c>
      <c r="P34" s="41">
        <f t="shared" si="0"/>
        <v>0.84</v>
      </c>
      <c r="Q34" s="41">
        <f t="shared" si="0"/>
        <v>4.8499999999999996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28.41</v>
      </c>
      <c r="C35" s="33">
        <f t="shared" si="1"/>
        <v>29.35</v>
      </c>
      <c r="D35" s="33">
        <f t="shared" si="1"/>
        <v>38.08</v>
      </c>
      <c r="E35" s="33">
        <f t="shared" si="1"/>
        <v>9.89</v>
      </c>
      <c r="F35" s="33">
        <f t="shared" si="1"/>
        <v>3.72</v>
      </c>
      <c r="G35" s="33">
        <f t="shared" si="1"/>
        <v>105.32</v>
      </c>
      <c r="H35" s="33">
        <f t="shared" si="1"/>
        <v>50.05</v>
      </c>
      <c r="I35" s="33">
        <f t="shared" si="1"/>
        <v>12.01</v>
      </c>
      <c r="J35" s="33">
        <f t="shared" si="1"/>
        <v>1.22</v>
      </c>
      <c r="K35" s="33">
        <f t="shared" si="1"/>
        <v>358.6</v>
      </c>
      <c r="L35" s="33">
        <f t="shared" si="1"/>
        <v>24.98</v>
      </c>
      <c r="M35" s="33">
        <f t="shared" si="1"/>
        <v>99.53</v>
      </c>
      <c r="N35" s="33">
        <f t="shared" si="1"/>
        <v>438.1</v>
      </c>
      <c r="O35" s="33">
        <f t="shared" si="1"/>
        <v>2.6</v>
      </c>
      <c r="P35" s="33">
        <f t="shared" si="1"/>
        <v>1.2</v>
      </c>
      <c r="Q35" s="33">
        <f t="shared" si="1"/>
        <v>5.13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21.591250000000002</v>
      </c>
      <c r="C36" s="41">
        <f t="shared" si="2"/>
        <v>26.332499999999996</v>
      </c>
      <c r="D36" s="41">
        <f t="shared" si="2"/>
        <v>32.208750000000002</v>
      </c>
      <c r="E36" s="41">
        <f t="shared" si="2"/>
        <v>8.1666666666666679</v>
      </c>
      <c r="F36" s="41">
        <f t="shared" si="2"/>
        <v>3.4916666666666667</v>
      </c>
      <c r="G36" s="41">
        <f t="shared" si="2"/>
        <v>86.446250000000006</v>
      </c>
      <c r="H36" s="41">
        <f t="shared" si="2"/>
        <v>45.138749999999995</v>
      </c>
      <c r="I36" s="41">
        <f t="shared" si="2"/>
        <v>9.6195833333333312</v>
      </c>
      <c r="J36" s="41">
        <f t="shared" si="2"/>
        <v>0.75541666666666663</v>
      </c>
      <c r="K36" s="41">
        <f t="shared" si="2"/>
        <v>162.38666666666668</v>
      </c>
      <c r="L36" s="41">
        <f t="shared" si="2"/>
        <v>20.307500000000001</v>
      </c>
      <c r="M36" s="41">
        <f t="shared" si="2"/>
        <v>85.027499999999989</v>
      </c>
      <c r="N36" s="41">
        <f t="shared" si="2"/>
        <v>101.15833333333332</v>
      </c>
      <c r="O36" s="41">
        <f t="shared" si="2"/>
        <v>0.20833333333333334</v>
      </c>
      <c r="P36" s="41">
        <f t="shared" si="2"/>
        <v>0.9866666666666668</v>
      </c>
      <c r="Q36" s="41">
        <f t="shared" si="2"/>
        <v>5.0220833333333337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5.5365978507445721</v>
      </c>
      <c r="C37" s="41">
        <f t="shared" ref="C37:Q37" si="3">STDEV(C9:C32)</f>
        <v>2.0330791596899229</v>
      </c>
      <c r="D37" s="41">
        <f t="shared" si="3"/>
        <v>4.3998728366011148</v>
      </c>
      <c r="E37" s="41">
        <f t="shared" si="3"/>
        <v>0.98816767925227189</v>
      </c>
      <c r="F37" s="41">
        <f t="shared" si="3"/>
        <v>0.14805012860416963</v>
      </c>
      <c r="G37" s="41">
        <f t="shared" si="3"/>
        <v>12.505251005773179</v>
      </c>
      <c r="H37" s="41">
        <f t="shared" si="3"/>
        <v>4.2192893616569611</v>
      </c>
      <c r="I37" s="41">
        <f t="shared" si="3"/>
        <v>1.392003495643632</v>
      </c>
      <c r="J37" s="41">
        <f t="shared" si="3"/>
        <v>0.2251951649544025</v>
      </c>
      <c r="K37" s="41">
        <f t="shared" si="3"/>
        <v>117.33162173076367</v>
      </c>
      <c r="L37" s="41">
        <f t="shared" si="3"/>
        <v>2.8030189470268092</v>
      </c>
      <c r="M37" s="41">
        <f t="shared" si="3"/>
        <v>10.330271788166629</v>
      </c>
      <c r="N37" s="41">
        <f t="shared" si="3"/>
        <v>163.08339535519767</v>
      </c>
      <c r="O37" s="41">
        <f t="shared" si="3"/>
        <v>0.70644035205705291</v>
      </c>
      <c r="P37" s="41">
        <f t="shared" si="3"/>
        <v>0.11442357109961313</v>
      </c>
      <c r="Q37" s="41">
        <f t="shared" si="3"/>
        <v>8.9149564931810754E-2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45313.041666666664</v>
      </c>
      <c r="B9" s="50">
        <v>18.260000000000002</v>
      </c>
      <c r="C9" s="50">
        <v>28.82</v>
      </c>
      <c r="D9" s="50">
        <v>31.03</v>
      </c>
      <c r="E9" s="50">
        <v>7.56</v>
      </c>
      <c r="F9" s="50">
        <v>3.23</v>
      </c>
      <c r="G9" s="50">
        <v>87.35</v>
      </c>
      <c r="H9" s="50">
        <v>47.6</v>
      </c>
      <c r="I9" s="50">
        <v>8.66</v>
      </c>
      <c r="J9" s="50">
        <v>0.7</v>
      </c>
      <c r="K9" s="50">
        <v>79.900000000000006</v>
      </c>
      <c r="L9" s="50">
        <v>18.989999999999998</v>
      </c>
      <c r="M9" s="50">
        <v>91.57</v>
      </c>
      <c r="N9" s="50">
        <v>0</v>
      </c>
      <c r="O9" s="50">
        <v>0</v>
      </c>
      <c r="P9" s="50">
        <v>0.9</v>
      </c>
      <c r="Q9" s="50">
        <v>5.01</v>
      </c>
    </row>
    <row r="10" spans="1:21" customFormat="1">
      <c r="A10" s="55">
        <v>45313.083333333336</v>
      </c>
      <c r="B10" s="50">
        <v>17.12</v>
      </c>
      <c r="C10" s="50">
        <v>28.66</v>
      </c>
      <c r="D10" s="50">
        <v>30.06</v>
      </c>
      <c r="E10" s="50">
        <v>8.06</v>
      </c>
      <c r="F10" s="50">
        <v>3.29</v>
      </c>
      <c r="G10" s="50">
        <v>83.82</v>
      </c>
      <c r="H10" s="50">
        <v>45.16</v>
      </c>
      <c r="I10" s="50">
        <v>8.4600000000000009</v>
      </c>
      <c r="J10" s="50">
        <v>1.04</v>
      </c>
      <c r="K10" s="50">
        <v>61.89</v>
      </c>
      <c r="L10" s="50">
        <v>18.489999999999998</v>
      </c>
      <c r="M10" s="50">
        <v>93.78</v>
      </c>
      <c r="N10" s="50">
        <v>0</v>
      </c>
      <c r="O10" s="50">
        <v>0</v>
      </c>
      <c r="P10" s="50">
        <v>0.87</v>
      </c>
      <c r="Q10" s="50">
        <v>5</v>
      </c>
    </row>
    <row r="11" spans="1:21" customFormat="1">
      <c r="A11" s="55">
        <v>45313.125</v>
      </c>
      <c r="B11" s="50">
        <v>16.78</v>
      </c>
      <c r="C11" s="50">
        <v>29.18</v>
      </c>
      <c r="D11" s="50">
        <v>29.84</v>
      </c>
      <c r="E11" s="50">
        <v>7.77</v>
      </c>
      <c r="F11" s="50">
        <v>3.67</v>
      </c>
      <c r="G11" s="50">
        <v>80.319999999999993</v>
      </c>
      <c r="H11" s="50">
        <v>45.16</v>
      </c>
      <c r="I11" s="50">
        <v>8.14</v>
      </c>
      <c r="J11" s="50">
        <v>1.1200000000000001</v>
      </c>
      <c r="K11" s="50">
        <v>52.89</v>
      </c>
      <c r="L11" s="50">
        <v>17.809999999999999</v>
      </c>
      <c r="M11" s="50">
        <v>91.86</v>
      </c>
      <c r="N11" s="50">
        <v>0</v>
      </c>
      <c r="O11" s="50">
        <v>0</v>
      </c>
      <c r="P11" s="50">
        <v>0.85</v>
      </c>
      <c r="Q11" s="50">
        <v>4.97</v>
      </c>
    </row>
    <row r="12" spans="1:21" customFormat="1">
      <c r="A12" s="55">
        <v>45313.166666666664</v>
      </c>
      <c r="B12" s="50">
        <v>17.84</v>
      </c>
      <c r="C12" s="50">
        <v>23.3</v>
      </c>
      <c r="D12" s="50">
        <v>27.83</v>
      </c>
      <c r="E12" s="50">
        <v>6.72</v>
      </c>
      <c r="F12" s="50">
        <v>3.51</v>
      </c>
      <c r="G12" s="50">
        <v>80.319999999999993</v>
      </c>
      <c r="H12" s="50">
        <v>41.61</v>
      </c>
      <c r="I12" s="50">
        <v>7.87</v>
      </c>
      <c r="J12" s="50">
        <v>0.86</v>
      </c>
      <c r="K12" s="50">
        <v>46.19</v>
      </c>
      <c r="L12" s="50">
        <v>17.04</v>
      </c>
      <c r="M12" s="50">
        <v>81.400000000000006</v>
      </c>
      <c r="N12" s="50">
        <v>0</v>
      </c>
      <c r="O12" s="50">
        <v>0</v>
      </c>
      <c r="P12" s="50">
        <v>0.8</v>
      </c>
      <c r="Q12" s="50">
        <v>4.95</v>
      </c>
    </row>
    <row r="13" spans="1:21" customFormat="1">
      <c r="A13" s="55">
        <v>45313.208333333336</v>
      </c>
      <c r="B13" s="50">
        <v>17.850000000000001</v>
      </c>
      <c r="C13" s="50">
        <v>23.3</v>
      </c>
      <c r="D13" s="50">
        <v>27.84</v>
      </c>
      <c r="E13" s="50">
        <v>6.69</v>
      </c>
      <c r="F13" s="50">
        <v>3.47</v>
      </c>
      <c r="G13" s="50">
        <v>75.06</v>
      </c>
      <c r="H13" s="50">
        <v>41.15</v>
      </c>
      <c r="I13" s="50">
        <v>7.61</v>
      </c>
      <c r="J13" s="50">
        <v>1.06</v>
      </c>
      <c r="K13" s="50">
        <v>51.06</v>
      </c>
      <c r="L13" s="50">
        <v>16.28</v>
      </c>
      <c r="M13" s="50">
        <v>70.8</v>
      </c>
      <c r="N13" s="50">
        <v>0</v>
      </c>
      <c r="O13" s="50">
        <v>0</v>
      </c>
      <c r="P13" s="50">
        <v>0.77</v>
      </c>
      <c r="Q13" s="50">
        <v>4.96</v>
      </c>
    </row>
    <row r="14" spans="1:21" customFormat="1">
      <c r="A14" s="55">
        <v>45313.25</v>
      </c>
      <c r="B14" s="50">
        <v>17.170000000000002</v>
      </c>
      <c r="C14" s="50">
        <v>23.37</v>
      </c>
      <c r="D14" s="50">
        <v>27.18</v>
      </c>
      <c r="E14" s="50">
        <v>6.43</v>
      </c>
      <c r="F14" s="50">
        <v>3.34</v>
      </c>
      <c r="G14" s="50">
        <v>71.44</v>
      </c>
      <c r="H14" s="50">
        <v>37.71</v>
      </c>
      <c r="I14" s="50">
        <v>7.32</v>
      </c>
      <c r="J14" s="50">
        <v>1.05</v>
      </c>
      <c r="K14" s="50">
        <v>62.66</v>
      </c>
      <c r="L14" s="50">
        <v>15.43</v>
      </c>
      <c r="M14" s="50">
        <v>66.3</v>
      </c>
      <c r="N14" s="50">
        <v>0</v>
      </c>
      <c r="O14" s="50">
        <v>0</v>
      </c>
      <c r="P14" s="50">
        <v>0.72</v>
      </c>
      <c r="Q14" s="50">
        <v>4.96</v>
      </c>
    </row>
    <row r="15" spans="1:21" customFormat="1">
      <c r="A15" s="55">
        <v>45313.291666666664</v>
      </c>
      <c r="B15" s="50">
        <v>19.850000000000001</v>
      </c>
      <c r="C15" s="50">
        <v>24.22</v>
      </c>
      <c r="D15" s="50">
        <v>29.92</v>
      </c>
      <c r="E15" s="50">
        <v>6.62</v>
      </c>
      <c r="F15" s="50">
        <v>3.46</v>
      </c>
      <c r="G15" s="50">
        <v>68.959999999999994</v>
      </c>
      <c r="H15" s="50">
        <v>32.799999999999997</v>
      </c>
      <c r="I15" s="50">
        <v>6.88</v>
      </c>
      <c r="J15" s="50">
        <v>0.81</v>
      </c>
      <c r="K15" s="50">
        <v>50.96</v>
      </c>
      <c r="L15" s="50">
        <v>15.08</v>
      </c>
      <c r="M15" s="50">
        <v>68.36</v>
      </c>
      <c r="N15" s="50">
        <v>5.3</v>
      </c>
      <c r="O15" s="50">
        <v>0</v>
      </c>
      <c r="P15" s="50">
        <v>0.66</v>
      </c>
      <c r="Q15" s="50">
        <v>5.03</v>
      </c>
    </row>
    <row r="16" spans="1:21" customFormat="1">
      <c r="A16" s="55">
        <v>45313.333333333336</v>
      </c>
      <c r="B16" s="50">
        <v>20.47</v>
      </c>
      <c r="C16" s="50">
        <v>25.72</v>
      </c>
      <c r="D16" s="50">
        <v>31.16</v>
      </c>
      <c r="E16" s="50">
        <v>6.69</v>
      </c>
      <c r="F16" s="50">
        <v>3.43</v>
      </c>
      <c r="G16" s="50">
        <v>61.63</v>
      </c>
      <c r="H16" s="50">
        <v>26.33</v>
      </c>
      <c r="I16" s="50">
        <v>6.74</v>
      </c>
      <c r="J16" s="50">
        <v>0.98</v>
      </c>
      <c r="K16" s="50">
        <v>70.400000000000006</v>
      </c>
      <c r="L16" s="50">
        <v>15.73</v>
      </c>
      <c r="M16" s="50">
        <v>67.64</v>
      </c>
      <c r="N16" s="50">
        <v>67.5</v>
      </c>
      <c r="O16" s="50">
        <v>0</v>
      </c>
      <c r="P16" s="50">
        <v>0.64</v>
      </c>
      <c r="Q16" s="50">
        <v>5.07</v>
      </c>
    </row>
    <row r="17" spans="1:17" customFormat="1">
      <c r="A17" s="55">
        <v>45313.375</v>
      </c>
      <c r="B17" s="50">
        <v>20.18</v>
      </c>
      <c r="C17" s="50">
        <v>26.17</v>
      </c>
      <c r="D17" s="50">
        <v>31.03</v>
      </c>
      <c r="E17" s="50">
        <v>6.65</v>
      </c>
      <c r="F17" s="50">
        <v>3.42</v>
      </c>
      <c r="G17" s="50">
        <v>63.91</v>
      </c>
      <c r="H17" s="50">
        <v>27.62</v>
      </c>
      <c r="I17" s="50">
        <v>6.99</v>
      </c>
      <c r="J17" s="50">
        <v>0.95</v>
      </c>
      <c r="K17" s="50">
        <v>81.11</v>
      </c>
      <c r="L17" s="50">
        <v>17.32</v>
      </c>
      <c r="M17" s="50">
        <v>73.540000000000006</v>
      </c>
      <c r="N17" s="50">
        <v>144.69999999999999</v>
      </c>
      <c r="O17" s="50">
        <v>0</v>
      </c>
      <c r="P17" s="50">
        <v>0.66</v>
      </c>
      <c r="Q17" s="50">
        <v>5.07</v>
      </c>
    </row>
    <row r="18" spans="1:17" customFormat="1">
      <c r="A18" s="55">
        <v>45313.416666666664</v>
      </c>
      <c r="B18" s="50">
        <v>18.72</v>
      </c>
      <c r="C18" s="50">
        <v>26.19</v>
      </c>
      <c r="D18" s="50">
        <v>29.89</v>
      </c>
      <c r="E18" s="50">
        <v>7.81</v>
      </c>
      <c r="F18" s="50">
        <v>3.45</v>
      </c>
      <c r="G18" s="50">
        <v>85.93</v>
      </c>
      <c r="H18" s="50">
        <v>30.92</v>
      </c>
      <c r="I18" s="50">
        <v>7.16</v>
      </c>
      <c r="J18" s="50">
        <v>0.92</v>
      </c>
      <c r="K18" s="50">
        <v>95.99</v>
      </c>
      <c r="L18" s="50">
        <v>19.98</v>
      </c>
      <c r="M18" s="50">
        <v>75.22</v>
      </c>
      <c r="N18" s="50">
        <v>230.9</v>
      </c>
      <c r="O18" s="50">
        <v>0</v>
      </c>
      <c r="P18" s="50">
        <v>0.7</v>
      </c>
      <c r="Q18" s="50">
        <v>5.07</v>
      </c>
    </row>
    <row r="19" spans="1:17" customFormat="1">
      <c r="A19" s="55">
        <v>45313.458333333336</v>
      </c>
      <c r="B19" s="50">
        <v>16.91</v>
      </c>
      <c r="C19" s="50">
        <v>26.42</v>
      </c>
      <c r="D19" s="50">
        <v>28.52</v>
      </c>
      <c r="E19" s="50">
        <v>8.64</v>
      </c>
      <c r="F19" s="50">
        <v>3.68</v>
      </c>
      <c r="G19" s="50">
        <v>85.93</v>
      </c>
      <c r="H19" s="50">
        <v>32.69</v>
      </c>
      <c r="I19" s="50">
        <v>7.26</v>
      </c>
      <c r="J19" s="50">
        <v>0.99</v>
      </c>
      <c r="K19" s="50">
        <v>84.04</v>
      </c>
      <c r="L19" s="50">
        <v>22.09</v>
      </c>
      <c r="M19" s="50">
        <v>72.739999999999995</v>
      </c>
      <c r="N19" s="50">
        <v>414.6</v>
      </c>
      <c r="O19" s="50">
        <v>0</v>
      </c>
      <c r="P19" s="50">
        <v>0.73</v>
      </c>
      <c r="Q19" s="50">
        <v>5.04</v>
      </c>
    </row>
    <row r="20" spans="1:17" customFormat="1">
      <c r="A20" s="55">
        <v>45313.5</v>
      </c>
      <c r="B20" s="50">
        <v>12.79</v>
      </c>
      <c r="C20" s="50">
        <v>26.67</v>
      </c>
      <c r="D20" s="50">
        <v>25.35</v>
      </c>
      <c r="E20" s="50">
        <v>8.68</v>
      </c>
      <c r="F20" s="50">
        <v>3.71</v>
      </c>
      <c r="G20" s="50">
        <v>82.85</v>
      </c>
      <c r="H20" s="50">
        <v>33.47</v>
      </c>
      <c r="I20" s="50">
        <v>7.27</v>
      </c>
      <c r="J20" s="50">
        <v>1.1000000000000001</v>
      </c>
      <c r="K20" s="50">
        <v>78.28</v>
      </c>
      <c r="L20" s="50">
        <v>23.67</v>
      </c>
      <c r="M20" s="50">
        <v>70.040000000000006</v>
      </c>
      <c r="N20" s="50">
        <v>402.7</v>
      </c>
      <c r="O20" s="50">
        <v>0</v>
      </c>
      <c r="P20" s="50">
        <v>0.75</v>
      </c>
      <c r="Q20" s="50">
        <v>4.9800000000000004</v>
      </c>
    </row>
    <row r="21" spans="1:17" customFormat="1">
      <c r="A21" s="55">
        <v>45313.541666666664</v>
      </c>
      <c r="B21" s="50">
        <v>9.1</v>
      </c>
      <c r="C21" s="50">
        <v>26.12</v>
      </c>
      <c r="D21" s="50">
        <v>22.3</v>
      </c>
      <c r="E21" s="50">
        <v>8.64</v>
      </c>
      <c r="F21" s="50">
        <v>3.98</v>
      </c>
      <c r="G21" s="50">
        <v>71.55</v>
      </c>
      <c r="H21" s="50">
        <v>33.47</v>
      </c>
      <c r="I21" s="50">
        <v>7.25</v>
      </c>
      <c r="J21" s="50">
        <v>1.07</v>
      </c>
      <c r="K21" s="50">
        <v>88.44</v>
      </c>
      <c r="L21" s="50">
        <v>24.64</v>
      </c>
      <c r="M21" s="50">
        <v>66.61</v>
      </c>
      <c r="N21" s="50">
        <v>430.4</v>
      </c>
      <c r="O21" s="50">
        <v>0</v>
      </c>
      <c r="P21" s="50">
        <v>0.77</v>
      </c>
      <c r="Q21" s="50">
        <v>4.93</v>
      </c>
    </row>
    <row r="22" spans="1:17" customFormat="1">
      <c r="A22" s="55">
        <v>45313.583333333336</v>
      </c>
      <c r="B22" s="50">
        <v>7.36</v>
      </c>
      <c r="C22" s="50">
        <v>20.16</v>
      </c>
      <c r="D22" s="50">
        <v>17.79</v>
      </c>
      <c r="E22" s="50">
        <v>7.5</v>
      </c>
      <c r="F22" s="50">
        <v>3.99</v>
      </c>
      <c r="G22" s="50">
        <v>70.010000000000005</v>
      </c>
      <c r="H22" s="50">
        <v>32.6</v>
      </c>
      <c r="I22" s="50">
        <v>7.2</v>
      </c>
      <c r="J22" s="50">
        <v>0.71</v>
      </c>
      <c r="K22" s="50">
        <v>83.08</v>
      </c>
      <c r="L22" s="50">
        <v>25.2</v>
      </c>
      <c r="M22" s="50">
        <v>62.9</v>
      </c>
      <c r="N22" s="50">
        <v>413.5</v>
      </c>
      <c r="O22" s="50">
        <v>0</v>
      </c>
      <c r="P22" s="50">
        <v>0.76</v>
      </c>
      <c r="Q22" s="50">
        <v>4.88</v>
      </c>
    </row>
    <row r="23" spans="1:17" customFormat="1">
      <c r="A23" s="55">
        <v>45313.625</v>
      </c>
      <c r="B23" s="50">
        <v>6.5</v>
      </c>
      <c r="C23" s="50">
        <v>17.53</v>
      </c>
      <c r="D23" s="50">
        <v>15.72</v>
      </c>
      <c r="E23" s="50">
        <v>7.44</v>
      </c>
      <c r="F23" s="50">
        <v>4</v>
      </c>
      <c r="G23" s="50">
        <v>63.19</v>
      </c>
      <c r="H23" s="50">
        <v>35.11</v>
      </c>
      <c r="I23" s="50">
        <v>7.1</v>
      </c>
      <c r="J23" s="50">
        <v>0.62</v>
      </c>
      <c r="K23" s="50">
        <v>122.47</v>
      </c>
      <c r="L23" s="50">
        <v>25.47</v>
      </c>
      <c r="M23" s="50">
        <v>59.57</v>
      </c>
      <c r="N23" s="50">
        <v>289.2</v>
      </c>
      <c r="O23" s="50">
        <v>0</v>
      </c>
      <c r="P23" s="50">
        <v>0.74</v>
      </c>
      <c r="Q23" s="50">
        <v>4.87</v>
      </c>
    </row>
    <row r="24" spans="1:17" customFormat="1">
      <c r="A24" s="55">
        <v>45313.666666666664</v>
      </c>
      <c r="B24" s="50">
        <v>5.61</v>
      </c>
      <c r="C24" s="50">
        <v>16.739999999999998</v>
      </c>
      <c r="D24" s="50">
        <v>14.54</v>
      </c>
      <c r="E24" s="50">
        <v>7.09</v>
      </c>
      <c r="F24" s="50">
        <v>4.08</v>
      </c>
      <c r="G24" s="50">
        <v>63.19</v>
      </c>
      <c r="H24" s="50">
        <v>35.11</v>
      </c>
      <c r="I24" s="50">
        <v>6.96</v>
      </c>
      <c r="J24" s="50">
        <v>0.38</v>
      </c>
      <c r="K24" s="50">
        <v>149.05000000000001</v>
      </c>
      <c r="L24" s="50">
        <v>25.42</v>
      </c>
      <c r="M24" s="50">
        <v>59.57</v>
      </c>
      <c r="N24" s="50">
        <v>159.19999999999999</v>
      </c>
      <c r="O24" s="50">
        <v>0</v>
      </c>
      <c r="P24" s="50">
        <v>0.73</v>
      </c>
      <c r="Q24" s="50">
        <v>4.93</v>
      </c>
    </row>
    <row r="25" spans="1:17" customFormat="1">
      <c r="A25" s="55">
        <v>45313.708333333336</v>
      </c>
      <c r="B25" s="50">
        <v>5.83</v>
      </c>
      <c r="C25" s="50">
        <v>16.82</v>
      </c>
      <c r="D25" s="50">
        <v>14.81</v>
      </c>
      <c r="E25" s="50">
        <v>7.19</v>
      </c>
      <c r="F25" s="50">
        <v>3.84</v>
      </c>
      <c r="G25" s="50">
        <v>61.36</v>
      </c>
      <c r="H25" s="50">
        <v>33.79</v>
      </c>
      <c r="I25" s="50">
        <v>6.89</v>
      </c>
      <c r="J25" s="50">
        <v>0.53</v>
      </c>
      <c r="K25" s="50">
        <v>81.31</v>
      </c>
      <c r="L25" s="50">
        <v>24.93</v>
      </c>
      <c r="M25" s="50">
        <v>62.1</v>
      </c>
      <c r="N25" s="50">
        <v>75.599999999999994</v>
      </c>
      <c r="O25" s="50">
        <v>0</v>
      </c>
      <c r="P25" s="50">
        <v>0.75</v>
      </c>
      <c r="Q25" s="50">
        <v>4.87</v>
      </c>
    </row>
    <row r="26" spans="1:17" customFormat="1">
      <c r="A26" s="55">
        <v>45313.75</v>
      </c>
      <c r="B26" s="50">
        <v>5.66</v>
      </c>
      <c r="C26" s="50">
        <v>20.100000000000001</v>
      </c>
      <c r="D26" s="50">
        <v>16.3</v>
      </c>
      <c r="E26" s="50">
        <v>7.89</v>
      </c>
      <c r="F26" s="50">
        <v>4.03</v>
      </c>
      <c r="G26" s="50">
        <v>61.36</v>
      </c>
      <c r="H26" s="50">
        <v>34.14</v>
      </c>
      <c r="I26" s="50">
        <v>6.81</v>
      </c>
      <c r="J26" s="50">
        <v>0.56000000000000005</v>
      </c>
      <c r="K26" s="50">
        <v>87.5</v>
      </c>
      <c r="L26" s="50">
        <v>24.19</v>
      </c>
      <c r="M26" s="50">
        <v>67.92</v>
      </c>
      <c r="N26" s="50">
        <v>9.4</v>
      </c>
      <c r="O26" s="50">
        <v>0</v>
      </c>
      <c r="P26" s="50">
        <v>0.77</v>
      </c>
      <c r="Q26" s="50">
        <v>4.87</v>
      </c>
    </row>
    <row r="27" spans="1:17" customFormat="1">
      <c r="A27" s="55">
        <v>45313.791666666664</v>
      </c>
      <c r="B27" s="50">
        <v>6.8</v>
      </c>
      <c r="C27" s="50">
        <v>23.73</v>
      </c>
      <c r="D27" s="50">
        <v>19.21</v>
      </c>
      <c r="E27" s="50">
        <v>7.39</v>
      </c>
      <c r="F27" s="50">
        <v>3.59</v>
      </c>
      <c r="G27" s="50">
        <v>70.86</v>
      </c>
      <c r="H27" s="50">
        <v>38.08</v>
      </c>
      <c r="I27" s="50">
        <v>7.15</v>
      </c>
      <c r="J27" s="50">
        <v>0.71</v>
      </c>
      <c r="K27" s="50">
        <v>172.64</v>
      </c>
      <c r="L27" s="50">
        <v>22.66</v>
      </c>
      <c r="M27" s="50">
        <v>74.569999999999993</v>
      </c>
      <c r="N27" s="50">
        <v>0</v>
      </c>
      <c r="O27" s="50">
        <v>0</v>
      </c>
      <c r="P27" s="50">
        <v>0.85</v>
      </c>
      <c r="Q27" s="50">
        <v>4.88</v>
      </c>
    </row>
    <row r="28" spans="1:17" customFormat="1">
      <c r="A28" s="55">
        <v>45313.833333333336</v>
      </c>
      <c r="B28" s="50">
        <v>8.01</v>
      </c>
      <c r="C28" s="50">
        <v>26.26</v>
      </c>
      <c r="D28" s="50">
        <v>21.49</v>
      </c>
      <c r="E28" s="50">
        <v>7.4</v>
      </c>
      <c r="F28" s="50">
        <v>3.39</v>
      </c>
      <c r="G28" s="50">
        <v>83.51</v>
      </c>
      <c r="H28" s="50">
        <v>41.76</v>
      </c>
      <c r="I28" s="50">
        <v>7.72</v>
      </c>
      <c r="J28" s="50">
        <v>0.6</v>
      </c>
      <c r="K28" s="50">
        <v>73.95</v>
      </c>
      <c r="L28" s="50">
        <v>22.24</v>
      </c>
      <c r="M28" s="50">
        <v>69.87</v>
      </c>
      <c r="N28" s="50">
        <v>0</v>
      </c>
      <c r="O28" s="50">
        <v>0</v>
      </c>
      <c r="P28" s="50">
        <v>0.9</v>
      </c>
      <c r="Q28" s="50">
        <v>4.87</v>
      </c>
    </row>
    <row r="29" spans="1:17" customFormat="1">
      <c r="A29" s="55">
        <v>45313.875</v>
      </c>
      <c r="B29" s="50">
        <v>9.14</v>
      </c>
      <c r="C29" s="50">
        <v>27.64</v>
      </c>
      <c r="D29" s="50">
        <v>23.12</v>
      </c>
      <c r="E29" s="50">
        <v>7.37</v>
      </c>
      <c r="F29" s="50">
        <v>3.53</v>
      </c>
      <c r="G29" s="50">
        <v>106.28</v>
      </c>
      <c r="H29" s="50">
        <v>51.16</v>
      </c>
      <c r="I29" s="50">
        <v>8.25</v>
      </c>
      <c r="J29" s="50">
        <v>0.81</v>
      </c>
      <c r="K29" s="50">
        <v>78.3</v>
      </c>
      <c r="L29" s="50">
        <v>21.79</v>
      </c>
      <c r="M29" s="50">
        <v>69.430000000000007</v>
      </c>
      <c r="N29" s="50">
        <v>0</v>
      </c>
      <c r="O29" s="50">
        <v>0</v>
      </c>
      <c r="P29" s="50">
        <v>0.94</v>
      </c>
      <c r="Q29" s="50">
        <v>4.88</v>
      </c>
    </row>
    <row r="30" spans="1:17" customFormat="1">
      <c r="A30" s="55">
        <v>45313.916666666664</v>
      </c>
      <c r="B30" s="50">
        <v>8.3000000000000007</v>
      </c>
      <c r="C30" s="50">
        <v>27.75</v>
      </c>
      <c r="D30" s="50">
        <v>22.28</v>
      </c>
      <c r="E30" s="50">
        <v>7.88</v>
      </c>
      <c r="F30" s="50">
        <v>3.63</v>
      </c>
      <c r="G30" s="50">
        <v>106.28</v>
      </c>
      <c r="H30" s="50">
        <v>51.16</v>
      </c>
      <c r="I30" s="50">
        <v>8.3699999999999992</v>
      </c>
      <c r="J30" s="50">
        <v>0.71</v>
      </c>
      <c r="K30" s="50">
        <v>75.45</v>
      </c>
      <c r="L30" s="50">
        <v>21.42</v>
      </c>
      <c r="M30" s="50">
        <v>69.42</v>
      </c>
      <c r="N30" s="50">
        <v>0</v>
      </c>
      <c r="O30" s="50">
        <v>0</v>
      </c>
      <c r="P30" s="50">
        <v>0.94</v>
      </c>
      <c r="Q30" s="50">
        <v>4.8099999999999996</v>
      </c>
    </row>
    <row r="31" spans="1:17" customFormat="1">
      <c r="A31" s="55">
        <v>45313.958333333336</v>
      </c>
      <c r="B31" s="50">
        <v>7.72</v>
      </c>
      <c r="C31" s="50">
        <v>27.16</v>
      </c>
      <c r="D31" s="50">
        <v>21.34</v>
      </c>
      <c r="E31" s="50">
        <v>7.28</v>
      </c>
      <c r="F31" s="50">
        <v>3.81</v>
      </c>
      <c r="G31" s="50">
        <v>93.96</v>
      </c>
      <c r="H31" s="50">
        <v>49.79</v>
      </c>
      <c r="I31" s="50">
        <v>8.4499999999999993</v>
      </c>
      <c r="J31" s="50">
        <v>0.92</v>
      </c>
      <c r="K31" s="50">
        <v>65.73</v>
      </c>
      <c r="L31" s="50">
        <v>21.17</v>
      </c>
      <c r="M31" s="50">
        <v>70.73</v>
      </c>
      <c r="N31" s="50">
        <v>0</v>
      </c>
      <c r="O31" s="50">
        <v>0</v>
      </c>
      <c r="P31" s="50">
        <v>0.94</v>
      </c>
      <c r="Q31" s="50">
        <v>4.8099999999999996</v>
      </c>
    </row>
    <row r="32" spans="1:17" customFormat="1">
      <c r="A32" s="55">
        <v>45314</v>
      </c>
      <c r="B32" s="50">
        <v>8.7200000000000006</v>
      </c>
      <c r="C32" s="50">
        <v>24.03</v>
      </c>
      <c r="D32" s="50">
        <v>20.9</v>
      </c>
      <c r="E32" s="50">
        <v>6.74</v>
      </c>
      <c r="F32" s="50">
        <v>3.54</v>
      </c>
      <c r="G32" s="50">
        <v>85.54</v>
      </c>
      <c r="H32" s="50">
        <v>49.17</v>
      </c>
      <c r="I32" s="50">
        <v>8.32</v>
      </c>
      <c r="J32" s="50">
        <v>0.54</v>
      </c>
      <c r="K32" s="50">
        <v>170.5</v>
      </c>
      <c r="L32" s="50">
        <v>20.86</v>
      </c>
      <c r="M32" s="50">
        <v>76.36</v>
      </c>
      <c r="N32" s="50">
        <v>0</v>
      </c>
      <c r="O32" s="50">
        <v>0</v>
      </c>
      <c r="P32" s="50">
        <v>0.9</v>
      </c>
      <c r="Q32" s="50">
        <v>4.82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5.61</v>
      </c>
      <c r="C34" s="41">
        <f t="shared" si="0"/>
        <v>16.739999999999998</v>
      </c>
      <c r="D34" s="41">
        <f t="shared" si="0"/>
        <v>14.54</v>
      </c>
      <c r="E34" s="41">
        <f t="shared" si="0"/>
        <v>6.43</v>
      </c>
      <c r="F34" s="41">
        <f t="shared" si="0"/>
        <v>3.23</v>
      </c>
      <c r="G34" s="41">
        <f t="shared" si="0"/>
        <v>61.36</v>
      </c>
      <c r="H34" s="41">
        <f t="shared" si="0"/>
        <v>26.33</v>
      </c>
      <c r="I34" s="41">
        <f t="shared" si="0"/>
        <v>6.74</v>
      </c>
      <c r="J34" s="41">
        <f t="shared" si="0"/>
        <v>0.38</v>
      </c>
      <c r="K34" s="41">
        <f t="shared" si="0"/>
        <v>46.19</v>
      </c>
      <c r="L34" s="41">
        <f t="shared" si="0"/>
        <v>15.08</v>
      </c>
      <c r="M34" s="41">
        <f t="shared" si="0"/>
        <v>59.57</v>
      </c>
      <c r="N34" s="41">
        <f t="shared" si="0"/>
        <v>0</v>
      </c>
      <c r="O34" s="41">
        <f t="shared" si="0"/>
        <v>0</v>
      </c>
      <c r="P34" s="41">
        <f t="shared" si="0"/>
        <v>0.64</v>
      </c>
      <c r="Q34" s="41">
        <f t="shared" si="0"/>
        <v>4.8099999999999996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20.47</v>
      </c>
      <c r="C35" s="33">
        <f t="shared" si="1"/>
        <v>29.18</v>
      </c>
      <c r="D35" s="33">
        <f t="shared" si="1"/>
        <v>31.16</v>
      </c>
      <c r="E35" s="33">
        <f t="shared" si="1"/>
        <v>8.68</v>
      </c>
      <c r="F35" s="33">
        <f t="shared" si="1"/>
        <v>4.08</v>
      </c>
      <c r="G35" s="33">
        <f t="shared" si="1"/>
        <v>106.28</v>
      </c>
      <c r="H35" s="33">
        <f t="shared" si="1"/>
        <v>51.16</v>
      </c>
      <c r="I35" s="33">
        <f t="shared" si="1"/>
        <v>8.66</v>
      </c>
      <c r="J35" s="33">
        <f t="shared" si="1"/>
        <v>1.1200000000000001</v>
      </c>
      <c r="K35" s="33">
        <f t="shared" si="1"/>
        <v>172.64</v>
      </c>
      <c r="L35" s="33">
        <f t="shared" si="1"/>
        <v>25.47</v>
      </c>
      <c r="M35" s="33">
        <f t="shared" si="1"/>
        <v>93.78</v>
      </c>
      <c r="N35" s="33">
        <f t="shared" si="1"/>
        <v>430.4</v>
      </c>
      <c r="O35" s="33">
        <f t="shared" si="1"/>
        <v>0</v>
      </c>
      <c r="P35" s="33">
        <f t="shared" si="1"/>
        <v>0.94</v>
      </c>
      <c r="Q35" s="33">
        <f t="shared" si="1"/>
        <v>5.07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12.612083333333336</v>
      </c>
      <c r="C36" s="41">
        <f t="shared" si="2"/>
        <v>24.419166666666669</v>
      </c>
      <c r="D36" s="41">
        <f t="shared" si="2"/>
        <v>24.143750000000001</v>
      </c>
      <c r="E36" s="41">
        <f t="shared" si="2"/>
        <v>7.4220833333333331</v>
      </c>
      <c r="F36" s="41">
        <f t="shared" si="2"/>
        <v>3.6279166666666671</v>
      </c>
      <c r="G36" s="41">
        <f t="shared" si="2"/>
        <v>77.692083333333329</v>
      </c>
      <c r="H36" s="41">
        <f t="shared" si="2"/>
        <v>38.648333333333333</v>
      </c>
      <c r="I36" s="41">
        <f t="shared" si="2"/>
        <v>7.534583333333333</v>
      </c>
      <c r="J36" s="41">
        <f t="shared" si="2"/>
        <v>0.82250000000000012</v>
      </c>
      <c r="K36" s="41">
        <f t="shared" si="2"/>
        <v>85.991249999999994</v>
      </c>
      <c r="L36" s="41">
        <f t="shared" si="2"/>
        <v>20.745833333333334</v>
      </c>
      <c r="M36" s="41">
        <f t="shared" si="2"/>
        <v>72.17916666666666</v>
      </c>
      <c r="N36" s="41">
        <f t="shared" si="2"/>
        <v>110.12499999999999</v>
      </c>
      <c r="O36" s="41">
        <f t="shared" si="2"/>
        <v>0</v>
      </c>
      <c r="P36" s="41">
        <f t="shared" si="2"/>
        <v>0.79333333333333333</v>
      </c>
      <c r="Q36" s="41">
        <f t="shared" si="2"/>
        <v>4.9387499999999998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5.5859878883153478</v>
      </c>
      <c r="C37" s="41">
        <f t="shared" ref="C37:Q37" si="3">STDEV(C9:C32)</f>
        <v>3.7153476245183978</v>
      </c>
      <c r="D37" s="41">
        <f t="shared" si="3"/>
        <v>5.6908460534746315</v>
      </c>
      <c r="E37" s="41">
        <f t="shared" si="3"/>
        <v>0.66344934714858617</v>
      </c>
      <c r="F37" s="41">
        <f t="shared" si="3"/>
        <v>0.25201758335250413</v>
      </c>
      <c r="G37" s="41">
        <f t="shared" si="3"/>
        <v>13.136911151463657</v>
      </c>
      <c r="H37" s="41">
        <f t="shared" si="3"/>
        <v>7.5202784792717114</v>
      </c>
      <c r="I37" s="41">
        <f t="shared" si="3"/>
        <v>0.61838484687174256</v>
      </c>
      <c r="J37" s="41">
        <f t="shared" si="3"/>
        <v>0.213220645056384</v>
      </c>
      <c r="K37" s="41">
        <f t="shared" si="3"/>
        <v>34.541077286452655</v>
      </c>
      <c r="L37" s="41">
        <f t="shared" si="3"/>
        <v>3.4568142114891773</v>
      </c>
      <c r="M37" s="41">
        <f t="shared" si="3"/>
        <v>9.3325861631573233</v>
      </c>
      <c r="N37" s="41">
        <f t="shared" si="3"/>
        <v>160.54915609164422</v>
      </c>
      <c r="O37" s="41">
        <f t="shared" si="3"/>
        <v>0</v>
      </c>
      <c r="P37" s="41">
        <f t="shared" si="3"/>
        <v>9.3607258482340208E-2</v>
      </c>
      <c r="Q37" s="41">
        <f t="shared" si="3"/>
        <v>8.3265552144382471E-2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45314.041666666664</v>
      </c>
      <c r="B9" s="50">
        <v>8.86</v>
      </c>
      <c r="C9" s="50">
        <v>21.02</v>
      </c>
      <c r="D9" s="50">
        <v>19.3</v>
      </c>
      <c r="E9" s="50">
        <v>6.38</v>
      </c>
      <c r="F9" s="50">
        <v>3.91</v>
      </c>
      <c r="G9" s="50">
        <v>75.19</v>
      </c>
      <c r="H9" s="50">
        <v>47.47</v>
      </c>
      <c r="I9" s="50">
        <v>8.1199999999999992</v>
      </c>
      <c r="J9" s="50">
        <v>0.21</v>
      </c>
      <c r="K9" s="50">
        <v>258.55</v>
      </c>
      <c r="L9" s="50">
        <v>20.13</v>
      </c>
      <c r="M9" s="50">
        <v>83.73</v>
      </c>
      <c r="N9" s="50">
        <v>0</v>
      </c>
      <c r="O9" s="50">
        <v>0</v>
      </c>
      <c r="P9" s="50">
        <v>0.87</v>
      </c>
      <c r="Q9" s="50">
        <v>4.83</v>
      </c>
    </row>
    <row r="10" spans="1:21" customFormat="1">
      <c r="A10" s="55">
        <v>45314.083333333336</v>
      </c>
      <c r="B10" s="50">
        <v>9.6300000000000008</v>
      </c>
      <c r="C10" s="50">
        <v>22.04</v>
      </c>
      <c r="D10" s="50">
        <v>20.059999999999999</v>
      </c>
      <c r="E10" s="50">
        <v>6.57</v>
      </c>
      <c r="F10" s="50">
        <v>3.5</v>
      </c>
      <c r="G10" s="50">
        <v>66.569999999999993</v>
      </c>
      <c r="H10" s="50">
        <v>44.61</v>
      </c>
      <c r="I10" s="50">
        <v>7.8</v>
      </c>
      <c r="J10" s="50">
        <v>1.22</v>
      </c>
      <c r="K10" s="50">
        <v>178.94</v>
      </c>
      <c r="L10" s="50">
        <v>19.72</v>
      </c>
      <c r="M10" s="50">
        <v>85.46</v>
      </c>
      <c r="N10" s="50">
        <v>0</v>
      </c>
      <c r="O10" s="50">
        <v>0</v>
      </c>
      <c r="P10" s="50">
        <v>0.84</v>
      </c>
      <c r="Q10" s="50">
        <v>4.87</v>
      </c>
    </row>
    <row r="11" spans="1:21" customFormat="1">
      <c r="A11" s="55">
        <v>45314.125</v>
      </c>
      <c r="B11" s="50">
        <v>9.58</v>
      </c>
      <c r="C11" s="50">
        <v>20.83</v>
      </c>
      <c r="D11" s="50">
        <v>19.920000000000002</v>
      </c>
      <c r="E11" s="50">
        <v>5.97</v>
      </c>
      <c r="F11" s="50">
        <v>3.51</v>
      </c>
      <c r="G11" s="50">
        <v>63.99</v>
      </c>
      <c r="H11" s="50">
        <v>42.61</v>
      </c>
      <c r="I11" s="50">
        <v>7.59</v>
      </c>
      <c r="J11" s="50">
        <v>0.96</v>
      </c>
      <c r="K11" s="50">
        <v>195.04</v>
      </c>
      <c r="L11" s="50">
        <v>19.149999999999999</v>
      </c>
      <c r="M11" s="50">
        <v>91.11</v>
      </c>
      <c r="N11" s="50">
        <v>0</v>
      </c>
      <c r="O11" s="50">
        <v>0</v>
      </c>
      <c r="P11" s="50">
        <v>0.81</v>
      </c>
      <c r="Q11" s="50">
        <v>4.91</v>
      </c>
    </row>
    <row r="12" spans="1:21" customFormat="1">
      <c r="A12" s="55">
        <v>45314.166666666664</v>
      </c>
      <c r="B12" s="50">
        <v>9.74</v>
      </c>
      <c r="C12" s="50">
        <v>22.07</v>
      </c>
      <c r="D12" s="50">
        <v>20.69</v>
      </c>
      <c r="E12" s="50">
        <v>6.53</v>
      </c>
      <c r="F12" s="50">
        <v>3.35</v>
      </c>
      <c r="G12" s="50">
        <v>63.94</v>
      </c>
      <c r="H12" s="50">
        <v>41.19</v>
      </c>
      <c r="I12" s="50">
        <v>7.47</v>
      </c>
      <c r="J12" s="50">
        <v>0.57999999999999996</v>
      </c>
      <c r="K12" s="50">
        <v>77.680000000000007</v>
      </c>
      <c r="L12" s="50">
        <v>18.66</v>
      </c>
      <c r="M12" s="50">
        <v>92.18</v>
      </c>
      <c r="N12" s="50">
        <v>0</v>
      </c>
      <c r="O12" s="50">
        <v>0</v>
      </c>
      <c r="P12" s="50">
        <v>0.79</v>
      </c>
      <c r="Q12" s="50">
        <v>4.91</v>
      </c>
    </row>
    <row r="13" spans="1:21" customFormat="1">
      <c r="A13" s="55">
        <v>45314.208333333336</v>
      </c>
      <c r="B13" s="50">
        <v>9.81</v>
      </c>
      <c r="C13" s="50">
        <v>22.63</v>
      </c>
      <c r="D13" s="50">
        <v>21.04</v>
      </c>
      <c r="E13" s="50">
        <v>6.67</v>
      </c>
      <c r="F13" s="50">
        <v>3.53</v>
      </c>
      <c r="G13" s="50">
        <v>60.71</v>
      </c>
      <c r="H13" s="50">
        <v>41.19</v>
      </c>
      <c r="I13" s="50">
        <v>7.35</v>
      </c>
      <c r="J13" s="50">
        <v>0.53</v>
      </c>
      <c r="K13" s="50">
        <v>188.39</v>
      </c>
      <c r="L13" s="50">
        <v>18.600000000000001</v>
      </c>
      <c r="M13" s="50">
        <v>93.7</v>
      </c>
      <c r="N13" s="50">
        <v>0</v>
      </c>
      <c r="O13" s="50">
        <v>0</v>
      </c>
      <c r="P13" s="50">
        <v>0.79</v>
      </c>
      <c r="Q13" s="50">
        <v>4.88</v>
      </c>
    </row>
    <row r="14" spans="1:21" customFormat="1">
      <c r="A14" s="55">
        <v>45314.25</v>
      </c>
      <c r="B14" s="50">
        <v>10.02</v>
      </c>
      <c r="C14" s="50">
        <v>23.15</v>
      </c>
      <c r="D14" s="50">
        <v>21.46</v>
      </c>
      <c r="E14" s="50">
        <v>6.91</v>
      </c>
      <c r="F14" s="50">
        <v>3.39</v>
      </c>
      <c r="G14" s="50">
        <v>60.71</v>
      </c>
      <c r="H14" s="50">
        <v>37.04</v>
      </c>
      <c r="I14" s="50">
        <v>7.32</v>
      </c>
      <c r="J14" s="50">
        <v>0.25</v>
      </c>
      <c r="K14" s="50">
        <v>115.55</v>
      </c>
      <c r="L14" s="50">
        <v>18.97</v>
      </c>
      <c r="M14" s="50">
        <v>93.11</v>
      </c>
      <c r="N14" s="50">
        <v>0</v>
      </c>
      <c r="O14" s="50">
        <v>0</v>
      </c>
      <c r="P14" s="50">
        <v>0.78</v>
      </c>
      <c r="Q14" s="50">
        <v>4.84</v>
      </c>
    </row>
    <row r="15" spans="1:21" customFormat="1">
      <c r="A15" s="55">
        <v>45314.291666666664</v>
      </c>
      <c r="B15" s="50">
        <v>11.97</v>
      </c>
      <c r="C15" s="50">
        <v>24.22</v>
      </c>
      <c r="D15" s="50">
        <v>23.61</v>
      </c>
      <c r="E15" s="50">
        <v>6.78</v>
      </c>
      <c r="F15" s="50">
        <v>3.43</v>
      </c>
      <c r="G15" s="50">
        <v>57.81</v>
      </c>
      <c r="H15" s="50">
        <v>35.270000000000003</v>
      </c>
      <c r="I15" s="50">
        <v>7.48</v>
      </c>
      <c r="J15" s="50">
        <v>0.95</v>
      </c>
      <c r="K15" s="50">
        <v>45.52</v>
      </c>
      <c r="L15" s="50">
        <v>18.82</v>
      </c>
      <c r="M15" s="50">
        <v>93.57</v>
      </c>
      <c r="N15" s="50">
        <v>0</v>
      </c>
      <c r="O15" s="50">
        <v>0</v>
      </c>
      <c r="P15" s="50">
        <v>0.79</v>
      </c>
      <c r="Q15" s="50">
        <v>4.8499999999999996</v>
      </c>
    </row>
    <row r="16" spans="1:21" customFormat="1">
      <c r="A16" s="55">
        <v>45314.333333333336</v>
      </c>
      <c r="B16" s="50">
        <v>14.32</v>
      </c>
      <c r="C16" s="50">
        <v>25.9</v>
      </c>
      <c r="D16" s="50">
        <v>26.37</v>
      </c>
      <c r="E16" s="50">
        <v>6.98</v>
      </c>
      <c r="F16" s="50">
        <v>3.38</v>
      </c>
      <c r="G16" s="50">
        <v>63.68</v>
      </c>
      <c r="H16" s="50">
        <v>35.65</v>
      </c>
      <c r="I16" s="50">
        <v>7.93</v>
      </c>
      <c r="J16" s="50">
        <v>1.1200000000000001</v>
      </c>
      <c r="K16" s="50">
        <v>54.33</v>
      </c>
      <c r="L16" s="50">
        <v>18.559999999999999</v>
      </c>
      <c r="M16" s="50">
        <v>92.45</v>
      </c>
      <c r="N16" s="50">
        <v>51</v>
      </c>
      <c r="O16" s="50">
        <v>0</v>
      </c>
      <c r="P16" s="50">
        <v>0.86</v>
      </c>
      <c r="Q16" s="50">
        <v>4.87</v>
      </c>
    </row>
    <row r="17" spans="1:17" customFormat="1">
      <c r="A17" s="55">
        <v>45314.375</v>
      </c>
      <c r="B17" s="50">
        <v>15.12</v>
      </c>
      <c r="C17" s="50">
        <v>25.01</v>
      </c>
      <c r="D17" s="50">
        <v>26.23</v>
      </c>
      <c r="E17" s="50">
        <v>7.16</v>
      </c>
      <c r="F17" s="50">
        <v>3.63</v>
      </c>
      <c r="G17" s="50">
        <v>70.39</v>
      </c>
      <c r="H17" s="50">
        <v>38.11</v>
      </c>
      <c r="I17" s="50">
        <v>8.36</v>
      </c>
      <c r="J17" s="50">
        <v>1.25</v>
      </c>
      <c r="K17" s="50">
        <v>91.89</v>
      </c>
      <c r="L17" s="50">
        <v>19.46</v>
      </c>
      <c r="M17" s="50">
        <v>89.21</v>
      </c>
      <c r="N17" s="50">
        <v>76.2</v>
      </c>
      <c r="O17" s="50">
        <v>0</v>
      </c>
      <c r="P17" s="50">
        <v>0.87</v>
      </c>
      <c r="Q17" s="50">
        <v>4.88</v>
      </c>
    </row>
    <row r="18" spans="1:17" customFormat="1">
      <c r="A18" s="55">
        <v>45314.416666666664</v>
      </c>
      <c r="B18" s="50">
        <v>16.73</v>
      </c>
      <c r="C18" s="50">
        <v>21.41</v>
      </c>
      <c r="D18" s="50">
        <v>25.87</v>
      </c>
      <c r="E18" s="50">
        <v>6.28</v>
      </c>
      <c r="F18" s="50">
        <v>3.6</v>
      </c>
      <c r="G18" s="50">
        <v>75.11</v>
      </c>
      <c r="H18" s="50">
        <v>38.479999999999997</v>
      </c>
      <c r="I18" s="50">
        <v>8.65</v>
      </c>
      <c r="J18" s="50">
        <v>1.45</v>
      </c>
      <c r="K18" s="50">
        <v>55.02</v>
      </c>
      <c r="L18" s="50">
        <v>20.02</v>
      </c>
      <c r="M18" s="50">
        <v>86.44</v>
      </c>
      <c r="N18" s="50">
        <v>116.5</v>
      </c>
      <c r="O18" s="50">
        <v>0</v>
      </c>
      <c r="P18" s="50">
        <v>0.92</v>
      </c>
      <c r="Q18" s="50">
        <v>4.8899999999999997</v>
      </c>
    </row>
    <row r="19" spans="1:17" customFormat="1">
      <c r="A19" s="55">
        <v>45314.458333333336</v>
      </c>
      <c r="B19" s="50">
        <v>17.37</v>
      </c>
      <c r="C19" s="50">
        <v>21.48</v>
      </c>
      <c r="D19" s="50">
        <v>26.49</v>
      </c>
      <c r="E19" s="50">
        <v>6.92</v>
      </c>
      <c r="F19" s="50">
        <v>3.54</v>
      </c>
      <c r="G19" s="50">
        <v>77.930000000000007</v>
      </c>
      <c r="H19" s="50">
        <v>41.37</v>
      </c>
      <c r="I19" s="50">
        <v>8.9</v>
      </c>
      <c r="J19" s="50">
        <v>1.59</v>
      </c>
      <c r="K19" s="50">
        <v>59.37</v>
      </c>
      <c r="L19" s="50">
        <v>20.66</v>
      </c>
      <c r="M19" s="50">
        <v>83.03</v>
      </c>
      <c r="N19" s="50">
        <v>214</v>
      </c>
      <c r="O19" s="50">
        <v>0</v>
      </c>
      <c r="P19" s="50">
        <v>0.93</v>
      </c>
      <c r="Q19" s="50">
        <v>4.93</v>
      </c>
    </row>
    <row r="20" spans="1:17" customFormat="1">
      <c r="A20" s="55">
        <v>45314.5</v>
      </c>
      <c r="B20" s="50">
        <v>17.23</v>
      </c>
      <c r="C20" s="50">
        <v>22.11</v>
      </c>
      <c r="D20" s="50">
        <v>26.72</v>
      </c>
      <c r="E20" s="50">
        <v>6.95</v>
      </c>
      <c r="F20" s="50">
        <v>3.6</v>
      </c>
      <c r="G20" s="50">
        <v>77.930000000000007</v>
      </c>
      <c r="H20" s="50">
        <v>41.37</v>
      </c>
      <c r="I20" s="50">
        <v>8.8699999999999992</v>
      </c>
      <c r="J20" s="50">
        <v>1.74</v>
      </c>
      <c r="K20" s="50">
        <v>52.3</v>
      </c>
      <c r="L20" s="50">
        <v>20.28</v>
      </c>
      <c r="M20" s="50">
        <v>84.96</v>
      </c>
      <c r="N20" s="50">
        <v>107.9</v>
      </c>
      <c r="O20" s="50">
        <v>0</v>
      </c>
      <c r="P20" s="50">
        <v>0.94</v>
      </c>
      <c r="Q20" s="50">
        <v>4.9400000000000004</v>
      </c>
    </row>
    <row r="21" spans="1:17" customFormat="1">
      <c r="A21" s="55">
        <v>45314.541666666664</v>
      </c>
      <c r="B21" s="50">
        <v>18.16</v>
      </c>
      <c r="C21" s="50">
        <v>22.42</v>
      </c>
      <c r="D21" s="50">
        <v>27.63</v>
      </c>
      <c r="E21" s="50">
        <v>7.05</v>
      </c>
      <c r="F21" s="50">
        <v>3.51</v>
      </c>
      <c r="G21" s="50">
        <v>72.64</v>
      </c>
      <c r="H21" s="50">
        <v>40.14</v>
      </c>
      <c r="I21" s="50">
        <v>8.9</v>
      </c>
      <c r="J21" s="50">
        <v>1.54</v>
      </c>
      <c r="K21" s="50">
        <v>59.34</v>
      </c>
      <c r="L21" s="50">
        <v>19.86</v>
      </c>
      <c r="M21" s="50">
        <v>85.76</v>
      </c>
      <c r="N21" s="50">
        <v>137.5</v>
      </c>
      <c r="O21" s="50">
        <v>0</v>
      </c>
      <c r="P21" s="50">
        <v>0.94</v>
      </c>
      <c r="Q21" s="50">
        <v>4.97</v>
      </c>
    </row>
    <row r="22" spans="1:17" customFormat="1">
      <c r="A22" s="55">
        <v>45314.583333333336</v>
      </c>
      <c r="B22" s="50">
        <v>19.71</v>
      </c>
      <c r="C22" s="50">
        <v>25.6</v>
      </c>
      <c r="D22" s="50">
        <v>30.53</v>
      </c>
      <c r="E22" s="50">
        <v>7.34</v>
      </c>
      <c r="F22" s="50">
        <v>3.46</v>
      </c>
      <c r="G22" s="50">
        <v>69.33</v>
      </c>
      <c r="H22" s="50">
        <v>40.14</v>
      </c>
      <c r="I22" s="50">
        <v>9.08</v>
      </c>
      <c r="J22" s="50">
        <v>1.46</v>
      </c>
      <c r="K22" s="50">
        <v>50.74</v>
      </c>
      <c r="L22" s="50">
        <v>18.55</v>
      </c>
      <c r="M22" s="50">
        <v>96.61</v>
      </c>
      <c r="N22" s="50">
        <v>20.6</v>
      </c>
      <c r="O22" s="50">
        <v>0.4</v>
      </c>
      <c r="P22" s="50">
        <v>0.96</v>
      </c>
      <c r="Q22" s="50">
        <v>5.0199999999999996</v>
      </c>
    </row>
    <row r="23" spans="1:17" customFormat="1">
      <c r="A23" s="55">
        <v>45314.625</v>
      </c>
      <c r="B23" s="50">
        <v>23.19</v>
      </c>
      <c r="C23" s="50">
        <v>27.54</v>
      </c>
      <c r="D23" s="50">
        <v>34.340000000000003</v>
      </c>
      <c r="E23" s="50">
        <v>7.79</v>
      </c>
      <c r="F23" s="50">
        <v>3.41</v>
      </c>
      <c r="G23" s="50">
        <v>66.66</v>
      </c>
      <c r="H23" s="50">
        <v>36.96</v>
      </c>
      <c r="I23" s="50">
        <v>9.59</v>
      </c>
      <c r="J23" s="50">
        <v>1.63</v>
      </c>
      <c r="K23" s="50">
        <v>48.79</v>
      </c>
      <c r="L23" s="50">
        <v>17.73</v>
      </c>
      <c r="M23" s="50">
        <v>96.36</v>
      </c>
      <c r="N23" s="50">
        <v>43.9</v>
      </c>
      <c r="O23" s="50">
        <v>0</v>
      </c>
      <c r="P23" s="50">
        <v>1.02</v>
      </c>
      <c r="Q23" s="50">
        <v>5.0599999999999996</v>
      </c>
    </row>
    <row r="24" spans="1:17" customFormat="1">
      <c r="A24" s="55">
        <v>45314.666666666664</v>
      </c>
      <c r="B24" s="50">
        <v>25.12</v>
      </c>
      <c r="C24" s="50">
        <v>29.32</v>
      </c>
      <c r="D24" s="50">
        <v>36.81</v>
      </c>
      <c r="E24" s="50">
        <v>7.42</v>
      </c>
      <c r="F24" s="50">
        <v>3.47</v>
      </c>
      <c r="G24" s="50">
        <v>64.069999999999993</v>
      </c>
      <c r="H24" s="50">
        <v>34.22</v>
      </c>
      <c r="I24" s="50">
        <v>10.220000000000001</v>
      </c>
      <c r="J24" s="50">
        <v>1.56</v>
      </c>
      <c r="K24" s="50">
        <v>59.74</v>
      </c>
      <c r="L24" s="50">
        <v>17.55</v>
      </c>
      <c r="M24" s="50">
        <v>94.13</v>
      </c>
      <c r="N24" s="50">
        <v>42.8</v>
      </c>
      <c r="O24" s="50">
        <v>0</v>
      </c>
      <c r="P24" s="50">
        <v>1.07</v>
      </c>
      <c r="Q24" s="50">
        <v>5.07</v>
      </c>
    </row>
    <row r="25" spans="1:17" customFormat="1">
      <c r="A25" s="55">
        <v>45314.708333333336</v>
      </c>
      <c r="B25" s="50">
        <v>25.5</v>
      </c>
      <c r="C25" s="50">
        <v>31.38</v>
      </c>
      <c r="D25" s="50">
        <v>38.200000000000003</v>
      </c>
      <c r="E25" s="50">
        <v>7.61</v>
      </c>
      <c r="F25" s="50">
        <v>3.37</v>
      </c>
      <c r="G25" s="50">
        <v>66.59</v>
      </c>
      <c r="H25" s="50">
        <v>33.39</v>
      </c>
      <c r="I25" s="50">
        <v>10.4</v>
      </c>
      <c r="J25" s="50">
        <v>1.53</v>
      </c>
      <c r="K25" s="50">
        <v>60.43</v>
      </c>
      <c r="L25" s="50">
        <v>17.690000000000001</v>
      </c>
      <c r="M25" s="50">
        <v>91.79</v>
      </c>
      <c r="N25" s="50">
        <v>38.700000000000003</v>
      </c>
      <c r="O25" s="50">
        <v>0</v>
      </c>
      <c r="P25" s="50">
        <v>1.07</v>
      </c>
      <c r="Q25" s="50">
        <v>5.08</v>
      </c>
    </row>
    <row r="26" spans="1:17" customFormat="1">
      <c r="A26" s="55">
        <v>45314.75</v>
      </c>
      <c r="B26" s="50">
        <v>25.67</v>
      </c>
      <c r="C26" s="50">
        <v>32.340000000000003</v>
      </c>
      <c r="D26" s="50">
        <v>38.619999999999997</v>
      </c>
      <c r="E26" s="50">
        <v>7.67</v>
      </c>
      <c r="F26" s="50">
        <v>3.47</v>
      </c>
      <c r="G26" s="50">
        <v>66.59</v>
      </c>
      <c r="H26" s="50">
        <v>33.479999999999997</v>
      </c>
      <c r="I26" s="50">
        <v>10.27</v>
      </c>
      <c r="J26" s="50">
        <v>1.66</v>
      </c>
      <c r="K26" s="50">
        <v>63.79</v>
      </c>
      <c r="L26" s="50">
        <v>17.46</v>
      </c>
      <c r="M26" s="50">
        <v>93.05</v>
      </c>
      <c r="N26" s="50">
        <v>0.8</v>
      </c>
      <c r="O26" s="50">
        <v>0</v>
      </c>
      <c r="P26" s="50">
        <v>1.06</v>
      </c>
      <c r="Q26" s="50">
        <v>5.09</v>
      </c>
    </row>
    <row r="27" spans="1:17" customFormat="1">
      <c r="A27" s="55">
        <v>45314.791666666664</v>
      </c>
      <c r="B27" s="50">
        <v>26.16</v>
      </c>
      <c r="C27" s="50">
        <v>29.29</v>
      </c>
      <c r="D27" s="50">
        <v>37.119999999999997</v>
      </c>
      <c r="E27" s="50">
        <v>4.79</v>
      </c>
      <c r="F27" s="50">
        <v>3.64</v>
      </c>
      <c r="G27" s="50">
        <v>64.540000000000006</v>
      </c>
      <c r="H27" s="50">
        <v>34.56</v>
      </c>
      <c r="I27" s="50">
        <v>9.9700000000000006</v>
      </c>
      <c r="J27" s="50">
        <v>1.5</v>
      </c>
      <c r="K27" s="50">
        <v>61.43</v>
      </c>
      <c r="L27" s="50">
        <v>17.21</v>
      </c>
      <c r="M27" s="50">
        <v>94.19</v>
      </c>
      <c r="N27" s="50">
        <v>0</v>
      </c>
      <c r="O27" s="50">
        <v>0</v>
      </c>
      <c r="P27" s="50">
        <v>1.05</v>
      </c>
      <c r="Q27" s="50">
        <v>5.07</v>
      </c>
    </row>
    <row r="28" spans="1:17" customFormat="1">
      <c r="A28" s="55">
        <v>45314.833333333336</v>
      </c>
      <c r="B28" s="50">
        <v>25.69</v>
      </c>
      <c r="C28" s="50">
        <v>27.15</v>
      </c>
      <c r="D28" s="50">
        <v>36.08</v>
      </c>
      <c r="E28" s="50">
        <v>5.15</v>
      </c>
      <c r="F28" s="50">
        <v>3.34</v>
      </c>
      <c r="G28" s="50">
        <v>65.48</v>
      </c>
      <c r="H28" s="50">
        <v>34.56</v>
      </c>
      <c r="I28" s="50">
        <v>9.94</v>
      </c>
      <c r="J28" s="50">
        <v>1.42</v>
      </c>
      <c r="K28" s="50">
        <v>56.57</v>
      </c>
      <c r="L28" s="50">
        <v>16.7</v>
      </c>
      <c r="M28" s="50">
        <v>95.9</v>
      </c>
      <c r="N28" s="50">
        <v>0</v>
      </c>
      <c r="O28" s="50">
        <v>0</v>
      </c>
      <c r="P28" s="50">
        <v>1.06</v>
      </c>
      <c r="Q28" s="50">
        <v>5.05</v>
      </c>
    </row>
    <row r="29" spans="1:17" customFormat="1">
      <c r="A29" s="55">
        <v>45314.875</v>
      </c>
      <c r="B29" s="50">
        <v>24.02</v>
      </c>
      <c r="C29" s="50">
        <v>26.27</v>
      </c>
      <c r="D29" s="50">
        <v>34.340000000000003</v>
      </c>
      <c r="E29" s="50">
        <v>4.88</v>
      </c>
      <c r="F29" s="50">
        <v>3.72</v>
      </c>
      <c r="G29" s="50">
        <v>65.48</v>
      </c>
      <c r="H29" s="50">
        <v>35.700000000000003</v>
      </c>
      <c r="I29" s="50">
        <v>9.98</v>
      </c>
      <c r="J29" s="50">
        <v>1.08</v>
      </c>
      <c r="K29" s="50">
        <v>62.42</v>
      </c>
      <c r="L29" s="50">
        <v>16.39</v>
      </c>
      <c r="M29" s="50">
        <v>96.23</v>
      </c>
      <c r="N29" s="50">
        <v>0</v>
      </c>
      <c r="O29" s="50">
        <v>0</v>
      </c>
      <c r="P29" s="50">
        <v>1.07</v>
      </c>
      <c r="Q29" s="50">
        <v>5.03</v>
      </c>
    </row>
    <row r="30" spans="1:17" customFormat="1">
      <c r="A30" s="55">
        <v>45314.916666666664</v>
      </c>
      <c r="B30" s="50">
        <v>22.16</v>
      </c>
      <c r="C30" s="50">
        <v>24.85</v>
      </c>
      <c r="D30" s="50">
        <v>32.1</v>
      </c>
      <c r="E30" s="50">
        <v>4.46</v>
      </c>
      <c r="F30" s="50">
        <v>3.56</v>
      </c>
      <c r="G30" s="50">
        <v>67.48</v>
      </c>
      <c r="H30" s="50">
        <v>35.700000000000003</v>
      </c>
      <c r="I30" s="50">
        <v>9.9600000000000009</v>
      </c>
      <c r="J30" s="50">
        <v>1.26</v>
      </c>
      <c r="K30" s="50">
        <v>65.11</v>
      </c>
      <c r="L30" s="50">
        <v>16.22</v>
      </c>
      <c r="M30" s="50">
        <v>96.32</v>
      </c>
      <c r="N30" s="50">
        <v>0</v>
      </c>
      <c r="O30" s="50">
        <v>0</v>
      </c>
      <c r="P30" s="50">
        <v>1.04</v>
      </c>
      <c r="Q30" s="50">
        <v>5.0199999999999996</v>
      </c>
    </row>
    <row r="31" spans="1:17" customFormat="1">
      <c r="A31" s="55">
        <v>45314.958333333336</v>
      </c>
      <c r="B31" s="50">
        <v>21.08</v>
      </c>
      <c r="C31" s="50">
        <v>25.65</v>
      </c>
      <c r="D31" s="50">
        <v>31.45</v>
      </c>
      <c r="E31" s="50">
        <v>4.7300000000000004</v>
      </c>
      <c r="F31" s="50">
        <v>3.42</v>
      </c>
      <c r="G31" s="50">
        <v>67.760000000000005</v>
      </c>
      <c r="H31" s="50">
        <v>35.020000000000003</v>
      </c>
      <c r="I31" s="50">
        <v>9.84</v>
      </c>
      <c r="J31" s="50">
        <v>0.65</v>
      </c>
      <c r="K31" s="50">
        <v>48.37</v>
      </c>
      <c r="L31" s="50">
        <v>16.12</v>
      </c>
      <c r="M31" s="50">
        <v>96.14</v>
      </c>
      <c r="N31" s="50">
        <v>0</v>
      </c>
      <c r="O31" s="50">
        <v>0</v>
      </c>
      <c r="P31" s="50">
        <v>1.03</v>
      </c>
      <c r="Q31" s="50">
        <v>5.08</v>
      </c>
    </row>
    <row r="32" spans="1:17" customFormat="1">
      <c r="A32" s="55">
        <v>45315</v>
      </c>
      <c r="B32" s="50">
        <v>20.86</v>
      </c>
      <c r="C32" s="50">
        <v>26.43</v>
      </c>
      <c r="D32" s="50">
        <v>31.89</v>
      </c>
      <c r="E32" s="50">
        <v>5.05</v>
      </c>
      <c r="F32" s="50">
        <v>3.45</v>
      </c>
      <c r="G32" s="50">
        <v>67.760000000000005</v>
      </c>
      <c r="H32" s="50">
        <v>37.01</v>
      </c>
      <c r="I32" s="50">
        <v>9.7100000000000009</v>
      </c>
      <c r="J32" s="50">
        <v>1.1200000000000001</v>
      </c>
      <c r="K32" s="50">
        <v>60.74</v>
      </c>
      <c r="L32" s="50">
        <v>16.05</v>
      </c>
      <c r="M32" s="50">
        <v>95.79</v>
      </c>
      <c r="N32" s="50">
        <v>0</v>
      </c>
      <c r="O32" s="50">
        <v>0</v>
      </c>
      <c r="P32" s="50">
        <v>1.03</v>
      </c>
      <c r="Q32" s="50">
        <v>5.08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8.86</v>
      </c>
      <c r="C34" s="41">
        <f t="shared" si="0"/>
        <v>20.83</v>
      </c>
      <c r="D34" s="41">
        <f t="shared" si="0"/>
        <v>19.3</v>
      </c>
      <c r="E34" s="41">
        <f t="shared" si="0"/>
        <v>4.46</v>
      </c>
      <c r="F34" s="41">
        <f t="shared" si="0"/>
        <v>3.34</v>
      </c>
      <c r="G34" s="41">
        <f t="shared" si="0"/>
        <v>57.81</v>
      </c>
      <c r="H34" s="41">
        <f t="shared" si="0"/>
        <v>33.39</v>
      </c>
      <c r="I34" s="41">
        <f t="shared" si="0"/>
        <v>7.32</v>
      </c>
      <c r="J34" s="41">
        <f t="shared" si="0"/>
        <v>0.21</v>
      </c>
      <c r="K34" s="41">
        <f t="shared" si="0"/>
        <v>45.52</v>
      </c>
      <c r="L34" s="41">
        <f t="shared" si="0"/>
        <v>16.05</v>
      </c>
      <c r="M34" s="41">
        <f t="shared" si="0"/>
        <v>83.03</v>
      </c>
      <c r="N34" s="41">
        <f t="shared" si="0"/>
        <v>0</v>
      </c>
      <c r="O34" s="41">
        <f t="shared" si="0"/>
        <v>0</v>
      </c>
      <c r="P34" s="41">
        <f t="shared" si="0"/>
        <v>0.78</v>
      </c>
      <c r="Q34" s="41">
        <f t="shared" si="0"/>
        <v>4.83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26.16</v>
      </c>
      <c r="C35" s="33">
        <f t="shared" si="1"/>
        <v>32.340000000000003</v>
      </c>
      <c r="D35" s="33">
        <f t="shared" si="1"/>
        <v>38.619999999999997</v>
      </c>
      <c r="E35" s="33">
        <f t="shared" si="1"/>
        <v>7.79</v>
      </c>
      <c r="F35" s="33">
        <f t="shared" si="1"/>
        <v>3.91</v>
      </c>
      <c r="G35" s="33">
        <f t="shared" si="1"/>
        <v>77.930000000000007</v>
      </c>
      <c r="H35" s="33">
        <f t="shared" si="1"/>
        <v>47.47</v>
      </c>
      <c r="I35" s="33">
        <f t="shared" si="1"/>
        <v>10.4</v>
      </c>
      <c r="J35" s="33">
        <f t="shared" si="1"/>
        <v>1.74</v>
      </c>
      <c r="K35" s="33">
        <f t="shared" si="1"/>
        <v>258.55</v>
      </c>
      <c r="L35" s="33">
        <f t="shared" si="1"/>
        <v>20.66</v>
      </c>
      <c r="M35" s="33">
        <f t="shared" si="1"/>
        <v>96.61</v>
      </c>
      <c r="N35" s="33">
        <f t="shared" si="1"/>
        <v>214</v>
      </c>
      <c r="O35" s="33">
        <f t="shared" si="1"/>
        <v>0.4</v>
      </c>
      <c r="P35" s="33">
        <f t="shared" si="1"/>
        <v>1.07</v>
      </c>
      <c r="Q35" s="33">
        <f t="shared" si="1"/>
        <v>5.09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17.820833333333336</v>
      </c>
      <c r="C36" s="41">
        <f t="shared" si="2"/>
        <v>25.004583333333333</v>
      </c>
      <c r="D36" s="41">
        <f t="shared" si="2"/>
        <v>28.619583333333338</v>
      </c>
      <c r="E36" s="41">
        <f t="shared" si="2"/>
        <v>6.4183333333333339</v>
      </c>
      <c r="F36" s="41">
        <f t="shared" si="2"/>
        <v>3.5079166666666666</v>
      </c>
      <c r="G36" s="41">
        <f t="shared" si="2"/>
        <v>67.430833333333325</v>
      </c>
      <c r="H36" s="41">
        <f t="shared" si="2"/>
        <v>38.134999999999998</v>
      </c>
      <c r="I36" s="41">
        <f t="shared" si="2"/>
        <v>8.9041666666666686</v>
      </c>
      <c r="J36" s="41">
        <f t="shared" si="2"/>
        <v>1.1775</v>
      </c>
      <c r="K36" s="41">
        <f t="shared" si="2"/>
        <v>86.252083333333317</v>
      </c>
      <c r="L36" s="41">
        <f t="shared" si="2"/>
        <v>18.356666666666666</v>
      </c>
      <c r="M36" s="41">
        <f t="shared" si="2"/>
        <v>91.717499999999987</v>
      </c>
      <c r="N36" s="41">
        <f t="shared" si="2"/>
        <v>35.412500000000001</v>
      </c>
      <c r="O36" s="41">
        <f t="shared" si="2"/>
        <v>1.6666666666666666E-2</v>
      </c>
      <c r="P36" s="41">
        <f t="shared" si="2"/>
        <v>0.94125000000000003</v>
      </c>
      <c r="Q36" s="41">
        <f t="shared" si="2"/>
        <v>4.9675000000000002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6.1718145571246863</v>
      </c>
      <c r="C37" s="41">
        <f t="shared" ref="C37:Q37" si="3">STDEV(C9:C32)</f>
        <v>3.2870205607307605</v>
      </c>
      <c r="D37" s="41">
        <f t="shared" si="3"/>
        <v>6.4154985432131983</v>
      </c>
      <c r="E37" s="41">
        <f t="shared" si="3"/>
        <v>1.0299289408441687</v>
      </c>
      <c r="F37" s="41">
        <f t="shared" si="3"/>
        <v>0.13098221474576907</v>
      </c>
      <c r="G37" s="41">
        <f t="shared" si="3"/>
        <v>5.2351810870774491</v>
      </c>
      <c r="H37" s="41">
        <f t="shared" si="3"/>
        <v>3.7399872122543893</v>
      </c>
      <c r="I37" s="41">
        <f t="shared" si="3"/>
        <v>1.0677929968200568</v>
      </c>
      <c r="J37" s="41">
        <f t="shared" si="3"/>
        <v>0.4483229620049255</v>
      </c>
      <c r="K37" s="41">
        <f t="shared" si="3"/>
        <v>57.82214296625601</v>
      </c>
      <c r="L37" s="41">
        <f t="shared" si="3"/>
        <v>1.4266094394590303</v>
      </c>
      <c r="M37" s="41">
        <f t="shared" si="3"/>
        <v>4.4649906275768476</v>
      </c>
      <c r="N37" s="41">
        <f t="shared" si="3"/>
        <v>56.687168339473672</v>
      </c>
      <c r="O37" s="41">
        <f t="shared" si="3"/>
        <v>8.1649658092772623E-2</v>
      </c>
      <c r="P37" s="41">
        <f t="shared" si="3"/>
        <v>0.1065797313302807</v>
      </c>
      <c r="Q37" s="41">
        <f t="shared" si="3"/>
        <v>9.2513218796941257E-2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45315.041666666664</v>
      </c>
      <c r="B9" s="50">
        <v>19.7</v>
      </c>
      <c r="C9" s="50">
        <v>25.97</v>
      </c>
      <c r="D9" s="50">
        <v>30.46</v>
      </c>
      <c r="E9" s="50">
        <v>5.04</v>
      </c>
      <c r="F9" s="50">
        <v>3.43</v>
      </c>
      <c r="G9" s="50">
        <v>65.34</v>
      </c>
      <c r="H9" s="50">
        <v>37.01</v>
      </c>
      <c r="I9" s="50">
        <v>9.65</v>
      </c>
      <c r="J9" s="50">
        <v>1.1399999999999999</v>
      </c>
      <c r="K9" s="50">
        <v>315.91000000000003</v>
      </c>
      <c r="L9" s="50">
        <v>16.100000000000001</v>
      </c>
      <c r="M9" s="50">
        <v>96.37</v>
      </c>
      <c r="N9" s="50">
        <v>0</v>
      </c>
      <c r="O9" s="50">
        <v>0</v>
      </c>
      <c r="P9" s="50">
        <v>1.02</v>
      </c>
      <c r="Q9" s="50">
        <v>5.05</v>
      </c>
    </row>
    <row r="10" spans="1:21" customFormat="1">
      <c r="A10" s="55">
        <v>45315.083333333336</v>
      </c>
      <c r="B10" s="50">
        <v>18.46</v>
      </c>
      <c r="C10" s="50">
        <v>26.04</v>
      </c>
      <c r="D10" s="50">
        <v>29.75</v>
      </c>
      <c r="E10" s="50">
        <v>4.8499999999999996</v>
      </c>
      <c r="F10" s="50">
        <v>3.46</v>
      </c>
      <c r="G10" s="50">
        <v>65.03</v>
      </c>
      <c r="H10" s="50">
        <v>37.86</v>
      </c>
      <c r="I10" s="50">
        <v>9.6</v>
      </c>
      <c r="J10" s="50">
        <v>1.45</v>
      </c>
      <c r="K10" s="50">
        <v>53.14</v>
      </c>
      <c r="L10" s="50">
        <v>16.02</v>
      </c>
      <c r="M10" s="50">
        <v>97.43</v>
      </c>
      <c r="N10" s="50">
        <v>0</v>
      </c>
      <c r="O10" s="50">
        <v>0</v>
      </c>
      <c r="P10" s="50">
        <v>1.01</v>
      </c>
      <c r="Q10" s="50">
        <v>5</v>
      </c>
    </row>
    <row r="11" spans="1:21" customFormat="1">
      <c r="A11" s="55">
        <v>45315.125</v>
      </c>
      <c r="B11" s="50">
        <v>17.39</v>
      </c>
      <c r="C11" s="50">
        <v>25.59</v>
      </c>
      <c r="D11" s="50">
        <v>28.54</v>
      </c>
      <c r="E11" s="50">
        <v>7.02</v>
      </c>
      <c r="F11" s="50">
        <v>3.27</v>
      </c>
      <c r="G11" s="50">
        <v>65.599999999999994</v>
      </c>
      <c r="H11" s="50">
        <v>37.86</v>
      </c>
      <c r="I11" s="50">
        <v>9.5299999999999994</v>
      </c>
      <c r="J11" s="50">
        <v>1.45</v>
      </c>
      <c r="K11" s="50">
        <v>48.96</v>
      </c>
      <c r="L11" s="50">
        <v>15.93</v>
      </c>
      <c r="M11" s="50">
        <v>97.15</v>
      </c>
      <c r="N11" s="50">
        <v>0</v>
      </c>
      <c r="O11" s="50">
        <v>0.2</v>
      </c>
      <c r="P11" s="50">
        <v>1.01</v>
      </c>
      <c r="Q11" s="50">
        <v>4.9800000000000004</v>
      </c>
    </row>
    <row r="12" spans="1:21" customFormat="1">
      <c r="A12" s="55">
        <v>45315.166666666664</v>
      </c>
      <c r="B12" s="50">
        <v>20.05</v>
      </c>
      <c r="C12" s="50">
        <v>26.69</v>
      </c>
      <c r="D12" s="50">
        <v>31.26</v>
      </c>
      <c r="E12" s="50">
        <v>6.93</v>
      </c>
      <c r="F12" s="50">
        <v>3.36</v>
      </c>
      <c r="G12" s="50">
        <v>65.599999999999994</v>
      </c>
      <c r="H12" s="50">
        <v>36.26</v>
      </c>
      <c r="I12" s="50">
        <v>9.77</v>
      </c>
      <c r="J12" s="50">
        <v>1.24</v>
      </c>
      <c r="K12" s="50">
        <v>289.83</v>
      </c>
      <c r="L12" s="50">
        <v>15.79</v>
      </c>
      <c r="M12" s="50">
        <v>99.5</v>
      </c>
      <c r="N12" s="50">
        <v>0</v>
      </c>
      <c r="O12" s="50">
        <v>1</v>
      </c>
      <c r="P12" s="50">
        <v>1.04</v>
      </c>
      <c r="Q12" s="50">
        <v>4.96</v>
      </c>
    </row>
    <row r="13" spans="1:21" customFormat="1">
      <c r="A13" s="55">
        <v>45315.208333333336</v>
      </c>
      <c r="B13" s="50">
        <v>26.07</v>
      </c>
      <c r="C13" s="50">
        <v>24.74</v>
      </c>
      <c r="D13" s="50">
        <v>35.07</v>
      </c>
      <c r="E13" s="50">
        <v>7.12</v>
      </c>
      <c r="F13" s="50">
        <v>3.55</v>
      </c>
      <c r="G13" s="50">
        <v>64.27</v>
      </c>
      <c r="H13" s="50">
        <v>36.26</v>
      </c>
      <c r="I13" s="50">
        <v>9.99</v>
      </c>
      <c r="J13" s="50">
        <v>1.38</v>
      </c>
      <c r="K13" s="50">
        <v>53.57</v>
      </c>
      <c r="L13" s="50">
        <v>15.59</v>
      </c>
      <c r="M13" s="50">
        <v>99.75</v>
      </c>
      <c r="N13" s="50">
        <v>0</v>
      </c>
      <c r="O13" s="50">
        <v>0</v>
      </c>
      <c r="P13" s="50">
        <v>1.06</v>
      </c>
      <c r="Q13" s="50">
        <v>5.07</v>
      </c>
    </row>
    <row r="14" spans="1:21" customFormat="1">
      <c r="A14" s="55">
        <v>45315.25</v>
      </c>
      <c r="B14" s="50">
        <v>26.78</v>
      </c>
      <c r="C14" s="50">
        <v>25.27</v>
      </c>
      <c r="D14" s="50">
        <v>36.01</v>
      </c>
      <c r="E14" s="50">
        <v>6.64</v>
      </c>
      <c r="F14" s="50">
        <v>3.49</v>
      </c>
      <c r="G14" s="50">
        <v>63.95</v>
      </c>
      <c r="H14" s="50">
        <v>33.68</v>
      </c>
      <c r="I14" s="50">
        <v>10.130000000000001</v>
      </c>
      <c r="J14" s="50">
        <v>1.05</v>
      </c>
      <c r="K14" s="50">
        <v>57.98</v>
      </c>
      <c r="L14" s="50">
        <v>15.33</v>
      </c>
      <c r="M14" s="50">
        <v>99.69</v>
      </c>
      <c r="N14" s="50">
        <v>0</v>
      </c>
      <c r="O14" s="50">
        <v>0.2</v>
      </c>
      <c r="P14" s="50">
        <v>1.05</v>
      </c>
      <c r="Q14" s="50">
        <v>5.0999999999999996</v>
      </c>
    </row>
    <row r="15" spans="1:21" customFormat="1">
      <c r="A15" s="55">
        <v>45315.291666666664</v>
      </c>
      <c r="B15" s="50">
        <v>27.47</v>
      </c>
      <c r="C15" s="50">
        <v>24.75</v>
      </c>
      <c r="D15" s="50">
        <v>36.19</v>
      </c>
      <c r="E15" s="50">
        <v>6.67</v>
      </c>
      <c r="F15" s="50">
        <v>3.4</v>
      </c>
      <c r="G15" s="50">
        <v>65.69</v>
      </c>
      <c r="H15" s="50">
        <v>33.68</v>
      </c>
      <c r="I15" s="50">
        <v>10.17</v>
      </c>
      <c r="J15" s="50">
        <v>0.81</v>
      </c>
      <c r="K15" s="50">
        <v>50.83</v>
      </c>
      <c r="L15" s="50">
        <v>15.28</v>
      </c>
      <c r="M15" s="50">
        <v>98.57</v>
      </c>
      <c r="N15" s="50">
        <v>2.9</v>
      </c>
      <c r="O15" s="50">
        <v>0</v>
      </c>
      <c r="P15" s="50">
        <v>1.04</v>
      </c>
      <c r="Q15" s="50">
        <v>5.13</v>
      </c>
    </row>
    <row r="16" spans="1:21" customFormat="1">
      <c r="A16" s="55">
        <v>45315.333333333336</v>
      </c>
      <c r="B16" s="50">
        <v>31.59</v>
      </c>
      <c r="C16" s="50">
        <v>25.49</v>
      </c>
      <c r="D16" s="50">
        <v>40.01</v>
      </c>
      <c r="E16" s="50">
        <v>6.53</v>
      </c>
      <c r="F16" s="50">
        <v>3.47</v>
      </c>
      <c r="G16" s="50">
        <v>71.02</v>
      </c>
      <c r="H16" s="50">
        <v>37.25</v>
      </c>
      <c r="I16" s="50">
        <v>10.199999999999999</v>
      </c>
      <c r="J16" s="50">
        <v>0.9</v>
      </c>
      <c r="K16" s="50">
        <v>53.94</v>
      </c>
      <c r="L16" s="50">
        <v>15.45</v>
      </c>
      <c r="M16" s="50">
        <v>98.43</v>
      </c>
      <c r="N16" s="50">
        <v>57.4</v>
      </c>
      <c r="O16" s="50">
        <v>0</v>
      </c>
      <c r="P16" s="50">
        <v>1.06</v>
      </c>
      <c r="Q16" s="50">
        <v>5.18</v>
      </c>
    </row>
    <row r="17" spans="1:17" customFormat="1">
      <c r="A17" s="55">
        <v>45315.375</v>
      </c>
      <c r="B17" s="50">
        <v>32.76</v>
      </c>
      <c r="C17" s="50">
        <v>26.43</v>
      </c>
      <c r="D17" s="50">
        <v>41.38</v>
      </c>
      <c r="E17" s="50">
        <v>6.99</v>
      </c>
      <c r="F17" s="50">
        <v>3.31</v>
      </c>
      <c r="G17" s="50">
        <v>83.94</v>
      </c>
      <c r="H17" s="50">
        <v>37.83</v>
      </c>
      <c r="I17" s="50">
        <v>10.49</v>
      </c>
      <c r="J17" s="50">
        <v>1.41</v>
      </c>
      <c r="K17" s="50">
        <v>55.75</v>
      </c>
      <c r="L17" s="50">
        <v>16.79</v>
      </c>
      <c r="M17" s="50">
        <v>90.87</v>
      </c>
      <c r="N17" s="50">
        <v>119.1</v>
      </c>
      <c r="O17" s="50">
        <v>0</v>
      </c>
      <c r="P17" s="50">
        <v>1.1100000000000001</v>
      </c>
      <c r="Q17" s="50">
        <v>5.23</v>
      </c>
    </row>
    <row r="18" spans="1:17" customFormat="1">
      <c r="A18" s="55">
        <v>45315.416666666664</v>
      </c>
      <c r="B18" s="50">
        <v>33.08</v>
      </c>
      <c r="C18" s="50">
        <v>28.97</v>
      </c>
      <c r="D18" s="50">
        <v>43.01</v>
      </c>
      <c r="E18" s="50">
        <v>7.24</v>
      </c>
      <c r="F18" s="50">
        <v>3.67</v>
      </c>
      <c r="G18" s="50">
        <v>89.27</v>
      </c>
      <c r="H18" s="50">
        <v>44.52</v>
      </c>
      <c r="I18" s="50">
        <v>11.13</v>
      </c>
      <c r="J18" s="50">
        <v>1.18</v>
      </c>
      <c r="K18" s="50">
        <v>55.72</v>
      </c>
      <c r="L18" s="50">
        <v>18.02</v>
      </c>
      <c r="M18" s="50">
        <v>83.72</v>
      </c>
      <c r="N18" s="50">
        <v>141.19999999999999</v>
      </c>
      <c r="O18" s="50">
        <v>0</v>
      </c>
      <c r="P18" s="50">
        <v>1.19</v>
      </c>
      <c r="Q18" s="50">
        <v>5.21</v>
      </c>
    </row>
    <row r="19" spans="1:17" customFormat="1">
      <c r="A19" s="55">
        <v>45315.458333333336</v>
      </c>
      <c r="B19" s="50">
        <v>33.299999999999997</v>
      </c>
      <c r="C19" s="50">
        <v>30.68</v>
      </c>
      <c r="D19" s="50">
        <v>43.65</v>
      </c>
      <c r="E19" s="50">
        <v>8.3699999999999992</v>
      </c>
      <c r="F19" s="50">
        <v>3.39</v>
      </c>
      <c r="G19" s="50">
        <v>93.82</v>
      </c>
      <c r="H19" s="50">
        <v>44.52</v>
      </c>
      <c r="I19" s="50">
        <v>11.28</v>
      </c>
      <c r="J19" s="50">
        <v>1.02</v>
      </c>
      <c r="K19" s="50">
        <v>67.84</v>
      </c>
      <c r="L19" s="50">
        <v>19.62</v>
      </c>
      <c r="M19" s="50">
        <v>78.44</v>
      </c>
      <c r="N19" s="50">
        <v>326.3</v>
      </c>
      <c r="O19" s="50">
        <v>0</v>
      </c>
      <c r="P19" s="50">
        <v>1.19</v>
      </c>
      <c r="Q19" s="50">
        <v>5.24</v>
      </c>
    </row>
    <row r="20" spans="1:17" customFormat="1">
      <c r="A20" s="55">
        <v>45315.5</v>
      </c>
      <c r="B20" s="50">
        <v>30.55</v>
      </c>
      <c r="C20" s="50">
        <v>31.44</v>
      </c>
      <c r="D20" s="50">
        <v>42.02</v>
      </c>
      <c r="E20" s="50">
        <v>8.83</v>
      </c>
      <c r="F20" s="50">
        <v>3.33</v>
      </c>
      <c r="G20" s="50">
        <v>93.82</v>
      </c>
      <c r="H20" s="50">
        <v>45.57</v>
      </c>
      <c r="I20" s="50">
        <v>11.15</v>
      </c>
      <c r="J20" s="50">
        <v>1.21</v>
      </c>
      <c r="K20" s="50">
        <v>60.67</v>
      </c>
      <c r="L20" s="50">
        <v>20.66</v>
      </c>
      <c r="M20" s="50">
        <v>74.08</v>
      </c>
      <c r="N20" s="50">
        <v>415.9</v>
      </c>
      <c r="O20" s="50">
        <v>0</v>
      </c>
      <c r="P20" s="50">
        <v>1.17</v>
      </c>
      <c r="Q20" s="50">
        <v>5.19</v>
      </c>
    </row>
    <row r="21" spans="1:17" customFormat="1">
      <c r="A21" s="55">
        <v>45315.541666666664</v>
      </c>
      <c r="B21" s="50">
        <v>26.4</v>
      </c>
      <c r="C21" s="50">
        <v>32.020000000000003</v>
      </c>
      <c r="D21" s="50">
        <v>39.14</v>
      </c>
      <c r="E21" s="50">
        <v>8.33</v>
      </c>
      <c r="F21" s="50">
        <v>3.67</v>
      </c>
      <c r="G21" s="50">
        <v>89.5</v>
      </c>
      <c r="H21" s="50">
        <v>45.57</v>
      </c>
      <c r="I21" s="50">
        <v>10.72</v>
      </c>
      <c r="J21" s="50">
        <v>1.31</v>
      </c>
      <c r="K21" s="50">
        <v>64.27</v>
      </c>
      <c r="L21" s="50">
        <v>21.33</v>
      </c>
      <c r="M21" s="50">
        <v>69.83</v>
      </c>
      <c r="N21" s="50">
        <v>341.8</v>
      </c>
      <c r="O21" s="50">
        <v>0</v>
      </c>
      <c r="P21" s="50">
        <v>1.1200000000000001</v>
      </c>
      <c r="Q21" s="50">
        <v>5.14</v>
      </c>
    </row>
    <row r="22" spans="1:17" customFormat="1">
      <c r="A22" s="55">
        <v>45315.583333333336</v>
      </c>
      <c r="B22" s="50">
        <v>21.48</v>
      </c>
      <c r="C22" s="50">
        <v>33</v>
      </c>
      <c r="D22" s="50">
        <v>35.380000000000003</v>
      </c>
      <c r="E22" s="50">
        <v>8.24</v>
      </c>
      <c r="F22" s="50">
        <v>3.56</v>
      </c>
      <c r="G22" s="50">
        <v>84.3</v>
      </c>
      <c r="H22" s="50">
        <v>42.46</v>
      </c>
      <c r="I22" s="50">
        <v>10.14</v>
      </c>
      <c r="J22" s="50">
        <v>0.68</v>
      </c>
      <c r="K22" s="50">
        <v>341.9</v>
      </c>
      <c r="L22" s="50">
        <v>21.75</v>
      </c>
      <c r="M22" s="50">
        <v>67.55</v>
      </c>
      <c r="N22" s="50">
        <v>292.10000000000002</v>
      </c>
      <c r="O22" s="50">
        <v>0</v>
      </c>
      <c r="P22" s="50">
        <v>1.08</v>
      </c>
      <c r="Q22" s="50">
        <v>5.03</v>
      </c>
    </row>
    <row r="23" spans="1:17" customFormat="1">
      <c r="A23" s="55">
        <v>45315.625</v>
      </c>
      <c r="B23" s="50">
        <v>20.9</v>
      </c>
      <c r="C23" s="50">
        <v>27.72</v>
      </c>
      <c r="D23" s="50">
        <v>32.590000000000003</v>
      </c>
      <c r="E23" s="50">
        <v>7.74</v>
      </c>
      <c r="F23" s="50">
        <v>3.69</v>
      </c>
      <c r="G23" s="50">
        <v>81.03</v>
      </c>
      <c r="H23" s="50">
        <v>41.14</v>
      </c>
      <c r="I23" s="50">
        <v>9.76</v>
      </c>
      <c r="J23" s="50">
        <v>0.65</v>
      </c>
      <c r="K23" s="50">
        <v>112.62</v>
      </c>
      <c r="L23" s="50">
        <v>22.61</v>
      </c>
      <c r="M23" s="50">
        <v>65.12</v>
      </c>
      <c r="N23" s="50">
        <v>239</v>
      </c>
      <c r="O23" s="50">
        <v>0</v>
      </c>
      <c r="P23" s="50">
        <v>1.05</v>
      </c>
      <c r="Q23" s="50">
        <v>5</v>
      </c>
    </row>
    <row r="24" spans="1:17" customFormat="1">
      <c r="A24" s="55">
        <v>45315.666666666664</v>
      </c>
      <c r="B24" s="50">
        <v>19.05</v>
      </c>
      <c r="C24" s="50">
        <v>25.88</v>
      </c>
      <c r="D24" s="50">
        <v>30.11</v>
      </c>
      <c r="E24" s="50">
        <v>8.07</v>
      </c>
      <c r="F24" s="50">
        <v>3.45</v>
      </c>
      <c r="G24" s="50">
        <v>78.69</v>
      </c>
      <c r="H24" s="50">
        <v>40.22</v>
      </c>
      <c r="I24" s="50">
        <v>9.41</v>
      </c>
      <c r="J24" s="50">
        <v>0.81</v>
      </c>
      <c r="K24" s="50">
        <v>83.83</v>
      </c>
      <c r="L24" s="50">
        <v>22.67</v>
      </c>
      <c r="M24" s="50">
        <v>64.16</v>
      </c>
      <c r="N24" s="50">
        <v>141.19999999999999</v>
      </c>
      <c r="O24" s="50">
        <v>0</v>
      </c>
      <c r="P24" s="50">
        <v>1.02</v>
      </c>
      <c r="Q24" s="50">
        <v>4.99</v>
      </c>
    </row>
    <row r="25" spans="1:17" customFormat="1">
      <c r="A25" s="55">
        <v>45315.708333333336</v>
      </c>
      <c r="B25" s="50">
        <v>18.02</v>
      </c>
      <c r="C25" s="50">
        <v>25.19</v>
      </c>
      <c r="D25" s="50">
        <v>28.85</v>
      </c>
      <c r="E25" s="50">
        <v>7.67</v>
      </c>
      <c r="F25" s="50">
        <v>3.5</v>
      </c>
      <c r="G25" s="50">
        <v>72.77</v>
      </c>
      <c r="H25" s="50">
        <v>39.31</v>
      </c>
      <c r="I25" s="50">
        <v>9.0500000000000007</v>
      </c>
      <c r="J25" s="50">
        <v>0.74</v>
      </c>
      <c r="K25" s="50">
        <v>107.33</v>
      </c>
      <c r="L25" s="50">
        <v>22.33</v>
      </c>
      <c r="M25" s="50">
        <v>67.430000000000007</v>
      </c>
      <c r="N25" s="50">
        <v>62.7</v>
      </c>
      <c r="O25" s="50">
        <v>0</v>
      </c>
      <c r="P25" s="50">
        <v>0.99</v>
      </c>
      <c r="Q25" s="50">
        <v>5.0199999999999996</v>
      </c>
    </row>
    <row r="26" spans="1:17" customFormat="1">
      <c r="A26" s="55">
        <v>45315.75</v>
      </c>
      <c r="B26" s="50">
        <v>17.14</v>
      </c>
      <c r="C26" s="50">
        <v>24.82</v>
      </c>
      <c r="D26" s="50">
        <v>28.07</v>
      </c>
      <c r="E26" s="50">
        <v>7.31</v>
      </c>
      <c r="F26" s="50">
        <v>3.84</v>
      </c>
      <c r="G26" s="50">
        <v>72.59</v>
      </c>
      <c r="H26" s="50">
        <v>38.69</v>
      </c>
      <c r="I26" s="50">
        <v>8.83</v>
      </c>
      <c r="J26" s="50">
        <v>0.25</v>
      </c>
      <c r="K26" s="50">
        <v>175.62</v>
      </c>
      <c r="L26" s="50">
        <v>21.17</v>
      </c>
      <c r="M26" s="50">
        <v>82.38</v>
      </c>
      <c r="N26" s="50">
        <v>12</v>
      </c>
      <c r="O26" s="50">
        <v>0</v>
      </c>
      <c r="P26" s="50">
        <v>0.98</v>
      </c>
      <c r="Q26" s="50">
        <v>5.0199999999999996</v>
      </c>
    </row>
    <row r="27" spans="1:17" customFormat="1">
      <c r="A27" s="55">
        <v>45315.791666666664</v>
      </c>
      <c r="B27" s="50">
        <v>14.84</v>
      </c>
      <c r="C27" s="50">
        <v>26.39</v>
      </c>
      <c r="D27" s="50">
        <v>26.25</v>
      </c>
      <c r="E27" s="50">
        <v>7.6</v>
      </c>
      <c r="F27" s="50">
        <v>3.35</v>
      </c>
      <c r="G27" s="50">
        <v>73.62</v>
      </c>
      <c r="H27" s="50">
        <v>39.6</v>
      </c>
      <c r="I27" s="50">
        <v>8.5500000000000007</v>
      </c>
      <c r="J27" s="50">
        <v>0.23</v>
      </c>
      <c r="K27" s="50">
        <v>196.7</v>
      </c>
      <c r="L27" s="50">
        <v>19.329999999999998</v>
      </c>
      <c r="M27" s="50">
        <v>86.51</v>
      </c>
      <c r="N27" s="50">
        <v>0</v>
      </c>
      <c r="O27" s="50">
        <v>0</v>
      </c>
      <c r="P27" s="50">
        <v>0.95</v>
      </c>
      <c r="Q27" s="50">
        <v>5.03</v>
      </c>
    </row>
    <row r="28" spans="1:17" customFormat="1">
      <c r="A28" s="55">
        <v>45315.833333333336</v>
      </c>
      <c r="B28" s="50">
        <v>26.33</v>
      </c>
      <c r="C28" s="50">
        <v>30.75</v>
      </c>
      <c r="D28" s="50">
        <v>38.53</v>
      </c>
      <c r="E28" s="50">
        <v>8.07</v>
      </c>
      <c r="F28" s="50">
        <v>3.44</v>
      </c>
      <c r="G28" s="50">
        <v>77.489999999999995</v>
      </c>
      <c r="H28" s="50">
        <v>43.17</v>
      </c>
      <c r="I28" s="50">
        <v>9.27</v>
      </c>
      <c r="J28" s="50">
        <v>0.24</v>
      </c>
      <c r="K28" s="50">
        <v>206.11</v>
      </c>
      <c r="L28" s="50">
        <v>18.96</v>
      </c>
      <c r="M28" s="50">
        <v>91.3</v>
      </c>
      <c r="N28" s="50">
        <v>0</v>
      </c>
      <c r="O28" s="50">
        <v>0</v>
      </c>
      <c r="P28" s="50">
        <v>1.1299999999999999</v>
      </c>
      <c r="Q28" s="50">
        <v>5.13</v>
      </c>
    </row>
    <row r="29" spans="1:17" customFormat="1">
      <c r="A29" s="55">
        <v>45315.875</v>
      </c>
      <c r="B29" s="50">
        <v>33.270000000000003</v>
      </c>
      <c r="C29" s="50">
        <v>31.46</v>
      </c>
      <c r="D29" s="50">
        <v>44.43</v>
      </c>
      <c r="E29" s="50">
        <v>8</v>
      </c>
      <c r="F29" s="50">
        <v>3.28</v>
      </c>
      <c r="G29" s="50">
        <v>89.36</v>
      </c>
      <c r="H29" s="50">
        <v>45.4</v>
      </c>
      <c r="I29" s="50">
        <v>11.04</v>
      </c>
      <c r="J29" s="50">
        <v>0.31</v>
      </c>
      <c r="K29" s="50">
        <v>183.48</v>
      </c>
      <c r="L29" s="50">
        <v>17.739999999999998</v>
      </c>
      <c r="M29" s="50">
        <v>94.63</v>
      </c>
      <c r="N29" s="50">
        <v>0</v>
      </c>
      <c r="O29" s="50">
        <v>0</v>
      </c>
      <c r="P29" s="50">
        <v>1.25</v>
      </c>
      <c r="Q29" s="50">
        <v>5.2</v>
      </c>
    </row>
    <row r="30" spans="1:17" customFormat="1">
      <c r="A30" s="55">
        <v>45315.916666666664</v>
      </c>
      <c r="B30" s="50">
        <v>33.81</v>
      </c>
      <c r="C30" s="50">
        <v>31.41</v>
      </c>
      <c r="D30" s="50">
        <v>44.84</v>
      </c>
      <c r="E30" s="50">
        <v>8.48</v>
      </c>
      <c r="F30" s="50">
        <v>3.34</v>
      </c>
      <c r="G30" s="50">
        <v>92.71</v>
      </c>
      <c r="H30" s="50">
        <v>47.24</v>
      </c>
      <c r="I30" s="50">
        <v>11.74</v>
      </c>
      <c r="J30" s="50">
        <v>0.17</v>
      </c>
      <c r="K30" s="50">
        <v>221.32</v>
      </c>
      <c r="L30" s="50">
        <v>17.14</v>
      </c>
      <c r="M30" s="50">
        <v>96.26</v>
      </c>
      <c r="N30" s="50">
        <v>0</v>
      </c>
      <c r="O30" s="50">
        <v>0</v>
      </c>
      <c r="P30" s="50">
        <v>1.27</v>
      </c>
      <c r="Q30" s="50">
        <v>5.18</v>
      </c>
    </row>
    <row r="31" spans="1:17" customFormat="1">
      <c r="A31" s="55">
        <v>45315.958333333336</v>
      </c>
      <c r="B31" s="50">
        <v>32.92</v>
      </c>
      <c r="C31" s="50">
        <v>30.45</v>
      </c>
      <c r="D31" s="50">
        <v>43.28</v>
      </c>
      <c r="E31" s="50">
        <v>8.31</v>
      </c>
      <c r="F31" s="50">
        <v>3.39</v>
      </c>
      <c r="G31" s="50">
        <v>92.71</v>
      </c>
      <c r="H31" s="50">
        <v>47.24</v>
      </c>
      <c r="I31" s="50">
        <v>11.93</v>
      </c>
      <c r="J31" s="50">
        <v>0.14000000000000001</v>
      </c>
      <c r="K31" s="50">
        <v>202.49</v>
      </c>
      <c r="L31" s="50">
        <v>16.78</v>
      </c>
      <c r="M31" s="50">
        <v>97.92</v>
      </c>
      <c r="N31" s="50">
        <v>0</v>
      </c>
      <c r="O31" s="50">
        <v>0</v>
      </c>
      <c r="P31" s="50">
        <v>1.29</v>
      </c>
      <c r="Q31" s="50">
        <v>5.14</v>
      </c>
    </row>
    <row r="32" spans="1:17" customFormat="1">
      <c r="A32" s="55">
        <v>45316</v>
      </c>
      <c r="B32" s="50">
        <v>39.83</v>
      </c>
      <c r="C32" s="50">
        <v>30.53</v>
      </c>
      <c r="D32" s="50">
        <v>47.76</v>
      </c>
      <c r="E32" s="50">
        <v>8.7100000000000009</v>
      </c>
      <c r="F32" s="50">
        <v>3.54</v>
      </c>
      <c r="G32" s="50">
        <v>88.98</v>
      </c>
      <c r="H32" s="50">
        <v>45.22</v>
      </c>
      <c r="I32" s="50">
        <v>12.46</v>
      </c>
      <c r="J32" s="50">
        <v>0.15</v>
      </c>
      <c r="K32" s="50">
        <v>189.51</v>
      </c>
      <c r="L32" s="50">
        <v>16.440000000000001</v>
      </c>
      <c r="M32" s="50">
        <v>98.88</v>
      </c>
      <c r="N32" s="50">
        <v>0</v>
      </c>
      <c r="O32" s="50">
        <v>0</v>
      </c>
      <c r="P32" s="50">
        <v>1.35</v>
      </c>
      <c r="Q32" s="50">
        <v>5.18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14.84</v>
      </c>
      <c r="C34" s="41">
        <f t="shared" si="0"/>
        <v>24.74</v>
      </c>
      <c r="D34" s="41">
        <f t="shared" si="0"/>
        <v>26.25</v>
      </c>
      <c r="E34" s="41">
        <f t="shared" si="0"/>
        <v>4.8499999999999996</v>
      </c>
      <c r="F34" s="41">
        <f t="shared" si="0"/>
        <v>3.27</v>
      </c>
      <c r="G34" s="41">
        <f t="shared" si="0"/>
        <v>63.95</v>
      </c>
      <c r="H34" s="41">
        <f t="shared" si="0"/>
        <v>33.68</v>
      </c>
      <c r="I34" s="41">
        <f t="shared" si="0"/>
        <v>8.5500000000000007</v>
      </c>
      <c r="J34" s="41">
        <f t="shared" si="0"/>
        <v>0.14000000000000001</v>
      </c>
      <c r="K34" s="41">
        <f t="shared" si="0"/>
        <v>48.96</v>
      </c>
      <c r="L34" s="41">
        <f t="shared" si="0"/>
        <v>15.28</v>
      </c>
      <c r="M34" s="41">
        <f t="shared" si="0"/>
        <v>64.16</v>
      </c>
      <c r="N34" s="41">
        <f t="shared" si="0"/>
        <v>0</v>
      </c>
      <c r="O34" s="41">
        <f t="shared" si="0"/>
        <v>0</v>
      </c>
      <c r="P34" s="41">
        <f t="shared" si="0"/>
        <v>0.95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39.83</v>
      </c>
      <c r="C35" s="33">
        <f t="shared" si="1"/>
        <v>33</v>
      </c>
      <c r="D35" s="33">
        <f t="shared" si="1"/>
        <v>47.76</v>
      </c>
      <c r="E35" s="33">
        <f t="shared" si="1"/>
        <v>8.83</v>
      </c>
      <c r="F35" s="33">
        <f t="shared" si="1"/>
        <v>3.84</v>
      </c>
      <c r="G35" s="33">
        <f t="shared" si="1"/>
        <v>93.82</v>
      </c>
      <c r="H35" s="33">
        <f t="shared" si="1"/>
        <v>47.24</v>
      </c>
      <c r="I35" s="33">
        <f t="shared" si="1"/>
        <v>12.46</v>
      </c>
      <c r="J35" s="33">
        <f t="shared" si="1"/>
        <v>1.45</v>
      </c>
      <c r="K35" s="33">
        <f t="shared" si="1"/>
        <v>341.9</v>
      </c>
      <c r="L35" s="33">
        <f t="shared" si="1"/>
        <v>22.67</v>
      </c>
      <c r="M35" s="33">
        <f t="shared" si="1"/>
        <v>99.75</v>
      </c>
      <c r="N35" s="33">
        <f t="shared" si="1"/>
        <v>415.9</v>
      </c>
      <c r="O35" s="33">
        <f t="shared" si="1"/>
        <v>1</v>
      </c>
      <c r="P35" s="33">
        <f t="shared" si="1"/>
        <v>1.35</v>
      </c>
      <c r="Q35" s="33">
        <f t="shared" si="1"/>
        <v>5.24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25.882916666666659</v>
      </c>
      <c r="C36" s="41">
        <f t="shared" si="2"/>
        <v>27.986666666666668</v>
      </c>
      <c r="D36" s="41">
        <f t="shared" si="2"/>
        <v>36.524166666666666</v>
      </c>
      <c r="E36" s="41">
        <f t="shared" si="2"/>
        <v>7.4483333333333315</v>
      </c>
      <c r="F36" s="41">
        <f t="shared" si="2"/>
        <v>3.4658333333333338</v>
      </c>
      <c r="G36" s="41">
        <f t="shared" si="2"/>
        <v>78.379166666666663</v>
      </c>
      <c r="H36" s="41">
        <f t="shared" si="2"/>
        <v>40.731666666666669</v>
      </c>
      <c r="I36" s="41">
        <f t="shared" si="2"/>
        <v>10.249583333333335</v>
      </c>
      <c r="J36" s="41">
        <f t="shared" si="2"/>
        <v>0.82999999999999974</v>
      </c>
      <c r="K36" s="41">
        <f t="shared" si="2"/>
        <v>135.38833333333332</v>
      </c>
      <c r="L36" s="41">
        <f t="shared" si="2"/>
        <v>18.284583333333334</v>
      </c>
      <c r="M36" s="41">
        <f t="shared" si="2"/>
        <v>87.332083333333344</v>
      </c>
      <c r="N36" s="41">
        <f t="shared" si="2"/>
        <v>89.649999999999977</v>
      </c>
      <c r="O36" s="41">
        <f t="shared" si="2"/>
        <v>5.8333333333333327E-2</v>
      </c>
      <c r="P36" s="41">
        <f t="shared" si="2"/>
        <v>1.1012499999999998</v>
      </c>
      <c r="Q36" s="41">
        <f t="shared" si="2"/>
        <v>5.0999999999999988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6.9916959932708096</v>
      </c>
      <c r="C37" s="41">
        <f t="shared" ref="C37:Q37" si="3">STDEV(C9:C32)</f>
        <v>2.818778129780267</v>
      </c>
      <c r="D37" s="41">
        <f t="shared" si="3"/>
        <v>6.405328567526519</v>
      </c>
      <c r="E37" s="41">
        <f t="shared" si="3"/>
        <v>1.0274944902705092</v>
      </c>
      <c r="F37" s="41">
        <f t="shared" si="3"/>
        <v>0.14309974224952715</v>
      </c>
      <c r="G37" s="41">
        <f t="shared" si="3"/>
        <v>11.076061109895809</v>
      </c>
      <c r="H37" s="41">
        <f t="shared" si="3"/>
        <v>4.2186827396677158</v>
      </c>
      <c r="I37" s="41">
        <f t="shared" si="3"/>
        <v>1.0078236524773139</v>
      </c>
      <c r="J37" s="41">
        <f t="shared" si="3"/>
        <v>0.46678362923493744</v>
      </c>
      <c r="K37" s="41">
        <f t="shared" si="3"/>
        <v>93.053751818700107</v>
      </c>
      <c r="L37" s="41">
        <f t="shared" si="3"/>
        <v>2.614241895541761</v>
      </c>
      <c r="M37" s="41">
        <f t="shared" si="3"/>
        <v>12.86749763827496</v>
      </c>
      <c r="N37" s="41">
        <f t="shared" si="3"/>
        <v>133.0678741486268</v>
      </c>
      <c r="O37" s="41">
        <f t="shared" si="3"/>
        <v>0.20834057958412536</v>
      </c>
      <c r="P37" s="41">
        <f t="shared" si="3"/>
        <v>0.10759475096296926</v>
      </c>
      <c r="Q37" s="41">
        <f t="shared" si="3"/>
        <v>8.9199337100339504E-2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45316.041666666664</v>
      </c>
      <c r="B9" s="50">
        <v>51.58</v>
      </c>
      <c r="C9" s="50">
        <v>27.04</v>
      </c>
      <c r="D9" s="50">
        <v>56.84</v>
      </c>
      <c r="E9" s="50">
        <v>7.86</v>
      </c>
      <c r="F9" s="50">
        <v>3.42</v>
      </c>
      <c r="G9" s="50">
        <v>87.4</v>
      </c>
      <c r="H9" s="50">
        <v>44.54</v>
      </c>
      <c r="I9" s="50">
        <v>12.81</v>
      </c>
      <c r="J9" s="50">
        <v>0.41</v>
      </c>
      <c r="K9" s="50">
        <v>119.79</v>
      </c>
      <c r="L9" s="50">
        <v>16.32</v>
      </c>
      <c r="M9" s="50">
        <v>99.01</v>
      </c>
      <c r="N9" s="50">
        <v>0</v>
      </c>
      <c r="O9" s="50">
        <v>0</v>
      </c>
      <c r="P9" s="50">
        <v>1.38</v>
      </c>
      <c r="Q9" s="50">
        <v>5.29</v>
      </c>
    </row>
    <row r="10" spans="1:21" customFormat="1">
      <c r="A10" s="55">
        <v>45316.083333333336</v>
      </c>
      <c r="B10" s="50">
        <v>57.49</v>
      </c>
      <c r="C10" s="50">
        <v>27.22</v>
      </c>
      <c r="D10" s="50">
        <v>61.62</v>
      </c>
      <c r="E10" s="50">
        <v>8.09</v>
      </c>
      <c r="F10" s="50">
        <v>3.34</v>
      </c>
      <c r="G10" s="50">
        <v>95.57</v>
      </c>
      <c r="H10" s="50">
        <v>49.74</v>
      </c>
      <c r="I10" s="50">
        <v>13.34</v>
      </c>
      <c r="J10" s="50">
        <v>0.28999999999999998</v>
      </c>
      <c r="K10" s="50">
        <v>274.25</v>
      </c>
      <c r="L10" s="50">
        <v>16.04</v>
      </c>
      <c r="M10" s="50">
        <v>99.64</v>
      </c>
      <c r="N10" s="50">
        <v>0</v>
      </c>
      <c r="O10" s="50">
        <v>0</v>
      </c>
      <c r="P10" s="50">
        <v>1.41</v>
      </c>
      <c r="Q10" s="50">
        <v>5.39</v>
      </c>
    </row>
    <row r="11" spans="1:21" customFormat="1">
      <c r="A11" s="55">
        <v>45316.125</v>
      </c>
      <c r="B11" s="50">
        <v>59.77</v>
      </c>
      <c r="C11" s="50">
        <v>27.53</v>
      </c>
      <c r="D11" s="50">
        <v>63.56</v>
      </c>
      <c r="E11" s="50">
        <v>5.58</v>
      </c>
      <c r="F11" s="50">
        <v>3.28</v>
      </c>
      <c r="G11" s="50">
        <v>103.56</v>
      </c>
      <c r="H11" s="50">
        <v>49.74</v>
      </c>
      <c r="I11" s="50">
        <v>13.56</v>
      </c>
      <c r="J11" s="50">
        <v>0.76</v>
      </c>
      <c r="K11" s="50">
        <v>41.06</v>
      </c>
      <c r="L11" s="50">
        <v>15.31</v>
      </c>
      <c r="M11" s="50">
        <v>99.77</v>
      </c>
      <c r="N11" s="50">
        <v>0</v>
      </c>
      <c r="O11" s="50">
        <v>0</v>
      </c>
      <c r="P11" s="50">
        <v>1.4</v>
      </c>
      <c r="Q11" s="50">
        <v>5.43</v>
      </c>
    </row>
    <row r="12" spans="1:21" customFormat="1">
      <c r="A12" s="55">
        <v>45316.166666666664</v>
      </c>
      <c r="B12" s="50">
        <v>52.4</v>
      </c>
      <c r="C12" s="50">
        <v>27.74</v>
      </c>
      <c r="D12" s="50">
        <v>57.66</v>
      </c>
      <c r="E12" s="50">
        <v>5.28</v>
      </c>
      <c r="F12" s="50">
        <v>3.56</v>
      </c>
      <c r="G12" s="50">
        <v>103.56</v>
      </c>
      <c r="H12" s="50">
        <v>49.56</v>
      </c>
      <c r="I12" s="50">
        <v>13.18</v>
      </c>
      <c r="J12" s="50">
        <v>1.46</v>
      </c>
      <c r="K12" s="50">
        <v>53.61</v>
      </c>
      <c r="L12" s="50">
        <v>14.87</v>
      </c>
      <c r="M12" s="50">
        <v>94.99</v>
      </c>
      <c r="N12" s="50">
        <v>0</v>
      </c>
      <c r="O12" s="50">
        <v>0</v>
      </c>
      <c r="P12" s="50">
        <v>1.28</v>
      </c>
      <c r="Q12" s="50">
        <v>5.36</v>
      </c>
    </row>
    <row r="13" spans="1:21" customFormat="1">
      <c r="A13" s="55">
        <v>45316.208333333336</v>
      </c>
      <c r="B13" s="50">
        <v>40.15</v>
      </c>
      <c r="C13" s="50">
        <v>26.82</v>
      </c>
      <c r="D13" s="50">
        <v>47.56</v>
      </c>
      <c r="E13" s="50">
        <v>4.96</v>
      </c>
      <c r="F13" s="50">
        <v>3.29</v>
      </c>
      <c r="G13" s="50">
        <v>88.62</v>
      </c>
      <c r="H13" s="50">
        <v>45.95</v>
      </c>
      <c r="I13" s="50">
        <v>11.92</v>
      </c>
      <c r="J13" s="50">
        <v>1.31</v>
      </c>
      <c r="K13" s="50">
        <v>67.349999999999994</v>
      </c>
      <c r="L13" s="50">
        <v>15.4</v>
      </c>
      <c r="M13" s="50">
        <v>100.59</v>
      </c>
      <c r="N13" s="50">
        <v>0</v>
      </c>
      <c r="O13" s="50">
        <v>0</v>
      </c>
      <c r="P13" s="50">
        <v>1.1200000000000001</v>
      </c>
      <c r="Q13" s="50">
        <v>5.24</v>
      </c>
    </row>
    <row r="14" spans="1:21" customFormat="1">
      <c r="A14" s="55">
        <v>45316.25</v>
      </c>
      <c r="B14" s="50">
        <v>33.28</v>
      </c>
      <c r="C14" s="50">
        <v>27.19</v>
      </c>
      <c r="D14" s="50">
        <v>41.99</v>
      </c>
      <c r="E14" s="50">
        <v>5.35</v>
      </c>
      <c r="F14" s="50">
        <v>3.32</v>
      </c>
      <c r="G14" s="50">
        <v>86.49</v>
      </c>
      <c r="H14" s="50">
        <v>43.74</v>
      </c>
      <c r="I14" s="50">
        <v>10.83</v>
      </c>
      <c r="J14" s="50">
        <v>1.1200000000000001</v>
      </c>
      <c r="K14" s="50">
        <v>64.66</v>
      </c>
      <c r="L14" s="50">
        <v>15.66</v>
      </c>
      <c r="M14" s="50">
        <v>100.6</v>
      </c>
      <c r="N14" s="50">
        <v>0</v>
      </c>
      <c r="O14" s="50">
        <v>0</v>
      </c>
      <c r="P14" s="50">
        <v>1.04</v>
      </c>
      <c r="Q14" s="50">
        <v>5.18</v>
      </c>
    </row>
    <row r="15" spans="1:21" customFormat="1">
      <c r="A15" s="55">
        <v>45316.291666666664</v>
      </c>
      <c r="B15" s="50">
        <v>28.48</v>
      </c>
      <c r="C15" s="50">
        <v>26.96</v>
      </c>
      <c r="D15" s="50">
        <v>38.270000000000003</v>
      </c>
      <c r="E15" s="50">
        <v>5.32</v>
      </c>
      <c r="F15" s="50">
        <v>3.36</v>
      </c>
      <c r="G15" s="50">
        <v>68.92</v>
      </c>
      <c r="H15" s="50">
        <v>36.229999999999997</v>
      </c>
      <c r="I15" s="50">
        <v>9.93</v>
      </c>
      <c r="J15" s="50">
        <v>1.03</v>
      </c>
      <c r="K15" s="50">
        <v>133</v>
      </c>
      <c r="L15" s="50">
        <v>16.27</v>
      </c>
      <c r="M15" s="50">
        <v>100.6</v>
      </c>
      <c r="N15" s="50">
        <v>0.8</v>
      </c>
      <c r="O15" s="50">
        <v>0</v>
      </c>
      <c r="P15" s="50">
        <v>0.96</v>
      </c>
      <c r="Q15" s="50">
        <v>5.14</v>
      </c>
    </row>
    <row r="16" spans="1:21" customFormat="1">
      <c r="A16" s="55">
        <v>45316.333333333336</v>
      </c>
      <c r="B16" s="50">
        <v>22.83</v>
      </c>
      <c r="C16" s="50">
        <v>26.44</v>
      </c>
      <c r="D16" s="50">
        <v>33.35</v>
      </c>
      <c r="E16" s="50">
        <v>5.6</v>
      </c>
      <c r="F16" s="50">
        <v>3.33</v>
      </c>
      <c r="G16" s="50">
        <v>57.43</v>
      </c>
      <c r="H16" s="50">
        <v>28.8</v>
      </c>
      <c r="I16" s="50">
        <v>9.1999999999999993</v>
      </c>
      <c r="J16" s="50">
        <v>0.8</v>
      </c>
      <c r="K16" s="50">
        <v>75.209999999999994</v>
      </c>
      <c r="L16" s="50">
        <v>16.61</v>
      </c>
      <c r="M16" s="50">
        <v>100.6</v>
      </c>
      <c r="N16" s="50">
        <v>21.3</v>
      </c>
      <c r="O16" s="50">
        <v>0</v>
      </c>
      <c r="P16" s="50">
        <v>0.91</v>
      </c>
      <c r="Q16" s="50">
        <v>5.05</v>
      </c>
    </row>
    <row r="17" spans="1:17" customFormat="1">
      <c r="A17" s="55">
        <v>45316.375</v>
      </c>
      <c r="B17" s="50">
        <v>19.45</v>
      </c>
      <c r="C17" s="50">
        <v>26.71</v>
      </c>
      <c r="D17" s="50">
        <v>30.9</v>
      </c>
      <c r="E17" s="50">
        <v>6.11</v>
      </c>
      <c r="F17" s="50">
        <v>3.37</v>
      </c>
      <c r="G17" s="50">
        <v>57.43</v>
      </c>
      <c r="H17" s="50">
        <v>30.73</v>
      </c>
      <c r="I17" s="50">
        <v>8.7200000000000006</v>
      </c>
      <c r="J17" s="50">
        <v>1.1499999999999999</v>
      </c>
      <c r="K17" s="50">
        <v>72.290000000000006</v>
      </c>
      <c r="L17" s="50">
        <v>17.55</v>
      </c>
      <c r="M17" s="50">
        <v>100.6</v>
      </c>
      <c r="N17" s="50">
        <v>185.8</v>
      </c>
      <c r="O17" s="50">
        <v>0</v>
      </c>
      <c r="P17" s="50">
        <v>0.88</v>
      </c>
      <c r="Q17" s="50">
        <v>5</v>
      </c>
    </row>
    <row r="18" spans="1:17" customFormat="1">
      <c r="A18" s="55">
        <v>45316.416666666664</v>
      </c>
      <c r="B18" s="50">
        <v>17.14</v>
      </c>
      <c r="C18" s="50">
        <v>27.78</v>
      </c>
      <c r="D18" s="50">
        <v>29.22</v>
      </c>
      <c r="E18" s="50">
        <v>5.91</v>
      </c>
      <c r="F18" s="50">
        <v>3.76</v>
      </c>
      <c r="G18" s="50">
        <v>55.54</v>
      </c>
      <c r="H18" s="50">
        <v>31.89</v>
      </c>
      <c r="I18" s="50">
        <v>8.3800000000000008</v>
      </c>
      <c r="J18" s="50">
        <v>1.25</v>
      </c>
      <c r="K18" s="50">
        <v>84.24</v>
      </c>
      <c r="L18" s="50">
        <v>19.18</v>
      </c>
      <c r="M18" s="50">
        <v>87.48</v>
      </c>
      <c r="N18" s="50">
        <v>262.39999999999998</v>
      </c>
      <c r="O18" s="50">
        <v>0</v>
      </c>
      <c r="P18" s="50">
        <v>0.87</v>
      </c>
      <c r="Q18" s="50">
        <v>4.9400000000000004</v>
      </c>
    </row>
    <row r="19" spans="1:17" customFormat="1">
      <c r="A19" s="55">
        <v>45316.458333333336</v>
      </c>
      <c r="B19" s="50">
        <v>15.82</v>
      </c>
      <c r="C19" s="50">
        <v>22.44</v>
      </c>
      <c r="D19" s="50">
        <v>25.29</v>
      </c>
      <c r="E19" s="50">
        <v>7.51</v>
      </c>
      <c r="F19" s="50">
        <v>3.64</v>
      </c>
      <c r="G19" s="50">
        <v>55.54</v>
      </c>
      <c r="H19" s="50">
        <v>31.89</v>
      </c>
      <c r="I19" s="50">
        <v>8.17</v>
      </c>
      <c r="J19" s="50">
        <v>1.33</v>
      </c>
      <c r="K19" s="50">
        <v>107.5</v>
      </c>
      <c r="L19" s="50">
        <v>21.37</v>
      </c>
      <c r="M19" s="50">
        <v>74.819999999999993</v>
      </c>
      <c r="N19" s="50">
        <v>576.20000000000005</v>
      </c>
      <c r="O19" s="50">
        <v>0</v>
      </c>
      <c r="P19" s="50">
        <v>0.84</v>
      </c>
      <c r="Q19" s="50">
        <v>4.9000000000000004</v>
      </c>
    </row>
    <row r="20" spans="1:17" customFormat="1">
      <c r="A20" s="55">
        <v>45316.5</v>
      </c>
      <c r="B20" s="50">
        <v>13.46</v>
      </c>
      <c r="C20" s="50">
        <v>21.59</v>
      </c>
      <c r="D20" s="50">
        <v>23.43</v>
      </c>
      <c r="E20" s="50">
        <v>6.89</v>
      </c>
      <c r="F20" s="50">
        <v>3.88</v>
      </c>
      <c r="G20" s="50">
        <v>53</v>
      </c>
      <c r="H20" s="50">
        <v>31.05</v>
      </c>
      <c r="I20" s="50">
        <v>7.95</v>
      </c>
      <c r="J20" s="50">
        <v>1.58</v>
      </c>
      <c r="K20" s="50">
        <v>65.540000000000006</v>
      </c>
      <c r="L20" s="50">
        <v>22.84</v>
      </c>
      <c r="M20" s="50">
        <v>56.9</v>
      </c>
      <c r="N20" s="50">
        <v>664.1</v>
      </c>
      <c r="O20" s="50">
        <v>0</v>
      </c>
      <c r="P20" s="50">
        <v>0.83</v>
      </c>
      <c r="Q20" s="50">
        <v>4.9000000000000004</v>
      </c>
    </row>
    <row r="21" spans="1:17" customFormat="1">
      <c r="A21" s="55">
        <v>45316.541666666664</v>
      </c>
      <c r="B21" s="50">
        <v>10.210000000000001</v>
      </c>
      <c r="C21" s="50">
        <v>20.34</v>
      </c>
      <c r="D21" s="50">
        <v>19.809999999999999</v>
      </c>
      <c r="E21" s="50">
        <v>6.25</v>
      </c>
      <c r="F21" s="50">
        <v>4.04</v>
      </c>
      <c r="G21" s="50">
        <v>53</v>
      </c>
      <c r="H21" s="50">
        <v>29.91</v>
      </c>
      <c r="I21" s="50">
        <v>7.62</v>
      </c>
      <c r="J21" s="50">
        <v>0.89</v>
      </c>
      <c r="K21" s="50">
        <v>115.48</v>
      </c>
      <c r="L21" s="50">
        <v>24.41</v>
      </c>
      <c r="M21" s="50">
        <v>38.5</v>
      </c>
      <c r="N21" s="50">
        <v>675.9</v>
      </c>
      <c r="O21" s="50">
        <v>0</v>
      </c>
      <c r="P21" s="50">
        <v>0.77</v>
      </c>
      <c r="Q21" s="50">
        <v>4.87</v>
      </c>
    </row>
    <row r="22" spans="1:17" customFormat="1">
      <c r="A22" s="55">
        <v>45316.583333333336</v>
      </c>
      <c r="B22" s="50">
        <v>7.19</v>
      </c>
      <c r="C22" s="50">
        <v>18.739999999999998</v>
      </c>
      <c r="D22" s="50">
        <v>16.91</v>
      </c>
      <c r="E22" s="50">
        <v>5.55</v>
      </c>
      <c r="F22" s="50">
        <v>4.1399999999999997</v>
      </c>
      <c r="G22" s="50">
        <v>43.44</v>
      </c>
      <c r="H22" s="50">
        <v>25.09</v>
      </c>
      <c r="I22" s="50">
        <v>7.11</v>
      </c>
      <c r="J22" s="50">
        <v>1.26</v>
      </c>
      <c r="K22" s="50">
        <v>104.28</v>
      </c>
      <c r="L22" s="50">
        <v>25.06</v>
      </c>
      <c r="M22" s="50">
        <v>35.770000000000003</v>
      </c>
      <c r="N22" s="50">
        <v>609.70000000000005</v>
      </c>
      <c r="O22" s="50">
        <v>0</v>
      </c>
      <c r="P22" s="50">
        <v>0.72</v>
      </c>
      <c r="Q22" s="50">
        <v>4.87</v>
      </c>
    </row>
    <row r="23" spans="1:17" customFormat="1">
      <c r="A23" s="55">
        <v>45316.625</v>
      </c>
      <c r="B23" s="50">
        <v>6.06</v>
      </c>
      <c r="C23" s="50">
        <v>19.22</v>
      </c>
      <c r="D23" s="50">
        <v>15.72</v>
      </c>
      <c r="E23" s="50">
        <v>6.18</v>
      </c>
      <c r="F23" s="50">
        <v>4.78</v>
      </c>
      <c r="G23" s="50">
        <v>42.61</v>
      </c>
      <c r="H23" s="50">
        <v>25.09</v>
      </c>
      <c r="I23" s="50">
        <v>6.67</v>
      </c>
      <c r="J23" s="50">
        <v>1.41</v>
      </c>
      <c r="K23" s="50">
        <v>66.91</v>
      </c>
      <c r="L23" s="50">
        <v>24.65</v>
      </c>
      <c r="M23" s="50">
        <v>32.08</v>
      </c>
      <c r="N23" s="50">
        <v>511.9</v>
      </c>
      <c r="O23" s="50">
        <v>0</v>
      </c>
      <c r="P23" s="50">
        <v>0.66</v>
      </c>
      <c r="Q23" s="50">
        <v>4.9000000000000004</v>
      </c>
    </row>
    <row r="24" spans="1:17" customFormat="1">
      <c r="A24" s="55">
        <v>45316.666666666664</v>
      </c>
      <c r="B24" s="50">
        <v>5.3</v>
      </c>
      <c r="C24" s="50">
        <v>20.71</v>
      </c>
      <c r="D24" s="50">
        <v>16.399999999999999</v>
      </c>
      <c r="E24" s="50">
        <v>6.25</v>
      </c>
      <c r="F24" s="50">
        <v>4.95</v>
      </c>
      <c r="G24" s="50">
        <v>42.7</v>
      </c>
      <c r="H24" s="50">
        <v>24.73</v>
      </c>
      <c r="I24" s="50">
        <v>6.23</v>
      </c>
      <c r="J24" s="50">
        <v>1.22</v>
      </c>
      <c r="K24" s="50">
        <v>62.42</v>
      </c>
      <c r="L24" s="50">
        <v>24.02</v>
      </c>
      <c r="M24" s="50">
        <v>32.71</v>
      </c>
      <c r="N24" s="50">
        <v>104.5</v>
      </c>
      <c r="O24" s="50">
        <v>0</v>
      </c>
      <c r="P24" s="50">
        <v>0.65</v>
      </c>
      <c r="Q24" s="50">
        <v>4.8899999999999997</v>
      </c>
    </row>
    <row r="25" spans="1:17" customFormat="1">
      <c r="A25" s="55">
        <v>45316.708333333336</v>
      </c>
      <c r="B25" s="50">
        <v>5.85</v>
      </c>
      <c r="C25" s="50">
        <v>22.7</v>
      </c>
      <c r="D25" s="50">
        <v>17.91</v>
      </c>
      <c r="E25" s="50">
        <v>6.44</v>
      </c>
      <c r="F25" s="50">
        <v>5.19</v>
      </c>
      <c r="G25" s="50">
        <v>45.1</v>
      </c>
      <c r="H25" s="50">
        <v>21.19</v>
      </c>
      <c r="I25" s="50">
        <v>5.82</v>
      </c>
      <c r="J25" s="50">
        <v>1.18</v>
      </c>
      <c r="K25" s="50">
        <v>64.42</v>
      </c>
      <c r="L25" s="50">
        <v>23.78</v>
      </c>
      <c r="M25" s="50">
        <v>35.74</v>
      </c>
      <c r="N25" s="50">
        <v>64.400000000000006</v>
      </c>
      <c r="O25" s="50">
        <v>0</v>
      </c>
      <c r="P25" s="50">
        <v>0.63</v>
      </c>
      <c r="Q25" s="50">
        <v>4.8600000000000003</v>
      </c>
    </row>
    <row r="26" spans="1:17" customFormat="1">
      <c r="A26" s="55">
        <v>45316.75</v>
      </c>
      <c r="B26" s="50">
        <v>11.11</v>
      </c>
      <c r="C26" s="50">
        <v>28.01</v>
      </c>
      <c r="D26" s="50">
        <v>24.9</v>
      </c>
      <c r="E26" s="50">
        <v>6.42</v>
      </c>
      <c r="F26" s="50">
        <v>3.93</v>
      </c>
      <c r="G26" s="50">
        <v>49.2</v>
      </c>
      <c r="H26" s="50">
        <v>22.08</v>
      </c>
      <c r="I26" s="50">
        <v>5.79</v>
      </c>
      <c r="J26" s="50">
        <v>1</v>
      </c>
      <c r="K26" s="50">
        <v>58.41</v>
      </c>
      <c r="L26" s="50">
        <v>22.33</v>
      </c>
      <c r="M26" s="50">
        <v>43.5</v>
      </c>
      <c r="N26" s="50">
        <v>9.8000000000000007</v>
      </c>
      <c r="O26" s="50">
        <v>0</v>
      </c>
      <c r="P26" s="50">
        <v>0.67</v>
      </c>
      <c r="Q26" s="50">
        <v>4.91</v>
      </c>
    </row>
    <row r="27" spans="1:17" customFormat="1">
      <c r="A27" s="55">
        <v>45316.791666666664</v>
      </c>
      <c r="B27" s="50">
        <v>17.739999999999998</v>
      </c>
      <c r="C27" s="50">
        <v>31.93</v>
      </c>
      <c r="D27" s="50">
        <v>32.26</v>
      </c>
      <c r="E27" s="50">
        <v>7.88</v>
      </c>
      <c r="F27" s="50">
        <v>3.54</v>
      </c>
      <c r="G27" s="50">
        <v>58.43</v>
      </c>
      <c r="H27" s="50">
        <v>26.66</v>
      </c>
      <c r="I27" s="50">
        <v>6.26</v>
      </c>
      <c r="J27" s="50">
        <v>0.75</v>
      </c>
      <c r="K27" s="50">
        <v>56.53</v>
      </c>
      <c r="L27" s="50">
        <v>20.55</v>
      </c>
      <c r="M27" s="50">
        <v>48.4</v>
      </c>
      <c r="N27" s="50">
        <v>0</v>
      </c>
      <c r="O27" s="50">
        <v>0</v>
      </c>
      <c r="P27" s="50">
        <v>0.77</v>
      </c>
      <c r="Q27" s="50">
        <v>5</v>
      </c>
    </row>
    <row r="28" spans="1:17" customFormat="1">
      <c r="A28" s="55">
        <v>45316.833333333336</v>
      </c>
      <c r="B28" s="50">
        <v>22.6</v>
      </c>
      <c r="C28" s="50">
        <v>32.880000000000003</v>
      </c>
      <c r="D28" s="50">
        <v>35.15</v>
      </c>
      <c r="E28" s="50">
        <v>7.29</v>
      </c>
      <c r="F28" s="50">
        <v>3.53</v>
      </c>
      <c r="G28" s="50">
        <v>90.08</v>
      </c>
      <c r="H28" s="50">
        <v>33.78</v>
      </c>
      <c r="I28" s="50">
        <v>7.19</v>
      </c>
      <c r="J28" s="50">
        <v>0.69</v>
      </c>
      <c r="K28" s="50">
        <v>152.76</v>
      </c>
      <c r="L28" s="50">
        <v>19.190000000000001</v>
      </c>
      <c r="M28" s="50">
        <v>62.24</v>
      </c>
      <c r="N28" s="50">
        <v>0</v>
      </c>
      <c r="O28" s="50">
        <v>0</v>
      </c>
      <c r="P28" s="50">
        <v>0.83</v>
      </c>
      <c r="Q28" s="50">
        <v>5.03</v>
      </c>
    </row>
    <row r="29" spans="1:17" customFormat="1">
      <c r="A29" s="55">
        <v>45316.875</v>
      </c>
      <c r="B29" s="50">
        <v>24.44</v>
      </c>
      <c r="C29" s="50">
        <v>31.61</v>
      </c>
      <c r="D29" s="50">
        <v>37.47</v>
      </c>
      <c r="E29" s="50">
        <v>6.74</v>
      </c>
      <c r="F29" s="50">
        <v>3.39</v>
      </c>
      <c r="G29" s="50">
        <v>91.64</v>
      </c>
      <c r="H29" s="50">
        <v>35.130000000000003</v>
      </c>
      <c r="I29" s="50">
        <v>7.87</v>
      </c>
      <c r="J29" s="50">
        <v>0.22</v>
      </c>
      <c r="K29" s="50">
        <v>218.12</v>
      </c>
      <c r="L29" s="50">
        <v>17.13</v>
      </c>
      <c r="M29" s="50">
        <v>80.11</v>
      </c>
      <c r="N29" s="50">
        <v>0</v>
      </c>
      <c r="O29" s="50">
        <v>0</v>
      </c>
      <c r="P29" s="50">
        <v>0.91</v>
      </c>
      <c r="Q29" s="50">
        <v>5.07</v>
      </c>
    </row>
    <row r="30" spans="1:17" customFormat="1">
      <c r="A30" s="55">
        <v>45316.916666666664</v>
      </c>
      <c r="B30" s="50">
        <v>23.72</v>
      </c>
      <c r="C30" s="50">
        <v>30.91</v>
      </c>
      <c r="D30" s="50">
        <v>36.33</v>
      </c>
      <c r="E30" s="50">
        <v>6.64</v>
      </c>
      <c r="F30" s="50">
        <v>3.36</v>
      </c>
      <c r="G30" s="50">
        <v>91.64</v>
      </c>
      <c r="H30" s="50">
        <v>35.799999999999997</v>
      </c>
      <c r="I30" s="50">
        <v>8.59</v>
      </c>
      <c r="J30" s="50">
        <v>0.17</v>
      </c>
      <c r="K30" s="50">
        <v>208.35</v>
      </c>
      <c r="L30" s="50">
        <v>15.28</v>
      </c>
      <c r="M30" s="50">
        <v>84.22</v>
      </c>
      <c r="N30" s="50">
        <v>0</v>
      </c>
      <c r="O30" s="50">
        <v>0</v>
      </c>
      <c r="P30" s="50">
        <v>0.99</v>
      </c>
      <c r="Q30" s="50">
        <v>5.07</v>
      </c>
    </row>
    <row r="31" spans="1:17" customFormat="1">
      <c r="A31" s="55">
        <v>45316.958333333336</v>
      </c>
      <c r="B31" s="50">
        <v>23.08</v>
      </c>
      <c r="C31" s="50">
        <v>28.99</v>
      </c>
      <c r="D31" s="50">
        <v>34.58</v>
      </c>
      <c r="E31" s="50">
        <v>6.26</v>
      </c>
      <c r="F31" s="50">
        <v>3.55</v>
      </c>
      <c r="G31" s="50">
        <v>90.61</v>
      </c>
      <c r="H31" s="50">
        <v>38.130000000000003</v>
      </c>
      <c r="I31" s="50">
        <v>8.99</v>
      </c>
      <c r="J31" s="50">
        <v>0.16</v>
      </c>
      <c r="K31" s="50">
        <v>194.73</v>
      </c>
      <c r="L31" s="50">
        <v>14.48</v>
      </c>
      <c r="M31" s="50">
        <v>88.38</v>
      </c>
      <c r="N31" s="50">
        <v>0</v>
      </c>
      <c r="O31" s="50">
        <v>0</v>
      </c>
      <c r="P31" s="50">
        <v>1.03</v>
      </c>
      <c r="Q31" s="50">
        <v>5.0599999999999996</v>
      </c>
    </row>
    <row r="32" spans="1:17" customFormat="1">
      <c r="A32" s="55">
        <v>45317</v>
      </c>
      <c r="B32" s="50">
        <v>21.77</v>
      </c>
      <c r="C32" s="50">
        <v>28.84</v>
      </c>
      <c r="D32" s="50">
        <v>33.28</v>
      </c>
      <c r="E32" s="50">
        <v>6.24</v>
      </c>
      <c r="F32" s="50">
        <v>3.36</v>
      </c>
      <c r="G32" s="50">
        <v>90.61</v>
      </c>
      <c r="H32" s="50">
        <v>38.909999999999997</v>
      </c>
      <c r="I32" s="50">
        <v>9.2100000000000009</v>
      </c>
      <c r="J32" s="50">
        <v>0.16</v>
      </c>
      <c r="K32" s="50">
        <v>222.37</v>
      </c>
      <c r="L32" s="50">
        <v>13.89</v>
      </c>
      <c r="M32" s="50">
        <v>89.25</v>
      </c>
      <c r="N32" s="50">
        <v>0</v>
      </c>
      <c r="O32" s="50">
        <v>0</v>
      </c>
      <c r="P32" s="50">
        <v>1.03</v>
      </c>
      <c r="Q32" s="50">
        <v>5.04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</v>
      </c>
      <c r="C34" s="41">
        <f t="shared" si="0"/>
        <v>18.739999999999998</v>
      </c>
      <c r="D34" s="41">
        <f t="shared" si="0"/>
        <v>15.72</v>
      </c>
      <c r="E34" s="41">
        <f t="shared" si="0"/>
        <v>4.96</v>
      </c>
      <c r="F34" s="41">
        <f t="shared" si="0"/>
        <v>3.28</v>
      </c>
      <c r="G34" s="41">
        <f t="shared" si="0"/>
        <v>42.61</v>
      </c>
      <c r="H34" s="41">
        <f t="shared" si="0"/>
        <v>21.19</v>
      </c>
      <c r="I34" s="41">
        <f t="shared" si="0"/>
        <v>5.79</v>
      </c>
      <c r="J34" s="41">
        <f t="shared" si="0"/>
        <v>0.16</v>
      </c>
      <c r="K34" s="41">
        <f t="shared" si="0"/>
        <v>41.06</v>
      </c>
      <c r="L34" s="41">
        <f t="shared" si="0"/>
        <v>13.89</v>
      </c>
      <c r="M34" s="41">
        <f t="shared" si="0"/>
        <v>32.08</v>
      </c>
      <c r="N34" s="41">
        <f t="shared" si="0"/>
        <v>0</v>
      </c>
      <c r="O34" s="41">
        <f t="shared" si="0"/>
        <v>0</v>
      </c>
      <c r="P34" s="41">
        <f t="shared" si="0"/>
        <v>0.63</v>
      </c>
      <c r="Q34" s="41">
        <f t="shared" si="0"/>
        <v>4.8600000000000003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59.77</v>
      </c>
      <c r="C35" s="33">
        <f t="shared" si="1"/>
        <v>32.880000000000003</v>
      </c>
      <c r="D35" s="33">
        <f t="shared" si="1"/>
        <v>63.56</v>
      </c>
      <c r="E35" s="33">
        <f t="shared" si="1"/>
        <v>8.09</v>
      </c>
      <c r="F35" s="33">
        <f t="shared" si="1"/>
        <v>5.19</v>
      </c>
      <c r="G35" s="33">
        <f t="shared" si="1"/>
        <v>103.56</v>
      </c>
      <c r="H35" s="33">
        <f t="shared" si="1"/>
        <v>49.74</v>
      </c>
      <c r="I35" s="33">
        <f t="shared" si="1"/>
        <v>13.56</v>
      </c>
      <c r="J35" s="33">
        <f t="shared" si="1"/>
        <v>1.58</v>
      </c>
      <c r="K35" s="33">
        <f t="shared" si="1"/>
        <v>274.25</v>
      </c>
      <c r="L35" s="33">
        <f t="shared" si="1"/>
        <v>25.06</v>
      </c>
      <c r="M35" s="33">
        <f t="shared" si="1"/>
        <v>100.6</v>
      </c>
      <c r="N35" s="33">
        <f t="shared" si="1"/>
        <v>675.9</v>
      </c>
      <c r="O35" s="33">
        <f t="shared" si="1"/>
        <v>0</v>
      </c>
      <c r="P35" s="33">
        <f t="shared" si="1"/>
        <v>1.41</v>
      </c>
      <c r="Q35" s="33">
        <f t="shared" si="1"/>
        <v>5.43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24.62166666666667</v>
      </c>
      <c r="C36" s="41">
        <f t="shared" si="2"/>
        <v>26.264166666666664</v>
      </c>
      <c r="D36" s="41">
        <f t="shared" si="2"/>
        <v>34.600416666666668</v>
      </c>
      <c r="E36" s="41">
        <f t="shared" si="2"/>
        <v>6.3583333333333334</v>
      </c>
      <c r="F36" s="41">
        <f t="shared" si="2"/>
        <v>3.7212500000000008</v>
      </c>
      <c r="G36" s="41">
        <f t="shared" si="2"/>
        <v>70.921666666666653</v>
      </c>
      <c r="H36" s="41">
        <f t="shared" si="2"/>
        <v>34.598333333333336</v>
      </c>
      <c r="I36" s="41">
        <f t="shared" si="2"/>
        <v>8.9724999999999984</v>
      </c>
      <c r="J36" s="41">
        <f t="shared" si="2"/>
        <v>0.9</v>
      </c>
      <c r="K36" s="41">
        <f t="shared" si="2"/>
        <v>111.80333333333334</v>
      </c>
      <c r="L36" s="41">
        <f t="shared" si="2"/>
        <v>18.841249999999995</v>
      </c>
      <c r="M36" s="41">
        <f t="shared" si="2"/>
        <v>74.4375</v>
      </c>
      <c r="N36" s="41">
        <f t="shared" si="2"/>
        <v>153.61666666666667</v>
      </c>
      <c r="O36" s="41">
        <f t="shared" si="2"/>
        <v>0</v>
      </c>
      <c r="P36" s="41">
        <f t="shared" si="2"/>
        <v>0.94083333333333341</v>
      </c>
      <c r="Q36" s="41">
        <f t="shared" si="2"/>
        <v>5.0579166666666664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16.498020610302653</v>
      </c>
      <c r="C37" s="41">
        <f t="shared" ref="C37:Q37" si="3">STDEV(C9:C32)</f>
        <v>4.0323290461260717</v>
      </c>
      <c r="D37" s="41">
        <f t="shared" si="3"/>
        <v>14.29137638400428</v>
      </c>
      <c r="E37" s="41">
        <f t="shared" si="3"/>
        <v>0.87651814469012468</v>
      </c>
      <c r="F37" s="41">
        <f t="shared" si="3"/>
        <v>0.54462043024796081</v>
      </c>
      <c r="G37" s="41">
        <f t="shared" si="3"/>
        <v>21.566388032158365</v>
      </c>
      <c r="H37" s="41">
        <f t="shared" si="3"/>
        <v>8.8595724043773902</v>
      </c>
      <c r="I37" s="41">
        <f t="shared" si="3"/>
        <v>2.4486167346164036</v>
      </c>
      <c r="J37" s="41">
        <f t="shared" si="3"/>
        <v>0.45486739587058428</v>
      </c>
      <c r="K37" s="41">
        <f t="shared" si="3"/>
        <v>65.736556745494511</v>
      </c>
      <c r="L37" s="41">
        <f t="shared" si="3"/>
        <v>3.7830196272290606</v>
      </c>
      <c r="M37" s="41">
        <f t="shared" si="3"/>
        <v>26.660380839773037</v>
      </c>
      <c r="N37" s="41">
        <f t="shared" si="3"/>
        <v>248.14890457259673</v>
      </c>
      <c r="O37" s="41">
        <f t="shared" si="3"/>
        <v>0</v>
      </c>
      <c r="P37" s="41">
        <f t="shared" si="3"/>
        <v>0.23640269009479939</v>
      </c>
      <c r="Q37" s="41">
        <f t="shared" si="3"/>
        <v>0.17512676568122423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45317.041666666664</v>
      </c>
      <c r="B9" s="50">
        <v>46.29</v>
      </c>
      <c r="C9" s="50">
        <v>31.31</v>
      </c>
      <c r="D9" s="50">
        <v>54.83</v>
      </c>
      <c r="E9" s="50">
        <v>7.16</v>
      </c>
      <c r="F9" s="50">
        <v>3.42</v>
      </c>
      <c r="G9" s="50">
        <v>81.900000000000006</v>
      </c>
      <c r="H9" s="50">
        <v>39.119999999999997</v>
      </c>
      <c r="I9" s="50">
        <v>9.6199999999999992</v>
      </c>
      <c r="J9" s="50">
        <v>0.28999999999999998</v>
      </c>
      <c r="K9" s="50">
        <v>207.61</v>
      </c>
      <c r="L9" s="50">
        <v>13.71</v>
      </c>
      <c r="M9" s="50">
        <v>91.16</v>
      </c>
      <c r="N9" s="50">
        <v>0</v>
      </c>
      <c r="O9" s="50">
        <v>0</v>
      </c>
      <c r="P9" s="50">
        <v>1.0900000000000001</v>
      </c>
      <c r="Q9" s="50">
        <v>5.32</v>
      </c>
    </row>
    <row r="10" spans="1:21" customFormat="1">
      <c r="A10" s="55">
        <v>45317.083333333336</v>
      </c>
      <c r="B10" s="50">
        <v>55.29</v>
      </c>
      <c r="C10" s="50">
        <v>31.65</v>
      </c>
      <c r="D10" s="50">
        <v>62.23</v>
      </c>
      <c r="E10" s="50">
        <v>7.05</v>
      </c>
      <c r="F10" s="50">
        <v>3.32</v>
      </c>
      <c r="G10" s="50">
        <v>82.57</v>
      </c>
      <c r="H10" s="50">
        <v>40.450000000000003</v>
      </c>
      <c r="I10" s="50">
        <v>10.48</v>
      </c>
      <c r="J10" s="50">
        <v>0.09</v>
      </c>
      <c r="K10" s="50">
        <v>343.74</v>
      </c>
      <c r="L10" s="50">
        <v>12.87</v>
      </c>
      <c r="M10" s="50">
        <v>92</v>
      </c>
      <c r="N10" s="50">
        <v>0</v>
      </c>
      <c r="O10" s="50">
        <v>0</v>
      </c>
      <c r="P10" s="50">
        <v>1.1000000000000001</v>
      </c>
      <c r="Q10" s="50">
        <v>5.4</v>
      </c>
    </row>
    <row r="11" spans="1:21" customFormat="1">
      <c r="A11" s="55">
        <v>45317.125</v>
      </c>
      <c r="B11" s="50">
        <v>63.35</v>
      </c>
      <c r="C11" s="50">
        <v>33.19</v>
      </c>
      <c r="D11" s="50">
        <v>69.489999999999995</v>
      </c>
      <c r="E11" s="50">
        <v>7.26</v>
      </c>
      <c r="F11" s="50">
        <v>3.46</v>
      </c>
      <c r="G11" s="50">
        <v>87.29</v>
      </c>
      <c r="H11" s="50">
        <v>43.6</v>
      </c>
      <c r="I11" s="50">
        <v>11.16</v>
      </c>
      <c r="J11" s="50">
        <v>0.26</v>
      </c>
      <c r="K11" s="50">
        <v>172.09</v>
      </c>
      <c r="L11" s="50">
        <v>13.22</v>
      </c>
      <c r="M11" s="50">
        <v>83.22</v>
      </c>
      <c r="N11" s="50">
        <v>0</v>
      </c>
      <c r="O11" s="50">
        <v>0</v>
      </c>
      <c r="P11" s="50">
        <v>1.1100000000000001</v>
      </c>
      <c r="Q11" s="50">
        <v>5.52</v>
      </c>
    </row>
    <row r="12" spans="1:21" customFormat="1">
      <c r="A12" s="55">
        <v>45317.166666666664</v>
      </c>
      <c r="B12" s="50">
        <v>62.97</v>
      </c>
      <c r="C12" s="50">
        <v>33.42</v>
      </c>
      <c r="D12" s="50">
        <v>69.31</v>
      </c>
      <c r="E12" s="50">
        <v>7.16</v>
      </c>
      <c r="F12" s="50">
        <v>3.37</v>
      </c>
      <c r="G12" s="50">
        <v>92.75</v>
      </c>
      <c r="H12" s="50">
        <v>43.6</v>
      </c>
      <c r="I12" s="50">
        <v>11.06</v>
      </c>
      <c r="J12" s="50">
        <v>0.46</v>
      </c>
      <c r="K12" s="50">
        <v>56.28</v>
      </c>
      <c r="L12" s="50">
        <v>13.61</v>
      </c>
      <c r="M12" s="50">
        <v>79.239999999999995</v>
      </c>
      <c r="N12" s="50">
        <v>0</v>
      </c>
      <c r="O12" s="50">
        <v>0</v>
      </c>
      <c r="P12" s="50">
        <v>1.08</v>
      </c>
      <c r="Q12" s="50">
        <v>5.51</v>
      </c>
    </row>
    <row r="13" spans="1:21" customFormat="1">
      <c r="A13" s="55">
        <v>45317.208333333336</v>
      </c>
      <c r="B13" s="50">
        <v>55.17</v>
      </c>
      <c r="C13" s="50">
        <v>33.549999999999997</v>
      </c>
      <c r="D13" s="50">
        <v>63.13</v>
      </c>
      <c r="E13" s="50">
        <v>6.97</v>
      </c>
      <c r="F13" s="50">
        <v>3.37</v>
      </c>
      <c r="G13" s="50">
        <v>92.75</v>
      </c>
      <c r="H13" s="50">
        <v>47.96</v>
      </c>
      <c r="I13" s="50">
        <v>10.77</v>
      </c>
      <c r="J13" s="50">
        <v>0.44</v>
      </c>
      <c r="K13" s="50">
        <v>145.29</v>
      </c>
      <c r="L13" s="50">
        <v>13.5</v>
      </c>
      <c r="M13" s="50">
        <v>81.59</v>
      </c>
      <c r="N13" s="50">
        <v>0</v>
      </c>
      <c r="O13" s="50">
        <v>0</v>
      </c>
      <c r="P13" s="50">
        <v>1.05</v>
      </c>
      <c r="Q13" s="50">
        <v>5.43</v>
      </c>
    </row>
    <row r="14" spans="1:21" customFormat="1">
      <c r="A14" s="55">
        <v>45317.25</v>
      </c>
      <c r="B14" s="50">
        <v>47.83</v>
      </c>
      <c r="C14" s="50">
        <v>32.18</v>
      </c>
      <c r="D14" s="50">
        <v>56.52</v>
      </c>
      <c r="E14" s="50">
        <v>6.03</v>
      </c>
      <c r="F14" s="50">
        <v>3.43</v>
      </c>
      <c r="G14" s="50">
        <v>93.01</v>
      </c>
      <c r="H14" s="50">
        <v>47.96</v>
      </c>
      <c r="I14" s="50">
        <v>10.61</v>
      </c>
      <c r="J14" s="50">
        <v>0.28999999999999998</v>
      </c>
      <c r="K14" s="50">
        <v>188.95</v>
      </c>
      <c r="L14" s="50">
        <v>12.83</v>
      </c>
      <c r="M14" s="50">
        <v>91.54</v>
      </c>
      <c r="N14" s="50">
        <v>0</v>
      </c>
      <c r="O14" s="50">
        <v>0</v>
      </c>
      <c r="P14" s="50">
        <v>1</v>
      </c>
      <c r="Q14" s="50">
        <v>5.34</v>
      </c>
    </row>
    <row r="15" spans="1:21" customFormat="1">
      <c r="A15" s="55">
        <v>45317.291666666664</v>
      </c>
      <c r="B15" s="50">
        <v>39.85</v>
      </c>
      <c r="C15" s="50">
        <v>30.01</v>
      </c>
      <c r="D15" s="50">
        <v>48.99</v>
      </c>
      <c r="E15" s="50">
        <v>6.21</v>
      </c>
      <c r="F15" s="50">
        <v>3.3</v>
      </c>
      <c r="G15" s="50">
        <v>93.01</v>
      </c>
      <c r="H15" s="50">
        <v>45.41</v>
      </c>
      <c r="I15" s="50">
        <v>10.199999999999999</v>
      </c>
      <c r="J15" s="50">
        <v>0.14000000000000001</v>
      </c>
      <c r="K15" s="50">
        <v>246.15</v>
      </c>
      <c r="L15" s="50">
        <v>11.62</v>
      </c>
      <c r="M15" s="50">
        <v>94.82</v>
      </c>
      <c r="N15" s="50">
        <v>5.3</v>
      </c>
      <c r="O15" s="50">
        <v>0</v>
      </c>
      <c r="P15" s="50">
        <v>0.93</v>
      </c>
      <c r="Q15" s="50">
        <v>5.23</v>
      </c>
    </row>
    <row r="16" spans="1:21" customFormat="1">
      <c r="A16" s="55">
        <v>45317.333333333336</v>
      </c>
      <c r="B16" s="50">
        <v>41.29</v>
      </c>
      <c r="C16" s="50">
        <v>30.37</v>
      </c>
      <c r="D16" s="50">
        <v>50.33</v>
      </c>
      <c r="E16" s="50">
        <v>6.39</v>
      </c>
      <c r="F16" s="50">
        <v>3.31</v>
      </c>
      <c r="G16" s="50">
        <v>82.02</v>
      </c>
      <c r="H16" s="50">
        <v>41.64</v>
      </c>
      <c r="I16" s="50">
        <v>10</v>
      </c>
      <c r="J16" s="50">
        <v>0.17</v>
      </c>
      <c r="K16" s="50">
        <v>177.36</v>
      </c>
      <c r="L16" s="50">
        <v>13.77</v>
      </c>
      <c r="M16" s="50">
        <v>94.48</v>
      </c>
      <c r="N16" s="50">
        <v>52.5</v>
      </c>
      <c r="O16" s="50">
        <v>0</v>
      </c>
      <c r="P16" s="50">
        <v>0.94</v>
      </c>
      <c r="Q16" s="50">
        <v>5.24</v>
      </c>
    </row>
    <row r="17" spans="1:17" customFormat="1">
      <c r="A17" s="55">
        <v>45317.375</v>
      </c>
      <c r="B17" s="50">
        <v>40.39</v>
      </c>
      <c r="C17" s="50">
        <v>33.630000000000003</v>
      </c>
      <c r="D17" s="50">
        <v>49.85</v>
      </c>
      <c r="E17" s="50">
        <v>6.64</v>
      </c>
      <c r="F17" s="50">
        <v>3.45</v>
      </c>
      <c r="G17" s="50">
        <v>84.02</v>
      </c>
      <c r="H17" s="50">
        <v>40.26</v>
      </c>
      <c r="I17" s="50">
        <v>10.15</v>
      </c>
      <c r="J17" s="50">
        <v>0.99</v>
      </c>
      <c r="K17" s="50">
        <v>74.8</v>
      </c>
      <c r="L17" s="50">
        <v>17.59</v>
      </c>
      <c r="M17" s="50">
        <v>61.83</v>
      </c>
      <c r="N17" s="50">
        <v>303.3</v>
      </c>
      <c r="O17" s="50">
        <v>0</v>
      </c>
      <c r="P17" s="50">
        <v>0.94</v>
      </c>
      <c r="Q17" s="50">
        <v>5.24</v>
      </c>
    </row>
    <row r="18" spans="1:17" customFormat="1">
      <c r="A18" s="55">
        <v>45317.416666666664</v>
      </c>
      <c r="B18" s="50">
        <v>31.55</v>
      </c>
      <c r="C18" s="50">
        <v>32.880000000000003</v>
      </c>
      <c r="D18" s="50">
        <v>43.83</v>
      </c>
      <c r="E18" s="50">
        <v>6.57</v>
      </c>
      <c r="F18" s="50">
        <v>3.69</v>
      </c>
      <c r="G18" s="50">
        <v>84.02</v>
      </c>
      <c r="H18" s="50">
        <v>41.47</v>
      </c>
      <c r="I18" s="50">
        <v>10.11</v>
      </c>
      <c r="J18" s="50">
        <v>1.18</v>
      </c>
      <c r="K18" s="50">
        <v>70.06</v>
      </c>
      <c r="L18" s="50">
        <v>20.79</v>
      </c>
      <c r="M18" s="50">
        <v>50.71</v>
      </c>
      <c r="N18" s="50">
        <v>391.9</v>
      </c>
      <c r="O18" s="50">
        <v>0</v>
      </c>
      <c r="P18" s="50">
        <v>0.91</v>
      </c>
      <c r="Q18" s="50">
        <v>5.14</v>
      </c>
    </row>
    <row r="19" spans="1:17" customFormat="1">
      <c r="A19" s="55">
        <v>45317.458333333336</v>
      </c>
      <c r="B19" s="50">
        <v>23.41</v>
      </c>
      <c r="C19" s="50">
        <v>31.33</v>
      </c>
      <c r="D19" s="50">
        <v>36.479999999999997</v>
      </c>
      <c r="E19" s="50">
        <v>4.99</v>
      </c>
      <c r="F19" s="50">
        <v>3.98</v>
      </c>
      <c r="G19" s="50">
        <v>80.88</v>
      </c>
      <c r="H19" s="50">
        <v>41.47</v>
      </c>
      <c r="I19" s="50">
        <v>9.66</v>
      </c>
      <c r="J19" s="50">
        <v>1.25</v>
      </c>
      <c r="K19" s="50">
        <v>90.5</v>
      </c>
      <c r="L19" s="50">
        <v>22.63</v>
      </c>
      <c r="M19" s="50">
        <v>40.01</v>
      </c>
      <c r="N19" s="50">
        <v>602.1</v>
      </c>
      <c r="O19" s="50">
        <v>0</v>
      </c>
      <c r="P19" s="50">
        <v>0.86</v>
      </c>
      <c r="Q19" s="50">
        <v>5.0599999999999996</v>
      </c>
    </row>
    <row r="20" spans="1:17" customFormat="1">
      <c r="A20" s="55">
        <v>45317.5</v>
      </c>
      <c r="B20" s="50">
        <v>14.03</v>
      </c>
      <c r="C20" s="50">
        <v>30.81</v>
      </c>
      <c r="D20" s="50">
        <v>28.7</v>
      </c>
      <c r="E20" s="50">
        <v>5</v>
      </c>
      <c r="F20" s="50">
        <v>4.47</v>
      </c>
      <c r="G20" s="50">
        <v>70.430000000000007</v>
      </c>
      <c r="H20" s="50">
        <v>35.159999999999997</v>
      </c>
      <c r="I20" s="50">
        <v>8.7799999999999994</v>
      </c>
      <c r="J20" s="50">
        <v>1.36</v>
      </c>
      <c r="K20" s="50">
        <v>122.36</v>
      </c>
      <c r="L20" s="50">
        <v>24.76</v>
      </c>
      <c r="M20" s="50">
        <v>34.69</v>
      </c>
      <c r="N20" s="50">
        <v>676.8</v>
      </c>
      <c r="O20" s="50">
        <v>0</v>
      </c>
      <c r="P20" s="50">
        <v>0.8</v>
      </c>
      <c r="Q20" s="50">
        <v>4.95</v>
      </c>
    </row>
    <row r="21" spans="1:17" customFormat="1">
      <c r="A21" s="55">
        <v>45317.541666666664</v>
      </c>
      <c r="B21" s="50">
        <v>7.32</v>
      </c>
      <c r="C21" s="50">
        <v>28</v>
      </c>
      <c r="D21" s="50">
        <v>21.85</v>
      </c>
      <c r="E21" s="50">
        <v>4.68</v>
      </c>
      <c r="F21" s="50">
        <v>5.03</v>
      </c>
      <c r="G21" s="50">
        <v>67.73</v>
      </c>
      <c r="H21" s="50">
        <v>32.54</v>
      </c>
      <c r="I21" s="50">
        <v>7.88</v>
      </c>
      <c r="J21" s="50">
        <v>0.82</v>
      </c>
      <c r="K21" s="50">
        <v>190.68</v>
      </c>
      <c r="L21" s="50">
        <v>25.8</v>
      </c>
      <c r="M21" s="50">
        <v>30.19</v>
      </c>
      <c r="N21" s="50">
        <v>688</v>
      </c>
      <c r="O21" s="50">
        <v>0</v>
      </c>
      <c r="P21" s="50">
        <v>0.74</v>
      </c>
      <c r="Q21" s="50">
        <v>4.87</v>
      </c>
    </row>
    <row r="22" spans="1:17" customFormat="1">
      <c r="A22" s="55">
        <v>45317.583333333336</v>
      </c>
      <c r="B22" s="50">
        <v>4.51</v>
      </c>
      <c r="C22" s="50">
        <v>23.91</v>
      </c>
      <c r="D22" s="50">
        <v>17.46</v>
      </c>
      <c r="E22" s="50">
        <v>4.6399999999999997</v>
      </c>
      <c r="F22" s="50">
        <v>5.86</v>
      </c>
      <c r="G22" s="50">
        <v>54.89</v>
      </c>
      <c r="H22" s="50">
        <v>28.62</v>
      </c>
      <c r="I22" s="50">
        <v>7.02</v>
      </c>
      <c r="J22" s="50">
        <v>0.78</v>
      </c>
      <c r="K22" s="50">
        <v>98.56</v>
      </c>
      <c r="L22" s="50">
        <v>26.68</v>
      </c>
      <c r="M22" s="50">
        <v>25.21</v>
      </c>
      <c r="N22" s="50">
        <v>655.8</v>
      </c>
      <c r="O22" s="50">
        <v>0</v>
      </c>
      <c r="P22" s="50">
        <v>0.68</v>
      </c>
      <c r="Q22" s="50">
        <v>4.82</v>
      </c>
    </row>
    <row r="23" spans="1:17" customFormat="1">
      <c r="A23" s="55">
        <v>45317.625</v>
      </c>
      <c r="B23" s="50">
        <v>4.32</v>
      </c>
      <c r="C23" s="50">
        <v>21.51</v>
      </c>
      <c r="D23" s="50">
        <v>15.95</v>
      </c>
      <c r="E23" s="50">
        <v>4.54</v>
      </c>
      <c r="F23" s="50">
        <v>6.46</v>
      </c>
      <c r="G23" s="50">
        <v>49.69</v>
      </c>
      <c r="H23" s="50">
        <v>27.04</v>
      </c>
      <c r="I23" s="50">
        <v>6.27</v>
      </c>
      <c r="J23" s="50">
        <v>0.91</v>
      </c>
      <c r="K23" s="50">
        <v>50.85</v>
      </c>
      <c r="L23" s="50">
        <v>26.14</v>
      </c>
      <c r="M23" s="50">
        <v>24.48</v>
      </c>
      <c r="N23" s="50">
        <v>521.70000000000005</v>
      </c>
      <c r="O23" s="50">
        <v>0</v>
      </c>
      <c r="P23" s="50">
        <v>0.62</v>
      </c>
      <c r="Q23" s="50">
        <v>4.79</v>
      </c>
    </row>
    <row r="24" spans="1:17" customFormat="1">
      <c r="A24" s="55">
        <v>45317.666666666664</v>
      </c>
      <c r="B24" s="50">
        <v>4.41</v>
      </c>
      <c r="C24" s="50">
        <v>20.13</v>
      </c>
      <c r="D24" s="50">
        <v>15.38</v>
      </c>
      <c r="E24" s="50">
        <v>3.43</v>
      </c>
      <c r="F24" s="50">
        <v>5.05</v>
      </c>
      <c r="G24" s="50">
        <v>49.48</v>
      </c>
      <c r="H24" s="50">
        <v>25.54</v>
      </c>
      <c r="I24" s="50">
        <v>5.78</v>
      </c>
      <c r="J24" s="50">
        <v>0.52</v>
      </c>
      <c r="K24" s="50">
        <v>98.1</v>
      </c>
      <c r="L24" s="50">
        <v>25.36</v>
      </c>
      <c r="M24" s="50">
        <v>25.68</v>
      </c>
      <c r="N24" s="50">
        <v>88.5</v>
      </c>
      <c r="O24" s="50">
        <v>0</v>
      </c>
      <c r="P24" s="50">
        <v>0.62</v>
      </c>
      <c r="Q24" s="50">
        <v>4.7300000000000004</v>
      </c>
    </row>
    <row r="25" spans="1:17" customFormat="1">
      <c r="A25" s="55">
        <v>45317.708333333336</v>
      </c>
      <c r="B25" s="50">
        <v>5.23</v>
      </c>
      <c r="C25" s="50">
        <v>19.48</v>
      </c>
      <c r="D25" s="50">
        <v>15.72</v>
      </c>
      <c r="E25" s="50">
        <v>3.15</v>
      </c>
      <c r="F25" s="50">
        <v>4.2300000000000004</v>
      </c>
      <c r="G25" s="50">
        <v>45.39</v>
      </c>
      <c r="H25" s="50">
        <v>24.21</v>
      </c>
      <c r="I25" s="50">
        <v>5.53</v>
      </c>
      <c r="J25" s="50">
        <v>1</v>
      </c>
      <c r="K25" s="50">
        <v>53.58</v>
      </c>
      <c r="L25" s="50">
        <v>25.19</v>
      </c>
      <c r="M25" s="50">
        <v>26.02</v>
      </c>
      <c r="N25" s="50">
        <v>84.8</v>
      </c>
      <c r="O25" s="50">
        <v>0</v>
      </c>
      <c r="P25" s="50">
        <v>0.6</v>
      </c>
      <c r="Q25" s="50">
        <v>4.79</v>
      </c>
    </row>
    <row r="26" spans="1:17" customFormat="1">
      <c r="A26" s="55">
        <v>45317.75</v>
      </c>
      <c r="B26" s="50">
        <v>7.85</v>
      </c>
      <c r="C26" s="50">
        <v>23.7</v>
      </c>
      <c r="D26" s="50">
        <v>20.03</v>
      </c>
      <c r="E26" s="50">
        <v>3.42</v>
      </c>
      <c r="F26" s="50">
        <v>3.71</v>
      </c>
      <c r="G26" s="50">
        <v>55.87</v>
      </c>
      <c r="H26" s="50">
        <v>24.21</v>
      </c>
      <c r="I26" s="50">
        <v>5.49</v>
      </c>
      <c r="J26" s="50">
        <v>0.76</v>
      </c>
      <c r="K26" s="50">
        <v>52.47</v>
      </c>
      <c r="L26" s="50">
        <v>24.19</v>
      </c>
      <c r="M26" s="50">
        <v>34.26</v>
      </c>
      <c r="N26" s="50">
        <v>21.6</v>
      </c>
      <c r="O26" s="50">
        <v>0</v>
      </c>
      <c r="P26" s="50">
        <v>0.63</v>
      </c>
      <c r="Q26" s="50">
        <v>4.84</v>
      </c>
    </row>
    <row r="27" spans="1:17" customFormat="1">
      <c r="A27" s="55">
        <v>45317.791666666664</v>
      </c>
      <c r="B27" s="50">
        <v>11.12</v>
      </c>
      <c r="C27" s="50">
        <v>26.31</v>
      </c>
      <c r="D27" s="50">
        <v>23.35</v>
      </c>
      <c r="E27" s="50">
        <v>7.75</v>
      </c>
      <c r="F27" s="50">
        <v>3.68</v>
      </c>
      <c r="G27" s="50">
        <v>60.62</v>
      </c>
      <c r="H27" s="50">
        <v>23.83</v>
      </c>
      <c r="I27" s="50">
        <v>5.83</v>
      </c>
      <c r="J27" s="50">
        <v>0.87</v>
      </c>
      <c r="K27" s="50">
        <v>57.53</v>
      </c>
      <c r="L27" s="50">
        <v>21.68</v>
      </c>
      <c r="M27" s="50">
        <v>43.92</v>
      </c>
      <c r="N27" s="50">
        <v>0</v>
      </c>
      <c r="O27" s="50">
        <v>0</v>
      </c>
      <c r="P27" s="50">
        <v>0.68</v>
      </c>
      <c r="Q27" s="50">
        <v>4.92</v>
      </c>
    </row>
    <row r="28" spans="1:17" customFormat="1">
      <c r="A28" s="55">
        <v>45317.833333333336</v>
      </c>
      <c r="B28" s="50">
        <v>11.99</v>
      </c>
      <c r="C28" s="50">
        <v>29.63</v>
      </c>
      <c r="D28" s="50">
        <v>26.44</v>
      </c>
      <c r="E28" s="50">
        <v>8.39</v>
      </c>
      <c r="F28" s="50">
        <v>3.42</v>
      </c>
      <c r="G28" s="50">
        <v>80.489999999999995</v>
      </c>
      <c r="H28" s="50">
        <v>31.63</v>
      </c>
      <c r="I28" s="50">
        <v>6.21</v>
      </c>
      <c r="J28" s="50">
        <v>0.71</v>
      </c>
      <c r="K28" s="50">
        <v>182.1</v>
      </c>
      <c r="L28" s="50">
        <v>20.29</v>
      </c>
      <c r="M28" s="50">
        <v>62.68</v>
      </c>
      <c r="N28" s="50">
        <v>0</v>
      </c>
      <c r="O28" s="50">
        <v>0</v>
      </c>
      <c r="P28" s="50">
        <v>0.72</v>
      </c>
      <c r="Q28" s="50">
        <v>4.96</v>
      </c>
    </row>
    <row r="29" spans="1:17" customFormat="1">
      <c r="A29" s="55">
        <v>45317.875</v>
      </c>
      <c r="B29" s="50">
        <v>11.23</v>
      </c>
      <c r="C29" s="50">
        <v>29.43</v>
      </c>
      <c r="D29" s="50">
        <v>25.73</v>
      </c>
      <c r="E29" s="50">
        <v>8.39</v>
      </c>
      <c r="F29" s="50">
        <v>3.62</v>
      </c>
      <c r="G29" s="50">
        <v>91.6</v>
      </c>
      <c r="H29" s="50">
        <v>35.200000000000003</v>
      </c>
      <c r="I29" s="50">
        <v>6.42</v>
      </c>
      <c r="J29" s="50">
        <v>0.2</v>
      </c>
      <c r="K29" s="50">
        <v>206.42</v>
      </c>
      <c r="L29" s="50">
        <v>17.18</v>
      </c>
      <c r="M29" s="50">
        <v>73.819999999999993</v>
      </c>
      <c r="N29" s="50">
        <v>0</v>
      </c>
      <c r="O29" s="50">
        <v>0</v>
      </c>
      <c r="P29" s="50">
        <v>0.77</v>
      </c>
      <c r="Q29" s="50">
        <v>4.97</v>
      </c>
    </row>
    <row r="30" spans="1:17" customFormat="1">
      <c r="A30" s="55">
        <v>45317.916666666664</v>
      </c>
      <c r="B30" s="50">
        <v>12.86</v>
      </c>
      <c r="C30" s="50">
        <v>30.52</v>
      </c>
      <c r="D30" s="50">
        <v>27.61</v>
      </c>
      <c r="E30" s="50">
        <v>8.15</v>
      </c>
      <c r="F30" s="50">
        <v>3.53</v>
      </c>
      <c r="G30" s="50">
        <v>91.6</v>
      </c>
      <c r="H30" s="50">
        <v>35.89</v>
      </c>
      <c r="I30" s="50">
        <v>6.93</v>
      </c>
      <c r="J30" s="50">
        <v>0.19</v>
      </c>
      <c r="K30" s="50">
        <v>174.89</v>
      </c>
      <c r="L30" s="50">
        <v>15.82</v>
      </c>
      <c r="M30" s="50">
        <v>75.44</v>
      </c>
      <c r="N30" s="50">
        <v>0</v>
      </c>
      <c r="O30" s="50">
        <v>0</v>
      </c>
      <c r="P30" s="50">
        <v>0.82</v>
      </c>
      <c r="Q30" s="50">
        <v>4.95</v>
      </c>
    </row>
    <row r="31" spans="1:17" customFormat="1">
      <c r="A31" s="55">
        <v>45317.958333333336</v>
      </c>
      <c r="B31" s="50">
        <v>28.89</v>
      </c>
      <c r="C31" s="50">
        <v>33.97</v>
      </c>
      <c r="D31" s="50">
        <v>42.26</v>
      </c>
      <c r="E31" s="50">
        <v>8.3699999999999992</v>
      </c>
      <c r="F31" s="50">
        <v>3.4</v>
      </c>
      <c r="G31" s="50">
        <v>91.25</v>
      </c>
      <c r="H31" s="50">
        <v>39.54</v>
      </c>
      <c r="I31" s="50">
        <v>7.65</v>
      </c>
      <c r="J31" s="50">
        <v>0.22</v>
      </c>
      <c r="K31" s="50">
        <v>176.85</v>
      </c>
      <c r="L31" s="50">
        <v>15.39</v>
      </c>
      <c r="M31" s="50">
        <v>84.51</v>
      </c>
      <c r="N31" s="50">
        <v>0</v>
      </c>
      <c r="O31" s="50">
        <v>0</v>
      </c>
      <c r="P31" s="50">
        <v>0.94</v>
      </c>
      <c r="Q31" s="50">
        <v>5.0999999999999996</v>
      </c>
    </row>
    <row r="32" spans="1:17" customFormat="1">
      <c r="A32" s="55">
        <v>45318</v>
      </c>
      <c r="B32" s="50">
        <v>38.51</v>
      </c>
      <c r="C32" s="50">
        <v>33.950000000000003</v>
      </c>
      <c r="D32" s="50">
        <v>49.74</v>
      </c>
      <c r="E32" s="50">
        <v>8.35</v>
      </c>
      <c r="F32" s="50">
        <v>3.34</v>
      </c>
      <c r="G32" s="50">
        <v>95.21</v>
      </c>
      <c r="H32" s="50">
        <v>42.79</v>
      </c>
      <c r="I32" s="50">
        <v>8.66</v>
      </c>
      <c r="J32" s="50">
        <v>0.19</v>
      </c>
      <c r="K32" s="50">
        <v>214.95</v>
      </c>
      <c r="L32" s="50">
        <v>14.53</v>
      </c>
      <c r="M32" s="50">
        <v>89.06</v>
      </c>
      <c r="N32" s="50">
        <v>0</v>
      </c>
      <c r="O32" s="50">
        <v>0</v>
      </c>
      <c r="P32" s="50">
        <v>1.03</v>
      </c>
      <c r="Q32" s="50">
        <v>5.22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4.32</v>
      </c>
      <c r="C34" s="41">
        <f t="shared" si="0"/>
        <v>19.48</v>
      </c>
      <c r="D34" s="41">
        <f t="shared" si="0"/>
        <v>15.38</v>
      </c>
      <c r="E34" s="41">
        <f t="shared" si="0"/>
        <v>3.15</v>
      </c>
      <c r="F34" s="41">
        <f t="shared" si="0"/>
        <v>3.3</v>
      </c>
      <c r="G34" s="41">
        <f t="shared" si="0"/>
        <v>45.39</v>
      </c>
      <c r="H34" s="41">
        <f t="shared" si="0"/>
        <v>23.83</v>
      </c>
      <c r="I34" s="41">
        <f t="shared" si="0"/>
        <v>5.49</v>
      </c>
      <c r="J34" s="41">
        <f t="shared" si="0"/>
        <v>0.09</v>
      </c>
      <c r="K34" s="41">
        <f t="shared" si="0"/>
        <v>50.85</v>
      </c>
      <c r="L34" s="41">
        <f t="shared" si="0"/>
        <v>11.62</v>
      </c>
      <c r="M34" s="41">
        <f t="shared" si="0"/>
        <v>24.48</v>
      </c>
      <c r="N34" s="41">
        <f t="shared" si="0"/>
        <v>0</v>
      </c>
      <c r="O34" s="41">
        <f t="shared" si="0"/>
        <v>0</v>
      </c>
      <c r="P34" s="41">
        <f t="shared" si="0"/>
        <v>0.6</v>
      </c>
      <c r="Q34" s="41">
        <f t="shared" si="0"/>
        <v>4.7300000000000004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63.35</v>
      </c>
      <c r="C35" s="33">
        <f t="shared" si="1"/>
        <v>33.97</v>
      </c>
      <c r="D35" s="33">
        <f t="shared" si="1"/>
        <v>69.489999999999995</v>
      </c>
      <c r="E35" s="33">
        <f t="shared" si="1"/>
        <v>8.39</v>
      </c>
      <c r="F35" s="33">
        <f t="shared" si="1"/>
        <v>6.46</v>
      </c>
      <c r="G35" s="33">
        <f t="shared" si="1"/>
        <v>95.21</v>
      </c>
      <c r="H35" s="33">
        <f t="shared" si="1"/>
        <v>47.96</v>
      </c>
      <c r="I35" s="33">
        <f t="shared" si="1"/>
        <v>11.16</v>
      </c>
      <c r="J35" s="33">
        <f t="shared" si="1"/>
        <v>1.36</v>
      </c>
      <c r="K35" s="33">
        <f t="shared" si="1"/>
        <v>343.74</v>
      </c>
      <c r="L35" s="33">
        <f t="shared" si="1"/>
        <v>26.68</v>
      </c>
      <c r="M35" s="33">
        <f t="shared" si="1"/>
        <v>94.82</v>
      </c>
      <c r="N35" s="33">
        <f t="shared" si="1"/>
        <v>688</v>
      </c>
      <c r="O35" s="33">
        <f t="shared" si="1"/>
        <v>0</v>
      </c>
      <c r="P35" s="33">
        <f t="shared" si="1"/>
        <v>1.1100000000000001</v>
      </c>
      <c r="Q35" s="33">
        <f t="shared" si="1"/>
        <v>5.52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27.902500000000007</v>
      </c>
      <c r="C36" s="41">
        <f t="shared" si="2"/>
        <v>29.369583333333335</v>
      </c>
      <c r="D36" s="41">
        <f t="shared" si="2"/>
        <v>38.967083333333342</v>
      </c>
      <c r="E36" s="41">
        <f t="shared" si="2"/>
        <v>6.2787499999999996</v>
      </c>
      <c r="F36" s="41">
        <f t="shared" si="2"/>
        <v>3.912500000000001</v>
      </c>
      <c r="G36" s="41">
        <f t="shared" si="2"/>
        <v>77.436249999999987</v>
      </c>
      <c r="H36" s="41">
        <f t="shared" si="2"/>
        <v>36.630833333333335</v>
      </c>
      <c r="I36" s="41">
        <f t="shared" si="2"/>
        <v>8.4279166666666701</v>
      </c>
      <c r="J36" s="41">
        <f t="shared" si="2"/>
        <v>0.58708333333333329</v>
      </c>
      <c r="K36" s="41">
        <f t="shared" si="2"/>
        <v>143.84041666666664</v>
      </c>
      <c r="L36" s="41">
        <f t="shared" si="2"/>
        <v>18.714583333333334</v>
      </c>
      <c r="M36" s="41">
        <f t="shared" si="2"/>
        <v>62.106666666666676</v>
      </c>
      <c r="N36" s="41">
        <f t="shared" si="2"/>
        <v>170.51249999999999</v>
      </c>
      <c r="O36" s="41">
        <f t="shared" si="2"/>
        <v>0</v>
      </c>
      <c r="P36" s="41">
        <f t="shared" si="2"/>
        <v>0.86083333333333334</v>
      </c>
      <c r="Q36" s="41">
        <f t="shared" si="2"/>
        <v>5.097500000000001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20.394499524861224</v>
      </c>
      <c r="C37" s="41">
        <f t="shared" ref="C37:Q37" si="3">STDEV(C9:C32)</f>
        <v>4.4954967604468523</v>
      </c>
      <c r="D37" s="41">
        <f t="shared" si="3"/>
        <v>18.169487915821616</v>
      </c>
      <c r="E37" s="41">
        <f t="shared" si="3"/>
        <v>1.6780561023424383</v>
      </c>
      <c r="F37" s="41">
        <f t="shared" si="3"/>
        <v>0.86029949284612184</v>
      </c>
      <c r="G37" s="41">
        <f t="shared" si="3"/>
        <v>16.30178539501793</v>
      </c>
      <c r="H37" s="41">
        <f t="shared" si="3"/>
        <v>7.7495385089339059</v>
      </c>
      <c r="I37" s="41">
        <f t="shared" si="3"/>
        <v>2.0097847151994221</v>
      </c>
      <c r="J37" s="41">
        <f t="shared" si="3"/>
        <v>0.39500665009995534</v>
      </c>
      <c r="K37" s="41">
        <f t="shared" si="3"/>
        <v>75.485307264807005</v>
      </c>
      <c r="L37" s="41">
        <f t="shared" si="3"/>
        <v>5.2953523339415067</v>
      </c>
      <c r="M37" s="41">
        <f t="shared" si="3"/>
        <v>26.609813271025406</v>
      </c>
      <c r="N37" s="41">
        <f t="shared" si="3"/>
        <v>260.62079451304095</v>
      </c>
      <c r="O37" s="41">
        <f t="shared" si="3"/>
        <v>0</v>
      </c>
      <c r="P37" s="41">
        <f t="shared" si="3"/>
        <v>0.17199384889574129</v>
      </c>
      <c r="Q37" s="41">
        <f t="shared" si="3"/>
        <v>0.24360070678840065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45318.041666666664</v>
      </c>
      <c r="B9" s="50">
        <v>44.36</v>
      </c>
      <c r="C9" s="50">
        <v>33.18</v>
      </c>
      <c r="D9" s="50">
        <v>54.03</v>
      </c>
      <c r="E9" s="50">
        <v>8.56</v>
      </c>
      <c r="F9" s="50">
        <v>3.35</v>
      </c>
      <c r="G9" s="50">
        <v>95.21</v>
      </c>
      <c r="H9" s="50">
        <v>42.79</v>
      </c>
      <c r="I9" s="50">
        <v>9.94</v>
      </c>
      <c r="J9" s="50">
        <v>0.2</v>
      </c>
      <c r="K9" s="50">
        <v>223.57</v>
      </c>
      <c r="L9" s="50">
        <v>13.66</v>
      </c>
      <c r="M9" s="50">
        <v>90.73</v>
      </c>
      <c r="N9" s="50">
        <v>0</v>
      </c>
      <c r="O9" s="50">
        <v>0</v>
      </c>
      <c r="P9" s="50">
        <v>1.0900000000000001</v>
      </c>
      <c r="Q9" s="50">
        <v>5.25</v>
      </c>
    </row>
    <row r="10" spans="1:21" customFormat="1">
      <c r="A10" s="55">
        <v>45318.083333333336</v>
      </c>
      <c r="B10" s="50">
        <v>44.68</v>
      </c>
      <c r="C10" s="50">
        <v>30.74</v>
      </c>
      <c r="D10" s="50">
        <v>53.24</v>
      </c>
      <c r="E10" s="50">
        <v>8.4499999999999993</v>
      </c>
      <c r="F10" s="50">
        <v>3.6</v>
      </c>
      <c r="G10" s="50">
        <v>93.31</v>
      </c>
      <c r="H10" s="50">
        <v>44.28</v>
      </c>
      <c r="I10" s="50">
        <v>10.45</v>
      </c>
      <c r="J10" s="50">
        <v>0.25</v>
      </c>
      <c r="K10" s="50">
        <v>220.49</v>
      </c>
      <c r="L10" s="50">
        <v>12.84</v>
      </c>
      <c r="M10" s="50">
        <v>91.76</v>
      </c>
      <c r="N10" s="50">
        <v>0</v>
      </c>
      <c r="O10" s="50">
        <v>0</v>
      </c>
      <c r="P10" s="50">
        <v>1.1000000000000001</v>
      </c>
      <c r="Q10" s="50">
        <v>5.25</v>
      </c>
    </row>
    <row r="11" spans="1:21" customFormat="1">
      <c r="A11" s="55">
        <v>45318.125</v>
      </c>
      <c r="B11" s="50">
        <v>42.99</v>
      </c>
      <c r="C11" s="50">
        <v>30.61</v>
      </c>
      <c r="D11" s="50">
        <v>51.82</v>
      </c>
      <c r="E11" s="50">
        <v>7.91</v>
      </c>
      <c r="F11" s="50">
        <v>3.37</v>
      </c>
      <c r="G11" s="50">
        <v>89.91</v>
      </c>
      <c r="H11" s="50">
        <v>44.28</v>
      </c>
      <c r="I11" s="50">
        <v>10.5</v>
      </c>
      <c r="J11" s="50">
        <v>0.24</v>
      </c>
      <c r="K11" s="50">
        <v>230.97</v>
      </c>
      <c r="L11" s="50">
        <v>12.4</v>
      </c>
      <c r="M11" s="50">
        <v>93.23</v>
      </c>
      <c r="N11" s="50">
        <v>0</v>
      </c>
      <c r="O11" s="50">
        <v>0</v>
      </c>
      <c r="P11" s="50">
        <v>1.1000000000000001</v>
      </c>
      <c r="Q11" s="50">
        <v>5.24</v>
      </c>
    </row>
    <row r="12" spans="1:21" customFormat="1">
      <c r="A12" s="55">
        <v>45318.166666666664</v>
      </c>
      <c r="B12" s="50">
        <v>40.409999999999997</v>
      </c>
      <c r="C12" s="50">
        <v>30.68</v>
      </c>
      <c r="D12" s="50">
        <v>49.71</v>
      </c>
      <c r="E12" s="50">
        <v>7.82</v>
      </c>
      <c r="F12" s="50">
        <v>3.54</v>
      </c>
      <c r="G12" s="50">
        <v>89.16</v>
      </c>
      <c r="H12" s="50">
        <v>43.76</v>
      </c>
      <c r="I12" s="50">
        <v>10.46</v>
      </c>
      <c r="J12" s="50">
        <v>0.18</v>
      </c>
      <c r="K12" s="50">
        <v>195.37</v>
      </c>
      <c r="L12" s="50">
        <v>12.55</v>
      </c>
      <c r="M12" s="50">
        <v>92.15</v>
      </c>
      <c r="N12" s="50">
        <v>0</v>
      </c>
      <c r="O12" s="50">
        <v>0</v>
      </c>
      <c r="P12" s="50">
        <v>1.07</v>
      </c>
      <c r="Q12" s="50">
        <v>5.2</v>
      </c>
    </row>
    <row r="13" spans="1:21" customFormat="1">
      <c r="A13" s="55">
        <v>45318.208333333336</v>
      </c>
      <c r="B13" s="50">
        <v>39.21</v>
      </c>
      <c r="C13" s="50">
        <v>30.31</v>
      </c>
      <c r="D13" s="50">
        <v>48.53</v>
      </c>
      <c r="E13" s="50">
        <v>7.91</v>
      </c>
      <c r="F13" s="50">
        <v>3.28</v>
      </c>
      <c r="G13" s="50">
        <v>85.86</v>
      </c>
      <c r="H13" s="50">
        <v>43.4</v>
      </c>
      <c r="I13" s="50">
        <v>10.24</v>
      </c>
      <c r="J13" s="50">
        <v>0.14000000000000001</v>
      </c>
      <c r="K13" s="50">
        <v>155.63999999999999</v>
      </c>
      <c r="L13" s="50">
        <v>12.22</v>
      </c>
      <c r="M13" s="50">
        <v>91.43</v>
      </c>
      <c r="N13" s="50">
        <v>0</v>
      </c>
      <c r="O13" s="50">
        <v>0</v>
      </c>
      <c r="P13" s="50">
        <v>1.02</v>
      </c>
      <c r="Q13" s="50">
        <v>5.18</v>
      </c>
    </row>
    <row r="14" spans="1:21" customFormat="1">
      <c r="A14" s="55">
        <v>45318.25</v>
      </c>
      <c r="B14" s="50">
        <v>50.49</v>
      </c>
      <c r="C14" s="50">
        <v>30.58</v>
      </c>
      <c r="D14" s="50">
        <v>57.78</v>
      </c>
      <c r="E14" s="50">
        <v>8.39</v>
      </c>
      <c r="F14" s="50">
        <v>3.35</v>
      </c>
      <c r="G14" s="50">
        <v>85.73</v>
      </c>
      <c r="H14" s="50">
        <v>43.89</v>
      </c>
      <c r="I14" s="50">
        <v>10.130000000000001</v>
      </c>
      <c r="J14" s="50">
        <v>0.18</v>
      </c>
      <c r="K14" s="50">
        <v>241.02</v>
      </c>
      <c r="L14" s="50">
        <v>12.07</v>
      </c>
      <c r="M14" s="50">
        <v>94.2</v>
      </c>
      <c r="N14" s="50">
        <v>0</v>
      </c>
      <c r="O14" s="50">
        <v>0</v>
      </c>
      <c r="P14" s="50">
        <v>0.99</v>
      </c>
      <c r="Q14" s="50">
        <v>5.3</v>
      </c>
    </row>
    <row r="15" spans="1:21" customFormat="1">
      <c r="A15" s="55">
        <v>45318.291666666664</v>
      </c>
      <c r="B15" s="50">
        <v>50.65</v>
      </c>
      <c r="C15" s="50">
        <v>30.35</v>
      </c>
      <c r="D15" s="50">
        <v>57.83</v>
      </c>
      <c r="E15" s="50">
        <v>8.1</v>
      </c>
      <c r="F15" s="50">
        <v>3.46</v>
      </c>
      <c r="G15" s="50">
        <v>85.73</v>
      </c>
      <c r="H15" s="50">
        <v>43.93</v>
      </c>
      <c r="I15" s="50">
        <v>10.38</v>
      </c>
      <c r="J15" s="50">
        <v>0.2</v>
      </c>
      <c r="K15" s="50">
        <v>194.97</v>
      </c>
      <c r="L15" s="50">
        <v>11.43</v>
      </c>
      <c r="M15" s="50">
        <v>95.42</v>
      </c>
      <c r="N15" s="50">
        <v>6.2</v>
      </c>
      <c r="O15" s="50">
        <v>0</v>
      </c>
      <c r="P15" s="50">
        <v>0.99</v>
      </c>
      <c r="Q15" s="50">
        <v>5.31</v>
      </c>
    </row>
    <row r="16" spans="1:21" customFormat="1">
      <c r="A16" s="55">
        <v>45318.333333333336</v>
      </c>
      <c r="B16" s="50">
        <v>61.14</v>
      </c>
      <c r="C16" s="50">
        <v>30.35</v>
      </c>
      <c r="D16" s="50">
        <v>66.239999999999995</v>
      </c>
      <c r="E16" s="50">
        <v>8.3699999999999992</v>
      </c>
      <c r="F16" s="50">
        <v>3.44</v>
      </c>
      <c r="G16" s="50">
        <v>87.37</v>
      </c>
      <c r="H16" s="50">
        <v>43.93</v>
      </c>
      <c r="I16" s="50">
        <v>11.15</v>
      </c>
      <c r="J16" s="50">
        <v>0.23</v>
      </c>
      <c r="K16" s="50">
        <v>194.67</v>
      </c>
      <c r="L16" s="50">
        <v>14.45</v>
      </c>
      <c r="M16" s="50">
        <v>93.66</v>
      </c>
      <c r="N16" s="50">
        <v>61</v>
      </c>
      <c r="O16" s="50">
        <v>0</v>
      </c>
      <c r="P16" s="50">
        <v>1.1000000000000001</v>
      </c>
      <c r="Q16" s="50">
        <v>5.38</v>
      </c>
    </row>
    <row r="17" spans="1:17" customFormat="1">
      <c r="A17" s="55">
        <v>45318.375</v>
      </c>
      <c r="B17" s="50">
        <v>66.06</v>
      </c>
      <c r="C17" s="50">
        <v>35.54</v>
      </c>
      <c r="D17" s="50">
        <v>72.89</v>
      </c>
      <c r="E17" s="50">
        <v>8.9499999999999993</v>
      </c>
      <c r="F17" s="50">
        <v>3.41</v>
      </c>
      <c r="G17" s="50">
        <v>104.98</v>
      </c>
      <c r="H17" s="50">
        <v>51.85</v>
      </c>
      <c r="I17" s="50">
        <v>12.17</v>
      </c>
      <c r="J17" s="50">
        <v>0.33</v>
      </c>
      <c r="K17" s="50">
        <v>186.9</v>
      </c>
      <c r="L17" s="50">
        <v>20.04</v>
      </c>
      <c r="M17" s="50">
        <v>80.38</v>
      </c>
      <c r="N17" s="50">
        <v>314.3</v>
      </c>
      <c r="O17" s="50">
        <v>0</v>
      </c>
      <c r="P17" s="50">
        <v>1.17</v>
      </c>
      <c r="Q17" s="50">
        <v>5.46</v>
      </c>
    </row>
    <row r="18" spans="1:17" customFormat="1">
      <c r="A18" s="55">
        <v>45318.416666666664</v>
      </c>
      <c r="B18" s="50">
        <v>56.72</v>
      </c>
      <c r="C18" s="50">
        <v>35.380000000000003</v>
      </c>
      <c r="D18" s="50">
        <v>64.849999999999994</v>
      </c>
      <c r="E18" s="50">
        <v>9.32</v>
      </c>
      <c r="F18" s="50">
        <v>3.56</v>
      </c>
      <c r="G18" s="50">
        <v>107.78</v>
      </c>
      <c r="H18" s="50">
        <v>51.97</v>
      </c>
      <c r="I18" s="50">
        <v>12.26</v>
      </c>
      <c r="J18" s="50">
        <v>0.5</v>
      </c>
      <c r="K18" s="50">
        <v>148.6</v>
      </c>
      <c r="L18" s="50">
        <v>22.99</v>
      </c>
      <c r="M18" s="50">
        <v>47.13</v>
      </c>
      <c r="N18" s="50">
        <v>368.5</v>
      </c>
      <c r="O18" s="50">
        <v>0</v>
      </c>
      <c r="P18" s="50">
        <v>1.1499999999999999</v>
      </c>
      <c r="Q18" s="50">
        <v>5.39</v>
      </c>
    </row>
    <row r="19" spans="1:17" customFormat="1">
      <c r="A19" s="55">
        <v>45318.458333333336</v>
      </c>
      <c r="B19" s="50">
        <v>38.49</v>
      </c>
      <c r="C19" s="50">
        <v>35.840000000000003</v>
      </c>
      <c r="D19" s="50">
        <v>50.87</v>
      </c>
      <c r="E19" s="50">
        <v>7.35</v>
      </c>
      <c r="F19" s="50">
        <v>3.68</v>
      </c>
      <c r="G19" s="50">
        <v>107.78</v>
      </c>
      <c r="H19" s="50">
        <v>51.97</v>
      </c>
      <c r="I19" s="50">
        <v>11.54</v>
      </c>
      <c r="J19" s="50">
        <v>0.6</v>
      </c>
      <c r="K19" s="50">
        <v>250.41</v>
      </c>
      <c r="L19" s="50">
        <v>24.33</v>
      </c>
      <c r="M19" s="50">
        <v>35.42</v>
      </c>
      <c r="N19" s="50">
        <v>520.5</v>
      </c>
      <c r="O19" s="50">
        <v>0</v>
      </c>
      <c r="P19" s="50">
        <v>1.08</v>
      </c>
      <c r="Q19" s="50">
        <v>5.25</v>
      </c>
    </row>
    <row r="20" spans="1:17" customFormat="1">
      <c r="A20" s="55">
        <v>45318.5</v>
      </c>
      <c r="B20" s="50">
        <v>25.33</v>
      </c>
      <c r="C20" s="50">
        <v>33.11</v>
      </c>
      <c r="D20" s="50">
        <v>38.96</v>
      </c>
      <c r="E20" s="50">
        <v>6.81</v>
      </c>
      <c r="F20" s="50">
        <v>3.8</v>
      </c>
      <c r="G20" s="50">
        <v>102.39</v>
      </c>
      <c r="H20" s="50">
        <v>47.3</v>
      </c>
      <c r="I20" s="50">
        <v>10.45</v>
      </c>
      <c r="J20" s="50">
        <v>0.95</v>
      </c>
      <c r="K20" s="50">
        <v>124.89</v>
      </c>
      <c r="L20" s="50">
        <v>25.48</v>
      </c>
      <c r="M20" s="50">
        <v>30.13</v>
      </c>
      <c r="N20" s="50">
        <v>638.79999999999995</v>
      </c>
      <c r="O20" s="50">
        <v>0</v>
      </c>
      <c r="P20" s="50">
        <v>1</v>
      </c>
      <c r="Q20" s="50">
        <v>5.03</v>
      </c>
    </row>
    <row r="21" spans="1:17" customFormat="1">
      <c r="A21" s="55">
        <v>45318.541666666664</v>
      </c>
      <c r="B21" s="50">
        <v>17.88</v>
      </c>
      <c r="C21" s="50">
        <v>29.96</v>
      </c>
      <c r="D21" s="50">
        <v>31.34</v>
      </c>
      <c r="E21" s="50">
        <v>6.01</v>
      </c>
      <c r="F21" s="50">
        <v>3.74</v>
      </c>
      <c r="G21" s="50">
        <v>87.22</v>
      </c>
      <c r="H21" s="50">
        <v>42.74</v>
      </c>
      <c r="I21" s="50">
        <v>9.7100000000000009</v>
      </c>
      <c r="J21" s="50">
        <v>1.0900000000000001</v>
      </c>
      <c r="K21" s="50">
        <v>77.62</v>
      </c>
      <c r="L21" s="50">
        <v>25.75</v>
      </c>
      <c r="M21" s="50">
        <v>27.67</v>
      </c>
      <c r="N21" s="50">
        <v>525</v>
      </c>
      <c r="O21" s="50">
        <v>0</v>
      </c>
      <c r="P21" s="50">
        <v>0.93</v>
      </c>
      <c r="Q21" s="50">
        <v>4.9800000000000004</v>
      </c>
    </row>
    <row r="22" spans="1:17" customFormat="1">
      <c r="A22" s="55">
        <v>45318.583333333336</v>
      </c>
      <c r="B22" s="50">
        <v>12.57</v>
      </c>
      <c r="C22" s="50">
        <v>28.05</v>
      </c>
      <c r="D22" s="50">
        <v>26.09</v>
      </c>
      <c r="E22" s="50">
        <v>7.42</v>
      </c>
      <c r="F22" s="50">
        <v>3.84</v>
      </c>
      <c r="G22" s="50">
        <v>80.73</v>
      </c>
      <c r="H22" s="50">
        <v>36.299999999999997</v>
      </c>
      <c r="I22" s="50">
        <v>9.02</v>
      </c>
      <c r="J22" s="50">
        <v>0.69</v>
      </c>
      <c r="K22" s="50">
        <v>333.66</v>
      </c>
      <c r="L22" s="50">
        <v>25.85</v>
      </c>
      <c r="M22" s="50">
        <v>29.5</v>
      </c>
      <c r="N22" s="50">
        <v>274.10000000000002</v>
      </c>
      <c r="O22" s="50">
        <v>0</v>
      </c>
      <c r="P22" s="50">
        <v>0.89</v>
      </c>
      <c r="Q22" s="50">
        <v>4.91</v>
      </c>
    </row>
    <row r="23" spans="1:17" customFormat="1">
      <c r="A23" s="55">
        <v>45318.625</v>
      </c>
      <c r="B23" s="50">
        <v>10.81</v>
      </c>
      <c r="C23" s="50">
        <v>26.35</v>
      </c>
      <c r="D23" s="50">
        <v>23.79</v>
      </c>
      <c r="E23" s="50">
        <v>7.69</v>
      </c>
      <c r="F23" s="50">
        <v>4.0999999999999996</v>
      </c>
      <c r="G23" s="50">
        <v>89.9</v>
      </c>
      <c r="H23" s="50">
        <v>36.520000000000003</v>
      </c>
      <c r="I23" s="50">
        <v>8.69</v>
      </c>
      <c r="J23" s="50">
        <v>1.26</v>
      </c>
      <c r="K23" s="50">
        <v>51.12</v>
      </c>
      <c r="L23" s="50">
        <v>26.04</v>
      </c>
      <c r="M23" s="50">
        <v>28.78</v>
      </c>
      <c r="N23" s="50">
        <v>255.4</v>
      </c>
      <c r="O23" s="50">
        <v>0</v>
      </c>
      <c r="P23" s="50">
        <v>0.89</v>
      </c>
      <c r="Q23" s="50">
        <v>4.87</v>
      </c>
    </row>
    <row r="24" spans="1:17" customFormat="1">
      <c r="A24" s="55">
        <v>45318.666666666664</v>
      </c>
      <c r="B24" s="50">
        <v>9.77</v>
      </c>
      <c r="C24" s="50">
        <v>28.14</v>
      </c>
      <c r="D24" s="50">
        <v>23.02</v>
      </c>
      <c r="E24" s="50">
        <v>8.8800000000000008</v>
      </c>
      <c r="F24" s="50">
        <v>4.26</v>
      </c>
      <c r="G24" s="50">
        <v>92.05</v>
      </c>
      <c r="H24" s="50">
        <v>38.65</v>
      </c>
      <c r="I24" s="50">
        <v>8.35</v>
      </c>
      <c r="J24" s="50">
        <v>0.64</v>
      </c>
      <c r="K24" s="50">
        <v>342</v>
      </c>
      <c r="L24" s="50">
        <v>25.54</v>
      </c>
      <c r="M24" s="50">
        <v>29.13</v>
      </c>
      <c r="N24" s="50">
        <v>134.30000000000001</v>
      </c>
      <c r="O24" s="50">
        <v>0</v>
      </c>
      <c r="P24" s="50">
        <v>0.88</v>
      </c>
      <c r="Q24" s="50">
        <v>4.88</v>
      </c>
    </row>
    <row r="25" spans="1:17" customFormat="1">
      <c r="A25" s="55">
        <v>45318.708333333336</v>
      </c>
      <c r="B25" s="50">
        <v>7.91</v>
      </c>
      <c r="C25" s="50">
        <v>30.05</v>
      </c>
      <c r="D25" s="50">
        <v>23.06</v>
      </c>
      <c r="E25" s="50">
        <v>8.4600000000000009</v>
      </c>
      <c r="F25" s="50">
        <v>4.8600000000000003</v>
      </c>
      <c r="G25" s="50">
        <v>92.05</v>
      </c>
      <c r="H25" s="50">
        <v>38.65</v>
      </c>
      <c r="I25" s="50">
        <v>8.01</v>
      </c>
      <c r="J25" s="50">
        <v>0.53</v>
      </c>
      <c r="K25" s="50">
        <v>350.65</v>
      </c>
      <c r="L25" s="50">
        <v>25.33</v>
      </c>
      <c r="M25" s="50">
        <v>29.72</v>
      </c>
      <c r="N25" s="50">
        <v>70.900000000000006</v>
      </c>
      <c r="O25" s="50">
        <v>0</v>
      </c>
      <c r="P25" s="50">
        <v>0.86</v>
      </c>
      <c r="Q25" s="50">
        <v>4.8899999999999997</v>
      </c>
    </row>
    <row r="26" spans="1:17" customFormat="1">
      <c r="A26" s="55">
        <v>45318.75</v>
      </c>
      <c r="B26" s="50">
        <v>8.94</v>
      </c>
      <c r="C26" s="50">
        <v>31.9</v>
      </c>
      <c r="D26" s="50">
        <v>25.19</v>
      </c>
      <c r="E26" s="50">
        <v>6.61</v>
      </c>
      <c r="F26" s="50">
        <v>3.91</v>
      </c>
      <c r="G26" s="50">
        <v>90.99</v>
      </c>
      <c r="H26" s="50">
        <v>35.630000000000003</v>
      </c>
      <c r="I26" s="50">
        <v>7.45</v>
      </c>
      <c r="J26" s="50">
        <v>0.3</v>
      </c>
      <c r="K26" s="50">
        <v>169.65</v>
      </c>
      <c r="L26" s="50">
        <v>24.24</v>
      </c>
      <c r="M26" s="50">
        <v>45.81</v>
      </c>
      <c r="N26" s="50">
        <v>22.2</v>
      </c>
      <c r="O26" s="50">
        <v>0</v>
      </c>
      <c r="P26" s="50">
        <v>0.85</v>
      </c>
      <c r="Q26" s="50">
        <v>4.88</v>
      </c>
    </row>
    <row r="27" spans="1:17" customFormat="1">
      <c r="A27" s="55">
        <v>45318.791666666664</v>
      </c>
      <c r="B27" s="50">
        <v>12.33</v>
      </c>
      <c r="C27" s="50">
        <v>33.18</v>
      </c>
      <c r="D27" s="50">
        <v>28.57</v>
      </c>
      <c r="E27" s="50">
        <v>8.24</v>
      </c>
      <c r="F27" s="50">
        <v>3.52</v>
      </c>
      <c r="G27" s="50">
        <v>98.93</v>
      </c>
      <c r="H27" s="50">
        <v>35.99</v>
      </c>
      <c r="I27" s="50">
        <v>8.4</v>
      </c>
      <c r="J27" s="50">
        <v>0.28000000000000003</v>
      </c>
      <c r="K27" s="50">
        <v>179.13</v>
      </c>
      <c r="L27" s="50">
        <v>20.309999999999999</v>
      </c>
      <c r="M27" s="50">
        <v>64.78</v>
      </c>
      <c r="N27" s="50">
        <v>0</v>
      </c>
      <c r="O27" s="50">
        <v>0</v>
      </c>
      <c r="P27" s="50">
        <v>0.93</v>
      </c>
      <c r="Q27" s="50">
        <v>4.91</v>
      </c>
    </row>
    <row r="28" spans="1:17" customFormat="1">
      <c r="A28" s="55">
        <v>45318.833333333336</v>
      </c>
      <c r="B28" s="50">
        <v>20.88</v>
      </c>
      <c r="C28" s="50">
        <v>36.130000000000003</v>
      </c>
      <c r="D28" s="50">
        <v>36.97</v>
      </c>
      <c r="E28" s="50">
        <v>8.1</v>
      </c>
      <c r="F28" s="50">
        <v>3.4</v>
      </c>
      <c r="G28" s="50">
        <v>114.97</v>
      </c>
      <c r="H28" s="50">
        <v>40.68</v>
      </c>
      <c r="I28" s="50">
        <v>11.31</v>
      </c>
      <c r="J28" s="50">
        <v>0.3</v>
      </c>
      <c r="K28" s="50">
        <v>191.14</v>
      </c>
      <c r="L28" s="50">
        <v>18.37</v>
      </c>
      <c r="M28" s="50">
        <v>67.7</v>
      </c>
      <c r="N28" s="50">
        <v>0</v>
      </c>
      <c r="O28" s="50">
        <v>0</v>
      </c>
      <c r="P28" s="50">
        <v>1.07</v>
      </c>
      <c r="Q28" s="50">
        <v>5</v>
      </c>
    </row>
    <row r="29" spans="1:17" customFormat="1">
      <c r="A29" s="55">
        <v>45318.875</v>
      </c>
      <c r="B29" s="50">
        <v>26.16</v>
      </c>
      <c r="C29" s="50">
        <v>36.56</v>
      </c>
      <c r="D29" s="50">
        <v>40.86</v>
      </c>
      <c r="E29" s="50">
        <v>8.24</v>
      </c>
      <c r="F29" s="50">
        <v>3.6</v>
      </c>
      <c r="G29" s="50">
        <v>114.97</v>
      </c>
      <c r="H29" s="50">
        <v>43.43</v>
      </c>
      <c r="I29" s="50">
        <v>12.64</v>
      </c>
      <c r="J29" s="50">
        <v>0.22</v>
      </c>
      <c r="K29" s="50">
        <v>222.62</v>
      </c>
      <c r="L29" s="50">
        <v>16.87</v>
      </c>
      <c r="M29" s="50">
        <v>79.03</v>
      </c>
      <c r="N29" s="50">
        <v>0</v>
      </c>
      <c r="O29" s="50">
        <v>0</v>
      </c>
      <c r="P29" s="50">
        <v>1.1499999999999999</v>
      </c>
      <c r="Q29" s="50">
        <v>5.05</v>
      </c>
    </row>
    <row r="30" spans="1:17" customFormat="1">
      <c r="A30" s="55">
        <v>45318.916666666664</v>
      </c>
      <c r="B30" s="50">
        <v>26.75</v>
      </c>
      <c r="C30" s="50">
        <v>32.4</v>
      </c>
      <c r="D30" s="50">
        <v>39.729999999999997</v>
      </c>
      <c r="E30" s="50">
        <v>7.46</v>
      </c>
      <c r="F30" s="50">
        <v>3.49</v>
      </c>
      <c r="G30" s="50">
        <v>114.59</v>
      </c>
      <c r="H30" s="50">
        <v>43.43</v>
      </c>
      <c r="I30" s="50">
        <v>12.73</v>
      </c>
      <c r="J30" s="50">
        <v>0.18</v>
      </c>
      <c r="K30" s="50">
        <v>216.77</v>
      </c>
      <c r="L30" s="50">
        <v>15.74</v>
      </c>
      <c r="M30" s="50">
        <v>83.22</v>
      </c>
      <c r="N30" s="50">
        <v>0</v>
      </c>
      <c r="O30" s="50">
        <v>0</v>
      </c>
      <c r="P30" s="50">
        <v>1.17</v>
      </c>
      <c r="Q30" s="50">
        <v>5.07</v>
      </c>
    </row>
    <row r="31" spans="1:17" customFormat="1">
      <c r="A31" s="55">
        <v>45318.958333333336</v>
      </c>
      <c r="B31" s="50">
        <v>31.26</v>
      </c>
      <c r="C31" s="50">
        <v>33.119999999999997</v>
      </c>
      <c r="D31" s="50">
        <v>43.73</v>
      </c>
      <c r="E31" s="50">
        <v>7.34</v>
      </c>
      <c r="F31" s="50">
        <v>3.34</v>
      </c>
      <c r="G31" s="50">
        <v>104.39</v>
      </c>
      <c r="H31" s="50">
        <v>44.72</v>
      </c>
      <c r="I31" s="50">
        <v>12.95</v>
      </c>
      <c r="J31" s="50">
        <v>0.15</v>
      </c>
      <c r="K31" s="50">
        <v>202.12</v>
      </c>
      <c r="L31" s="50">
        <v>15.16</v>
      </c>
      <c r="M31" s="50">
        <v>83.9</v>
      </c>
      <c r="N31" s="50">
        <v>0</v>
      </c>
      <c r="O31" s="50">
        <v>0</v>
      </c>
      <c r="P31" s="50">
        <v>1.22</v>
      </c>
      <c r="Q31" s="50">
        <v>5.08</v>
      </c>
    </row>
    <row r="32" spans="1:17" customFormat="1">
      <c r="A32" s="55">
        <v>45319</v>
      </c>
      <c r="B32" s="50">
        <v>44.31</v>
      </c>
      <c r="C32" s="50">
        <v>34.89</v>
      </c>
      <c r="D32" s="50">
        <v>55.11</v>
      </c>
      <c r="E32" s="50">
        <v>8.07</v>
      </c>
      <c r="F32" s="50">
        <v>3.5</v>
      </c>
      <c r="G32" s="50">
        <v>115.74</v>
      </c>
      <c r="H32" s="50">
        <v>48.73</v>
      </c>
      <c r="I32" s="50">
        <v>13.07</v>
      </c>
      <c r="J32" s="50">
        <v>0.27</v>
      </c>
      <c r="K32" s="50">
        <v>191.98</v>
      </c>
      <c r="L32" s="50">
        <v>15.22</v>
      </c>
      <c r="M32" s="50">
        <v>82.7</v>
      </c>
      <c r="N32" s="50">
        <v>0</v>
      </c>
      <c r="O32" s="50">
        <v>0</v>
      </c>
      <c r="P32" s="50">
        <v>1.25</v>
      </c>
      <c r="Q32" s="50">
        <v>5.21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7.91</v>
      </c>
      <c r="C34" s="41">
        <f t="shared" si="0"/>
        <v>26.35</v>
      </c>
      <c r="D34" s="41">
        <f t="shared" si="0"/>
        <v>23.02</v>
      </c>
      <c r="E34" s="41">
        <f t="shared" si="0"/>
        <v>6.01</v>
      </c>
      <c r="F34" s="41">
        <f t="shared" si="0"/>
        <v>3.28</v>
      </c>
      <c r="G34" s="41">
        <f t="shared" si="0"/>
        <v>80.73</v>
      </c>
      <c r="H34" s="41">
        <f t="shared" si="0"/>
        <v>35.630000000000003</v>
      </c>
      <c r="I34" s="41">
        <f t="shared" si="0"/>
        <v>7.45</v>
      </c>
      <c r="J34" s="41">
        <f t="shared" si="0"/>
        <v>0.14000000000000001</v>
      </c>
      <c r="K34" s="41">
        <f t="shared" si="0"/>
        <v>51.12</v>
      </c>
      <c r="L34" s="41">
        <f t="shared" si="0"/>
        <v>11.43</v>
      </c>
      <c r="M34" s="41">
        <f t="shared" si="0"/>
        <v>27.67</v>
      </c>
      <c r="N34" s="41">
        <f t="shared" si="0"/>
        <v>0</v>
      </c>
      <c r="O34" s="41">
        <f t="shared" si="0"/>
        <v>0</v>
      </c>
      <c r="P34" s="41">
        <f t="shared" si="0"/>
        <v>0.85</v>
      </c>
      <c r="Q34" s="41">
        <f t="shared" si="0"/>
        <v>4.87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66.06</v>
      </c>
      <c r="C35" s="33">
        <f t="shared" si="1"/>
        <v>36.56</v>
      </c>
      <c r="D35" s="33">
        <f t="shared" si="1"/>
        <v>72.89</v>
      </c>
      <c r="E35" s="33">
        <f t="shared" si="1"/>
        <v>9.32</v>
      </c>
      <c r="F35" s="33">
        <f t="shared" si="1"/>
        <v>4.8600000000000003</v>
      </c>
      <c r="G35" s="33">
        <f t="shared" si="1"/>
        <v>115.74</v>
      </c>
      <c r="H35" s="33">
        <f t="shared" si="1"/>
        <v>51.97</v>
      </c>
      <c r="I35" s="33">
        <f t="shared" si="1"/>
        <v>13.07</v>
      </c>
      <c r="J35" s="33">
        <f t="shared" si="1"/>
        <v>1.26</v>
      </c>
      <c r="K35" s="33">
        <f t="shared" si="1"/>
        <v>350.65</v>
      </c>
      <c r="L35" s="33">
        <f t="shared" si="1"/>
        <v>26.04</v>
      </c>
      <c r="M35" s="33">
        <f t="shared" si="1"/>
        <v>95.42</v>
      </c>
      <c r="N35" s="33">
        <f t="shared" si="1"/>
        <v>638.79999999999995</v>
      </c>
      <c r="O35" s="33">
        <f t="shared" si="1"/>
        <v>0</v>
      </c>
      <c r="P35" s="33">
        <f t="shared" si="1"/>
        <v>1.25</v>
      </c>
      <c r="Q35" s="33">
        <f t="shared" si="1"/>
        <v>5.46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32.920833333333327</v>
      </c>
      <c r="C36" s="41">
        <f t="shared" si="2"/>
        <v>31.974999999999998</v>
      </c>
      <c r="D36" s="41">
        <f t="shared" si="2"/>
        <v>44.342083333333342</v>
      </c>
      <c r="E36" s="41">
        <f t="shared" si="2"/>
        <v>7.9358333333333348</v>
      </c>
      <c r="F36" s="41">
        <f t="shared" si="2"/>
        <v>3.6416666666666662</v>
      </c>
      <c r="G36" s="41">
        <f t="shared" si="2"/>
        <v>97.15583333333332</v>
      </c>
      <c r="H36" s="41">
        <f t="shared" si="2"/>
        <v>43.284166666666657</v>
      </c>
      <c r="I36" s="41">
        <f t="shared" si="2"/>
        <v>10.499999999999998</v>
      </c>
      <c r="J36" s="41">
        <f t="shared" si="2"/>
        <v>0.41291666666666665</v>
      </c>
      <c r="K36" s="41">
        <f t="shared" si="2"/>
        <v>203.99833333333333</v>
      </c>
      <c r="L36" s="41">
        <f t="shared" si="2"/>
        <v>18.703333333333337</v>
      </c>
      <c r="M36" s="41">
        <f t="shared" si="2"/>
        <v>66.149166666666659</v>
      </c>
      <c r="N36" s="41">
        <f t="shared" si="2"/>
        <v>132.96666666666667</v>
      </c>
      <c r="O36" s="41">
        <f t="shared" si="2"/>
        <v>0</v>
      </c>
      <c r="P36" s="41">
        <f t="shared" si="2"/>
        <v>1.0395833333333335</v>
      </c>
      <c r="Q36" s="41">
        <f t="shared" si="2"/>
        <v>5.1237500000000002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17.803031231071103</v>
      </c>
      <c r="C37" s="41">
        <f t="shared" ref="C37:Q37" si="3">STDEV(C9:C32)</f>
        <v>2.7686034778189468</v>
      </c>
      <c r="D37" s="41">
        <f t="shared" si="3"/>
        <v>14.856160478625187</v>
      </c>
      <c r="E37" s="41">
        <f t="shared" si="3"/>
        <v>0.76375455120917524</v>
      </c>
      <c r="F37" s="41">
        <f t="shared" si="3"/>
        <v>0.35838607633409181</v>
      </c>
      <c r="G37" s="41">
        <f t="shared" si="3"/>
        <v>11.003267465963745</v>
      </c>
      <c r="H37" s="41">
        <f t="shared" si="3"/>
        <v>4.8101802521290589</v>
      </c>
      <c r="I37" s="41">
        <f t="shared" si="3"/>
        <v>1.6334998436273125</v>
      </c>
      <c r="J37" s="41">
        <f t="shared" si="3"/>
        <v>0.31233314386024286</v>
      </c>
      <c r="K37" s="41">
        <f t="shared" si="3"/>
        <v>71.150825939577544</v>
      </c>
      <c r="L37" s="41">
        <f t="shared" si="3"/>
        <v>5.5465199952736883</v>
      </c>
      <c r="M37" s="41">
        <f t="shared" si="3"/>
        <v>27.104571877575701</v>
      </c>
      <c r="N37" s="41">
        <f t="shared" si="3"/>
        <v>201.35840351638333</v>
      </c>
      <c r="O37" s="41">
        <f t="shared" si="3"/>
        <v>0</v>
      </c>
      <c r="P37" s="41">
        <f t="shared" si="3"/>
        <v>0.11822892924383874</v>
      </c>
      <c r="Q37" s="41">
        <f t="shared" si="3"/>
        <v>0.18384332885698237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45319.041666666664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45319.041666666664</v>
      </c>
      <c r="B9" s="50">
        <v>56.86</v>
      </c>
      <c r="C9" s="50">
        <v>34.51</v>
      </c>
      <c r="D9" s="50">
        <v>64.95</v>
      </c>
      <c r="E9" s="50">
        <v>8.1</v>
      </c>
      <c r="F9" s="50">
        <v>3.39</v>
      </c>
      <c r="G9" s="50">
        <v>115.74</v>
      </c>
      <c r="H9" s="50">
        <v>48.73</v>
      </c>
      <c r="I9" s="50">
        <v>13.03</v>
      </c>
      <c r="J9" s="50">
        <v>0.25</v>
      </c>
      <c r="K9" s="50">
        <v>227.22</v>
      </c>
      <c r="L9" s="50">
        <v>14.63</v>
      </c>
      <c r="M9" s="50">
        <v>87.05</v>
      </c>
      <c r="N9" s="50">
        <v>0</v>
      </c>
      <c r="O9" s="50">
        <v>0</v>
      </c>
      <c r="P9" s="50">
        <v>1.27</v>
      </c>
      <c r="Q9" s="50">
        <v>5.32</v>
      </c>
    </row>
    <row r="10" spans="1:21" customFormat="1">
      <c r="A10" s="55">
        <v>45319.083333333336</v>
      </c>
      <c r="B10" s="50">
        <v>65.41</v>
      </c>
      <c r="C10" s="50">
        <v>34.49</v>
      </c>
      <c r="D10" s="50">
        <v>71.739999999999995</v>
      </c>
      <c r="E10" s="50">
        <v>8.34</v>
      </c>
      <c r="F10" s="50">
        <v>3.43</v>
      </c>
      <c r="G10" s="50">
        <v>110.36</v>
      </c>
      <c r="H10" s="50">
        <v>47.71</v>
      </c>
      <c r="I10" s="50">
        <v>12.95</v>
      </c>
      <c r="J10" s="50">
        <v>0.18</v>
      </c>
      <c r="K10" s="50">
        <v>164.68</v>
      </c>
      <c r="L10" s="50">
        <v>14.15</v>
      </c>
      <c r="M10" s="50">
        <v>88.3</v>
      </c>
      <c r="N10" s="50">
        <v>0</v>
      </c>
      <c r="O10" s="50">
        <v>0</v>
      </c>
      <c r="P10" s="50">
        <v>1.31</v>
      </c>
      <c r="Q10" s="50">
        <v>5.41</v>
      </c>
    </row>
    <row r="11" spans="1:21" customFormat="1">
      <c r="A11" s="55">
        <v>45319.125</v>
      </c>
      <c r="B11" s="50">
        <v>81.31</v>
      </c>
      <c r="C11" s="50">
        <v>34.85</v>
      </c>
      <c r="D11" s="50">
        <v>84.5</v>
      </c>
      <c r="E11" s="50">
        <v>7.96</v>
      </c>
      <c r="F11" s="50">
        <v>3.36</v>
      </c>
      <c r="G11" s="50">
        <v>121.68</v>
      </c>
      <c r="H11" s="50">
        <v>56.59</v>
      </c>
      <c r="I11" s="50">
        <v>14.35</v>
      </c>
      <c r="J11" s="50">
        <v>0.2</v>
      </c>
      <c r="K11" s="50">
        <v>216.59</v>
      </c>
      <c r="L11" s="50">
        <v>14.21</v>
      </c>
      <c r="M11" s="50">
        <v>91.63</v>
      </c>
      <c r="N11" s="50">
        <v>0</v>
      </c>
      <c r="O11" s="50">
        <v>0</v>
      </c>
      <c r="P11" s="50">
        <v>1.43</v>
      </c>
      <c r="Q11" s="50">
        <v>5.6</v>
      </c>
    </row>
    <row r="12" spans="1:21" customFormat="1">
      <c r="A12" s="55">
        <v>45319.166666666664</v>
      </c>
      <c r="B12" s="50">
        <v>81.19</v>
      </c>
      <c r="C12" s="50">
        <v>33.659999999999997</v>
      </c>
      <c r="D12" s="50">
        <v>84.04</v>
      </c>
      <c r="E12" s="50">
        <v>8.18</v>
      </c>
      <c r="F12" s="50">
        <v>3.35</v>
      </c>
      <c r="G12" s="50">
        <v>123.05</v>
      </c>
      <c r="H12" s="50">
        <v>56.59</v>
      </c>
      <c r="I12" s="50">
        <v>15.47</v>
      </c>
      <c r="J12" s="50">
        <v>0.21</v>
      </c>
      <c r="K12" s="50">
        <v>228.23</v>
      </c>
      <c r="L12" s="50">
        <v>12.96</v>
      </c>
      <c r="M12" s="50">
        <v>93.44</v>
      </c>
      <c r="N12" s="50">
        <v>0</v>
      </c>
      <c r="O12" s="50">
        <v>0</v>
      </c>
      <c r="P12" s="50">
        <v>1.44</v>
      </c>
      <c r="Q12" s="50">
        <v>5.62</v>
      </c>
    </row>
    <row r="13" spans="1:21" customFormat="1">
      <c r="A13" s="55">
        <v>45319.208333333336</v>
      </c>
      <c r="B13" s="50">
        <v>74.02</v>
      </c>
      <c r="C13" s="50">
        <v>31.37</v>
      </c>
      <c r="D13" s="50">
        <v>77.099999999999994</v>
      </c>
      <c r="E13" s="50">
        <v>8.34</v>
      </c>
      <c r="F13" s="50">
        <v>3.42</v>
      </c>
      <c r="G13" s="50">
        <v>123.05</v>
      </c>
      <c r="H13" s="50">
        <v>56.55</v>
      </c>
      <c r="I13" s="50">
        <v>16.440000000000001</v>
      </c>
      <c r="J13" s="50">
        <v>0.16</v>
      </c>
      <c r="K13" s="50">
        <v>225.01</v>
      </c>
      <c r="L13" s="50">
        <v>12.81</v>
      </c>
      <c r="M13" s="50">
        <v>93.24</v>
      </c>
      <c r="N13" s="50">
        <v>0</v>
      </c>
      <c r="O13" s="50">
        <v>0</v>
      </c>
      <c r="P13" s="50">
        <v>1.53</v>
      </c>
      <c r="Q13" s="50">
        <v>5.55</v>
      </c>
    </row>
    <row r="14" spans="1:21" customFormat="1">
      <c r="A14" s="55">
        <v>45319.25</v>
      </c>
      <c r="B14" s="50">
        <v>79.599999999999994</v>
      </c>
      <c r="C14" s="50">
        <v>31.33</v>
      </c>
      <c r="D14" s="50">
        <v>81.55</v>
      </c>
      <c r="E14" s="50">
        <v>8.42</v>
      </c>
      <c r="F14" s="50">
        <v>3.42</v>
      </c>
      <c r="G14" s="50">
        <v>118.63</v>
      </c>
      <c r="H14" s="50">
        <v>55.66</v>
      </c>
      <c r="I14" s="50">
        <v>17.97</v>
      </c>
      <c r="J14" s="50">
        <v>0.22</v>
      </c>
      <c r="K14" s="50">
        <v>162.13</v>
      </c>
      <c r="L14" s="50">
        <v>12.99</v>
      </c>
      <c r="M14" s="50">
        <v>91.17</v>
      </c>
      <c r="N14" s="50">
        <v>0</v>
      </c>
      <c r="O14" s="50">
        <v>0</v>
      </c>
      <c r="P14" s="50">
        <v>1.7</v>
      </c>
      <c r="Q14" s="50">
        <v>5.51</v>
      </c>
    </row>
    <row r="15" spans="1:21" customFormat="1">
      <c r="A15" s="55">
        <v>45319.291666666664</v>
      </c>
      <c r="B15" s="50">
        <v>104.25</v>
      </c>
      <c r="C15" s="50">
        <v>32.78</v>
      </c>
      <c r="D15" s="50">
        <v>100.95</v>
      </c>
      <c r="E15" s="50">
        <v>8.92</v>
      </c>
      <c r="F15" s="50">
        <v>3.53</v>
      </c>
      <c r="G15" s="50">
        <v>133.34</v>
      </c>
      <c r="H15" s="50">
        <v>57.69</v>
      </c>
      <c r="I15" s="50">
        <v>20.07</v>
      </c>
      <c r="J15" s="50">
        <v>0.2</v>
      </c>
      <c r="K15" s="50">
        <v>230.4</v>
      </c>
      <c r="L15" s="50">
        <v>13.08</v>
      </c>
      <c r="M15" s="50">
        <v>93.7</v>
      </c>
      <c r="N15" s="50">
        <v>6</v>
      </c>
      <c r="O15" s="50">
        <v>0</v>
      </c>
      <c r="P15" s="50">
        <v>1.88</v>
      </c>
      <c r="Q15" s="50">
        <v>5.72</v>
      </c>
    </row>
    <row r="16" spans="1:21" customFormat="1">
      <c r="A16" s="55">
        <v>45319.333333333336</v>
      </c>
      <c r="B16" s="50">
        <v>118.32</v>
      </c>
      <c r="C16" s="50">
        <v>34.82</v>
      </c>
      <c r="D16" s="50">
        <v>114.43</v>
      </c>
      <c r="E16" s="50">
        <v>8.8800000000000008</v>
      </c>
      <c r="F16" s="50">
        <v>3.38</v>
      </c>
      <c r="G16" s="50">
        <v>138.38999999999999</v>
      </c>
      <c r="H16" s="50">
        <v>64.349999999999994</v>
      </c>
      <c r="I16" s="50">
        <v>21.52</v>
      </c>
      <c r="J16" s="50">
        <v>0.4</v>
      </c>
      <c r="K16" s="50">
        <v>225.72</v>
      </c>
      <c r="L16" s="50">
        <v>15.08</v>
      </c>
      <c r="M16" s="50">
        <v>94.7</v>
      </c>
      <c r="N16" s="50">
        <v>53.7</v>
      </c>
      <c r="O16" s="50">
        <v>0</v>
      </c>
      <c r="P16" s="50">
        <v>2.02</v>
      </c>
      <c r="Q16" s="50">
        <v>5.89</v>
      </c>
    </row>
    <row r="17" spans="1:17" customFormat="1">
      <c r="A17" s="55">
        <v>45319.375</v>
      </c>
      <c r="B17" s="50">
        <v>119.51</v>
      </c>
      <c r="C17" s="50">
        <v>42.28</v>
      </c>
      <c r="D17" s="50">
        <v>116.58</v>
      </c>
      <c r="E17" s="50">
        <v>9.57</v>
      </c>
      <c r="F17" s="50">
        <v>3.39</v>
      </c>
      <c r="G17" s="50">
        <v>166.23</v>
      </c>
      <c r="H17" s="50">
        <v>81.19</v>
      </c>
      <c r="I17" s="50">
        <v>23.45</v>
      </c>
      <c r="J17" s="50">
        <v>0.51</v>
      </c>
      <c r="K17" s="50">
        <v>73.58</v>
      </c>
      <c r="L17" s="50">
        <v>19.14</v>
      </c>
      <c r="M17" s="50">
        <v>73.48</v>
      </c>
      <c r="N17" s="50">
        <v>242.2</v>
      </c>
      <c r="O17" s="50">
        <v>0</v>
      </c>
      <c r="P17" s="50">
        <v>2.13</v>
      </c>
      <c r="Q17" s="50">
        <v>5.93</v>
      </c>
    </row>
    <row r="18" spans="1:17" customFormat="1">
      <c r="A18" s="55">
        <v>45319.416666666664</v>
      </c>
      <c r="B18" s="50">
        <v>104.7</v>
      </c>
      <c r="C18" s="50">
        <v>41.64</v>
      </c>
      <c r="D18" s="50">
        <v>106.94</v>
      </c>
      <c r="E18" s="50">
        <v>9.61</v>
      </c>
      <c r="F18" s="50">
        <v>3.55</v>
      </c>
      <c r="G18" s="50">
        <v>190</v>
      </c>
      <c r="H18" s="50">
        <v>94.68</v>
      </c>
      <c r="I18" s="50">
        <v>23.91</v>
      </c>
      <c r="J18" s="50">
        <v>0.5</v>
      </c>
      <c r="K18" s="50">
        <v>121.59</v>
      </c>
      <c r="L18" s="50">
        <v>22.74</v>
      </c>
      <c r="M18" s="50">
        <v>52.64</v>
      </c>
      <c r="N18" s="50">
        <v>303.39999999999998</v>
      </c>
      <c r="O18" s="50">
        <v>0</v>
      </c>
      <c r="P18" s="50">
        <v>2.14</v>
      </c>
      <c r="Q18" s="50">
        <v>5.85</v>
      </c>
    </row>
    <row r="19" spans="1:17" customFormat="1">
      <c r="A19" s="55">
        <v>45319.458333333336</v>
      </c>
      <c r="B19" s="50">
        <v>83.11</v>
      </c>
      <c r="C19" s="50">
        <v>38.979999999999997</v>
      </c>
      <c r="D19" s="50">
        <v>88.03</v>
      </c>
      <c r="E19" s="50">
        <v>8.3000000000000007</v>
      </c>
      <c r="F19" s="50">
        <v>3.45</v>
      </c>
      <c r="G19" s="50">
        <v>190</v>
      </c>
      <c r="H19" s="50">
        <v>94.68</v>
      </c>
      <c r="I19" s="50">
        <v>23.27</v>
      </c>
      <c r="J19" s="50">
        <v>0.87</v>
      </c>
      <c r="K19" s="50">
        <v>124.21</v>
      </c>
      <c r="L19" s="50">
        <v>24.68</v>
      </c>
      <c r="M19" s="50">
        <v>39.75</v>
      </c>
      <c r="N19" s="50">
        <v>565.29999999999995</v>
      </c>
      <c r="O19" s="50">
        <v>0</v>
      </c>
      <c r="P19" s="50">
        <v>1.99</v>
      </c>
      <c r="Q19" s="50">
        <v>5.66</v>
      </c>
    </row>
    <row r="20" spans="1:17" customFormat="1">
      <c r="A20" s="55">
        <v>45319.5</v>
      </c>
      <c r="B20" s="50">
        <v>60.68</v>
      </c>
      <c r="C20" s="50">
        <v>38.51</v>
      </c>
      <c r="D20" s="50">
        <v>69</v>
      </c>
      <c r="E20" s="50">
        <v>8.2799999999999994</v>
      </c>
      <c r="F20" s="50">
        <v>3.65</v>
      </c>
      <c r="G20" s="50">
        <v>164.45</v>
      </c>
      <c r="H20" s="50">
        <v>76.75</v>
      </c>
      <c r="I20" s="50">
        <v>20.75</v>
      </c>
      <c r="J20" s="50">
        <v>0.5</v>
      </c>
      <c r="K20" s="50">
        <v>239.7</v>
      </c>
      <c r="L20" s="50">
        <v>26.37</v>
      </c>
      <c r="M20" s="50">
        <v>34.42</v>
      </c>
      <c r="N20" s="50">
        <v>572.29999999999995</v>
      </c>
      <c r="O20" s="50">
        <v>0</v>
      </c>
      <c r="P20" s="50">
        <v>1.75</v>
      </c>
      <c r="Q20" s="50">
        <v>5.41</v>
      </c>
    </row>
    <row r="21" spans="1:17" customFormat="1">
      <c r="A21" s="55">
        <v>45319.541666666664</v>
      </c>
      <c r="B21" s="50">
        <v>36.380000000000003</v>
      </c>
      <c r="C21" s="50">
        <v>39.4</v>
      </c>
      <c r="D21" s="50">
        <v>50.87</v>
      </c>
      <c r="E21" s="50">
        <v>7.94</v>
      </c>
      <c r="F21" s="50">
        <v>3.82</v>
      </c>
      <c r="G21" s="50">
        <v>63.45</v>
      </c>
      <c r="H21" s="50">
        <v>51.84</v>
      </c>
      <c r="I21" s="50">
        <v>18.16</v>
      </c>
      <c r="J21" s="50">
        <v>0.47</v>
      </c>
      <c r="K21" s="50">
        <v>211.74</v>
      </c>
      <c r="L21" s="50">
        <v>27.68</v>
      </c>
      <c r="M21" s="50">
        <v>31.7</v>
      </c>
      <c r="N21" s="50">
        <v>610.70000000000005</v>
      </c>
      <c r="O21" s="50">
        <v>0</v>
      </c>
      <c r="P21" s="50">
        <v>1.5</v>
      </c>
      <c r="Q21" s="50">
        <v>5.22</v>
      </c>
    </row>
    <row r="22" spans="1:17" customFormat="1">
      <c r="A22" s="55">
        <v>45319.583333333336</v>
      </c>
      <c r="B22" s="50">
        <v>17.8</v>
      </c>
      <c r="C22" s="50">
        <v>37.67</v>
      </c>
      <c r="D22" s="50">
        <v>35.31</v>
      </c>
      <c r="E22" s="50">
        <v>7.93</v>
      </c>
      <c r="F22" s="50">
        <v>4.3499999999999996</v>
      </c>
      <c r="G22" s="50">
        <v>50.24</v>
      </c>
      <c r="H22" s="50">
        <v>34.6</v>
      </c>
      <c r="I22" s="50">
        <v>15.51</v>
      </c>
      <c r="J22" s="50">
        <v>0.45</v>
      </c>
      <c r="K22" s="50">
        <v>308.2</v>
      </c>
      <c r="L22" s="50">
        <v>28.03</v>
      </c>
      <c r="M22" s="50">
        <v>28.79</v>
      </c>
      <c r="N22" s="50">
        <v>529.70000000000005</v>
      </c>
      <c r="O22" s="50">
        <v>0</v>
      </c>
      <c r="P22" s="50">
        <v>1.28</v>
      </c>
      <c r="Q22" s="50">
        <v>5.01</v>
      </c>
    </row>
    <row r="23" spans="1:17" customFormat="1">
      <c r="A23" s="55">
        <v>45319.625</v>
      </c>
      <c r="B23" s="50">
        <v>8.08</v>
      </c>
      <c r="C23" s="50">
        <v>33.4</v>
      </c>
      <c r="D23" s="50">
        <v>25.28</v>
      </c>
      <c r="E23" s="50">
        <v>7.33</v>
      </c>
      <c r="F23" s="50">
        <v>5.35</v>
      </c>
      <c r="G23" s="50">
        <v>49.84</v>
      </c>
      <c r="H23" s="50">
        <v>26.37</v>
      </c>
      <c r="I23" s="50">
        <v>13.28</v>
      </c>
      <c r="J23" s="50">
        <v>0.4</v>
      </c>
      <c r="K23" s="50">
        <v>307.52999999999997</v>
      </c>
      <c r="L23" s="50">
        <v>28.39</v>
      </c>
      <c r="M23" s="50">
        <v>27.67</v>
      </c>
      <c r="N23" s="50">
        <v>430.9</v>
      </c>
      <c r="O23" s="50">
        <v>0</v>
      </c>
      <c r="P23" s="50">
        <v>1.02</v>
      </c>
      <c r="Q23" s="50">
        <v>4.88</v>
      </c>
    </row>
    <row r="24" spans="1:17" customFormat="1">
      <c r="A24" s="55">
        <v>45319.666666666664</v>
      </c>
      <c r="B24" s="50">
        <v>5.01</v>
      </c>
      <c r="C24" s="50">
        <v>27.63</v>
      </c>
      <c r="D24" s="50">
        <v>19.8</v>
      </c>
      <c r="E24" s="50">
        <v>7.23</v>
      </c>
      <c r="F24" s="50">
        <v>5.58</v>
      </c>
      <c r="G24" s="50">
        <v>49.84</v>
      </c>
      <c r="H24" s="50">
        <v>23.46</v>
      </c>
      <c r="I24" s="50">
        <v>11.55</v>
      </c>
      <c r="J24" s="50">
        <v>0.63</v>
      </c>
      <c r="K24" s="50">
        <v>297.83999999999997</v>
      </c>
      <c r="L24" s="50">
        <v>27.35</v>
      </c>
      <c r="M24" s="50">
        <v>28.62</v>
      </c>
      <c r="N24" s="50">
        <v>122.4</v>
      </c>
      <c r="O24" s="50">
        <v>0</v>
      </c>
      <c r="P24" s="50">
        <v>0.91</v>
      </c>
      <c r="Q24" s="50">
        <v>4.83</v>
      </c>
    </row>
    <row r="25" spans="1:17" customFormat="1">
      <c r="A25" s="55">
        <v>45319.708333333336</v>
      </c>
      <c r="B25" s="50">
        <v>5.12</v>
      </c>
      <c r="C25" s="50">
        <v>24.41</v>
      </c>
      <c r="D25" s="50">
        <v>18</v>
      </c>
      <c r="E25" s="50">
        <v>7.37</v>
      </c>
      <c r="F25" s="50">
        <v>5.21</v>
      </c>
      <c r="G25" s="50">
        <v>43.54</v>
      </c>
      <c r="H25" s="50">
        <v>25.21</v>
      </c>
      <c r="I25" s="50">
        <v>10</v>
      </c>
      <c r="J25" s="50">
        <v>0.31</v>
      </c>
      <c r="K25" s="50">
        <v>282.48</v>
      </c>
      <c r="L25" s="50">
        <v>26.66</v>
      </c>
      <c r="M25" s="50">
        <v>33.380000000000003</v>
      </c>
      <c r="N25" s="50">
        <v>79.099999999999994</v>
      </c>
      <c r="O25" s="50">
        <v>0</v>
      </c>
      <c r="P25" s="50">
        <v>0.8</v>
      </c>
      <c r="Q25" s="50">
        <v>4.79</v>
      </c>
    </row>
    <row r="26" spans="1:17" customFormat="1">
      <c r="A26" s="55">
        <v>45319.75</v>
      </c>
      <c r="B26" s="50">
        <v>6.17</v>
      </c>
      <c r="C26" s="50">
        <v>22.84</v>
      </c>
      <c r="D26" s="50">
        <v>18.239999999999998</v>
      </c>
      <c r="E26" s="50">
        <v>5.99</v>
      </c>
      <c r="F26" s="50">
        <v>3.91</v>
      </c>
      <c r="G26" s="50">
        <v>70.98</v>
      </c>
      <c r="H26" s="50">
        <v>26.65</v>
      </c>
      <c r="I26" s="50">
        <v>9.2799999999999994</v>
      </c>
      <c r="J26" s="50">
        <v>0.31</v>
      </c>
      <c r="K26" s="50">
        <v>177.67</v>
      </c>
      <c r="L26" s="50">
        <v>24.65</v>
      </c>
      <c r="M26" s="50">
        <v>49.8</v>
      </c>
      <c r="N26" s="50">
        <v>18.399999999999999</v>
      </c>
      <c r="O26" s="50">
        <v>0</v>
      </c>
      <c r="P26" s="50">
        <v>0.8</v>
      </c>
      <c r="Q26" s="50">
        <v>4.78</v>
      </c>
    </row>
    <row r="27" spans="1:17" customFormat="1">
      <c r="A27" s="55">
        <v>45319.791666666664</v>
      </c>
      <c r="B27" s="50">
        <v>9.43</v>
      </c>
      <c r="C27" s="50">
        <v>26.01</v>
      </c>
      <c r="D27" s="50">
        <v>22.5</v>
      </c>
      <c r="E27" s="50">
        <v>5.8</v>
      </c>
      <c r="F27" s="50">
        <v>3.39</v>
      </c>
      <c r="G27" s="50">
        <v>99.6</v>
      </c>
      <c r="H27" s="50">
        <v>31.28</v>
      </c>
      <c r="I27" s="50">
        <v>9.6199999999999992</v>
      </c>
      <c r="J27" s="50">
        <v>0.38</v>
      </c>
      <c r="K27" s="50">
        <v>169.91</v>
      </c>
      <c r="L27" s="50">
        <v>21.27</v>
      </c>
      <c r="M27" s="50">
        <v>58.09</v>
      </c>
      <c r="N27" s="50">
        <v>0</v>
      </c>
      <c r="O27" s="50">
        <v>0</v>
      </c>
      <c r="P27" s="50">
        <v>0.87</v>
      </c>
      <c r="Q27" s="50">
        <v>4.84</v>
      </c>
    </row>
    <row r="28" spans="1:17" customFormat="1">
      <c r="A28" s="55">
        <v>45319.833333333336</v>
      </c>
      <c r="B28" s="50">
        <v>12.89</v>
      </c>
      <c r="C28" s="50">
        <v>30.99</v>
      </c>
      <c r="D28" s="50">
        <v>27.59</v>
      </c>
      <c r="E28" s="50">
        <v>5.88</v>
      </c>
      <c r="F28" s="50">
        <v>3.57</v>
      </c>
      <c r="G28" s="50">
        <v>141.65</v>
      </c>
      <c r="H28" s="50">
        <v>41.72</v>
      </c>
      <c r="I28" s="50">
        <v>10.91</v>
      </c>
      <c r="J28" s="50">
        <v>0.39</v>
      </c>
      <c r="K28" s="50">
        <v>171.58</v>
      </c>
      <c r="L28" s="50">
        <v>20.37</v>
      </c>
      <c r="M28" s="50">
        <v>63.88</v>
      </c>
      <c r="N28" s="50">
        <v>0</v>
      </c>
      <c r="O28" s="50">
        <v>0</v>
      </c>
      <c r="P28" s="50">
        <v>1</v>
      </c>
      <c r="Q28" s="50">
        <v>4.8899999999999997</v>
      </c>
    </row>
    <row r="29" spans="1:17" customFormat="1">
      <c r="A29" s="55">
        <v>45319.875</v>
      </c>
      <c r="B29" s="50">
        <v>15.19</v>
      </c>
      <c r="C29" s="50">
        <v>31.67</v>
      </c>
      <c r="D29" s="50">
        <v>30.08</v>
      </c>
      <c r="E29" s="50">
        <v>5.95</v>
      </c>
      <c r="F29" s="50">
        <v>3.4</v>
      </c>
      <c r="G29" s="50">
        <v>148.69</v>
      </c>
      <c r="H29" s="50">
        <v>48.33</v>
      </c>
      <c r="I29" s="50">
        <v>12.27</v>
      </c>
      <c r="J29" s="50">
        <v>0.62</v>
      </c>
      <c r="K29" s="50">
        <v>160.91</v>
      </c>
      <c r="L29" s="50">
        <v>20.5</v>
      </c>
      <c r="M29" s="50">
        <v>68.89</v>
      </c>
      <c r="N29" s="50">
        <v>0</v>
      </c>
      <c r="O29" s="50">
        <v>0</v>
      </c>
      <c r="P29" s="50">
        <v>1.07</v>
      </c>
      <c r="Q29" s="50">
        <v>4.92</v>
      </c>
    </row>
    <row r="30" spans="1:17" customFormat="1">
      <c r="A30" s="55">
        <v>45319.916666666664</v>
      </c>
      <c r="B30" s="50">
        <v>15.57</v>
      </c>
      <c r="C30" s="50">
        <v>32.07</v>
      </c>
      <c r="D30" s="50">
        <v>30.52</v>
      </c>
      <c r="E30" s="50">
        <v>6.53</v>
      </c>
      <c r="F30" s="50">
        <v>3.43</v>
      </c>
      <c r="G30" s="50">
        <v>148.69</v>
      </c>
      <c r="H30" s="50">
        <v>56.48</v>
      </c>
      <c r="I30" s="50">
        <v>13.49</v>
      </c>
      <c r="J30" s="50">
        <v>0.21</v>
      </c>
      <c r="K30" s="50">
        <v>183.77</v>
      </c>
      <c r="L30" s="50">
        <v>18.23</v>
      </c>
      <c r="M30" s="50">
        <v>82.39</v>
      </c>
      <c r="N30" s="50">
        <v>0</v>
      </c>
      <c r="O30" s="50">
        <v>0</v>
      </c>
      <c r="P30" s="50">
        <v>1.1100000000000001</v>
      </c>
      <c r="Q30" s="50">
        <v>4.95</v>
      </c>
    </row>
    <row r="31" spans="1:17" customFormat="1">
      <c r="A31" s="55">
        <v>45319.958333333336</v>
      </c>
      <c r="B31" s="50">
        <v>14.93</v>
      </c>
      <c r="C31" s="50">
        <v>32.08</v>
      </c>
      <c r="D31" s="50">
        <v>30.08</v>
      </c>
      <c r="E31" s="50">
        <v>6.29</v>
      </c>
      <c r="F31" s="50">
        <v>3.43</v>
      </c>
      <c r="G31" s="50">
        <v>125.98</v>
      </c>
      <c r="H31" s="50">
        <v>56.48</v>
      </c>
      <c r="I31" s="50">
        <v>14.61</v>
      </c>
      <c r="J31" s="50">
        <v>0.23</v>
      </c>
      <c r="K31" s="50">
        <v>225.77</v>
      </c>
      <c r="L31" s="50">
        <v>16.75</v>
      </c>
      <c r="M31" s="50">
        <v>84.11</v>
      </c>
      <c r="N31" s="50">
        <v>0</v>
      </c>
      <c r="O31" s="50">
        <v>0</v>
      </c>
      <c r="P31" s="50">
        <v>1.1299999999999999</v>
      </c>
      <c r="Q31" s="50">
        <v>4.95</v>
      </c>
    </row>
    <row r="32" spans="1:17" customFormat="1">
      <c r="A32" s="55">
        <v>45320</v>
      </c>
      <c r="B32" s="50">
        <v>18.86</v>
      </c>
      <c r="C32" s="50">
        <v>33.15</v>
      </c>
      <c r="D32" s="50">
        <v>33.79</v>
      </c>
      <c r="E32" s="50">
        <v>6.18</v>
      </c>
      <c r="F32" s="50">
        <v>3.41</v>
      </c>
      <c r="G32" s="50">
        <v>113.86</v>
      </c>
      <c r="H32" s="50">
        <v>50.65</v>
      </c>
      <c r="I32" s="50">
        <v>14.78</v>
      </c>
      <c r="J32" s="50">
        <v>0.22</v>
      </c>
      <c r="K32" s="50">
        <v>240.41</v>
      </c>
      <c r="L32" s="50">
        <v>15.9</v>
      </c>
      <c r="M32" s="50">
        <v>86.79</v>
      </c>
      <c r="N32" s="50">
        <v>0</v>
      </c>
      <c r="O32" s="50">
        <v>0</v>
      </c>
      <c r="P32" s="50">
        <v>1.1200000000000001</v>
      </c>
      <c r="Q32" s="50">
        <v>4.96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5.01</v>
      </c>
      <c r="C34" s="41">
        <f t="shared" si="0"/>
        <v>22.84</v>
      </c>
      <c r="D34" s="41">
        <f t="shared" si="0"/>
        <v>18</v>
      </c>
      <c r="E34" s="41">
        <f t="shared" si="0"/>
        <v>5.8</v>
      </c>
      <c r="F34" s="41">
        <f t="shared" si="0"/>
        <v>3.35</v>
      </c>
      <c r="G34" s="41">
        <f t="shared" si="0"/>
        <v>43.54</v>
      </c>
      <c r="H34" s="41">
        <f t="shared" si="0"/>
        <v>23.46</v>
      </c>
      <c r="I34" s="41">
        <f t="shared" si="0"/>
        <v>9.2799999999999994</v>
      </c>
      <c r="J34" s="41">
        <f t="shared" si="0"/>
        <v>0.16</v>
      </c>
      <c r="K34" s="41">
        <f t="shared" si="0"/>
        <v>73.58</v>
      </c>
      <c r="L34" s="41">
        <f t="shared" si="0"/>
        <v>12.81</v>
      </c>
      <c r="M34" s="41">
        <f t="shared" si="0"/>
        <v>27.67</v>
      </c>
      <c r="N34" s="41">
        <f t="shared" si="0"/>
        <v>0</v>
      </c>
      <c r="O34" s="41">
        <f t="shared" si="0"/>
        <v>0</v>
      </c>
      <c r="P34" s="41">
        <f t="shared" si="0"/>
        <v>0.8</v>
      </c>
      <c r="Q34" s="41">
        <f t="shared" si="0"/>
        <v>4.78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119.51</v>
      </c>
      <c r="C35" s="33">
        <f t="shared" si="1"/>
        <v>42.28</v>
      </c>
      <c r="D35" s="33">
        <f t="shared" si="1"/>
        <v>116.58</v>
      </c>
      <c r="E35" s="33">
        <f t="shared" si="1"/>
        <v>9.61</v>
      </c>
      <c r="F35" s="33">
        <f t="shared" si="1"/>
        <v>5.58</v>
      </c>
      <c r="G35" s="33">
        <f t="shared" si="1"/>
        <v>190</v>
      </c>
      <c r="H35" s="33">
        <f t="shared" si="1"/>
        <v>94.68</v>
      </c>
      <c r="I35" s="33">
        <f t="shared" si="1"/>
        <v>23.91</v>
      </c>
      <c r="J35" s="33">
        <f t="shared" si="1"/>
        <v>0.87</v>
      </c>
      <c r="K35" s="33">
        <f t="shared" si="1"/>
        <v>308.2</v>
      </c>
      <c r="L35" s="33">
        <f t="shared" si="1"/>
        <v>28.39</v>
      </c>
      <c r="M35" s="33">
        <f t="shared" si="1"/>
        <v>94.7</v>
      </c>
      <c r="N35" s="33">
        <f t="shared" si="1"/>
        <v>610.70000000000005</v>
      </c>
      <c r="O35" s="33">
        <f t="shared" si="1"/>
        <v>0</v>
      </c>
      <c r="P35" s="33">
        <f t="shared" si="1"/>
        <v>2.14</v>
      </c>
      <c r="Q35" s="33">
        <f t="shared" si="1"/>
        <v>5.93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49.766250000000007</v>
      </c>
      <c r="C36" s="41">
        <f t="shared" si="2"/>
        <v>33.355833333333337</v>
      </c>
      <c r="D36" s="41">
        <f t="shared" si="2"/>
        <v>58.411249999999974</v>
      </c>
      <c r="E36" s="41">
        <f t="shared" si="2"/>
        <v>7.6383333333333345</v>
      </c>
      <c r="F36" s="41">
        <f t="shared" si="2"/>
        <v>3.7570833333333336</v>
      </c>
      <c r="G36" s="41">
        <f t="shared" si="2"/>
        <v>116.72000000000001</v>
      </c>
      <c r="H36" s="41">
        <f t="shared" si="2"/>
        <v>52.676666666666677</v>
      </c>
      <c r="I36" s="41">
        <f t="shared" si="2"/>
        <v>15.693333333333333</v>
      </c>
      <c r="J36" s="41">
        <f t="shared" si="2"/>
        <v>0.36749999999999999</v>
      </c>
      <c r="K36" s="41">
        <f t="shared" si="2"/>
        <v>207.36958333333337</v>
      </c>
      <c r="L36" s="41">
        <f t="shared" si="2"/>
        <v>19.942500000000003</v>
      </c>
      <c r="M36" s="41">
        <f t="shared" si="2"/>
        <v>65.734583333333333</v>
      </c>
      <c r="N36" s="41">
        <f t="shared" si="2"/>
        <v>147.25416666666669</v>
      </c>
      <c r="O36" s="41">
        <f t="shared" si="2"/>
        <v>0</v>
      </c>
      <c r="P36" s="41">
        <f t="shared" si="2"/>
        <v>1.3833333333333331</v>
      </c>
      <c r="Q36" s="41">
        <f t="shared" si="2"/>
        <v>5.2704166666666667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40.050552383152606</v>
      </c>
      <c r="C37" s="41">
        <f t="shared" ref="C37:Q37" si="3">STDEV(C9:C32)</f>
        <v>4.9615783925004768</v>
      </c>
      <c r="D37" s="41">
        <f t="shared" si="3"/>
        <v>33.474895111372547</v>
      </c>
      <c r="E37" s="41">
        <f t="shared" si="3"/>
        <v>1.1717718529484744</v>
      </c>
      <c r="F37" s="41">
        <f t="shared" si="3"/>
        <v>0.66762055850979007</v>
      </c>
      <c r="G37" s="41">
        <f t="shared" si="3"/>
        <v>43.272755260395456</v>
      </c>
      <c r="H37" s="41">
        <f t="shared" si="3"/>
        <v>19.904111366131396</v>
      </c>
      <c r="I37" s="41">
        <f t="shared" si="3"/>
        <v>4.5059213859356149</v>
      </c>
      <c r="J37" s="41">
        <f t="shared" si="3"/>
        <v>0.1778433604877202</v>
      </c>
      <c r="K37" s="41">
        <f t="shared" si="3"/>
        <v>59.320949996729389</v>
      </c>
      <c r="L37" s="41">
        <f t="shared" si="3"/>
        <v>5.6571710936305024</v>
      </c>
      <c r="M37" s="41">
        <f t="shared" si="3"/>
        <v>25.617718389251859</v>
      </c>
      <c r="N37" s="41">
        <f t="shared" si="3"/>
        <v>222.7399575234229</v>
      </c>
      <c r="O37" s="41">
        <f t="shared" si="3"/>
        <v>0</v>
      </c>
      <c r="P37" s="41">
        <f t="shared" si="3"/>
        <v>0.42772061855401833</v>
      </c>
      <c r="Q37" s="41">
        <f t="shared" si="3"/>
        <v>0.39337424560009621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45320.041666666664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5">
        <v>45320.041666666664</v>
      </c>
      <c r="B9" s="50">
        <v>27.24</v>
      </c>
      <c r="C9" s="50">
        <v>33.979999999999997</v>
      </c>
      <c r="D9" s="50">
        <v>40.950000000000003</v>
      </c>
      <c r="E9" s="50">
        <v>6.5</v>
      </c>
      <c r="F9" s="50">
        <v>3.4</v>
      </c>
      <c r="G9" s="50">
        <v>101.77</v>
      </c>
      <c r="H9" s="50">
        <v>44.34</v>
      </c>
      <c r="I9" s="50">
        <v>14.54</v>
      </c>
      <c r="J9" s="50">
        <v>0.18</v>
      </c>
      <c r="K9" s="50">
        <v>243.07</v>
      </c>
      <c r="L9" s="50">
        <v>15.61</v>
      </c>
      <c r="M9" s="50">
        <v>88.81</v>
      </c>
      <c r="N9" s="50">
        <v>0</v>
      </c>
      <c r="O9" s="50">
        <v>0</v>
      </c>
      <c r="P9" s="50">
        <v>1.1100000000000001</v>
      </c>
      <c r="Q9" s="50">
        <v>5.03</v>
      </c>
    </row>
    <row r="10" spans="1:21">
      <c r="A10" s="55">
        <v>45320.083333333336</v>
      </c>
      <c r="B10" s="50">
        <v>43.05</v>
      </c>
      <c r="C10" s="50">
        <v>35.200000000000003</v>
      </c>
      <c r="D10" s="50">
        <v>54.08</v>
      </c>
      <c r="E10" s="50">
        <v>6.76</v>
      </c>
      <c r="F10" s="50">
        <v>3.31</v>
      </c>
      <c r="G10" s="50">
        <v>109.05</v>
      </c>
      <c r="H10" s="50">
        <v>46.06</v>
      </c>
      <c r="I10" s="50">
        <v>14.33</v>
      </c>
      <c r="J10" s="50">
        <v>0.21</v>
      </c>
      <c r="K10" s="50">
        <v>188.63</v>
      </c>
      <c r="L10" s="50">
        <v>15.31</v>
      </c>
      <c r="M10" s="50">
        <v>89.19</v>
      </c>
      <c r="N10" s="50">
        <v>0</v>
      </c>
      <c r="O10" s="50">
        <v>0</v>
      </c>
      <c r="P10" s="50">
        <v>1.1499999999999999</v>
      </c>
      <c r="Q10" s="50">
        <v>5.2</v>
      </c>
    </row>
    <row r="11" spans="1:21">
      <c r="A11" s="55">
        <v>45320.125</v>
      </c>
      <c r="B11" s="50">
        <v>48.6</v>
      </c>
      <c r="C11" s="50">
        <v>34.57</v>
      </c>
      <c r="D11" s="50">
        <v>57.16</v>
      </c>
      <c r="E11" s="50">
        <v>5.01</v>
      </c>
      <c r="F11" s="50">
        <v>3.54</v>
      </c>
      <c r="G11" s="50">
        <v>109.05</v>
      </c>
      <c r="H11" s="50">
        <v>48.72</v>
      </c>
      <c r="I11" s="50">
        <v>14.13</v>
      </c>
      <c r="J11" s="50">
        <v>0.31</v>
      </c>
      <c r="K11" s="50">
        <v>186.94</v>
      </c>
      <c r="L11" s="50">
        <v>15.02</v>
      </c>
      <c r="M11" s="50">
        <v>93.05</v>
      </c>
      <c r="N11" s="50">
        <v>0</v>
      </c>
      <c r="O11" s="50">
        <v>0</v>
      </c>
      <c r="P11" s="50">
        <v>1.1599999999999999</v>
      </c>
      <c r="Q11" s="50">
        <v>5.22</v>
      </c>
    </row>
    <row r="12" spans="1:21">
      <c r="A12" s="55">
        <v>45320.166666666664</v>
      </c>
      <c r="B12" s="50">
        <v>46.35</v>
      </c>
      <c r="C12" s="50">
        <v>31.54</v>
      </c>
      <c r="D12" s="50">
        <v>54.9</v>
      </c>
      <c r="E12" s="50">
        <v>5.4</v>
      </c>
      <c r="F12" s="50">
        <v>3.27</v>
      </c>
      <c r="G12" s="50">
        <v>101.33</v>
      </c>
      <c r="H12" s="50">
        <v>48.72</v>
      </c>
      <c r="I12" s="50">
        <v>13.73</v>
      </c>
      <c r="J12" s="50">
        <v>0.21</v>
      </c>
      <c r="K12" s="50">
        <v>246.51</v>
      </c>
      <c r="L12" s="50">
        <v>13.84</v>
      </c>
      <c r="M12" s="50">
        <v>95.86</v>
      </c>
      <c r="N12" s="50">
        <v>0</v>
      </c>
      <c r="O12" s="50">
        <v>0</v>
      </c>
      <c r="P12" s="50">
        <v>1.1299999999999999</v>
      </c>
      <c r="Q12" s="50">
        <v>5.23</v>
      </c>
    </row>
    <row r="13" spans="1:21">
      <c r="A13" s="55">
        <v>45320.208333333336</v>
      </c>
      <c r="B13" s="50">
        <v>38.28</v>
      </c>
      <c r="C13" s="50">
        <v>29.88</v>
      </c>
      <c r="D13" s="50">
        <v>47.66</v>
      </c>
      <c r="E13" s="50">
        <v>5.13</v>
      </c>
      <c r="F13" s="50">
        <v>3.2</v>
      </c>
      <c r="G13" s="50">
        <v>99.54</v>
      </c>
      <c r="H13" s="50">
        <v>45.64</v>
      </c>
      <c r="I13" s="50">
        <v>13.27</v>
      </c>
      <c r="J13" s="50">
        <v>0.16</v>
      </c>
      <c r="K13" s="50">
        <v>198.71</v>
      </c>
      <c r="L13" s="50">
        <v>13.27</v>
      </c>
      <c r="M13" s="50">
        <v>96.29</v>
      </c>
      <c r="N13" s="50">
        <v>0</v>
      </c>
      <c r="O13" s="50">
        <v>0</v>
      </c>
      <c r="P13" s="50">
        <v>1.08</v>
      </c>
      <c r="Q13" s="50">
        <v>5.12</v>
      </c>
    </row>
    <row r="14" spans="1:21">
      <c r="A14" s="55">
        <v>45320.25</v>
      </c>
      <c r="B14" s="50">
        <v>30.76</v>
      </c>
      <c r="C14" s="50">
        <v>28.64</v>
      </c>
      <c r="D14" s="50">
        <v>40.98</v>
      </c>
      <c r="E14" s="50">
        <v>5.34</v>
      </c>
      <c r="F14" s="50">
        <v>3.22</v>
      </c>
      <c r="G14" s="50">
        <v>71.59</v>
      </c>
      <c r="H14" s="50">
        <v>42.63</v>
      </c>
      <c r="I14" s="50">
        <v>12.49</v>
      </c>
      <c r="J14" s="50">
        <v>0.17</v>
      </c>
      <c r="K14" s="50">
        <v>211.55</v>
      </c>
      <c r="L14" s="50">
        <v>13.16</v>
      </c>
      <c r="M14" s="50">
        <v>96.86</v>
      </c>
      <c r="N14" s="50">
        <v>0</v>
      </c>
      <c r="O14" s="50">
        <v>0</v>
      </c>
      <c r="P14" s="50">
        <v>1.03</v>
      </c>
      <c r="Q14" s="50">
        <v>5.04</v>
      </c>
    </row>
    <row r="15" spans="1:21">
      <c r="A15" s="55">
        <v>45320.291666666664</v>
      </c>
      <c r="B15" s="50">
        <v>41.29</v>
      </c>
      <c r="C15" s="50">
        <v>29.42</v>
      </c>
      <c r="D15" s="50">
        <v>49.84</v>
      </c>
      <c r="E15" s="50">
        <v>5.45</v>
      </c>
      <c r="F15" s="50">
        <v>3.3</v>
      </c>
      <c r="G15" s="50">
        <v>75.5</v>
      </c>
      <c r="H15" s="50">
        <v>40.68</v>
      </c>
      <c r="I15" s="50">
        <v>11.93</v>
      </c>
      <c r="J15" s="50">
        <v>0.6</v>
      </c>
      <c r="K15" s="50">
        <v>220.62</v>
      </c>
      <c r="L15" s="50">
        <v>13.98</v>
      </c>
      <c r="M15" s="50">
        <v>95.71</v>
      </c>
      <c r="N15" s="50">
        <v>3.4</v>
      </c>
      <c r="O15" s="50">
        <v>0</v>
      </c>
      <c r="P15" s="50">
        <v>1.05</v>
      </c>
      <c r="Q15" s="50">
        <v>5.15</v>
      </c>
    </row>
    <row r="16" spans="1:21">
      <c r="A16" s="55">
        <v>45320.333333333336</v>
      </c>
      <c r="B16" s="50">
        <v>43.38</v>
      </c>
      <c r="C16" s="50">
        <v>30.87</v>
      </c>
      <c r="D16" s="50">
        <v>51.67</v>
      </c>
      <c r="E16" s="50">
        <v>5.84</v>
      </c>
      <c r="F16" s="50">
        <v>3.34</v>
      </c>
      <c r="G16" s="50">
        <v>118.8</v>
      </c>
      <c r="H16" s="50">
        <v>48.23</v>
      </c>
      <c r="I16" s="50">
        <v>13.52</v>
      </c>
      <c r="J16" s="50">
        <v>0.33</v>
      </c>
      <c r="K16" s="50">
        <v>175.59</v>
      </c>
      <c r="L16" s="50">
        <v>14.98</v>
      </c>
      <c r="M16" s="50">
        <v>92.32</v>
      </c>
      <c r="N16" s="50">
        <v>52.4</v>
      </c>
      <c r="O16" s="50">
        <v>0</v>
      </c>
      <c r="P16" s="50">
        <v>1.1399999999999999</v>
      </c>
      <c r="Q16" s="50">
        <v>5.19</v>
      </c>
    </row>
    <row r="17" spans="1:17">
      <c r="A17" s="55">
        <v>45320.375</v>
      </c>
      <c r="B17" s="50">
        <v>40.92</v>
      </c>
      <c r="C17" s="50">
        <v>34.06</v>
      </c>
      <c r="D17" s="50">
        <v>50.66</v>
      </c>
      <c r="E17" s="50">
        <v>5.73</v>
      </c>
      <c r="F17" s="50">
        <v>3.33</v>
      </c>
      <c r="G17" s="50">
        <v>124.05</v>
      </c>
      <c r="H17" s="50">
        <v>52.27</v>
      </c>
      <c r="I17" s="50">
        <v>14.37</v>
      </c>
      <c r="J17" s="50">
        <v>0.62</v>
      </c>
      <c r="K17" s="50">
        <v>208.07</v>
      </c>
      <c r="L17" s="50">
        <v>18.649999999999999</v>
      </c>
      <c r="M17" s="50">
        <v>86.57</v>
      </c>
      <c r="N17" s="50">
        <v>240.1</v>
      </c>
      <c r="O17" s="50">
        <v>0</v>
      </c>
      <c r="P17" s="50">
        <v>1.17</v>
      </c>
      <c r="Q17" s="50">
        <v>5.15</v>
      </c>
    </row>
    <row r="18" spans="1:17">
      <c r="A18" s="55">
        <v>45320.416666666664</v>
      </c>
      <c r="B18" s="50">
        <v>35.119999999999997</v>
      </c>
      <c r="C18" s="50">
        <v>34.43</v>
      </c>
      <c r="D18" s="50">
        <v>46.94</v>
      </c>
      <c r="E18" s="50">
        <v>6.53</v>
      </c>
      <c r="F18" s="50">
        <v>3.43</v>
      </c>
      <c r="G18" s="50">
        <v>124.05</v>
      </c>
      <c r="H18" s="50">
        <v>58.47</v>
      </c>
      <c r="I18" s="50">
        <v>14.38</v>
      </c>
      <c r="J18" s="50">
        <v>0.41</v>
      </c>
      <c r="K18" s="50">
        <v>271.99</v>
      </c>
      <c r="L18" s="50">
        <v>22.43</v>
      </c>
      <c r="M18" s="50">
        <v>66.239999999999995</v>
      </c>
      <c r="N18" s="50">
        <v>325.10000000000002</v>
      </c>
      <c r="O18" s="50">
        <v>0</v>
      </c>
      <c r="P18" s="50">
        <v>1.19</v>
      </c>
      <c r="Q18" s="50">
        <v>5.12</v>
      </c>
    </row>
    <row r="19" spans="1:17">
      <c r="A19" s="55">
        <v>45320.458333333336</v>
      </c>
      <c r="B19" s="50">
        <v>24.97</v>
      </c>
      <c r="C19" s="50">
        <v>35.03</v>
      </c>
      <c r="D19" s="50">
        <v>39.520000000000003</v>
      </c>
      <c r="E19" s="50">
        <v>8.7200000000000006</v>
      </c>
      <c r="F19" s="50">
        <v>3.94</v>
      </c>
      <c r="G19" s="50">
        <v>131.49</v>
      </c>
      <c r="H19" s="50">
        <v>60.44</v>
      </c>
      <c r="I19" s="50">
        <v>14.05</v>
      </c>
      <c r="J19" s="50">
        <v>0.56000000000000005</v>
      </c>
      <c r="K19" s="50">
        <v>292.39999999999998</v>
      </c>
      <c r="L19" s="50">
        <v>24.87</v>
      </c>
      <c r="M19" s="50">
        <v>52.88</v>
      </c>
      <c r="N19" s="50">
        <v>458.3</v>
      </c>
      <c r="O19" s="50">
        <v>0</v>
      </c>
      <c r="P19" s="50">
        <v>1.18</v>
      </c>
      <c r="Q19" s="50">
        <v>5.04</v>
      </c>
    </row>
    <row r="20" spans="1:17">
      <c r="A20" s="55">
        <v>45320.5</v>
      </c>
      <c r="B20" s="50">
        <v>13.23</v>
      </c>
      <c r="C20" s="50">
        <v>34.25</v>
      </c>
      <c r="D20" s="50">
        <v>29.86</v>
      </c>
      <c r="E20" s="50">
        <v>9.1</v>
      </c>
      <c r="F20" s="50">
        <v>4.7300000000000004</v>
      </c>
      <c r="G20" s="50">
        <v>131.49</v>
      </c>
      <c r="H20" s="50">
        <v>60.44</v>
      </c>
      <c r="I20" s="50">
        <v>13.41</v>
      </c>
      <c r="J20" s="50">
        <v>0.68</v>
      </c>
      <c r="K20" s="50">
        <v>287.43</v>
      </c>
      <c r="L20" s="50">
        <v>26.52</v>
      </c>
      <c r="M20" s="50">
        <v>43.24</v>
      </c>
      <c r="N20" s="50">
        <v>557.9</v>
      </c>
      <c r="O20" s="50">
        <v>0</v>
      </c>
      <c r="P20" s="50">
        <v>1.1399999999999999</v>
      </c>
      <c r="Q20" s="50">
        <v>4.96</v>
      </c>
    </row>
    <row r="21" spans="1:17">
      <c r="A21" s="55">
        <v>45320.541666666664</v>
      </c>
      <c r="B21" s="50">
        <v>5.9</v>
      </c>
      <c r="C21" s="50">
        <v>30.8</v>
      </c>
      <c r="D21" s="50">
        <v>22.17</v>
      </c>
      <c r="E21" s="50">
        <v>7.43</v>
      </c>
      <c r="F21" s="50">
        <v>4.7</v>
      </c>
      <c r="G21" s="50">
        <v>115.06</v>
      </c>
      <c r="H21" s="50">
        <v>59.62</v>
      </c>
      <c r="I21" s="50">
        <v>12.66</v>
      </c>
      <c r="J21" s="50">
        <v>0.55000000000000004</v>
      </c>
      <c r="K21" s="50">
        <v>281.52</v>
      </c>
      <c r="L21" s="50">
        <v>28.47</v>
      </c>
      <c r="M21" s="50">
        <v>37.56</v>
      </c>
      <c r="N21" s="50">
        <v>599.9</v>
      </c>
      <c r="O21" s="50">
        <v>0</v>
      </c>
      <c r="P21" s="50">
        <v>1.0900000000000001</v>
      </c>
      <c r="Q21" s="50">
        <v>4.84</v>
      </c>
    </row>
    <row r="22" spans="1:17">
      <c r="A22" s="55">
        <v>45320.583333333336</v>
      </c>
      <c r="B22" s="50">
        <v>4.68</v>
      </c>
      <c r="C22" s="50">
        <v>23.24</v>
      </c>
      <c r="D22" s="50">
        <v>17.2</v>
      </c>
      <c r="E22" s="50">
        <v>7.32</v>
      </c>
      <c r="F22" s="50">
        <v>4.7</v>
      </c>
      <c r="G22" s="50">
        <v>102.23</v>
      </c>
      <c r="H22" s="50">
        <v>54.57</v>
      </c>
      <c r="I22" s="50">
        <v>11.77</v>
      </c>
      <c r="J22" s="50">
        <v>0.48</v>
      </c>
      <c r="K22" s="50">
        <v>268.77999999999997</v>
      </c>
      <c r="L22" s="50">
        <v>29.01</v>
      </c>
      <c r="M22" s="50">
        <v>28.43</v>
      </c>
      <c r="N22" s="50">
        <v>560.4</v>
      </c>
      <c r="O22" s="50">
        <v>0</v>
      </c>
      <c r="P22" s="50">
        <v>1</v>
      </c>
      <c r="Q22" s="50">
        <v>4.78</v>
      </c>
    </row>
    <row r="23" spans="1:17">
      <c r="A23" s="55">
        <v>45320.625</v>
      </c>
      <c r="B23" s="50">
        <v>4.41</v>
      </c>
      <c r="C23" s="50">
        <v>20.2</v>
      </c>
      <c r="D23" s="50">
        <v>15.39</v>
      </c>
      <c r="E23" s="50">
        <v>7.1</v>
      </c>
      <c r="F23" s="50">
        <v>4.7</v>
      </c>
      <c r="G23" s="50">
        <v>79.400000000000006</v>
      </c>
      <c r="H23" s="50">
        <v>42.77</v>
      </c>
      <c r="I23" s="50">
        <v>10.87</v>
      </c>
      <c r="J23" s="50">
        <v>0.71</v>
      </c>
      <c r="K23" s="50">
        <v>279</v>
      </c>
      <c r="L23" s="50">
        <v>28.43</v>
      </c>
      <c r="M23" s="50">
        <v>31.45</v>
      </c>
      <c r="N23" s="50">
        <v>348.1</v>
      </c>
      <c r="O23" s="50">
        <v>0</v>
      </c>
      <c r="P23" s="50">
        <v>0.9</v>
      </c>
      <c r="Q23" s="50">
        <v>4.76</v>
      </c>
    </row>
    <row r="24" spans="1:17">
      <c r="A24" s="55">
        <v>45320.666666666664</v>
      </c>
      <c r="B24" s="50">
        <v>4.54</v>
      </c>
      <c r="C24" s="50">
        <v>17.88</v>
      </c>
      <c r="D24" s="50">
        <v>14.2</v>
      </c>
      <c r="E24" s="50">
        <v>6.81</v>
      </c>
      <c r="F24" s="50">
        <v>4.57</v>
      </c>
      <c r="G24" s="50">
        <v>64.58</v>
      </c>
      <c r="H24" s="50">
        <v>37.93</v>
      </c>
      <c r="I24" s="50">
        <v>10.09</v>
      </c>
      <c r="J24" s="50">
        <v>0.33</v>
      </c>
      <c r="K24" s="50">
        <v>274.02</v>
      </c>
      <c r="L24" s="50">
        <v>27.91</v>
      </c>
      <c r="M24" s="50">
        <v>33.26</v>
      </c>
      <c r="N24" s="50">
        <v>99.3</v>
      </c>
      <c r="O24" s="50">
        <v>0</v>
      </c>
      <c r="P24" s="50">
        <v>0.86</v>
      </c>
      <c r="Q24" s="50">
        <v>4.76</v>
      </c>
    </row>
    <row r="25" spans="1:17">
      <c r="A25" s="55">
        <v>45320.708333333336</v>
      </c>
      <c r="B25" s="50">
        <v>4.72</v>
      </c>
      <c r="C25" s="50">
        <v>16.87</v>
      </c>
      <c r="D25" s="50">
        <v>13.93</v>
      </c>
      <c r="E25" s="50">
        <v>7.55</v>
      </c>
      <c r="F25" s="50">
        <v>4.7300000000000004</v>
      </c>
      <c r="G25" s="50">
        <v>54.46</v>
      </c>
      <c r="H25" s="50">
        <v>34.78</v>
      </c>
      <c r="I25" s="50">
        <v>9.5299999999999994</v>
      </c>
      <c r="J25" s="50">
        <v>0.2</v>
      </c>
      <c r="K25" s="50">
        <v>217.48</v>
      </c>
      <c r="L25" s="50">
        <v>27.06</v>
      </c>
      <c r="M25" s="50">
        <v>36.92</v>
      </c>
      <c r="N25" s="50">
        <v>62</v>
      </c>
      <c r="O25" s="50">
        <v>0</v>
      </c>
      <c r="P25" s="50">
        <v>0.81</v>
      </c>
      <c r="Q25" s="50">
        <v>4.76</v>
      </c>
    </row>
    <row r="26" spans="1:17">
      <c r="A26" s="55">
        <v>45320.75</v>
      </c>
      <c r="B26" s="50">
        <v>4.91</v>
      </c>
      <c r="C26" s="50">
        <v>19.38</v>
      </c>
      <c r="D26" s="50">
        <v>15.41</v>
      </c>
      <c r="E26" s="50">
        <v>8.11</v>
      </c>
      <c r="F26" s="50">
        <v>5.14</v>
      </c>
      <c r="G26" s="50">
        <v>47.8</v>
      </c>
      <c r="H26" s="50">
        <v>31.06</v>
      </c>
      <c r="I26" s="50">
        <v>9.24</v>
      </c>
      <c r="J26" s="50">
        <v>0.27</v>
      </c>
      <c r="K26" s="50">
        <v>185.31</v>
      </c>
      <c r="L26" s="50">
        <v>25.66</v>
      </c>
      <c r="M26" s="50">
        <v>55.46</v>
      </c>
      <c r="N26" s="50">
        <v>10.5</v>
      </c>
      <c r="O26" s="50">
        <v>0</v>
      </c>
      <c r="P26" s="50">
        <v>0.8</v>
      </c>
      <c r="Q26" s="50">
        <v>4.78</v>
      </c>
    </row>
    <row r="27" spans="1:17">
      <c r="A27" s="55">
        <v>45320.791666666664</v>
      </c>
      <c r="B27" s="50">
        <v>5.52</v>
      </c>
      <c r="C27" s="50">
        <v>21.08</v>
      </c>
      <c r="D27" s="50">
        <v>16.79</v>
      </c>
      <c r="E27" s="50">
        <v>6.82</v>
      </c>
      <c r="F27" s="50">
        <v>4.26</v>
      </c>
      <c r="G27" s="50">
        <v>56.63</v>
      </c>
      <c r="H27" s="50">
        <v>31.06</v>
      </c>
      <c r="I27" s="50">
        <v>9.66</v>
      </c>
      <c r="J27" s="50">
        <v>0.28999999999999998</v>
      </c>
      <c r="K27" s="50">
        <v>171.4</v>
      </c>
      <c r="L27" s="50">
        <v>21.89</v>
      </c>
      <c r="M27" s="50">
        <v>65.760000000000005</v>
      </c>
      <c r="N27" s="50">
        <v>0</v>
      </c>
      <c r="O27" s="50">
        <v>0</v>
      </c>
      <c r="P27" s="50">
        <v>0.84</v>
      </c>
      <c r="Q27" s="50">
        <v>4.8</v>
      </c>
    </row>
    <row r="28" spans="1:17">
      <c r="A28" s="55">
        <v>45320.833333333336</v>
      </c>
      <c r="B28" s="50">
        <v>6.08</v>
      </c>
      <c r="C28" s="50">
        <v>22.61</v>
      </c>
      <c r="D28" s="50">
        <v>18.04</v>
      </c>
      <c r="E28" s="50">
        <v>6.61</v>
      </c>
      <c r="F28" s="50">
        <v>3.78</v>
      </c>
      <c r="G28" s="50">
        <v>59.99</v>
      </c>
      <c r="H28" s="50">
        <v>29.1</v>
      </c>
      <c r="I28" s="50">
        <v>10.26</v>
      </c>
      <c r="J28" s="50">
        <v>0.26</v>
      </c>
      <c r="K28" s="50">
        <v>180.68</v>
      </c>
      <c r="L28" s="50">
        <v>20.03</v>
      </c>
      <c r="M28" s="50">
        <v>70.17</v>
      </c>
      <c r="N28" s="50">
        <v>0</v>
      </c>
      <c r="O28" s="50">
        <v>0</v>
      </c>
      <c r="P28" s="50">
        <v>0.89</v>
      </c>
      <c r="Q28" s="50">
        <v>4.8</v>
      </c>
    </row>
    <row r="29" spans="1:17">
      <c r="A29" s="55">
        <v>45320.875</v>
      </c>
      <c r="B29" s="50">
        <v>6.61</v>
      </c>
      <c r="C29" s="50">
        <v>23.84</v>
      </c>
      <c r="D29" s="50">
        <v>19.11</v>
      </c>
      <c r="E29" s="50">
        <v>6.96</v>
      </c>
      <c r="F29" s="50">
        <v>3.46</v>
      </c>
      <c r="G29" s="50">
        <v>68.59</v>
      </c>
      <c r="H29" s="50">
        <v>31.68</v>
      </c>
      <c r="I29" s="50">
        <v>10.84</v>
      </c>
      <c r="J29" s="50">
        <v>0.21</v>
      </c>
      <c r="K29" s="50">
        <v>183.49</v>
      </c>
      <c r="L29" s="50">
        <v>19.059999999999999</v>
      </c>
      <c r="M29" s="50">
        <v>75.33</v>
      </c>
      <c r="N29" s="50">
        <v>0</v>
      </c>
      <c r="O29" s="50">
        <v>0</v>
      </c>
      <c r="P29" s="50">
        <v>0.93</v>
      </c>
      <c r="Q29" s="50">
        <v>4.8</v>
      </c>
    </row>
    <row r="30" spans="1:17">
      <c r="A30" s="55">
        <v>45320.916666666664</v>
      </c>
      <c r="B30" s="50">
        <v>8.2899999999999991</v>
      </c>
      <c r="C30" s="50">
        <v>26.43</v>
      </c>
      <c r="D30" s="50">
        <v>21.81</v>
      </c>
      <c r="E30" s="50">
        <v>6.91</v>
      </c>
      <c r="F30" s="50">
        <v>3.41</v>
      </c>
      <c r="G30" s="50">
        <v>72.540000000000006</v>
      </c>
      <c r="H30" s="50">
        <v>35.119999999999997</v>
      </c>
      <c r="I30" s="50">
        <v>11.32</v>
      </c>
      <c r="J30" s="50">
        <v>0.21</v>
      </c>
      <c r="K30" s="50">
        <v>216.28</v>
      </c>
      <c r="L30" s="50">
        <v>18.37</v>
      </c>
      <c r="M30" s="50">
        <v>74.59</v>
      </c>
      <c r="N30" s="50">
        <v>0</v>
      </c>
      <c r="O30" s="50">
        <v>0</v>
      </c>
      <c r="P30" s="50">
        <v>0.99</v>
      </c>
      <c r="Q30" s="50">
        <v>4.8099999999999996</v>
      </c>
    </row>
    <row r="31" spans="1:17">
      <c r="A31" s="55">
        <v>45320.958333333336</v>
      </c>
      <c r="B31" s="50">
        <v>8.98</v>
      </c>
      <c r="C31" s="50">
        <v>26.76</v>
      </c>
      <c r="D31" s="50">
        <v>22.12</v>
      </c>
      <c r="E31" s="50">
        <v>6.64</v>
      </c>
      <c r="F31" s="50">
        <v>3.57</v>
      </c>
      <c r="G31" s="50">
        <v>77.27</v>
      </c>
      <c r="H31" s="50">
        <v>37.049999999999997</v>
      </c>
      <c r="I31" s="50">
        <v>12.37</v>
      </c>
      <c r="J31" s="50">
        <v>0.22</v>
      </c>
      <c r="K31" s="50">
        <v>182.02</v>
      </c>
      <c r="L31" s="50">
        <v>17.670000000000002</v>
      </c>
      <c r="M31" s="50">
        <v>80.59</v>
      </c>
      <c r="N31" s="50">
        <v>0</v>
      </c>
      <c r="O31" s="50">
        <v>0</v>
      </c>
      <c r="P31" s="50">
        <v>1.05</v>
      </c>
      <c r="Q31" s="50">
        <v>4.82</v>
      </c>
    </row>
    <row r="32" spans="1:17">
      <c r="A32" s="55">
        <v>45321</v>
      </c>
      <c r="B32" s="50">
        <v>9.17</v>
      </c>
      <c r="C32" s="50">
        <v>25.23</v>
      </c>
      <c r="D32" s="50">
        <v>21.85</v>
      </c>
      <c r="E32" s="50">
        <v>6.6</v>
      </c>
      <c r="F32" s="50">
        <v>3.34</v>
      </c>
      <c r="G32" s="50">
        <v>79.34</v>
      </c>
      <c r="H32" s="50">
        <v>40.04</v>
      </c>
      <c r="I32" s="50">
        <v>13.12</v>
      </c>
      <c r="J32" s="50">
        <v>0.2</v>
      </c>
      <c r="K32" s="50">
        <v>195.79</v>
      </c>
      <c r="L32" s="50">
        <v>17.29</v>
      </c>
      <c r="M32" s="50">
        <v>81.680000000000007</v>
      </c>
      <c r="N32" s="50">
        <v>0</v>
      </c>
      <c r="O32" s="50">
        <v>0</v>
      </c>
      <c r="P32" s="50">
        <v>1.08</v>
      </c>
      <c r="Q32" s="50">
        <v>4.8499999999999996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4.41</v>
      </c>
      <c r="C34" s="41">
        <f t="shared" si="0"/>
        <v>16.87</v>
      </c>
      <c r="D34" s="41">
        <f t="shared" si="0"/>
        <v>13.93</v>
      </c>
      <c r="E34" s="41">
        <f t="shared" si="0"/>
        <v>5.01</v>
      </c>
      <c r="F34" s="41">
        <f t="shared" si="0"/>
        <v>3.2</v>
      </c>
      <c r="G34" s="41">
        <f t="shared" si="0"/>
        <v>47.8</v>
      </c>
      <c r="H34" s="41">
        <f t="shared" si="0"/>
        <v>29.1</v>
      </c>
      <c r="I34" s="41">
        <f t="shared" si="0"/>
        <v>9.24</v>
      </c>
      <c r="J34" s="41">
        <f t="shared" si="0"/>
        <v>0.16</v>
      </c>
      <c r="K34" s="41">
        <f t="shared" si="0"/>
        <v>171.4</v>
      </c>
      <c r="L34" s="41">
        <f t="shared" si="0"/>
        <v>13.16</v>
      </c>
      <c r="M34" s="41">
        <f t="shared" si="0"/>
        <v>28.43</v>
      </c>
      <c r="N34" s="41">
        <f t="shared" si="0"/>
        <v>0</v>
      </c>
      <c r="O34" s="41">
        <f t="shared" si="0"/>
        <v>0</v>
      </c>
      <c r="P34" s="41">
        <f t="shared" si="0"/>
        <v>0.8</v>
      </c>
      <c r="Q34" s="41">
        <f t="shared" si="0"/>
        <v>4.76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48.6</v>
      </c>
      <c r="C35" s="33">
        <f t="shared" si="1"/>
        <v>35.200000000000003</v>
      </c>
      <c r="D35" s="33">
        <f t="shared" si="1"/>
        <v>57.16</v>
      </c>
      <c r="E35" s="33">
        <f t="shared" si="1"/>
        <v>9.1</v>
      </c>
      <c r="F35" s="33">
        <f t="shared" si="1"/>
        <v>5.14</v>
      </c>
      <c r="G35" s="33">
        <f t="shared" si="1"/>
        <v>131.49</v>
      </c>
      <c r="H35" s="33">
        <f t="shared" si="1"/>
        <v>60.44</v>
      </c>
      <c r="I35" s="33">
        <f t="shared" si="1"/>
        <v>14.54</v>
      </c>
      <c r="J35" s="33">
        <f t="shared" si="1"/>
        <v>0.71</v>
      </c>
      <c r="K35" s="33">
        <f t="shared" si="1"/>
        <v>292.39999999999998</v>
      </c>
      <c r="L35" s="33">
        <f t="shared" si="1"/>
        <v>29.01</v>
      </c>
      <c r="M35" s="33">
        <f t="shared" si="1"/>
        <v>96.86</v>
      </c>
      <c r="N35" s="33">
        <f t="shared" si="1"/>
        <v>599.9</v>
      </c>
      <c r="O35" s="33">
        <f t="shared" si="1"/>
        <v>0</v>
      </c>
      <c r="P35" s="33">
        <f t="shared" si="1"/>
        <v>1.19</v>
      </c>
      <c r="Q35" s="33">
        <f t="shared" si="1"/>
        <v>5.23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21.125000000000007</v>
      </c>
      <c r="C36" s="41">
        <f t="shared" si="2"/>
        <v>27.75791666666667</v>
      </c>
      <c r="D36" s="41">
        <f t="shared" si="2"/>
        <v>32.593333333333334</v>
      </c>
      <c r="E36" s="41">
        <f t="shared" si="2"/>
        <v>6.682083333333332</v>
      </c>
      <c r="F36" s="41">
        <f t="shared" si="2"/>
        <v>3.8487499999999994</v>
      </c>
      <c r="G36" s="41">
        <f t="shared" si="2"/>
        <v>90.65000000000002</v>
      </c>
      <c r="H36" s="41">
        <f t="shared" si="2"/>
        <v>44.225833333333327</v>
      </c>
      <c r="I36" s="41">
        <f t="shared" si="2"/>
        <v>12.328333333333333</v>
      </c>
      <c r="J36" s="41">
        <f t="shared" si="2"/>
        <v>0.34874999999999995</v>
      </c>
      <c r="K36" s="41">
        <f t="shared" si="2"/>
        <v>223.63666666666666</v>
      </c>
      <c r="L36" s="41">
        <f t="shared" si="2"/>
        <v>20.353750000000002</v>
      </c>
      <c r="M36" s="41">
        <f t="shared" si="2"/>
        <v>69.509166666666673</v>
      </c>
      <c r="N36" s="41">
        <f t="shared" si="2"/>
        <v>138.22499999999999</v>
      </c>
      <c r="O36" s="41">
        <f t="shared" si="2"/>
        <v>0</v>
      </c>
      <c r="P36" s="41">
        <f t="shared" si="2"/>
        <v>1.0320833333333332</v>
      </c>
      <c r="Q36" s="41">
        <f t="shared" si="2"/>
        <v>4.9587499999999993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16.923854530629619</v>
      </c>
      <c r="C37" s="41">
        <f t="shared" ref="C37:Q37" si="3">STDEV(C9:C32)</f>
        <v>5.9727365945214741</v>
      </c>
      <c r="D37" s="41">
        <f t="shared" si="3"/>
        <v>15.862452156138936</v>
      </c>
      <c r="E37" s="41">
        <f t="shared" si="3"/>
        <v>1.0623312312680746</v>
      </c>
      <c r="F37" s="41">
        <f t="shared" si="3"/>
        <v>0.64334257896788727</v>
      </c>
      <c r="G37" s="41">
        <f t="shared" si="3"/>
        <v>26.248785810428181</v>
      </c>
      <c r="H37" s="41">
        <f t="shared" si="3"/>
        <v>9.846845408188031</v>
      </c>
      <c r="I37" s="41">
        <f t="shared" si="3"/>
        <v>1.735783663806147</v>
      </c>
      <c r="J37" s="41">
        <f t="shared" si="3"/>
        <v>0.17896593069024649</v>
      </c>
      <c r="K37" s="41">
        <f t="shared" si="3"/>
        <v>41.274445896437733</v>
      </c>
      <c r="L37" s="41">
        <f t="shared" si="3"/>
        <v>5.5825993731298205</v>
      </c>
      <c r="M37" s="41">
        <f t="shared" si="3"/>
        <v>23.796362147380286</v>
      </c>
      <c r="N37" s="41">
        <f t="shared" si="3"/>
        <v>212.41423281962022</v>
      </c>
      <c r="O37" s="41">
        <f t="shared" si="3"/>
        <v>0</v>
      </c>
      <c r="P37" s="41">
        <f t="shared" si="3"/>
        <v>0.12583561280208208</v>
      </c>
      <c r="Q37" s="41">
        <f t="shared" si="3"/>
        <v>0.17720811886396964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19" zoomScale="85" zoomScaleNormal="85" workbookViewId="0">
      <selection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45321.041666666664</v>
      </c>
      <c r="B9" s="50">
        <v>9.7100000000000009</v>
      </c>
      <c r="C9" s="50">
        <v>24.78</v>
      </c>
      <c r="D9" s="50">
        <v>22.08</v>
      </c>
      <c r="E9" s="50">
        <v>6.75</v>
      </c>
      <c r="F9" s="50">
        <v>3.36</v>
      </c>
      <c r="G9" s="50">
        <v>79.34</v>
      </c>
      <c r="H9" s="50">
        <v>40.04</v>
      </c>
      <c r="I9" s="50">
        <v>13.08</v>
      </c>
      <c r="J9" s="50">
        <v>0.18</v>
      </c>
      <c r="K9" s="50">
        <v>225.21</v>
      </c>
      <c r="L9" s="50">
        <v>16.63</v>
      </c>
      <c r="M9" s="50">
        <v>84.15</v>
      </c>
      <c r="N9" s="50">
        <v>0</v>
      </c>
      <c r="O9" s="50">
        <v>0</v>
      </c>
      <c r="P9" s="50">
        <v>1.07</v>
      </c>
      <c r="Q9" s="50">
        <v>4.84</v>
      </c>
    </row>
    <row r="10" spans="1:21" customFormat="1">
      <c r="A10" s="55">
        <v>45321.083333333336</v>
      </c>
      <c r="B10" s="50">
        <v>9.56</v>
      </c>
      <c r="C10" s="50">
        <v>23.63</v>
      </c>
      <c r="D10" s="50">
        <v>21.32</v>
      </c>
      <c r="E10" s="50">
        <v>6.8</v>
      </c>
      <c r="F10" s="50">
        <v>3.36</v>
      </c>
      <c r="G10" s="50">
        <v>69.89</v>
      </c>
      <c r="H10" s="50">
        <v>36.729999999999997</v>
      </c>
      <c r="I10" s="50">
        <v>12.74</v>
      </c>
      <c r="J10" s="50">
        <v>0.16</v>
      </c>
      <c r="K10" s="50">
        <v>187.34</v>
      </c>
      <c r="L10" s="50">
        <v>16.510000000000002</v>
      </c>
      <c r="M10" s="50">
        <v>87.22</v>
      </c>
      <c r="N10" s="50">
        <v>0</v>
      </c>
      <c r="O10" s="50">
        <v>0</v>
      </c>
      <c r="P10" s="50">
        <v>1.05</v>
      </c>
      <c r="Q10" s="50">
        <v>4.82</v>
      </c>
    </row>
    <row r="11" spans="1:21" customFormat="1">
      <c r="A11" s="55">
        <v>45321.125</v>
      </c>
      <c r="B11" s="50">
        <v>9.4700000000000006</v>
      </c>
      <c r="C11" s="50">
        <v>22.92</v>
      </c>
      <c r="D11" s="50">
        <v>20.92</v>
      </c>
      <c r="E11" s="50">
        <v>5.34</v>
      </c>
      <c r="F11" s="50">
        <v>3.49</v>
      </c>
      <c r="G11" s="50">
        <v>67.55</v>
      </c>
      <c r="H11" s="50">
        <v>37.090000000000003</v>
      </c>
      <c r="I11" s="50">
        <v>12.08</v>
      </c>
      <c r="J11" s="50">
        <v>0.18</v>
      </c>
      <c r="K11" s="50">
        <v>190.43</v>
      </c>
      <c r="L11" s="50">
        <v>16.23</v>
      </c>
      <c r="M11" s="50">
        <v>85.67</v>
      </c>
      <c r="N11" s="50">
        <v>0</v>
      </c>
      <c r="O11" s="50">
        <v>0</v>
      </c>
      <c r="P11" s="50">
        <v>0.99</v>
      </c>
      <c r="Q11" s="50">
        <v>4.83</v>
      </c>
    </row>
    <row r="12" spans="1:21" customFormat="1">
      <c r="A12" s="55">
        <v>45321.166666666664</v>
      </c>
      <c r="B12" s="50">
        <v>12.21</v>
      </c>
      <c r="C12" s="50">
        <v>23.96</v>
      </c>
      <c r="D12" s="50">
        <v>23.66</v>
      </c>
      <c r="E12" s="50">
        <v>5.56</v>
      </c>
      <c r="F12" s="50">
        <v>3.54</v>
      </c>
      <c r="G12" s="50">
        <v>60.39</v>
      </c>
      <c r="H12" s="50">
        <v>37.090000000000003</v>
      </c>
      <c r="I12" s="50">
        <v>11.29</v>
      </c>
      <c r="J12" s="50">
        <v>0.51</v>
      </c>
      <c r="K12" s="50">
        <v>182.69</v>
      </c>
      <c r="L12" s="50">
        <v>16.12</v>
      </c>
      <c r="M12" s="50">
        <v>86.53</v>
      </c>
      <c r="N12" s="50">
        <v>0</v>
      </c>
      <c r="O12" s="50">
        <v>0</v>
      </c>
      <c r="P12" s="50">
        <v>0.93</v>
      </c>
      <c r="Q12" s="50">
        <v>4.84</v>
      </c>
    </row>
    <row r="13" spans="1:21" customFormat="1">
      <c r="A13" s="55">
        <v>45321.208333333336</v>
      </c>
      <c r="B13" s="50">
        <v>14.93</v>
      </c>
      <c r="C13" s="50">
        <v>26.85</v>
      </c>
      <c r="D13" s="50">
        <v>27.35</v>
      </c>
      <c r="E13" s="50">
        <v>5.88</v>
      </c>
      <c r="F13" s="50">
        <v>3.37</v>
      </c>
      <c r="G13" s="50">
        <v>59.72</v>
      </c>
      <c r="H13" s="50">
        <v>35.31</v>
      </c>
      <c r="I13" s="50">
        <v>10.53</v>
      </c>
      <c r="J13" s="50">
        <v>0.46</v>
      </c>
      <c r="K13" s="50">
        <v>171.5</v>
      </c>
      <c r="L13" s="50">
        <v>16.75</v>
      </c>
      <c r="M13" s="50">
        <v>79.16</v>
      </c>
      <c r="N13" s="50">
        <v>0</v>
      </c>
      <c r="O13" s="50">
        <v>0</v>
      </c>
      <c r="P13" s="50">
        <v>0.9</v>
      </c>
      <c r="Q13" s="50">
        <v>4.9000000000000004</v>
      </c>
    </row>
    <row r="14" spans="1:21" customFormat="1">
      <c r="A14" s="55">
        <v>45321.25</v>
      </c>
      <c r="B14" s="50">
        <v>19.18</v>
      </c>
      <c r="C14" s="50">
        <v>28.98</v>
      </c>
      <c r="D14" s="50">
        <v>31.88</v>
      </c>
      <c r="E14" s="50">
        <v>5.87</v>
      </c>
      <c r="F14" s="50">
        <v>3.3</v>
      </c>
      <c r="G14" s="50">
        <v>63.76</v>
      </c>
      <c r="H14" s="50">
        <v>36.9</v>
      </c>
      <c r="I14" s="50">
        <v>10.43</v>
      </c>
      <c r="J14" s="50">
        <v>0.49</v>
      </c>
      <c r="K14" s="50">
        <v>185.56</v>
      </c>
      <c r="L14" s="50">
        <v>16.829999999999998</v>
      </c>
      <c r="M14" s="50">
        <v>87.2</v>
      </c>
      <c r="N14" s="50">
        <v>0</v>
      </c>
      <c r="O14" s="50">
        <v>0</v>
      </c>
      <c r="P14" s="50">
        <v>0.9</v>
      </c>
      <c r="Q14" s="50">
        <v>4.95</v>
      </c>
    </row>
    <row r="15" spans="1:21" customFormat="1">
      <c r="A15" s="55">
        <v>45321.291666666664</v>
      </c>
      <c r="B15" s="50">
        <v>18.71</v>
      </c>
      <c r="C15" s="50">
        <v>28.54</v>
      </c>
      <c r="D15" s="50">
        <v>30.97</v>
      </c>
      <c r="E15" s="50">
        <v>6.18</v>
      </c>
      <c r="F15" s="50">
        <v>3.34</v>
      </c>
      <c r="G15" s="50">
        <v>64.62</v>
      </c>
      <c r="H15" s="50">
        <v>36.9</v>
      </c>
      <c r="I15" s="50">
        <v>10.53</v>
      </c>
      <c r="J15" s="50">
        <v>0.21</v>
      </c>
      <c r="K15" s="50">
        <v>251.26</v>
      </c>
      <c r="L15" s="50">
        <v>15.52</v>
      </c>
      <c r="M15" s="50">
        <v>89.26</v>
      </c>
      <c r="N15" s="50">
        <v>6.7</v>
      </c>
      <c r="O15" s="50">
        <v>0</v>
      </c>
      <c r="P15" s="50">
        <v>0.9</v>
      </c>
      <c r="Q15" s="50">
        <v>4.9400000000000004</v>
      </c>
    </row>
    <row r="16" spans="1:21" customFormat="1">
      <c r="A16" s="55">
        <v>45321.333333333336</v>
      </c>
      <c r="B16" s="50">
        <v>25.57</v>
      </c>
      <c r="C16" s="50">
        <v>29.8</v>
      </c>
      <c r="D16" s="50">
        <v>37.380000000000003</v>
      </c>
      <c r="E16" s="50">
        <v>6.61</v>
      </c>
      <c r="F16" s="50">
        <v>3.26</v>
      </c>
      <c r="G16" s="50">
        <v>71.37</v>
      </c>
      <c r="H16" s="50">
        <v>36.479999999999997</v>
      </c>
      <c r="I16" s="50">
        <v>10.7</v>
      </c>
      <c r="J16" s="50">
        <v>0.19</v>
      </c>
      <c r="K16" s="50">
        <v>250.25</v>
      </c>
      <c r="L16" s="50">
        <v>17.39</v>
      </c>
      <c r="M16" s="50">
        <v>86.9</v>
      </c>
      <c r="N16" s="50">
        <v>67.400000000000006</v>
      </c>
      <c r="O16" s="50">
        <v>0</v>
      </c>
      <c r="P16" s="50">
        <v>0.94</v>
      </c>
      <c r="Q16" s="50">
        <v>4.99</v>
      </c>
    </row>
    <row r="17" spans="1:17" customFormat="1">
      <c r="A17" s="55">
        <v>45321.375</v>
      </c>
      <c r="B17" s="50">
        <v>24.97</v>
      </c>
      <c r="C17" s="50">
        <v>27.82</v>
      </c>
      <c r="D17" s="50">
        <v>35.9</v>
      </c>
      <c r="E17" s="50">
        <v>5.74</v>
      </c>
      <c r="F17" s="50">
        <v>3.55</v>
      </c>
      <c r="G17" s="50">
        <v>71.37</v>
      </c>
      <c r="H17" s="50">
        <v>38.14</v>
      </c>
      <c r="I17" s="50">
        <v>11</v>
      </c>
      <c r="J17" s="50">
        <v>0.23</v>
      </c>
      <c r="K17" s="50">
        <v>280.64999999999998</v>
      </c>
      <c r="L17" s="50">
        <v>21.49</v>
      </c>
      <c r="M17" s="50">
        <v>75.38</v>
      </c>
      <c r="N17" s="50">
        <v>212.7</v>
      </c>
      <c r="O17" s="50">
        <v>0</v>
      </c>
      <c r="P17" s="50">
        <v>0.95</v>
      </c>
      <c r="Q17" s="50">
        <v>4.97</v>
      </c>
    </row>
    <row r="18" spans="1:17" customFormat="1">
      <c r="A18" s="55">
        <v>45321.416666666664</v>
      </c>
      <c r="B18" s="50">
        <v>22.37</v>
      </c>
      <c r="C18" s="50">
        <v>27.8</v>
      </c>
      <c r="D18" s="50">
        <v>33.57</v>
      </c>
      <c r="E18" s="50">
        <v>6.39</v>
      </c>
      <c r="F18" s="50">
        <v>3.55</v>
      </c>
      <c r="G18" s="50">
        <v>93.13</v>
      </c>
      <c r="H18" s="50">
        <v>50.38</v>
      </c>
      <c r="I18" s="50">
        <v>11.76</v>
      </c>
      <c r="J18" s="50">
        <v>0.21</v>
      </c>
      <c r="K18" s="50">
        <v>290.02999999999997</v>
      </c>
      <c r="L18" s="50">
        <v>24.98</v>
      </c>
      <c r="M18" s="50">
        <v>60.62</v>
      </c>
      <c r="N18" s="50">
        <v>277.39999999999998</v>
      </c>
      <c r="O18" s="50">
        <v>0</v>
      </c>
      <c r="P18" s="50">
        <v>1.04</v>
      </c>
      <c r="Q18" s="50">
        <v>4.96</v>
      </c>
    </row>
    <row r="19" spans="1:17" customFormat="1">
      <c r="A19" s="55">
        <v>45321.458333333336</v>
      </c>
      <c r="B19" s="50">
        <v>20.49</v>
      </c>
      <c r="C19" s="50">
        <v>28.17</v>
      </c>
      <c r="D19" s="50">
        <v>31.35</v>
      </c>
      <c r="E19" s="50">
        <v>8.81</v>
      </c>
      <c r="F19" s="50">
        <v>3.56</v>
      </c>
      <c r="G19" s="50">
        <v>119.76</v>
      </c>
      <c r="H19" s="50">
        <v>61.58</v>
      </c>
      <c r="I19" s="50">
        <v>12.01</v>
      </c>
      <c r="J19" s="50">
        <v>0.45</v>
      </c>
      <c r="K19" s="50">
        <v>285.83999999999997</v>
      </c>
      <c r="L19" s="50">
        <v>26.6</v>
      </c>
      <c r="M19" s="50">
        <v>46.57</v>
      </c>
      <c r="N19" s="50">
        <v>438.6</v>
      </c>
      <c r="O19" s="50">
        <v>0</v>
      </c>
      <c r="P19" s="50">
        <v>1.05</v>
      </c>
      <c r="Q19" s="50">
        <v>4.95</v>
      </c>
    </row>
    <row r="20" spans="1:17" customFormat="1">
      <c r="A20" s="55">
        <v>45321.5</v>
      </c>
      <c r="B20" s="50">
        <v>16.32</v>
      </c>
      <c r="C20" s="50">
        <v>27.2</v>
      </c>
      <c r="D20" s="50">
        <v>28.65</v>
      </c>
      <c r="E20" s="50">
        <v>8.5</v>
      </c>
      <c r="F20" s="50">
        <v>4.22</v>
      </c>
      <c r="G20" s="50">
        <v>119.76</v>
      </c>
      <c r="H20" s="50">
        <v>61.58</v>
      </c>
      <c r="I20" s="50">
        <v>11.93</v>
      </c>
      <c r="J20" s="50">
        <v>0.87</v>
      </c>
      <c r="K20" s="50">
        <v>303.29000000000002</v>
      </c>
      <c r="L20" s="50">
        <v>27.68</v>
      </c>
      <c r="M20" s="50">
        <v>40.65</v>
      </c>
      <c r="N20" s="50">
        <v>506.9</v>
      </c>
      <c r="O20" s="50">
        <v>0</v>
      </c>
      <c r="P20" s="50">
        <v>1.04</v>
      </c>
      <c r="Q20" s="50">
        <v>4.9000000000000004</v>
      </c>
    </row>
    <row r="21" spans="1:17" customFormat="1">
      <c r="A21" s="55">
        <v>45321.541666666664</v>
      </c>
      <c r="B21" s="50">
        <v>10.83</v>
      </c>
      <c r="C21" s="50">
        <v>24.67</v>
      </c>
      <c r="D21" s="50">
        <v>22.92</v>
      </c>
      <c r="E21" s="50">
        <v>9.9600000000000009</v>
      </c>
      <c r="F21" s="50">
        <v>8.94</v>
      </c>
      <c r="G21" s="50">
        <v>107.72</v>
      </c>
      <c r="H21" s="50">
        <v>58.36</v>
      </c>
      <c r="I21" s="50">
        <v>11.46</v>
      </c>
      <c r="J21" s="50">
        <v>1.24</v>
      </c>
      <c r="K21" s="50">
        <v>313.93</v>
      </c>
      <c r="L21" s="50">
        <v>28.21</v>
      </c>
      <c r="M21" s="50">
        <v>37.78</v>
      </c>
      <c r="N21" s="50">
        <v>525</v>
      </c>
      <c r="O21" s="50">
        <v>0</v>
      </c>
      <c r="P21" s="50">
        <v>1.01</v>
      </c>
      <c r="Q21" s="50">
        <v>4.8600000000000003</v>
      </c>
    </row>
    <row r="22" spans="1:17" customFormat="1">
      <c r="A22" s="55">
        <v>45321.583333333336</v>
      </c>
      <c r="B22" s="50">
        <v>5.17</v>
      </c>
      <c r="C22" s="50">
        <v>24.11</v>
      </c>
      <c r="D22" s="50">
        <v>18.079999999999998</v>
      </c>
      <c r="E22" s="50">
        <v>19.14</v>
      </c>
      <c r="F22" s="50">
        <v>18.68</v>
      </c>
      <c r="G22" s="50">
        <v>91.75</v>
      </c>
      <c r="H22" s="50">
        <v>50.47</v>
      </c>
      <c r="I22" s="50">
        <v>11.07</v>
      </c>
      <c r="J22" s="50">
        <v>1.1399999999999999</v>
      </c>
      <c r="K22" s="50">
        <v>317.88</v>
      </c>
      <c r="L22" s="50">
        <v>28.97</v>
      </c>
      <c r="M22" s="50">
        <v>36.58</v>
      </c>
      <c r="N22" s="50">
        <v>487</v>
      </c>
      <c r="O22" s="50">
        <v>0</v>
      </c>
      <c r="P22" s="50">
        <v>0.97</v>
      </c>
      <c r="Q22" s="50">
        <v>4.82</v>
      </c>
    </row>
    <row r="23" spans="1:17" customFormat="1">
      <c r="A23" s="55">
        <v>45321.625</v>
      </c>
      <c r="B23" s="50">
        <v>5.7</v>
      </c>
      <c r="C23" s="50">
        <v>17.91</v>
      </c>
      <c r="D23" s="50">
        <v>15.28</v>
      </c>
      <c r="E23" s="50">
        <v>7.03</v>
      </c>
      <c r="F23" s="50">
        <v>18.39</v>
      </c>
      <c r="G23" s="11" t="s">
        <v>12</v>
      </c>
      <c r="H23" s="11" t="s">
        <v>12</v>
      </c>
      <c r="I23" s="50">
        <v>34.54</v>
      </c>
      <c r="J23" s="50">
        <v>0.95</v>
      </c>
      <c r="K23" s="50">
        <v>287.7</v>
      </c>
      <c r="L23" s="50">
        <v>29.12</v>
      </c>
      <c r="M23" s="50">
        <v>37.33</v>
      </c>
      <c r="N23" s="50">
        <v>433.4</v>
      </c>
      <c r="O23" s="50">
        <v>0</v>
      </c>
      <c r="P23" s="50">
        <v>0.74</v>
      </c>
      <c r="Q23" s="50">
        <v>4.79</v>
      </c>
    </row>
    <row r="24" spans="1:17" customFormat="1">
      <c r="A24" s="55">
        <v>45321.666666666664</v>
      </c>
      <c r="B24" s="50">
        <v>4.47</v>
      </c>
      <c r="C24" s="50">
        <v>18.45</v>
      </c>
      <c r="D24" s="50">
        <v>14.42</v>
      </c>
      <c r="E24" s="50">
        <v>10.82</v>
      </c>
      <c r="F24" s="50">
        <v>16.88</v>
      </c>
      <c r="G24" s="50">
        <v>27.05</v>
      </c>
      <c r="H24" s="50">
        <v>13.07</v>
      </c>
      <c r="I24" s="50">
        <v>82.24</v>
      </c>
      <c r="J24" s="50">
        <v>0.84</v>
      </c>
      <c r="K24" s="50">
        <v>278.12</v>
      </c>
      <c r="L24" s="50">
        <v>28.32</v>
      </c>
      <c r="M24" s="50">
        <v>40.03</v>
      </c>
      <c r="N24" s="50">
        <v>134</v>
      </c>
      <c r="O24" s="50">
        <v>0</v>
      </c>
      <c r="P24" s="50">
        <v>0.7</v>
      </c>
      <c r="Q24" s="50">
        <v>4.74</v>
      </c>
    </row>
    <row r="25" spans="1:17" customFormat="1">
      <c r="A25" s="55">
        <v>45321.708333333336</v>
      </c>
      <c r="B25" s="50">
        <v>3.78</v>
      </c>
      <c r="C25" s="50">
        <v>20.43</v>
      </c>
      <c r="D25" s="50">
        <v>15.06</v>
      </c>
      <c r="E25" s="50">
        <v>9.0399999999999991</v>
      </c>
      <c r="F25" s="50">
        <v>13</v>
      </c>
      <c r="G25" s="50">
        <v>38.58</v>
      </c>
      <c r="H25" s="50">
        <v>19.350000000000001</v>
      </c>
      <c r="I25" s="50">
        <v>72.400000000000006</v>
      </c>
      <c r="J25" s="50">
        <v>0.8</v>
      </c>
      <c r="K25" s="50">
        <v>282.52999999999997</v>
      </c>
      <c r="L25" s="50">
        <v>27.83</v>
      </c>
      <c r="M25" s="50">
        <v>44.29</v>
      </c>
      <c r="N25" s="50">
        <v>81</v>
      </c>
      <c r="O25" s="50">
        <v>0</v>
      </c>
      <c r="P25" s="50">
        <v>0.61</v>
      </c>
      <c r="Q25" s="50">
        <v>4.72</v>
      </c>
    </row>
    <row r="26" spans="1:17" customFormat="1">
      <c r="A26" s="55">
        <v>45321.75</v>
      </c>
      <c r="B26" s="50">
        <v>4.63</v>
      </c>
      <c r="C26" s="50">
        <v>22.94</v>
      </c>
      <c r="D26" s="50">
        <v>17.04</v>
      </c>
      <c r="E26" s="50">
        <v>8.68</v>
      </c>
      <c r="F26" s="50">
        <v>5.87</v>
      </c>
      <c r="G26" s="50">
        <v>39.82</v>
      </c>
      <c r="H26" s="50">
        <v>20.25</v>
      </c>
      <c r="I26" s="50">
        <v>50.06</v>
      </c>
      <c r="J26" s="50">
        <v>0.22</v>
      </c>
      <c r="K26" s="50">
        <v>256.01</v>
      </c>
      <c r="L26" s="50">
        <v>26.33</v>
      </c>
      <c r="M26" s="50">
        <v>64.8</v>
      </c>
      <c r="N26" s="50">
        <v>15.8</v>
      </c>
      <c r="O26" s="50">
        <v>0</v>
      </c>
      <c r="P26" s="50">
        <v>0.61</v>
      </c>
      <c r="Q26" s="50">
        <v>4.72</v>
      </c>
    </row>
    <row r="27" spans="1:17" customFormat="1">
      <c r="A27" s="55">
        <v>45321.791666666664</v>
      </c>
      <c r="B27" s="50">
        <v>5.76</v>
      </c>
      <c r="C27" s="50">
        <v>20.64</v>
      </c>
      <c r="D27" s="50">
        <v>16.149999999999999</v>
      </c>
      <c r="E27" s="50">
        <v>6.43</v>
      </c>
      <c r="F27" s="50">
        <v>4.24</v>
      </c>
      <c r="G27" s="50">
        <v>45.39</v>
      </c>
      <c r="H27" s="50">
        <v>21.69</v>
      </c>
      <c r="I27" s="50">
        <v>41.54</v>
      </c>
      <c r="J27" s="50">
        <v>0.27</v>
      </c>
      <c r="K27" s="50">
        <v>179.13</v>
      </c>
      <c r="L27" s="50">
        <v>23.4</v>
      </c>
      <c r="M27" s="50">
        <v>73.89</v>
      </c>
      <c r="N27" s="50">
        <v>0</v>
      </c>
      <c r="O27" s="50">
        <v>0</v>
      </c>
      <c r="P27" s="50">
        <v>0.61</v>
      </c>
      <c r="Q27" s="50">
        <v>4.71</v>
      </c>
    </row>
    <row r="28" spans="1:17" customFormat="1">
      <c r="A28" s="55">
        <v>45321.833333333336</v>
      </c>
      <c r="B28" s="50">
        <v>6.98</v>
      </c>
      <c r="C28" s="50">
        <v>19.190000000000001</v>
      </c>
      <c r="D28" s="50">
        <v>16.57</v>
      </c>
      <c r="E28" s="50">
        <v>6.52</v>
      </c>
      <c r="F28" s="50">
        <v>3.65</v>
      </c>
      <c r="G28" s="50">
        <v>54.74</v>
      </c>
      <c r="H28" s="50">
        <v>25.98</v>
      </c>
      <c r="I28" s="50">
        <v>36.979999999999997</v>
      </c>
      <c r="J28" s="50">
        <v>0.26</v>
      </c>
      <c r="K28" s="50">
        <v>182.74</v>
      </c>
      <c r="L28" s="50">
        <v>21.76</v>
      </c>
      <c r="M28" s="50">
        <v>76.83</v>
      </c>
      <c r="N28" s="50">
        <v>0</v>
      </c>
      <c r="O28" s="50">
        <v>0</v>
      </c>
      <c r="P28" s="50">
        <v>0.65</v>
      </c>
      <c r="Q28" s="50">
        <v>4.75</v>
      </c>
    </row>
    <row r="29" spans="1:17" customFormat="1">
      <c r="A29" s="55">
        <v>45321.875</v>
      </c>
      <c r="B29" s="50">
        <v>8.33</v>
      </c>
      <c r="C29" s="50">
        <v>19.920000000000002</v>
      </c>
      <c r="D29" s="50">
        <v>18.190000000000001</v>
      </c>
      <c r="E29" s="50">
        <v>6.7</v>
      </c>
      <c r="F29" s="50">
        <v>3.53</v>
      </c>
      <c r="G29" s="50">
        <v>56.24</v>
      </c>
      <c r="H29" s="50">
        <v>25.39</v>
      </c>
      <c r="I29" s="50">
        <v>30.91</v>
      </c>
      <c r="J29" s="50">
        <v>0.18</v>
      </c>
      <c r="K29" s="50">
        <v>194.87</v>
      </c>
      <c r="L29" s="50">
        <v>20.79</v>
      </c>
      <c r="M29" s="50">
        <v>80.95</v>
      </c>
      <c r="N29" s="50">
        <v>0</v>
      </c>
      <c r="O29" s="50">
        <v>0</v>
      </c>
      <c r="P29" s="50">
        <v>0.71</v>
      </c>
      <c r="Q29" s="50">
        <v>4.7699999999999996</v>
      </c>
    </row>
    <row r="30" spans="1:17" customFormat="1">
      <c r="A30" s="55">
        <v>45321.916666666664</v>
      </c>
      <c r="B30" s="50">
        <v>9.0500000000000007</v>
      </c>
      <c r="C30" s="50">
        <v>20.05</v>
      </c>
      <c r="D30" s="50">
        <v>19.09</v>
      </c>
      <c r="E30" s="50">
        <v>6.66</v>
      </c>
      <c r="F30" s="50">
        <v>3.47</v>
      </c>
      <c r="G30" s="50">
        <v>58.13</v>
      </c>
      <c r="H30" s="50">
        <v>25.95</v>
      </c>
      <c r="I30" s="50">
        <v>27.98</v>
      </c>
      <c r="J30" s="50">
        <v>0.17</v>
      </c>
      <c r="K30" s="50">
        <v>195.73</v>
      </c>
      <c r="L30" s="50">
        <v>19.899999999999999</v>
      </c>
      <c r="M30" s="50">
        <v>81.89</v>
      </c>
      <c r="N30" s="50">
        <v>0</v>
      </c>
      <c r="O30" s="50">
        <v>0</v>
      </c>
      <c r="P30" s="50">
        <v>0.75</v>
      </c>
      <c r="Q30" s="50">
        <v>4.79</v>
      </c>
    </row>
    <row r="31" spans="1:17" customFormat="1">
      <c r="A31" s="55">
        <v>45321.958333333336</v>
      </c>
      <c r="B31" s="50">
        <v>9.68</v>
      </c>
      <c r="C31" s="50">
        <v>19.940000000000001</v>
      </c>
      <c r="D31" s="50">
        <v>19.2</v>
      </c>
      <c r="E31" s="50">
        <v>6.94</v>
      </c>
      <c r="F31" s="50">
        <v>3.55</v>
      </c>
      <c r="G31" s="50">
        <v>59.3</v>
      </c>
      <c r="H31" s="50">
        <v>32.35</v>
      </c>
      <c r="I31" s="50">
        <v>26.54</v>
      </c>
      <c r="J31" s="50">
        <v>0.35</v>
      </c>
      <c r="K31" s="50">
        <v>180.14</v>
      </c>
      <c r="L31" s="50">
        <v>19.57</v>
      </c>
      <c r="M31" s="50">
        <v>81.62</v>
      </c>
      <c r="N31" s="50">
        <v>0</v>
      </c>
      <c r="O31" s="50">
        <v>0</v>
      </c>
      <c r="P31" s="50">
        <v>0.79</v>
      </c>
      <c r="Q31" s="50">
        <v>4.8</v>
      </c>
    </row>
    <row r="32" spans="1:17" customFormat="1">
      <c r="A32" s="55">
        <v>45322</v>
      </c>
      <c r="B32" s="50">
        <v>9.66</v>
      </c>
      <c r="C32" s="50">
        <v>21.08</v>
      </c>
      <c r="D32" s="50">
        <v>19.920000000000002</v>
      </c>
      <c r="E32" s="50">
        <v>7.04</v>
      </c>
      <c r="F32" s="50">
        <v>3.57</v>
      </c>
      <c r="G32" s="50">
        <v>70.39</v>
      </c>
      <c r="H32" s="50">
        <v>31.5</v>
      </c>
      <c r="I32" s="50">
        <v>23.83</v>
      </c>
      <c r="J32" s="50">
        <v>0.18</v>
      </c>
      <c r="K32" s="50">
        <v>186.7</v>
      </c>
      <c r="L32" s="50">
        <v>19.11</v>
      </c>
      <c r="M32" s="50">
        <v>85.68</v>
      </c>
      <c r="N32" s="50">
        <v>0</v>
      </c>
      <c r="O32" s="50">
        <v>0</v>
      </c>
      <c r="P32" s="50">
        <v>0.79</v>
      </c>
      <c r="Q32" s="50">
        <v>4.8099999999999996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3.78</v>
      </c>
      <c r="C34" s="41">
        <f t="shared" si="0"/>
        <v>17.91</v>
      </c>
      <c r="D34" s="41">
        <f t="shared" si="0"/>
        <v>14.42</v>
      </c>
      <c r="E34" s="41">
        <f t="shared" si="0"/>
        <v>5.34</v>
      </c>
      <c r="F34" s="41">
        <f t="shared" si="0"/>
        <v>3.26</v>
      </c>
      <c r="G34" s="41">
        <f t="shared" si="0"/>
        <v>27.05</v>
      </c>
      <c r="H34" s="41">
        <f t="shared" si="0"/>
        <v>13.07</v>
      </c>
      <c r="I34" s="41">
        <f t="shared" si="0"/>
        <v>10.43</v>
      </c>
      <c r="J34" s="41">
        <f t="shared" si="0"/>
        <v>0.16</v>
      </c>
      <c r="K34" s="41">
        <f t="shared" si="0"/>
        <v>171.5</v>
      </c>
      <c r="L34" s="41">
        <f t="shared" si="0"/>
        <v>15.52</v>
      </c>
      <c r="M34" s="41">
        <f t="shared" si="0"/>
        <v>36.58</v>
      </c>
      <c r="N34" s="41">
        <f t="shared" si="0"/>
        <v>0</v>
      </c>
      <c r="O34" s="41">
        <f t="shared" si="0"/>
        <v>0</v>
      </c>
      <c r="P34" s="41">
        <f t="shared" si="0"/>
        <v>0.61</v>
      </c>
      <c r="Q34" s="41">
        <f t="shared" si="0"/>
        <v>4.71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25.57</v>
      </c>
      <c r="C35" s="33">
        <f t="shared" si="1"/>
        <v>29.8</v>
      </c>
      <c r="D35" s="33">
        <f t="shared" si="1"/>
        <v>37.380000000000003</v>
      </c>
      <c r="E35" s="33">
        <f t="shared" si="1"/>
        <v>19.14</v>
      </c>
      <c r="F35" s="33">
        <f t="shared" si="1"/>
        <v>18.68</v>
      </c>
      <c r="G35" s="33">
        <f t="shared" si="1"/>
        <v>119.76</v>
      </c>
      <c r="H35" s="33">
        <f t="shared" si="1"/>
        <v>61.58</v>
      </c>
      <c r="I35" s="33">
        <f t="shared" si="1"/>
        <v>82.24</v>
      </c>
      <c r="J35" s="33">
        <f t="shared" si="1"/>
        <v>1.24</v>
      </c>
      <c r="K35" s="33">
        <f t="shared" si="1"/>
        <v>317.88</v>
      </c>
      <c r="L35" s="33">
        <f t="shared" si="1"/>
        <v>29.12</v>
      </c>
      <c r="M35" s="33">
        <f t="shared" si="1"/>
        <v>89.26</v>
      </c>
      <c r="N35" s="33">
        <f t="shared" si="1"/>
        <v>525</v>
      </c>
      <c r="O35" s="33">
        <f t="shared" si="1"/>
        <v>0</v>
      </c>
      <c r="P35" s="33">
        <f t="shared" si="1"/>
        <v>1.07</v>
      </c>
      <c r="Q35" s="33">
        <f t="shared" si="1"/>
        <v>4.99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11.980416666666668</v>
      </c>
      <c r="C36" s="41">
        <f t="shared" si="2"/>
        <v>23.740833333333338</v>
      </c>
      <c r="D36" s="41">
        <f t="shared" si="2"/>
        <v>23.206249999999997</v>
      </c>
      <c r="E36" s="41">
        <f t="shared" si="2"/>
        <v>7.6412499999999994</v>
      </c>
      <c r="F36" s="41">
        <f t="shared" si="2"/>
        <v>6.069583333333334</v>
      </c>
      <c r="G36" s="41">
        <f t="shared" si="2"/>
        <v>69.120434782608697</v>
      </c>
      <c r="H36" s="41">
        <f t="shared" si="2"/>
        <v>36.199130434782617</v>
      </c>
      <c r="I36" s="41">
        <f t="shared" si="2"/>
        <v>24.484583333333333</v>
      </c>
      <c r="J36" s="41">
        <f t="shared" si="2"/>
        <v>0.44750000000000001</v>
      </c>
      <c r="K36" s="41">
        <f t="shared" si="2"/>
        <v>235.81375</v>
      </c>
      <c r="L36" s="41">
        <f t="shared" si="2"/>
        <v>21.918333333333326</v>
      </c>
      <c r="M36" s="41">
        <f t="shared" si="2"/>
        <v>68.790833333333339</v>
      </c>
      <c r="N36" s="41">
        <f t="shared" si="2"/>
        <v>132.74583333333334</v>
      </c>
      <c r="O36" s="41">
        <f t="shared" si="2"/>
        <v>0</v>
      </c>
      <c r="P36" s="41">
        <f t="shared" si="2"/>
        <v>0.86249999999999993</v>
      </c>
      <c r="Q36" s="41">
        <f t="shared" si="2"/>
        <v>4.8404166666666661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6.7143632409845102</v>
      </c>
      <c r="C37" s="41">
        <f t="shared" ref="C37:Q37" si="3">STDEV(C9:C32)</f>
        <v>3.718588929041267</v>
      </c>
      <c r="D37" s="41">
        <f t="shared" si="3"/>
        <v>7.1075060216524664</v>
      </c>
      <c r="E37" s="41">
        <f t="shared" si="3"/>
        <v>2.8314158579886461</v>
      </c>
      <c r="F37" s="41">
        <f t="shared" si="3"/>
        <v>5.1051998037522353</v>
      </c>
      <c r="G37" s="41">
        <f t="shared" si="3"/>
        <v>24.077756139463311</v>
      </c>
      <c r="H37" s="41">
        <f t="shared" si="3"/>
        <v>13.234641154266813</v>
      </c>
      <c r="I37" s="41">
        <f t="shared" si="3"/>
        <v>20.077586893623813</v>
      </c>
      <c r="J37" s="41">
        <f t="shared" si="3"/>
        <v>0.33770645859076037</v>
      </c>
      <c r="K37" s="41">
        <f t="shared" si="3"/>
        <v>51.580255559535061</v>
      </c>
      <c r="L37" s="41">
        <f t="shared" si="3"/>
        <v>4.9319249850308227</v>
      </c>
      <c r="M37" s="41">
        <f t="shared" si="3"/>
        <v>19.843530523149997</v>
      </c>
      <c r="N37" s="41">
        <f t="shared" si="3"/>
        <v>195.44581363856474</v>
      </c>
      <c r="O37" s="41">
        <f t="shared" si="3"/>
        <v>0</v>
      </c>
      <c r="P37" s="41">
        <f t="shared" si="3"/>
        <v>0.15779044992316976</v>
      </c>
      <c r="Q37" s="41">
        <f t="shared" si="3"/>
        <v>8.6651684881224114E-2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topLeftCell="A13"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45322.041666666664</v>
      </c>
      <c r="B9" s="50">
        <v>8.8000000000000007</v>
      </c>
      <c r="C9" s="50">
        <v>21.52</v>
      </c>
      <c r="D9" s="50">
        <v>19.510000000000002</v>
      </c>
      <c r="E9" s="50">
        <v>7.17</v>
      </c>
      <c r="F9" s="50">
        <v>3.39</v>
      </c>
      <c r="G9" s="50">
        <v>69.17</v>
      </c>
      <c r="H9" s="50">
        <v>34.090000000000003</v>
      </c>
      <c r="I9" s="50">
        <v>20.87</v>
      </c>
      <c r="J9" s="50">
        <v>0.2</v>
      </c>
      <c r="K9" s="50">
        <v>197.89</v>
      </c>
      <c r="L9" s="50">
        <v>18.03</v>
      </c>
      <c r="M9" s="50">
        <v>88.68</v>
      </c>
      <c r="N9" s="50">
        <v>0</v>
      </c>
      <c r="O9" s="50">
        <v>0</v>
      </c>
      <c r="P9" s="50">
        <v>0.81</v>
      </c>
      <c r="Q9" s="50">
        <v>4.8</v>
      </c>
    </row>
    <row r="10" spans="1:21" customFormat="1">
      <c r="A10" s="55">
        <v>45322.083333333336</v>
      </c>
      <c r="B10" s="50">
        <v>11.21</v>
      </c>
      <c r="C10" s="50">
        <v>23.52</v>
      </c>
      <c r="D10" s="50">
        <v>22.63</v>
      </c>
      <c r="E10" s="50">
        <v>7.4</v>
      </c>
      <c r="F10" s="50">
        <v>3.42</v>
      </c>
      <c r="G10" s="50">
        <v>65.709999999999994</v>
      </c>
      <c r="H10" s="50">
        <v>34.86</v>
      </c>
      <c r="I10" s="50">
        <v>18.41</v>
      </c>
      <c r="J10" s="50">
        <v>0.35</v>
      </c>
      <c r="K10" s="50">
        <v>204.77</v>
      </c>
      <c r="L10" s="50">
        <v>17.809999999999999</v>
      </c>
      <c r="M10" s="50">
        <v>88.28</v>
      </c>
      <c r="N10" s="50">
        <v>0</v>
      </c>
      <c r="O10" s="50">
        <v>0</v>
      </c>
      <c r="P10" s="50">
        <v>0.82</v>
      </c>
      <c r="Q10" s="50">
        <v>4.8</v>
      </c>
    </row>
    <row r="11" spans="1:21" customFormat="1">
      <c r="A11" s="55">
        <v>45322.125</v>
      </c>
      <c r="B11" s="50">
        <v>12.51</v>
      </c>
      <c r="C11" s="50">
        <v>24.48</v>
      </c>
      <c r="D11" s="50">
        <v>24.17</v>
      </c>
      <c r="E11" s="50">
        <v>8.4499999999999993</v>
      </c>
      <c r="F11" s="50">
        <v>3.26</v>
      </c>
      <c r="G11" s="50">
        <v>69.05</v>
      </c>
      <c r="H11" s="50">
        <v>35.28</v>
      </c>
      <c r="I11" s="50">
        <v>16.309999999999999</v>
      </c>
      <c r="J11" s="50">
        <v>0.22</v>
      </c>
      <c r="K11" s="50">
        <v>196.89</v>
      </c>
      <c r="L11" s="50">
        <v>17.18</v>
      </c>
      <c r="M11" s="50">
        <v>91.57</v>
      </c>
      <c r="N11" s="50">
        <v>0</v>
      </c>
      <c r="O11" s="50">
        <v>0</v>
      </c>
      <c r="P11" s="50">
        <v>0.82</v>
      </c>
      <c r="Q11" s="50">
        <v>4.82</v>
      </c>
    </row>
    <row r="12" spans="1:21" customFormat="1">
      <c r="A12" s="55">
        <v>45322.166666666664</v>
      </c>
      <c r="B12" s="50">
        <v>12.14</v>
      </c>
      <c r="C12" s="50">
        <v>24.21</v>
      </c>
      <c r="D12" s="50">
        <v>23.74</v>
      </c>
      <c r="E12" s="50">
        <v>8.7799999999999994</v>
      </c>
      <c r="F12" s="50">
        <v>3.41</v>
      </c>
      <c r="G12" s="50">
        <v>66.13</v>
      </c>
      <c r="H12" s="50">
        <v>33.58</v>
      </c>
      <c r="I12" s="50">
        <v>14.63</v>
      </c>
      <c r="J12" s="50">
        <v>0.17</v>
      </c>
      <c r="K12" s="50">
        <v>220.04</v>
      </c>
      <c r="L12" s="50">
        <v>16.63</v>
      </c>
      <c r="M12" s="50">
        <v>92.44</v>
      </c>
      <c r="N12" s="50">
        <v>0</v>
      </c>
      <c r="O12" s="50">
        <v>0</v>
      </c>
      <c r="P12" s="50">
        <v>0.79</v>
      </c>
      <c r="Q12" s="50">
        <v>4.8</v>
      </c>
    </row>
    <row r="13" spans="1:21" customFormat="1">
      <c r="A13" s="55">
        <v>45322.208333333336</v>
      </c>
      <c r="B13" s="50">
        <v>13.52</v>
      </c>
      <c r="C13" s="50">
        <v>20.86</v>
      </c>
      <c r="D13" s="50">
        <v>23.09</v>
      </c>
      <c r="E13" s="50">
        <v>8.49</v>
      </c>
      <c r="F13" s="50">
        <v>3.61</v>
      </c>
      <c r="G13" s="50">
        <v>62</v>
      </c>
      <c r="H13" s="50">
        <v>31.8</v>
      </c>
      <c r="I13" s="50">
        <v>13.13</v>
      </c>
      <c r="J13" s="50">
        <v>0.13</v>
      </c>
      <c r="K13" s="50">
        <v>243.37</v>
      </c>
      <c r="L13" s="50">
        <v>16.59</v>
      </c>
      <c r="M13" s="50">
        <v>92.41</v>
      </c>
      <c r="N13" s="50">
        <v>0</v>
      </c>
      <c r="O13" s="50">
        <v>0</v>
      </c>
      <c r="P13" s="50">
        <v>0.75</v>
      </c>
      <c r="Q13" s="50">
        <v>4.79</v>
      </c>
    </row>
    <row r="14" spans="1:21" customFormat="1">
      <c r="A14" s="55">
        <v>45322.25</v>
      </c>
      <c r="B14" s="50">
        <v>22.01</v>
      </c>
      <c r="C14" s="50">
        <v>22.73</v>
      </c>
      <c r="D14" s="50">
        <v>30.66</v>
      </c>
      <c r="E14" s="50">
        <v>8.1199999999999992</v>
      </c>
      <c r="F14" s="50">
        <v>3.3</v>
      </c>
      <c r="G14" s="50">
        <v>60.92</v>
      </c>
      <c r="H14" s="50">
        <v>33.78</v>
      </c>
      <c r="I14" s="50">
        <v>11.89</v>
      </c>
      <c r="J14" s="50">
        <v>0.24</v>
      </c>
      <c r="K14" s="50">
        <v>233.76</v>
      </c>
      <c r="L14" s="50">
        <v>16.3</v>
      </c>
      <c r="M14" s="50">
        <v>94.74</v>
      </c>
      <c r="N14" s="50">
        <v>0</v>
      </c>
      <c r="O14" s="50">
        <v>0</v>
      </c>
      <c r="P14" s="50">
        <v>0.74</v>
      </c>
      <c r="Q14" s="50">
        <v>4.8899999999999997</v>
      </c>
    </row>
    <row r="15" spans="1:21" customFormat="1">
      <c r="A15" s="55">
        <v>45322.291666666664</v>
      </c>
      <c r="B15" s="50">
        <v>21.5</v>
      </c>
      <c r="C15" s="50">
        <v>22.34</v>
      </c>
      <c r="D15" s="50">
        <v>30.27</v>
      </c>
      <c r="E15" s="50">
        <v>8.1999999999999993</v>
      </c>
      <c r="F15" s="50">
        <v>3.4</v>
      </c>
      <c r="G15" s="50">
        <v>60.01</v>
      </c>
      <c r="H15" s="50">
        <v>32.630000000000003</v>
      </c>
      <c r="I15" s="50">
        <v>11.03</v>
      </c>
      <c r="J15" s="50">
        <v>0.21</v>
      </c>
      <c r="K15" s="50">
        <v>167.82</v>
      </c>
      <c r="L15" s="50">
        <v>16.54</v>
      </c>
      <c r="M15" s="50">
        <v>95.27</v>
      </c>
      <c r="N15" s="50">
        <v>8.4</v>
      </c>
      <c r="O15" s="50">
        <v>0</v>
      </c>
      <c r="P15" s="50">
        <v>0.74</v>
      </c>
      <c r="Q15" s="50">
        <v>4.8899999999999997</v>
      </c>
    </row>
    <row r="16" spans="1:21" customFormat="1">
      <c r="A16" s="55">
        <v>45322.333333333336</v>
      </c>
      <c r="B16" s="50">
        <v>22.04</v>
      </c>
      <c r="C16" s="50">
        <v>22.25</v>
      </c>
      <c r="D16" s="50">
        <v>30.53</v>
      </c>
      <c r="E16" s="50">
        <v>8.18</v>
      </c>
      <c r="F16" s="50">
        <v>3.39</v>
      </c>
      <c r="G16" s="50">
        <v>64.38</v>
      </c>
      <c r="H16" s="50">
        <v>33.25</v>
      </c>
      <c r="I16" s="50">
        <v>10.7</v>
      </c>
      <c r="J16" s="50">
        <v>0.19</v>
      </c>
      <c r="K16" s="50">
        <v>192.74</v>
      </c>
      <c r="L16" s="50">
        <v>18.22</v>
      </c>
      <c r="M16" s="50">
        <v>94.1</v>
      </c>
      <c r="N16" s="50">
        <v>66.400000000000006</v>
      </c>
      <c r="O16" s="50">
        <v>0</v>
      </c>
      <c r="P16" s="50">
        <v>0.77</v>
      </c>
      <c r="Q16" s="50">
        <v>4.92</v>
      </c>
    </row>
    <row r="17" spans="1:17" customFormat="1">
      <c r="A17" s="55">
        <v>45322.375</v>
      </c>
      <c r="B17" s="50">
        <v>21.26</v>
      </c>
      <c r="C17" s="50">
        <v>25.4</v>
      </c>
      <c r="D17" s="50">
        <v>31.67</v>
      </c>
      <c r="E17" s="50">
        <v>9.09</v>
      </c>
      <c r="F17" s="50">
        <v>3.41</v>
      </c>
      <c r="G17" s="50">
        <v>64.02</v>
      </c>
      <c r="H17" s="50">
        <v>32.81</v>
      </c>
      <c r="I17" s="50">
        <v>10.75</v>
      </c>
      <c r="J17" s="50">
        <v>0.63</v>
      </c>
      <c r="K17" s="50">
        <v>47.28</v>
      </c>
      <c r="L17" s="50">
        <v>21.34</v>
      </c>
      <c r="M17" s="50">
        <v>82.8</v>
      </c>
      <c r="N17" s="50">
        <v>164.4</v>
      </c>
      <c r="O17" s="50">
        <v>0</v>
      </c>
      <c r="P17" s="50">
        <v>0.85</v>
      </c>
      <c r="Q17" s="50">
        <v>4.92</v>
      </c>
    </row>
    <row r="18" spans="1:17" customFormat="1">
      <c r="A18" s="55">
        <v>45322.416666666664</v>
      </c>
      <c r="B18" s="50">
        <v>20.66</v>
      </c>
      <c r="C18" s="50">
        <v>29.96</v>
      </c>
      <c r="D18" s="50">
        <v>32.04</v>
      </c>
      <c r="E18" s="50">
        <v>9.14</v>
      </c>
      <c r="F18" s="50">
        <v>3.7</v>
      </c>
      <c r="G18" s="50">
        <v>80.510000000000005</v>
      </c>
      <c r="H18" s="50">
        <v>37.74</v>
      </c>
      <c r="I18" s="50">
        <v>11.92</v>
      </c>
      <c r="J18" s="50">
        <v>0.62</v>
      </c>
      <c r="K18" s="50">
        <v>339.92</v>
      </c>
      <c r="L18" s="50">
        <v>24.68</v>
      </c>
      <c r="M18" s="50">
        <v>65.930000000000007</v>
      </c>
      <c r="N18" s="50">
        <v>249.3</v>
      </c>
      <c r="O18" s="50">
        <v>0</v>
      </c>
      <c r="P18" s="50">
        <v>0.97</v>
      </c>
      <c r="Q18" s="50">
        <v>4.95</v>
      </c>
    </row>
    <row r="19" spans="1:17" customFormat="1">
      <c r="A19" s="55">
        <v>45322.458333333336</v>
      </c>
      <c r="B19" s="50">
        <v>15.33</v>
      </c>
      <c r="C19" s="50">
        <v>32.33</v>
      </c>
      <c r="D19" s="50">
        <v>29.75</v>
      </c>
      <c r="E19" s="50">
        <v>7.65</v>
      </c>
      <c r="F19" s="50">
        <v>4.17</v>
      </c>
      <c r="G19" s="50">
        <v>107.47</v>
      </c>
      <c r="H19" s="50">
        <v>47.49</v>
      </c>
      <c r="I19" s="50">
        <v>12.46</v>
      </c>
      <c r="J19" s="50">
        <v>0.7</v>
      </c>
      <c r="K19" s="50">
        <v>342.99</v>
      </c>
      <c r="L19" s="50">
        <v>26.14</v>
      </c>
      <c r="M19" s="50">
        <v>54.05</v>
      </c>
      <c r="N19" s="50">
        <v>364.3</v>
      </c>
      <c r="O19" s="50">
        <v>0</v>
      </c>
      <c r="P19" s="50">
        <v>1.03</v>
      </c>
      <c r="Q19" s="50">
        <v>4.88</v>
      </c>
    </row>
    <row r="20" spans="1:17" customFormat="1">
      <c r="A20" s="55">
        <v>45322.5</v>
      </c>
      <c r="B20" s="50">
        <v>8.75</v>
      </c>
      <c r="C20" s="50">
        <v>31.72</v>
      </c>
      <c r="D20" s="50">
        <v>24.94</v>
      </c>
      <c r="E20" s="50">
        <v>7.7</v>
      </c>
      <c r="F20" s="50">
        <v>4.9000000000000004</v>
      </c>
      <c r="G20" s="50">
        <v>110.83</v>
      </c>
      <c r="H20" s="50">
        <v>49.31</v>
      </c>
      <c r="I20" s="50">
        <v>12.58</v>
      </c>
      <c r="J20" s="50">
        <v>1.02</v>
      </c>
      <c r="K20" s="50">
        <v>306.91000000000003</v>
      </c>
      <c r="L20" s="50">
        <v>27.15</v>
      </c>
      <c r="M20" s="50">
        <v>49.71</v>
      </c>
      <c r="N20" s="50">
        <v>396.6</v>
      </c>
      <c r="O20" s="50">
        <v>0</v>
      </c>
      <c r="P20" s="50">
        <v>1.03</v>
      </c>
      <c r="Q20" s="50">
        <v>4.82</v>
      </c>
    </row>
    <row r="21" spans="1:17" customFormat="1">
      <c r="A21" s="55">
        <v>45322.541666666664</v>
      </c>
      <c r="B21" s="50">
        <v>5.75</v>
      </c>
      <c r="C21" s="50">
        <v>28.57</v>
      </c>
      <c r="D21" s="50">
        <v>20.89</v>
      </c>
      <c r="E21" s="50">
        <v>7.59</v>
      </c>
      <c r="F21" s="50">
        <v>5.68</v>
      </c>
      <c r="G21" s="50">
        <v>102.24</v>
      </c>
      <c r="H21" s="50">
        <v>46.71</v>
      </c>
      <c r="I21" s="50">
        <v>11.97</v>
      </c>
      <c r="J21" s="50">
        <v>1.03</v>
      </c>
      <c r="K21" s="50">
        <v>315.25</v>
      </c>
      <c r="L21" s="50">
        <v>27.85</v>
      </c>
      <c r="M21" s="50">
        <v>47.67</v>
      </c>
      <c r="N21" s="50">
        <v>435.5</v>
      </c>
      <c r="O21" s="50">
        <v>0</v>
      </c>
      <c r="P21" s="50">
        <v>0.97</v>
      </c>
      <c r="Q21" s="50">
        <v>4.75</v>
      </c>
    </row>
    <row r="22" spans="1:17" customFormat="1">
      <c r="A22" s="55">
        <v>45322.583333333336</v>
      </c>
      <c r="B22" s="50">
        <v>5.05</v>
      </c>
      <c r="C22" s="50">
        <v>25.8</v>
      </c>
      <c r="D22" s="50">
        <v>18.87</v>
      </c>
      <c r="E22" s="50">
        <v>7.77</v>
      </c>
      <c r="F22" s="50">
        <v>5.69</v>
      </c>
      <c r="G22" s="50">
        <v>92.45</v>
      </c>
      <c r="H22" s="50">
        <v>40.68</v>
      </c>
      <c r="I22" s="50">
        <v>11.3</v>
      </c>
      <c r="J22" s="50">
        <v>0.85</v>
      </c>
      <c r="K22" s="50">
        <v>281.43</v>
      </c>
      <c r="L22" s="50">
        <v>28.37</v>
      </c>
      <c r="M22" s="50">
        <v>42.37</v>
      </c>
      <c r="N22" s="50">
        <v>380.2</v>
      </c>
      <c r="O22" s="50">
        <v>0</v>
      </c>
      <c r="P22" s="50">
        <v>0.92</v>
      </c>
      <c r="Q22" s="50">
        <v>4.72</v>
      </c>
    </row>
    <row r="23" spans="1:17" customFormat="1">
      <c r="A23" s="55">
        <v>45322.625</v>
      </c>
      <c r="B23" s="50">
        <v>5.05</v>
      </c>
      <c r="C23" s="50">
        <v>20.079999999999998</v>
      </c>
      <c r="D23" s="50">
        <v>15.86</v>
      </c>
      <c r="E23" s="50">
        <v>6.82</v>
      </c>
      <c r="F23" s="50">
        <v>5.71</v>
      </c>
      <c r="G23" s="50">
        <v>82.04</v>
      </c>
      <c r="H23" s="50">
        <v>36.770000000000003</v>
      </c>
      <c r="I23" s="50">
        <v>10.75</v>
      </c>
      <c r="J23" s="50">
        <v>0.8</v>
      </c>
      <c r="K23" s="50">
        <v>301.52</v>
      </c>
      <c r="L23" s="50">
        <v>28.23</v>
      </c>
      <c r="M23" s="50">
        <v>41.87</v>
      </c>
      <c r="N23" s="50">
        <v>275.89999999999998</v>
      </c>
      <c r="O23" s="50">
        <v>0</v>
      </c>
      <c r="P23" s="50">
        <v>0.89</v>
      </c>
      <c r="Q23" s="50">
        <v>4.71</v>
      </c>
    </row>
    <row r="24" spans="1:17" customFormat="1">
      <c r="A24" s="55">
        <v>45322.666666666664</v>
      </c>
      <c r="B24" s="50">
        <v>5.13</v>
      </c>
      <c r="C24" s="50">
        <v>16.399999999999999</v>
      </c>
      <c r="D24" s="50">
        <v>13.97</v>
      </c>
      <c r="E24" s="50">
        <v>6.71</v>
      </c>
      <c r="F24" s="50">
        <v>5.5</v>
      </c>
      <c r="G24" s="50">
        <v>72.52</v>
      </c>
      <c r="H24" s="50">
        <v>32.54</v>
      </c>
      <c r="I24" s="50">
        <v>10.42</v>
      </c>
      <c r="J24" s="50">
        <v>0.43</v>
      </c>
      <c r="K24" s="50">
        <v>339.62</v>
      </c>
      <c r="L24" s="50">
        <v>27.9</v>
      </c>
      <c r="M24" s="50">
        <v>43.14</v>
      </c>
      <c r="N24" s="50">
        <v>141.19999999999999</v>
      </c>
      <c r="O24" s="50">
        <v>0</v>
      </c>
      <c r="P24" s="50">
        <v>0.85</v>
      </c>
      <c r="Q24" s="50">
        <v>4.75</v>
      </c>
    </row>
    <row r="25" spans="1:17" customFormat="1">
      <c r="A25" s="55">
        <v>45322.708333333336</v>
      </c>
      <c r="B25" s="50">
        <v>5.92</v>
      </c>
      <c r="C25" s="50">
        <v>17.649999999999999</v>
      </c>
      <c r="D25" s="50">
        <v>15.32</v>
      </c>
      <c r="E25" s="50">
        <v>7.21</v>
      </c>
      <c r="F25" s="50">
        <v>5.12</v>
      </c>
      <c r="G25" s="50">
        <v>70.650000000000006</v>
      </c>
      <c r="H25" s="50">
        <v>34.799999999999997</v>
      </c>
      <c r="I25" s="50">
        <v>10.029999999999999</v>
      </c>
      <c r="J25" s="50">
        <v>1.31</v>
      </c>
      <c r="K25" s="50">
        <v>54.61</v>
      </c>
      <c r="L25" s="50">
        <v>27.35</v>
      </c>
      <c r="M25" s="50">
        <v>49.72</v>
      </c>
      <c r="N25" s="50">
        <v>78</v>
      </c>
      <c r="O25" s="50">
        <v>0</v>
      </c>
      <c r="P25" s="50">
        <v>0.83</v>
      </c>
      <c r="Q25" s="50">
        <v>4.7699999999999996</v>
      </c>
    </row>
    <row r="26" spans="1:17" customFormat="1">
      <c r="A26" s="55">
        <v>45322.75</v>
      </c>
      <c r="B26" s="50">
        <v>7.29</v>
      </c>
      <c r="C26" s="50">
        <v>18.600000000000001</v>
      </c>
      <c r="D26" s="50">
        <v>16.920000000000002</v>
      </c>
      <c r="E26" s="50">
        <v>6.55</v>
      </c>
      <c r="F26" s="50">
        <v>4.3899999999999997</v>
      </c>
      <c r="G26" s="50">
        <v>83.93</v>
      </c>
      <c r="H26" s="50">
        <v>33.76</v>
      </c>
      <c r="I26" s="50">
        <v>10.130000000000001</v>
      </c>
      <c r="J26" s="50">
        <v>1.1200000000000001</v>
      </c>
      <c r="K26" s="50">
        <v>61.94</v>
      </c>
      <c r="L26" s="50">
        <v>25.65</v>
      </c>
      <c r="M26" s="50">
        <v>54.65</v>
      </c>
      <c r="N26" s="50">
        <v>10.8</v>
      </c>
      <c r="O26" s="50">
        <v>0</v>
      </c>
      <c r="P26" s="50">
        <v>0.84</v>
      </c>
      <c r="Q26" s="50">
        <v>4.78</v>
      </c>
    </row>
    <row r="27" spans="1:17" customFormat="1">
      <c r="A27" s="55">
        <v>45322.791666666664</v>
      </c>
      <c r="B27" s="50">
        <v>8.83</v>
      </c>
      <c r="C27" s="50">
        <v>24.28</v>
      </c>
      <c r="D27" s="50">
        <v>21.04</v>
      </c>
      <c r="E27" s="50">
        <v>6.93</v>
      </c>
      <c r="F27" s="50">
        <v>3.69</v>
      </c>
      <c r="G27" s="50">
        <v>91.47</v>
      </c>
      <c r="H27" s="50">
        <v>36.46</v>
      </c>
      <c r="I27" s="50">
        <v>10.42</v>
      </c>
      <c r="J27" s="50">
        <v>0.86</v>
      </c>
      <c r="K27" s="50">
        <v>158.97999999999999</v>
      </c>
      <c r="L27" s="50">
        <v>24.14</v>
      </c>
      <c r="M27" s="50">
        <v>63.68</v>
      </c>
      <c r="N27" s="50">
        <v>0</v>
      </c>
      <c r="O27" s="50">
        <v>0</v>
      </c>
      <c r="P27" s="50">
        <v>0.89</v>
      </c>
      <c r="Q27" s="50">
        <v>4.84</v>
      </c>
    </row>
    <row r="28" spans="1:17" customFormat="1">
      <c r="A28" s="55">
        <v>45322.833333333336</v>
      </c>
      <c r="B28" s="50">
        <v>8.7100000000000009</v>
      </c>
      <c r="C28" s="50">
        <v>26.47</v>
      </c>
      <c r="D28" s="50">
        <v>22.03</v>
      </c>
      <c r="E28" s="50">
        <v>6.92</v>
      </c>
      <c r="F28" s="50">
        <v>3.53</v>
      </c>
      <c r="G28" s="50">
        <v>105.64</v>
      </c>
      <c r="H28" s="50">
        <v>39.54</v>
      </c>
      <c r="I28" s="50">
        <v>10.79</v>
      </c>
      <c r="J28" s="50">
        <v>0.25</v>
      </c>
      <c r="K28" s="50">
        <v>181.09</v>
      </c>
      <c r="L28" s="50">
        <v>22.92</v>
      </c>
      <c r="M28" s="50">
        <v>67.7</v>
      </c>
      <c r="N28" s="50">
        <v>0</v>
      </c>
      <c r="O28" s="50">
        <v>0</v>
      </c>
      <c r="P28" s="50">
        <v>0.94</v>
      </c>
      <c r="Q28" s="50">
        <v>4.8600000000000003</v>
      </c>
    </row>
    <row r="29" spans="1:17" customFormat="1">
      <c r="A29" s="55">
        <v>45322.875</v>
      </c>
      <c r="B29" s="50">
        <v>8.9</v>
      </c>
      <c r="C29" s="50">
        <v>26.83</v>
      </c>
      <c r="D29" s="50">
        <v>22.5</v>
      </c>
      <c r="E29" s="50">
        <v>7.01</v>
      </c>
      <c r="F29" s="50">
        <v>3.7</v>
      </c>
      <c r="G29" s="50">
        <v>112.4</v>
      </c>
      <c r="H29" s="50">
        <v>42.56</v>
      </c>
      <c r="I29" s="50">
        <v>10.8</v>
      </c>
      <c r="J29" s="50">
        <v>0.22</v>
      </c>
      <c r="K29" s="50">
        <v>181.42</v>
      </c>
      <c r="L29" s="50">
        <v>21.91</v>
      </c>
      <c r="M29" s="50">
        <v>71.48</v>
      </c>
      <c r="N29" s="50">
        <v>0</v>
      </c>
      <c r="O29" s="50">
        <v>0</v>
      </c>
      <c r="P29" s="50">
        <v>0.94</v>
      </c>
      <c r="Q29" s="50">
        <v>4.8600000000000003</v>
      </c>
    </row>
    <row r="30" spans="1:17" customFormat="1">
      <c r="A30" s="55">
        <v>45322.916666666664</v>
      </c>
      <c r="B30" s="50">
        <v>9.5399999999999991</v>
      </c>
      <c r="C30" s="50">
        <v>27.41</v>
      </c>
      <c r="D30" s="50">
        <v>23.27</v>
      </c>
      <c r="E30" s="50">
        <v>7.31</v>
      </c>
      <c r="F30" s="50">
        <v>3.53</v>
      </c>
      <c r="G30" s="50">
        <v>117.3</v>
      </c>
      <c r="H30" s="50">
        <v>41.33</v>
      </c>
      <c r="I30" s="50">
        <v>10.62</v>
      </c>
      <c r="J30" s="50">
        <v>0.23</v>
      </c>
      <c r="K30" s="50">
        <v>214.53</v>
      </c>
      <c r="L30" s="50">
        <v>21.16</v>
      </c>
      <c r="M30" s="50">
        <v>75.31</v>
      </c>
      <c r="N30" s="50">
        <v>0</v>
      </c>
      <c r="O30" s="50">
        <v>0</v>
      </c>
      <c r="P30" s="50">
        <v>0.95</v>
      </c>
      <c r="Q30" s="50">
        <v>4.8499999999999996</v>
      </c>
    </row>
    <row r="31" spans="1:17" customFormat="1">
      <c r="A31" s="55">
        <v>45322.958333333336</v>
      </c>
      <c r="B31" s="50">
        <v>8.9700000000000006</v>
      </c>
      <c r="C31" s="50">
        <v>26.4</v>
      </c>
      <c r="D31" s="50">
        <v>22.34</v>
      </c>
      <c r="E31" s="50">
        <v>7.37</v>
      </c>
      <c r="F31" s="50">
        <v>3.56</v>
      </c>
      <c r="G31" s="50">
        <v>110.54</v>
      </c>
      <c r="H31" s="50">
        <v>40.369999999999997</v>
      </c>
      <c r="I31" s="50">
        <v>10.45</v>
      </c>
      <c r="J31" s="50">
        <v>0.17</v>
      </c>
      <c r="K31" s="50">
        <v>225.48</v>
      </c>
      <c r="L31" s="50">
        <v>20.170000000000002</v>
      </c>
      <c r="M31" s="50">
        <v>77.25</v>
      </c>
      <c r="N31" s="50">
        <v>0</v>
      </c>
      <c r="O31" s="50">
        <v>0</v>
      </c>
      <c r="P31" s="50">
        <v>0.93</v>
      </c>
      <c r="Q31" s="50">
        <v>4.83</v>
      </c>
    </row>
    <row r="32" spans="1:17" customFormat="1">
      <c r="A32" s="55">
        <v>45323</v>
      </c>
      <c r="B32" s="50">
        <v>8.06</v>
      </c>
      <c r="C32" s="50">
        <v>25.27</v>
      </c>
      <c r="D32" s="50">
        <v>21.01</v>
      </c>
      <c r="E32" s="50">
        <v>7.32</v>
      </c>
      <c r="F32" s="50">
        <v>3.85</v>
      </c>
      <c r="G32" s="50">
        <v>102.65</v>
      </c>
      <c r="H32" s="50">
        <v>39.89</v>
      </c>
      <c r="I32" s="50">
        <v>10</v>
      </c>
      <c r="J32" s="50">
        <v>0.15</v>
      </c>
      <c r="K32" s="50">
        <v>233.07</v>
      </c>
      <c r="L32" s="50">
        <v>19.829999999999998</v>
      </c>
      <c r="M32" s="50">
        <v>77.540000000000006</v>
      </c>
      <c r="N32" s="50">
        <v>0</v>
      </c>
      <c r="O32" s="50">
        <v>0</v>
      </c>
      <c r="P32" s="50">
        <v>0.89</v>
      </c>
      <c r="Q32" s="50">
        <v>4.78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5.05</v>
      </c>
      <c r="C34" s="41">
        <f t="shared" si="0"/>
        <v>16.399999999999999</v>
      </c>
      <c r="D34" s="41">
        <f t="shared" si="0"/>
        <v>13.97</v>
      </c>
      <c r="E34" s="41">
        <f t="shared" si="0"/>
        <v>6.55</v>
      </c>
      <c r="F34" s="41">
        <f t="shared" si="0"/>
        <v>3.26</v>
      </c>
      <c r="G34" s="41">
        <f t="shared" si="0"/>
        <v>60.01</v>
      </c>
      <c r="H34" s="41">
        <f t="shared" si="0"/>
        <v>31.8</v>
      </c>
      <c r="I34" s="41">
        <f t="shared" si="0"/>
        <v>10</v>
      </c>
      <c r="J34" s="41">
        <f t="shared" si="0"/>
        <v>0.13</v>
      </c>
      <c r="K34" s="41">
        <f t="shared" si="0"/>
        <v>47.28</v>
      </c>
      <c r="L34" s="41">
        <f t="shared" si="0"/>
        <v>16.3</v>
      </c>
      <c r="M34" s="41">
        <f t="shared" si="0"/>
        <v>41.87</v>
      </c>
      <c r="N34" s="41">
        <f t="shared" si="0"/>
        <v>0</v>
      </c>
      <c r="O34" s="41">
        <f t="shared" si="0"/>
        <v>0</v>
      </c>
      <c r="P34" s="41">
        <f t="shared" si="0"/>
        <v>0.74</v>
      </c>
      <c r="Q34" s="41">
        <f t="shared" si="0"/>
        <v>4.71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22.04</v>
      </c>
      <c r="C35" s="33">
        <f t="shared" si="1"/>
        <v>32.33</v>
      </c>
      <c r="D35" s="33">
        <f t="shared" si="1"/>
        <v>32.04</v>
      </c>
      <c r="E35" s="33">
        <f t="shared" si="1"/>
        <v>9.14</v>
      </c>
      <c r="F35" s="33">
        <f t="shared" si="1"/>
        <v>5.71</v>
      </c>
      <c r="G35" s="33">
        <f t="shared" si="1"/>
        <v>117.3</v>
      </c>
      <c r="H35" s="33">
        <f t="shared" si="1"/>
        <v>49.31</v>
      </c>
      <c r="I35" s="33">
        <f t="shared" si="1"/>
        <v>20.87</v>
      </c>
      <c r="J35" s="33">
        <f t="shared" si="1"/>
        <v>1.31</v>
      </c>
      <c r="K35" s="33">
        <f t="shared" si="1"/>
        <v>342.99</v>
      </c>
      <c r="L35" s="33">
        <f t="shared" si="1"/>
        <v>28.37</v>
      </c>
      <c r="M35" s="33">
        <f t="shared" si="1"/>
        <v>95.27</v>
      </c>
      <c r="N35" s="33">
        <f t="shared" si="1"/>
        <v>435.5</v>
      </c>
      <c r="O35" s="33">
        <f t="shared" si="1"/>
        <v>0</v>
      </c>
      <c r="P35" s="33">
        <f t="shared" si="1"/>
        <v>1.03</v>
      </c>
      <c r="Q35" s="33">
        <f t="shared" si="1"/>
        <v>4.95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11.538750000000002</v>
      </c>
      <c r="C36" s="41">
        <f t="shared" si="2"/>
        <v>24.378333333333334</v>
      </c>
      <c r="D36" s="41">
        <f t="shared" si="2"/>
        <v>23.209166666666672</v>
      </c>
      <c r="E36" s="41">
        <f t="shared" si="2"/>
        <v>7.6616666666666662</v>
      </c>
      <c r="F36" s="41">
        <f t="shared" si="2"/>
        <v>4.0545833333333334</v>
      </c>
      <c r="G36" s="41">
        <f t="shared" si="2"/>
        <v>84.334583333333356</v>
      </c>
      <c r="H36" s="41">
        <f t="shared" si="2"/>
        <v>37.584583333333327</v>
      </c>
      <c r="I36" s="41">
        <f t="shared" si="2"/>
        <v>12.181666666666665</v>
      </c>
      <c r="J36" s="41">
        <f t="shared" si="2"/>
        <v>0.50416666666666665</v>
      </c>
      <c r="K36" s="41">
        <f t="shared" si="2"/>
        <v>218.47166666666661</v>
      </c>
      <c r="L36" s="41">
        <f t="shared" si="2"/>
        <v>22.170416666666672</v>
      </c>
      <c r="M36" s="41">
        <f t="shared" si="2"/>
        <v>70.931666666666672</v>
      </c>
      <c r="N36" s="41">
        <f t="shared" si="2"/>
        <v>107.125</v>
      </c>
      <c r="O36" s="41">
        <f t="shared" si="2"/>
        <v>0</v>
      </c>
      <c r="P36" s="41">
        <f t="shared" si="2"/>
        <v>0.87333333333333341</v>
      </c>
      <c r="Q36" s="41">
        <f t="shared" si="2"/>
        <v>4.8241666666666667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5.8430503591873935</v>
      </c>
      <c r="C37" s="41">
        <f t="shared" ref="C37:Q37" si="3">STDEV(C9:C32)</f>
        <v>4.1014447790214152</v>
      </c>
      <c r="D37" s="41">
        <f t="shared" si="3"/>
        <v>5.3042926969099922</v>
      </c>
      <c r="E37" s="41">
        <f t="shared" si="3"/>
        <v>0.74514467032257903</v>
      </c>
      <c r="F37" s="41">
        <f t="shared" si="3"/>
        <v>0.86695358266331402</v>
      </c>
      <c r="G37" s="41">
        <f t="shared" si="3"/>
        <v>19.741284258291437</v>
      </c>
      <c r="H37" s="41">
        <f t="shared" si="3"/>
        <v>5.0603823357586686</v>
      </c>
      <c r="I37" s="41">
        <f t="shared" si="3"/>
        <v>2.7673384901093372</v>
      </c>
      <c r="J37" s="41">
        <f t="shared" si="3"/>
        <v>0.36945219925753847</v>
      </c>
      <c r="K37" s="41">
        <f t="shared" si="3"/>
        <v>84.798268525528016</v>
      </c>
      <c r="L37" s="41">
        <f t="shared" si="3"/>
        <v>4.4054921051348579</v>
      </c>
      <c r="M37" s="41">
        <f t="shared" si="3"/>
        <v>19.131096395015106</v>
      </c>
      <c r="N37" s="41">
        <f t="shared" si="3"/>
        <v>153.89384045644834</v>
      </c>
      <c r="O37" s="41">
        <f t="shared" si="3"/>
        <v>0</v>
      </c>
      <c r="P37" s="41">
        <f t="shared" si="3"/>
        <v>8.6208375799401826E-2</v>
      </c>
      <c r="Q37" s="41">
        <f t="shared" si="3"/>
        <v>6.3991620828291934E-2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B45" sqref="B45:Q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 t="str">
        <f>$A$9</f>
        <v>01/01/2024 01:00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 t="str">
        <f>'01'!$B$2</f>
        <v>01/01/2024 01:00</v>
      </c>
      <c r="B9" s="17">
        <f>'01'!B36</f>
        <v>11.060833333333328</v>
      </c>
      <c r="C9" s="17">
        <f>'01'!C36</f>
        <v>25.049166666666665</v>
      </c>
      <c r="D9" s="17">
        <f>'01'!D36</f>
        <v>23.163749999999997</v>
      </c>
      <c r="E9" s="17">
        <f>'01'!E36</f>
        <v>7.2445833333333347</v>
      </c>
      <c r="F9" s="17">
        <f>'01'!F36</f>
        <v>3.3541666666666665</v>
      </c>
      <c r="G9" s="17">
        <f>'01'!G36</f>
        <v>110.44291666666669</v>
      </c>
      <c r="H9" s="17">
        <f>'01'!H36</f>
        <v>59.624166666666675</v>
      </c>
      <c r="I9" s="17">
        <f>'01'!I36</f>
        <v>9.2370833333333326</v>
      </c>
      <c r="J9" s="17">
        <f>'01'!J36</f>
        <v>0.22083333333333333</v>
      </c>
      <c r="K9" s="17">
        <f>'01'!K36</f>
        <v>185.25916666666663</v>
      </c>
      <c r="L9" s="17">
        <f>'01'!L36</f>
        <v>20.538750000000004</v>
      </c>
      <c r="M9" s="17">
        <f>'01'!M36</f>
        <v>76.149583333333325</v>
      </c>
      <c r="N9" s="17">
        <f>'01'!N36</f>
        <v>93.670833333333334</v>
      </c>
      <c r="O9" s="17">
        <f>'01'!O36</f>
        <v>0</v>
      </c>
      <c r="P9" s="17">
        <f>'01'!P36</f>
        <v>0.9604166666666667</v>
      </c>
      <c r="Q9" s="17">
        <f>'01'!Q36</f>
        <v>4.9179166666666667</v>
      </c>
      <c r="R9" s="34"/>
      <c r="S9" s="34"/>
      <c r="T9" s="34"/>
      <c r="U9" s="35"/>
    </row>
    <row r="10" spans="1:21" s="2" customFormat="1">
      <c r="A10" s="16" t="str">
        <f>'02'!$B$2</f>
        <v>02/01/2024 01:00</v>
      </c>
      <c r="B10" s="17">
        <f>'02'!B36</f>
        <v>8.6133333333333351</v>
      </c>
      <c r="C10" s="17">
        <f>'02'!C36</f>
        <v>22.201250000000002</v>
      </c>
      <c r="D10" s="17">
        <f>'02'!D36</f>
        <v>19.769166666666667</v>
      </c>
      <c r="E10" s="17">
        <f>'02'!E36</f>
        <v>7.4037500000000023</v>
      </c>
      <c r="F10" s="17">
        <f>'02'!F36</f>
        <v>4.967083333333334</v>
      </c>
      <c r="G10" s="17">
        <f>'02'!G36</f>
        <v>99.827083333333334</v>
      </c>
      <c r="H10" s="17">
        <f>'02'!H36</f>
        <v>53.334166666666668</v>
      </c>
      <c r="I10" s="17">
        <f>'02'!I36</f>
        <v>7.7041666666666666</v>
      </c>
      <c r="J10" s="17">
        <f>'02'!J36</f>
        <v>0.2091666666666667</v>
      </c>
      <c r="K10" s="17">
        <f>'02'!K36</f>
        <v>196.18625</v>
      </c>
      <c r="L10" s="17">
        <f>'02'!L36</f>
        <v>20.544166666666669</v>
      </c>
      <c r="M10" s="17">
        <f>'02'!M36</f>
        <v>75.515000000000015</v>
      </c>
      <c r="N10" s="17">
        <f>'02'!N36</f>
        <v>94.129166666666677</v>
      </c>
      <c r="O10" s="17">
        <f>'02'!O36</f>
        <v>0</v>
      </c>
      <c r="P10" s="17">
        <f>'02'!P36</f>
        <v>0.82208333333333339</v>
      </c>
      <c r="Q10" s="17">
        <f>'02'!Q36</f>
        <v>4.8554166666666676</v>
      </c>
      <c r="R10" s="36"/>
      <c r="S10" s="36"/>
      <c r="T10" s="36"/>
      <c r="U10" s="36"/>
    </row>
    <row r="11" spans="1:21" s="2" customFormat="1">
      <c r="A11" s="16" t="str">
        <f>'03'!$B$2</f>
        <v>03/01/2024 01:00</v>
      </c>
      <c r="B11" s="17">
        <f>'03'!B36</f>
        <v>8.2791666666666668</v>
      </c>
      <c r="C11" s="17">
        <f>'03'!C36</f>
        <v>21.724999999999994</v>
      </c>
      <c r="D11" s="17">
        <f>'03'!D36</f>
        <v>19.268750000000001</v>
      </c>
      <c r="E11" s="17">
        <f>'03'!E36</f>
        <v>6.8558333333333339</v>
      </c>
      <c r="F11" s="17">
        <f>'03'!F36</f>
        <v>3.4812499999999993</v>
      </c>
      <c r="G11" s="17">
        <f>'03'!G36</f>
        <v>83.012499999999989</v>
      </c>
      <c r="H11" s="17">
        <f>'03'!H36</f>
        <v>44.822916666666679</v>
      </c>
      <c r="I11" s="17">
        <f>'03'!I36</f>
        <v>6.8487500000000017</v>
      </c>
      <c r="J11" s="17">
        <f>'03'!J36</f>
        <v>0.24500000000000002</v>
      </c>
      <c r="K11" s="17">
        <f>'03'!K36</f>
        <v>188.15791666666664</v>
      </c>
      <c r="L11" s="17">
        <f>'03'!L36</f>
        <v>20.747083333333336</v>
      </c>
      <c r="M11" s="17">
        <f>'03'!M36</f>
        <v>73.397916666666674</v>
      </c>
      <c r="N11" s="17">
        <f>'03'!N36</f>
        <v>101.24583333333334</v>
      </c>
      <c r="O11" s="17">
        <f>'03'!O36</f>
        <v>0</v>
      </c>
      <c r="P11" s="17">
        <f>'03'!P36</f>
        <v>0.69249999999999989</v>
      </c>
      <c r="Q11" s="17">
        <f>'03'!Q36</f>
        <v>4.861250000000001</v>
      </c>
      <c r="R11" s="36"/>
      <c r="S11" s="36"/>
      <c r="T11" s="36"/>
      <c r="U11" s="36"/>
    </row>
    <row r="12" spans="1:21" s="2" customFormat="1">
      <c r="A12" s="16" t="str">
        <f>'04'!$B$2</f>
        <v>04/01/2024 01:00</v>
      </c>
      <c r="B12" s="17">
        <f>'04'!B36</f>
        <v>19.675416666666667</v>
      </c>
      <c r="C12" s="17">
        <f>'04'!C36</f>
        <v>26.711249999999996</v>
      </c>
      <c r="D12" s="17">
        <f>'04'!D36</f>
        <v>30.827916666666656</v>
      </c>
      <c r="E12" s="17">
        <f>'04'!E36</f>
        <v>7.0841666666666656</v>
      </c>
      <c r="F12" s="17">
        <f>'04'!F36</f>
        <v>3.1212499999999999</v>
      </c>
      <c r="G12" s="17">
        <f>'04'!G36</f>
        <v>100.86375</v>
      </c>
      <c r="H12" s="17">
        <f>'04'!H36</f>
        <v>46.287916666666668</v>
      </c>
      <c r="I12" s="17">
        <f>'04'!I36</f>
        <v>8.1354166666666661</v>
      </c>
      <c r="J12" s="17">
        <f>'04'!J36</f>
        <v>0.27916666666666673</v>
      </c>
      <c r="K12" s="17">
        <f>'04'!K36</f>
        <v>170.22125000000003</v>
      </c>
      <c r="L12" s="17">
        <f>'04'!L36</f>
        <v>20.587500000000002</v>
      </c>
      <c r="M12" s="17">
        <f>'04'!M36</f>
        <v>73.388333333333335</v>
      </c>
      <c r="N12" s="17">
        <f>'04'!N36</f>
        <v>95.600000000000009</v>
      </c>
      <c r="O12" s="17">
        <f>'04'!O36</f>
        <v>0</v>
      </c>
      <c r="P12" s="17">
        <f>'04'!P36</f>
        <v>0.79416666666666647</v>
      </c>
      <c r="Q12" s="17">
        <f>'04'!Q36</f>
        <v>5.0166666666666648</v>
      </c>
      <c r="R12" s="36"/>
      <c r="S12" s="36"/>
      <c r="T12" s="36"/>
      <c r="U12" s="36"/>
    </row>
    <row r="13" spans="1:21" s="2" customFormat="1">
      <c r="A13" s="16" t="str">
        <f>'05'!$B$2</f>
        <v>05/01/2024 01:00</v>
      </c>
      <c r="B13" s="17">
        <f>'05'!B36</f>
        <v>23.865000000000006</v>
      </c>
      <c r="C13" s="17">
        <f>'05'!C36</f>
        <v>27.858750000000001</v>
      </c>
      <c r="D13" s="17">
        <f>'05'!D36</f>
        <v>34.891249999999992</v>
      </c>
      <c r="E13" s="17">
        <f>'05'!E36</f>
        <v>6.7516666666666678</v>
      </c>
      <c r="F13" s="17">
        <f>'05'!F36</f>
        <v>3.1641666666666661</v>
      </c>
      <c r="G13" s="17">
        <f>'05'!G36</f>
        <v>106.86666666666666</v>
      </c>
      <c r="H13" s="17">
        <f>'05'!H36</f>
        <v>49.284999999999997</v>
      </c>
      <c r="I13" s="17">
        <f>'05'!I36</f>
        <v>9.6662499999999998</v>
      </c>
      <c r="J13" s="17">
        <f>'05'!J36</f>
        <v>0.28666666666666668</v>
      </c>
      <c r="K13" s="17">
        <f>'05'!K36</f>
        <v>162.30208333333334</v>
      </c>
      <c r="L13" s="17">
        <f>'05'!L36</f>
        <v>21.452916666666667</v>
      </c>
      <c r="M13" s="17">
        <f>'05'!M36</f>
        <v>72.649166666666659</v>
      </c>
      <c r="N13" s="17">
        <f>'05'!N36</f>
        <v>92.183333333333337</v>
      </c>
      <c r="O13" s="17">
        <f>'05'!O36</f>
        <v>0</v>
      </c>
      <c r="P13" s="17">
        <f>'05'!P36</f>
        <v>0.88625000000000009</v>
      </c>
      <c r="Q13" s="17">
        <f>'05'!Q36</f>
        <v>5.090416666666667</v>
      </c>
      <c r="R13" s="36"/>
      <c r="S13" s="36"/>
      <c r="T13" s="36"/>
      <c r="U13" s="36"/>
    </row>
    <row r="14" spans="1:21" s="2" customFormat="1">
      <c r="A14" s="16" t="str">
        <f>'06'!$B$2</f>
        <v>06/01/2024 01:00</v>
      </c>
      <c r="B14" s="18">
        <f>'06'!B36</f>
        <v>12.337500000000004</v>
      </c>
      <c r="C14" s="18">
        <f>'06'!C36</f>
        <v>26.700416666666666</v>
      </c>
      <c r="D14" s="18">
        <f>'06'!D36</f>
        <v>25.037916666666664</v>
      </c>
      <c r="E14" s="18">
        <f>'06'!E36</f>
        <v>7.0654166666666676</v>
      </c>
      <c r="F14" s="18">
        <f>'06'!F36</f>
        <v>3.8766666666666683</v>
      </c>
      <c r="G14" s="18">
        <f>'06'!G36</f>
        <v>96.65291666666667</v>
      </c>
      <c r="H14" s="18">
        <f>'06'!H36</f>
        <v>40.667083333333338</v>
      </c>
      <c r="I14" s="18">
        <f>'06'!I36</f>
        <v>9.7924999999999986</v>
      </c>
      <c r="J14" s="18">
        <f>'06'!J36</f>
        <v>0.6791666666666667</v>
      </c>
      <c r="K14" s="18">
        <f>'06'!K36</f>
        <v>124.1675</v>
      </c>
      <c r="L14" s="18">
        <f>'06'!L36</f>
        <v>20.839166666666667</v>
      </c>
      <c r="M14" s="18">
        <f>'06'!M36</f>
        <v>73.039999999999992</v>
      </c>
      <c r="N14" s="18">
        <f>'06'!N36</f>
        <v>83.55416666666666</v>
      </c>
      <c r="O14" s="18">
        <f>'06'!O36</f>
        <v>0</v>
      </c>
      <c r="P14" s="18">
        <f>'06'!P36</f>
        <v>0.77958333333333341</v>
      </c>
      <c r="Q14" s="18">
        <f>'06'!Q36</f>
        <v>4.9370833333333328</v>
      </c>
      <c r="R14" s="36"/>
      <c r="S14" s="36"/>
      <c r="T14" s="36"/>
      <c r="U14" s="36"/>
    </row>
    <row r="15" spans="1:21" s="2" customFormat="1">
      <c r="A15" s="16" t="str">
        <f>'07'!$B$2</f>
        <v>07/01/2024 01:00</v>
      </c>
      <c r="B15" s="18">
        <f>'07'!B36</f>
        <v>15.9625</v>
      </c>
      <c r="C15" s="18">
        <f>'07'!C36</f>
        <v>25.110833333333332</v>
      </c>
      <c r="D15" s="18">
        <f>'07'!D36</f>
        <v>27.115833333333338</v>
      </c>
      <c r="E15" s="18">
        <f>'07'!E36</f>
        <v>7.357499999999999</v>
      </c>
      <c r="F15" s="18">
        <f>'07'!F36</f>
        <v>2.9854166666666662</v>
      </c>
      <c r="G15" s="18">
        <f>'07'!G36</f>
        <v>103.12791666666665</v>
      </c>
      <c r="H15" s="18">
        <f>'07'!H36</f>
        <v>48.343749999999993</v>
      </c>
      <c r="I15" s="18">
        <f>'07'!I36</f>
        <v>9.1779166666666665</v>
      </c>
      <c r="J15" s="18">
        <f>'07'!J36</f>
        <v>0.88916666666666655</v>
      </c>
      <c r="K15" s="18">
        <f>'07'!K36</f>
        <v>86.500833333333318</v>
      </c>
      <c r="L15" s="18">
        <f>'07'!L36</f>
        <v>21.572083333333335</v>
      </c>
      <c r="M15" s="18">
        <f>'07'!M36</f>
        <v>71.206250000000011</v>
      </c>
      <c r="N15" s="18">
        <f>'07'!N36</f>
        <v>93.708333333333329</v>
      </c>
      <c r="O15" s="18">
        <f>'07'!O36</f>
        <v>0</v>
      </c>
      <c r="P15" s="18">
        <f>'07'!P36</f>
        <v>0.91166666666666663</v>
      </c>
      <c r="Q15" s="18">
        <f>'07'!Q36</f>
        <v>4.9662499999999996</v>
      </c>
      <c r="R15" s="36"/>
      <c r="S15" s="36"/>
      <c r="T15" s="36"/>
      <c r="U15" s="36"/>
    </row>
    <row r="16" spans="1:21" s="2" customFormat="1">
      <c r="A16" s="16" t="str">
        <f>'08'!$B$2</f>
        <v>08/01/2024 01:00</v>
      </c>
      <c r="B16" s="18">
        <f>'08'!B36</f>
        <v>14.75</v>
      </c>
      <c r="C16" s="18">
        <f>'08'!C36</f>
        <v>27.036249999999999</v>
      </c>
      <c r="D16" s="18">
        <f>'08'!D36</f>
        <v>27.217916666666667</v>
      </c>
      <c r="E16" s="18">
        <f>'08'!E36</f>
        <v>6.5541666666666663</v>
      </c>
      <c r="F16" s="18">
        <f>'08'!F36</f>
        <v>2.9129166666666664</v>
      </c>
      <c r="G16" s="18">
        <f>'08'!G36</f>
        <v>110.36916666666669</v>
      </c>
      <c r="H16" s="18">
        <f>'08'!H36</f>
        <v>48.426666666666669</v>
      </c>
      <c r="I16" s="18">
        <f>'08'!I36</f>
        <v>9.8958333333333339</v>
      </c>
      <c r="J16" s="18">
        <f>'08'!J36</f>
        <v>0.66083333333333349</v>
      </c>
      <c r="K16" s="18">
        <f>'08'!K36</f>
        <v>126.38791666666667</v>
      </c>
      <c r="L16" s="18">
        <f>'08'!L36</f>
        <v>21.565416666666664</v>
      </c>
      <c r="M16" s="18">
        <f>'08'!M36</f>
        <v>72.121250000000003</v>
      </c>
      <c r="N16" s="18">
        <f>'08'!N36</f>
        <v>96.495833333333337</v>
      </c>
      <c r="O16" s="18">
        <f>'08'!O36</f>
        <v>0</v>
      </c>
      <c r="P16" s="18">
        <f>'08'!P36</f>
        <v>0.95458333333333334</v>
      </c>
      <c r="Q16" s="18">
        <f>'08'!Q36</f>
        <v>4.9570833333333333</v>
      </c>
      <c r="R16" s="36"/>
      <c r="S16" s="36"/>
      <c r="T16" s="36"/>
      <c r="U16" s="36"/>
    </row>
    <row r="17" spans="1:24" s="2" customFormat="1">
      <c r="A17" s="16" t="str">
        <f>'09'!$B$2</f>
        <v>09/01/2024 01:00</v>
      </c>
      <c r="B17" s="18">
        <f>'09'!B36</f>
        <v>20.60125</v>
      </c>
      <c r="C17" s="18">
        <f>'09'!C36</f>
        <v>27.156249999999996</v>
      </c>
      <c r="D17" s="18">
        <f>'09'!D36</f>
        <v>31.865416666666661</v>
      </c>
      <c r="E17" s="18">
        <f>'09'!E36</f>
        <v>7.9408333333333339</v>
      </c>
      <c r="F17" s="18">
        <f>'09'!F36</f>
        <v>3.375833333333333</v>
      </c>
      <c r="G17" s="18">
        <f>'09'!G36</f>
        <v>112.90499999999999</v>
      </c>
      <c r="H17" s="18">
        <f>'09'!H36</f>
        <v>51.112916666666671</v>
      </c>
      <c r="I17" s="18">
        <f>'09'!I36</f>
        <v>10.260000000000002</v>
      </c>
      <c r="J17" s="18">
        <f>'09'!J36</f>
        <v>0.54375000000000007</v>
      </c>
      <c r="K17" s="18">
        <f>'09'!K36</f>
        <v>140.83625000000004</v>
      </c>
      <c r="L17" s="18">
        <f>'09'!L36</f>
        <v>22.192499999999999</v>
      </c>
      <c r="M17" s="18">
        <f>'09'!M36</f>
        <v>70.669583333333307</v>
      </c>
      <c r="N17" s="18">
        <f>'09'!N36</f>
        <v>96.154166666666654</v>
      </c>
      <c r="O17" s="18">
        <f>'09'!O36</f>
        <v>0</v>
      </c>
      <c r="P17" s="18">
        <f>'09'!P36</f>
        <v>0.93041666666666656</v>
      </c>
      <c r="Q17" s="18">
        <f>'09'!Q36</f>
        <v>5.0404166666666654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 t="str">
        <f>'10'!$B$2</f>
        <v>10/01/2024 01:00</v>
      </c>
      <c r="B18" s="18">
        <f>'10'!B36</f>
        <v>20.601666666666663</v>
      </c>
      <c r="C18" s="18">
        <f>'10'!C36</f>
        <v>27.367083333333337</v>
      </c>
      <c r="D18" s="18">
        <f>'10'!D36</f>
        <v>32.047500000000007</v>
      </c>
      <c r="E18" s="18">
        <f>'10'!E36</f>
        <v>7.6133333333333333</v>
      </c>
      <c r="F18" s="18">
        <f>'10'!F36</f>
        <v>3.7954166666666662</v>
      </c>
      <c r="G18" s="18">
        <f>'10'!G36</f>
        <v>116.005</v>
      </c>
      <c r="H18" s="18">
        <f>'10'!H36</f>
        <v>55.357499999999995</v>
      </c>
      <c r="I18" s="18">
        <f>'10'!I36</f>
        <v>11.799583333333333</v>
      </c>
      <c r="J18" s="18">
        <f>'10'!J36</f>
        <v>0.36375000000000002</v>
      </c>
      <c r="K18" s="18">
        <f>'10'!K36</f>
        <v>235.05208333333329</v>
      </c>
      <c r="L18" s="18">
        <f>'10'!L36</f>
        <v>23.130833333333328</v>
      </c>
      <c r="M18" s="18">
        <f>'10'!M36</f>
        <v>72.131250000000009</v>
      </c>
      <c r="N18" s="18">
        <f>'10'!N36</f>
        <v>75.94583333333334</v>
      </c>
      <c r="O18" s="18">
        <f>'10'!O36</f>
        <v>0</v>
      </c>
      <c r="P18" s="18">
        <f>'10'!P36</f>
        <v>1.1200000000000001</v>
      </c>
      <c r="Q18" s="18">
        <f>'10'!Q36</f>
        <v>5.0208333333333339</v>
      </c>
      <c r="R18" s="36"/>
      <c r="S18" s="36"/>
      <c r="T18" s="36"/>
      <c r="U18" s="36"/>
    </row>
    <row r="19" spans="1:24" s="2" customFormat="1">
      <c r="A19" s="16" t="str">
        <f>'11'!$B$2</f>
        <v>11/01/2024 01:00</v>
      </c>
      <c r="B19" s="18">
        <f>'11'!B36</f>
        <v>15.242916666666668</v>
      </c>
      <c r="C19" s="18">
        <f>'11'!C36</f>
        <v>26.480833333333337</v>
      </c>
      <c r="D19" s="18">
        <f>'11'!D36</f>
        <v>27.183333333333337</v>
      </c>
      <c r="E19" s="18">
        <f>'11'!E36</f>
        <v>8.2854166666666682</v>
      </c>
      <c r="F19" s="18">
        <f>'11'!F36</f>
        <v>3.6833333333333336</v>
      </c>
      <c r="G19" s="18">
        <f>'11'!G36</f>
        <v>100.03125</v>
      </c>
      <c r="H19" s="18">
        <f>'11'!H36</f>
        <v>44.469583333333333</v>
      </c>
      <c r="I19" s="18">
        <f>'11'!I36</f>
        <v>10.614583333333334</v>
      </c>
      <c r="J19" s="18">
        <f>'11'!J36</f>
        <v>0.72749999999999992</v>
      </c>
      <c r="K19" s="18">
        <f>'11'!K36</f>
        <v>117.24416666666666</v>
      </c>
      <c r="L19" s="18">
        <f>'11'!L36</f>
        <v>23.346666666666668</v>
      </c>
      <c r="M19" s="18">
        <f>'11'!M36</f>
        <v>70.481250000000003</v>
      </c>
      <c r="N19" s="18">
        <f>'11'!N36</f>
        <v>90.970833333333317</v>
      </c>
      <c r="O19" s="18">
        <f>'11'!O36</f>
        <v>0</v>
      </c>
      <c r="P19" s="18">
        <f>'11'!P36</f>
        <v>0.98124999999999984</v>
      </c>
      <c r="Q19" s="18">
        <f>'11'!Q36</f>
        <v>4.9554166666666655</v>
      </c>
      <c r="R19" s="36"/>
      <c r="S19" s="36"/>
      <c r="T19" s="36"/>
      <c r="U19" s="36"/>
    </row>
    <row r="20" spans="1:24" s="2" customFormat="1">
      <c r="A20" s="16" t="str">
        <f>'12'!$B$2</f>
        <v>12/01/2024 01:00</v>
      </c>
      <c r="B20" s="18">
        <f>'12'!B36</f>
        <v>24.468333333333334</v>
      </c>
      <c r="C20" s="18">
        <f>'12'!C36</f>
        <v>26.324999999999999</v>
      </c>
      <c r="D20" s="18">
        <f>'12'!D36</f>
        <v>34.551666666666669</v>
      </c>
      <c r="E20" s="18">
        <f>'12'!E36</f>
        <v>9.3125</v>
      </c>
      <c r="F20" s="18">
        <f>'12'!F36</f>
        <v>2.8437499999999996</v>
      </c>
      <c r="G20" s="18">
        <f>'12'!G36</f>
        <v>79.90666666666668</v>
      </c>
      <c r="H20" s="18">
        <f>'12'!H36</f>
        <v>31.062916666666663</v>
      </c>
      <c r="I20" s="18">
        <f>'12'!I36</f>
        <v>8.3729166666666668</v>
      </c>
      <c r="J20" s="18">
        <f>'12'!J36</f>
        <v>0.5575</v>
      </c>
      <c r="K20" s="18">
        <f>'12'!K36</f>
        <v>168.60874999999999</v>
      </c>
      <c r="L20" s="18">
        <f>'12'!L36</f>
        <v>23.008333333333329</v>
      </c>
      <c r="M20" s="18">
        <f>'12'!M36</f>
        <v>66.759999999999977</v>
      </c>
      <c r="N20" s="18">
        <f>'12'!N36</f>
        <v>101.9875</v>
      </c>
      <c r="O20" s="18">
        <f>'12'!O36</f>
        <v>0</v>
      </c>
      <c r="P20" s="18">
        <f>'12'!P36</f>
        <v>0.76874999999999993</v>
      </c>
      <c r="Q20" s="18">
        <f>'12'!Q36</f>
        <v>5.0679166666666662</v>
      </c>
      <c r="R20" s="36"/>
      <c r="S20" s="36"/>
      <c r="T20" s="36"/>
      <c r="U20" s="36"/>
    </row>
    <row r="21" spans="1:24" s="2" customFormat="1">
      <c r="A21" s="16" t="str">
        <f>'13'!$B$2</f>
        <v>13/01/2024 01:00</v>
      </c>
      <c r="B21" s="18">
        <f>'13'!B36</f>
        <v>25.029166666666669</v>
      </c>
      <c r="C21" s="18">
        <f>'13'!C36</f>
        <v>26.583333333333329</v>
      </c>
      <c r="D21" s="18">
        <f>'13'!D36</f>
        <v>35.122916666666661</v>
      </c>
      <c r="E21" s="18">
        <f>'13'!E36</f>
        <v>8.3187499999999996</v>
      </c>
      <c r="F21" s="18">
        <f>'13'!F36</f>
        <v>3.1579166666666665</v>
      </c>
      <c r="G21" s="18">
        <f>'13'!G36</f>
        <v>77.83874999999999</v>
      </c>
      <c r="H21" s="18">
        <f>'13'!H36</f>
        <v>29.143333333333342</v>
      </c>
      <c r="I21" s="18">
        <f>'13'!I36</f>
        <v>8.1366666666666667</v>
      </c>
      <c r="J21" s="18">
        <f>'13'!J36</f>
        <v>0.48041666666666655</v>
      </c>
      <c r="K21" s="18">
        <f>'13'!K36</f>
        <v>246.52916666666667</v>
      </c>
      <c r="L21" s="18">
        <f>'13'!L36</f>
        <v>22.524583333333336</v>
      </c>
      <c r="M21" s="18">
        <f>'13'!M36</f>
        <v>64.408333333333317</v>
      </c>
      <c r="N21" s="18">
        <f>'13'!N36</f>
        <v>108.15833333333335</v>
      </c>
      <c r="O21" s="18">
        <f>'13'!O36</f>
        <v>0</v>
      </c>
      <c r="P21" s="18">
        <f>'13'!P36</f>
        <v>0.73</v>
      </c>
      <c r="Q21" s="18">
        <f>'13'!Q36</f>
        <v>5.0824999999999996</v>
      </c>
      <c r="R21" s="36"/>
      <c r="S21" s="36"/>
      <c r="T21" s="36"/>
      <c r="U21" s="36"/>
    </row>
    <row r="22" spans="1:24" s="2" customFormat="1">
      <c r="A22" s="16" t="str">
        <f>'14'!$B$2</f>
        <v>14/01/2024 01:00</v>
      </c>
      <c r="B22" s="18">
        <f>'14'!B36</f>
        <v>18.343749999999996</v>
      </c>
      <c r="C22" s="18">
        <f>'14'!C36</f>
        <v>25.462916666666668</v>
      </c>
      <c r="D22" s="18">
        <f>'14'!D36</f>
        <v>29.168750000000006</v>
      </c>
      <c r="E22" s="18">
        <f>'14'!E36</f>
        <v>8.3224999999999998</v>
      </c>
      <c r="F22" s="18">
        <f>'14'!F36</f>
        <v>3.200416666666666</v>
      </c>
      <c r="G22" s="18">
        <f>'14'!G36</f>
        <v>78.662500000000009</v>
      </c>
      <c r="H22" s="18">
        <f>'14'!H36</f>
        <v>28.480833333333333</v>
      </c>
      <c r="I22" s="18">
        <f>'14'!I36</f>
        <v>7.5554166666666696</v>
      </c>
      <c r="J22" s="18">
        <f>'14'!J36</f>
        <v>0.48249999999999998</v>
      </c>
      <c r="K22" s="18">
        <f>'14'!K36</f>
        <v>189.27708333333339</v>
      </c>
      <c r="L22" s="18">
        <f>'14'!L36</f>
        <v>22.456250000000001</v>
      </c>
      <c r="M22" s="18">
        <f>'14'!M36</f>
        <v>63.887499999999996</v>
      </c>
      <c r="N22" s="18">
        <f>'14'!N36</f>
        <v>103.43333333333332</v>
      </c>
      <c r="O22" s="18">
        <f>'14'!O36</f>
        <v>0</v>
      </c>
      <c r="P22" s="18">
        <f>'14'!P36</f>
        <v>0.66499999999999992</v>
      </c>
      <c r="Q22" s="18">
        <f>'14'!Q36</f>
        <v>4.9958333333333345</v>
      </c>
      <c r="R22" s="38"/>
      <c r="S22" s="38"/>
      <c r="T22" s="38"/>
      <c r="U22" s="38"/>
    </row>
    <row r="23" spans="1:24" s="2" customFormat="1">
      <c r="A23" s="16" t="str">
        <f>'15'!$B$2</f>
        <v>15/01/2024 01:00</v>
      </c>
      <c r="B23" s="19">
        <f>'15'!B36</f>
        <v>15.242083333333332</v>
      </c>
      <c r="C23" s="19">
        <f>'15'!C36</f>
        <v>29.455833333333327</v>
      </c>
      <c r="D23" s="19">
        <f>'15'!D36</f>
        <v>28.781250000000004</v>
      </c>
      <c r="E23" s="19">
        <f>'15'!E36</f>
        <v>8.9270833333333339</v>
      </c>
      <c r="F23" s="19">
        <f>'15'!F36</f>
        <v>2.6691666666666674</v>
      </c>
      <c r="G23" s="19">
        <f>'15'!G36</f>
        <v>77.057916666666671</v>
      </c>
      <c r="H23" s="19">
        <f>'15'!H36</f>
        <v>28.212083333333336</v>
      </c>
      <c r="I23" s="19">
        <f>'15'!I36</f>
        <v>7.298750000000001</v>
      </c>
      <c r="J23" s="19">
        <f>'15'!J36</f>
        <v>0.78833333333333344</v>
      </c>
      <c r="K23" s="19">
        <f>'15'!K36</f>
        <v>135.01708333333337</v>
      </c>
      <c r="L23" s="19">
        <f>'15'!L36</f>
        <v>22.025833333333335</v>
      </c>
      <c r="M23" s="19">
        <f>'15'!M36</f>
        <v>52.62083333333333</v>
      </c>
      <c r="N23" s="19">
        <f>'15'!N36</f>
        <v>93.725000000000023</v>
      </c>
      <c r="O23" s="19">
        <f>'15'!O36</f>
        <v>0</v>
      </c>
      <c r="P23" s="19">
        <f>'15'!P36</f>
        <v>0.67583333333333329</v>
      </c>
      <c r="Q23" s="19">
        <f>'15'!Q36</f>
        <v>4.9745833333333342</v>
      </c>
      <c r="R23" s="38"/>
      <c r="S23" s="38"/>
      <c r="T23" s="38"/>
      <c r="U23" s="36"/>
    </row>
    <row r="24" spans="1:24" s="2" customFormat="1">
      <c r="A24" s="16">
        <f>'16'!$B$2</f>
        <v>45307.041666666664</v>
      </c>
      <c r="B24" s="18">
        <f>'16'!B36</f>
        <v>16.162916666666668</v>
      </c>
      <c r="C24" s="18">
        <f>'16'!C36</f>
        <v>28.974166666666662</v>
      </c>
      <c r="D24" s="18">
        <f>'16'!D36</f>
        <v>29.28916666666667</v>
      </c>
      <c r="E24" s="18">
        <f>'16'!E36</f>
        <v>8.3533333333333335</v>
      </c>
      <c r="F24" s="18">
        <f>'16'!F36</f>
        <v>4.1137500000000005</v>
      </c>
      <c r="G24" s="18">
        <f>'16'!G36</f>
        <v>83.188333333333347</v>
      </c>
      <c r="H24" s="18">
        <f>'16'!H36</f>
        <v>33.310833333333342</v>
      </c>
      <c r="I24" s="18">
        <f>'16'!I36</f>
        <v>10.208333333333332</v>
      </c>
      <c r="J24" s="18">
        <f>'16'!J36</f>
        <v>0.68500000000000005</v>
      </c>
      <c r="K24" s="18">
        <f>'16'!K36</f>
        <v>160.88750000000002</v>
      </c>
      <c r="L24" s="18">
        <f>'16'!L36</f>
        <v>21.592916666666667</v>
      </c>
      <c r="M24" s="18">
        <f>'16'!M36</f>
        <v>57.330416666666672</v>
      </c>
      <c r="N24" s="18">
        <f>'16'!N36</f>
        <v>102.49166666666666</v>
      </c>
      <c r="O24" s="18">
        <f>'16'!O36</f>
        <v>0</v>
      </c>
      <c r="P24" s="18">
        <f>'16'!P36</f>
        <v>0.7895833333333333</v>
      </c>
      <c r="Q24" s="18">
        <f>'16'!Q36</f>
        <v>4.9612500000000006</v>
      </c>
      <c r="R24" s="38"/>
      <c r="S24" s="38"/>
      <c r="T24" s="38"/>
      <c r="U24" s="36"/>
    </row>
    <row r="25" spans="1:24" s="2" customFormat="1">
      <c r="A25" s="16">
        <f>'17'!$B$2</f>
        <v>45308.041666666664</v>
      </c>
      <c r="B25" s="18">
        <f>'17'!B36</f>
        <v>12.616666666666667</v>
      </c>
      <c r="C25" s="18">
        <f>'17'!C36</f>
        <v>27.928333333333338</v>
      </c>
      <c r="D25" s="18">
        <f>'17'!D36</f>
        <v>25.970416666666665</v>
      </c>
      <c r="E25" s="18">
        <f>'17'!E36</f>
        <v>8.2983333333333338</v>
      </c>
      <c r="F25" s="18">
        <f>'17'!F36</f>
        <v>3.9504166666666669</v>
      </c>
      <c r="G25" s="18">
        <f>'17'!G36</f>
        <v>103.37874999999998</v>
      </c>
      <c r="H25" s="18">
        <f>'17'!H36</f>
        <v>45.029583333333342</v>
      </c>
      <c r="I25" s="18">
        <f>'17'!I36</f>
        <v>9.5462500000000006</v>
      </c>
      <c r="J25" s="18">
        <f>'17'!J36</f>
        <v>0.4291666666666667</v>
      </c>
      <c r="K25" s="18">
        <f>'17'!K36</f>
        <v>218.50625000000002</v>
      </c>
      <c r="L25" s="18">
        <f>'17'!L36</f>
        <v>22.030833333333334</v>
      </c>
      <c r="M25" s="18">
        <f>'17'!M36</f>
        <v>72.486666666666665</v>
      </c>
      <c r="N25" s="18">
        <f>'17'!N36</f>
        <v>67.204166666666666</v>
      </c>
      <c r="O25" s="18">
        <f>'17'!O36</f>
        <v>0</v>
      </c>
      <c r="P25" s="18">
        <f>'17'!P36</f>
        <v>0.97041666666666693</v>
      </c>
      <c r="Q25" s="18">
        <f>'17'!Q36</f>
        <v>4.9012500000000001</v>
      </c>
      <c r="R25" s="38"/>
      <c r="S25" s="38"/>
      <c r="T25" s="38"/>
      <c r="U25" s="36"/>
    </row>
    <row r="26" spans="1:24" s="2" customFormat="1">
      <c r="A26" s="16">
        <f>'18'!$B$2</f>
        <v>45309.041666666664</v>
      </c>
      <c r="B26" s="18">
        <f>'18'!B36</f>
        <v>17.609166666666667</v>
      </c>
      <c r="C26" s="18">
        <f>'18'!C36</f>
        <v>26.921249999999997</v>
      </c>
      <c r="D26" s="18">
        <f>'18'!D36</f>
        <v>29.23875</v>
      </c>
      <c r="E26" s="18">
        <f>'18'!E36</f>
        <v>8.1679166666666667</v>
      </c>
      <c r="F26" s="18">
        <f>'18'!F36</f>
        <v>3.6012500000000003</v>
      </c>
      <c r="G26" s="18">
        <f>'18'!G36</f>
        <v>96.17</v>
      </c>
      <c r="H26" s="18">
        <f>'18'!H36</f>
        <v>45.992083333333319</v>
      </c>
      <c r="I26" s="18">
        <f>'18'!I36</f>
        <v>10.67375</v>
      </c>
      <c r="J26" s="18">
        <f>'18'!J36</f>
        <v>0.68500000000000005</v>
      </c>
      <c r="K26" s="18">
        <f>'18'!K36</f>
        <v>171.98541666666665</v>
      </c>
      <c r="L26" s="18">
        <f>'18'!L36</f>
        <v>21.622916666666669</v>
      </c>
      <c r="M26" s="18">
        <f>'18'!M36</f>
        <v>81.764166666666668</v>
      </c>
      <c r="N26" s="18">
        <f>'18'!N36</f>
        <v>48.695833333333347</v>
      </c>
      <c r="O26" s="18">
        <f>'18'!O36</f>
        <v>0</v>
      </c>
      <c r="P26" s="18">
        <f>'18'!P36</f>
        <v>1.0679166666666666</v>
      </c>
      <c r="Q26" s="18">
        <f>'18'!Q36</f>
        <v>4.9745833333333334</v>
      </c>
      <c r="R26" s="38"/>
      <c r="S26" s="38"/>
      <c r="T26" s="38"/>
      <c r="U26" s="36"/>
    </row>
    <row r="27" spans="1:24" s="2" customFormat="1">
      <c r="A27" s="16">
        <f>'19'!$B$2</f>
        <v>45310.041666666664</v>
      </c>
      <c r="B27" s="18">
        <f>'19'!B36</f>
        <v>23.127499999999998</v>
      </c>
      <c r="C27" s="18">
        <f>'19'!C36</f>
        <v>29.043749999999999</v>
      </c>
      <c r="D27" s="18">
        <f>'19'!D36</f>
        <v>34.965416666666677</v>
      </c>
      <c r="E27" s="18">
        <f>'19'!E36</f>
        <v>8.1087499999999988</v>
      </c>
      <c r="F27" s="18">
        <f>'19'!F36</f>
        <v>3.4920833333333334</v>
      </c>
      <c r="G27" s="18">
        <f>'19'!G36</f>
        <v>93.890833333333333</v>
      </c>
      <c r="H27" s="18">
        <f>'19'!H36</f>
        <v>46.064166666666665</v>
      </c>
      <c r="I27" s="18">
        <f>'19'!I36</f>
        <v>10.092499999999999</v>
      </c>
      <c r="J27" s="18">
        <f>'19'!J36</f>
        <v>1.1258333333333335</v>
      </c>
      <c r="K27" s="18">
        <f>'19'!K36</f>
        <v>79.429999999999993</v>
      </c>
      <c r="L27" s="18">
        <f>'19'!L36</f>
        <v>19.419166666666666</v>
      </c>
      <c r="M27" s="18">
        <f>'19'!M36</f>
        <v>81.42583333333333</v>
      </c>
      <c r="N27" s="18">
        <f>'19'!N36</f>
        <v>52.387499999999996</v>
      </c>
      <c r="O27" s="18">
        <f>'19'!O36</f>
        <v>0</v>
      </c>
      <c r="P27" s="18">
        <f>'19'!P36</f>
        <v>1.0491666666666666</v>
      </c>
      <c r="Q27" s="18">
        <f>'19'!Q36</f>
        <v>5.0829166666666659</v>
      </c>
      <c r="R27" s="38"/>
      <c r="S27" s="38"/>
      <c r="T27" s="38"/>
      <c r="U27" s="36"/>
    </row>
    <row r="28" spans="1:24" s="2" customFormat="1">
      <c r="A28" s="16">
        <f>'20'!$B$2</f>
        <v>45311.041666666664</v>
      </c>
      <c r="B28" s="18">
        <f>'20'!B36</f>
        <v>28.584999999999997</v>
      </c>
      <c r="C28" s="18">
        <f>'20'!C36</f>
        <v>28.834999999999997</v>
      </c>
      <c r="D28" s="18">
        <f>'20'!D36</f>
        <v>39.077500000000001</v>
      </c>
      <c r="E28" s="18">
        <f>'20'!E36</f>
        <v>8.3133333333333344</v>
      </c>
      <c r="F28" s="18">
        <f>'20'!F36</f>
        <v>3.4958333333333336</v>
      </c>
      <c r="G28" s="18">
        <f>'20'!G36</f>
        <v>103.80041666666669</v>
      </c>
      <c r="H28" s="18">
        <f>'20'!H36</f>
        <v>48.046250000000008</v>
      </c>
      <c r="I28" s="18">
        <f>'20'!I36</f>
        <v>11.510833333333332</v>
      </c>
      <c r="J28" s="18">
        <f>'20'!J36</f>
        <v>0.83250000000000002</v>
      </c>
      <c r="K28" s="18">
        <f>'20'!K36</f>
        <v>88.259166666666658</v>
      </c>
      <c r="L28" s="18">
        <f>'20'!L36</f>
        <v>19.23458333333333</v>
      </c>
      <c r="M28" s="18">
        <f>'20'!M36</f>
        <v>80.473333333333329</v>
      </c>
      <c r="N28" s="18">
        <f>'20'!N36</f>
        <v>35.800000000000004</v>
      </c>
      <c r="O28" s="18">
        <f>'20'!O36</f>
        <v>0</v>
      </c>
      <c r="P28" s="18">
        <f>'20'!P36</f>
        <v>1.1300000000000001</v>
      </c>
      <c r="Q28" s="18">
        <f>'20'!Q36</f>
        <v>5.1191666666666675</v>
      </c>
      <c r="R28" s="38"/>
      <c r="S28" s="38"/>
      <c r="T28" s="38"/>
      <c r="U28" s="36"/>
    </row>
    <row r="29" spans="1:24" s="2" customFormat="1">
      <c r="A29" s="16">
        <f>'21'!$B$2</f>
        <v>45312.041666666664</v>
      </c>
      <c r="B29" s="18">
        <f>'21'!B36</f>
        <v>21.591250000000002</v>
      </c>
      <c r="C29" s="18">
        <f>'21'!C36</f>
        <v>26.332499999999996</v>
      </c>
      <c r="D29" s="18">
        <f>'21'!D36</f>
        <v>32.208750000000002</v>
      </c>
      <c r="E29" s="18">
        <f>'21'!E36</f>
        <v>8.1666666666666679</v>
      </c>
      <c r="F29" s="18">
        <f>'21'!F36</f>
        <v>3.4916666666666667</v>
      </c>
      <c r="G29" s="18">
        <f>'21'!G36</f>
        <v>86.446250000000006</v>
      </c>
      <c r="H29" s="18">
        <f>'21'!H36</f>
        <v>45.138749999999995</v>
      </c>
      <c r="I29" s="18">
        <f>'21'!I36</f>
        <v>9.6195833333333312</v>
      </c>
      <c r="J29" s="18">
        <f>'21'!J36</f>
        <v>0.75541666666666663</v>
      </c>
      <c r="K29" s="18">
        <f>'21'!K36</f>
        <v>162.38666666666668</v>
      </c>
      <c r="L29" s="18">
        <f>'21'!L36</f>
        <v>20.307500000000001</v>
      </c>
      <c r="M29" s="18">
        <f>'21'!M36</f>
        <v>85.027499999999989</v>
      </c>
      <c r="N29" s="18">
        <f>'21'!N36</f>
        <v>101.15833333333332</v>
      </c>
      <c r="O29" s="18">
        <f>'21'!O36</f>
        <v>0.20833333333333334</v>
      </c>
      <c r="P29" s="18">
        <f>'21'!P36</f>
        <v>0.9866666666666668</v>
      </c>
      <c r="Q29" s="18">
        <f>'21'!Q36</f>
        <v>5.0220833333333337</v>
      </c>
      <c r="R29" s="38"/>
      <c r="S29" s="38"/>
      <c r="T29" s="38"/>
      <c r="U29" s="36"/>
    </row>
    <row r="30" spans="1:24" s="2" customFormat="1">
      <c r="A30" s="16">
        <f>'22'!$B$2</f>
        <v>45313.041666666664</v>
      </c>
      <c r="B30" s="18">
        <f>'22'!B36</f>
        <v>12.612083333333336</v>
      </c>
      <c r="C30" s="18">
        <f>'22'!C36</f>
        <v>24.419166666666669</v>
      </c>
      <c r="D30" s="18">
        <f>'22'!D36</f>
        <v>24.143750000000001</v>
      </c>
      <c r="E30" s="18">
        <f>'22'!E36</f>
        <v>7.4220833333333331</v>
      </c>
      <c r="F30" s="18">
        <f>'22'!F36</f>
        <v>3.6279166666666671</v>
      </c>
      <c r="G30" s="18">
        <f>'22'!G36</f>
        <v>77.692083333333329</v>
      </c>
      <c r="H30" s="18">
        <f>'22'!H36</f>
        <v>38.648333333333333</v>
      </c>
      <c r="I30" s="18">
        <f>'22'!I36</f>
        <v>7.534583333333333</v>
      </c>
      <c r="J30" s="18">
        <f>'22'!J36</f>
        <v>0.82250000000000012</v>
      </c>
      <c r="K30" s="18">
        <f>'22'!K36</f>
        <v>85.991249999999994</v>
      </c>
      <c r="L30" s="18">
        <f>'22'!L36</f>
        <v>20.745833333333334</v>
      </c>
      <c r="M30" s="18">
        <f>'22'!M36</f>
        <v>72.17916666666666</v>
      </c>
      <c r="N30" s="18">
        <f>'22'!N36</f>
        <v>110.12499999999999</v>
      </c>
      <c r="O30" s="18">
        <f>'22'!O36</f>
        <v>0</v>
      </c>
      <c r="P30" s="18">
        <f>'22'!P36</f>
        <v>0.79333333333333333</v>
      </c>
      <c r="Q30" s="18">
        <f>'22'!Q36</f>
        <v>4.9387499999999998</v>
      </c>
      <c r="R30" s="38"/>
      <c r="S30" s="36"/>
      <c r="T30" s="36"/>
      <c r="U30" s="36"/>
    </row>
    <row r="31" spans="1:24" s="2" customFormat="1">
      <c r="A31" s="16">
        <f>'23'!$B$2</f>
        <v>45314.041666666664</v>
      </c>
      <c r="B31" s="18">
        <f>'23'!B36</f>
        <v>17.820833333333336</v>
      </c>
      <c r="C31" s="18">
        <f>'23'!C36</f>
        <v>25.004583333333333</v>
      </c>
      <c r="D31" s="18">
        <f>'23'!D36</f>
        <v>28.619583333333338</v>
      </c>
      <c r="E31" s="18">
        <f>'23'!E36</f>
        <v>6.4183333333333339</v>
      </c>
      <c r="F31" s="18">
        <f>'23'!F36</f>
        <v>3.5079166666666666</v>
      </c>
      <c r="G31" s="18">
        <f>'23'!G36</f>
        <v>67.430833333333325</v>
      </c>
      <c r="H31" s="18">
        <f>'23'!H36</f>
        <v>38.134999999999998</v>
      </c>
      <c r="I31" s="18">
        <f>'23'!I36</f>
        <v>8.9041666666666686</v>
      </c>
      <c r="J31" s="18">
        <f>'23'!J36</f>
        <v>1.1775</v>
      </c>
      <c r="K31" s="18">
        <f>'23'!K36</f>
        <v>86.252083333333317</v>
      </c>
      <c r="L31" s="18">
        <f>'23'!L36</f>
        <v>18.356666666666666</v>
      </c>
      <c r="M31" s="18">
        <f>'23'!M36</f>
        <v>91.717499999999987</v>
      </c>
      <c r="N31" s="18">
        <f>'23'!N36</f>
        <v>35.412500000000001</v>
      </c>
      <c r="O31" s="18">
        <f>'23'!O36</f>
        <v>1.6666666666666666E-2</v>
      </c>
      <c r="P31" s="18">
        <f>'23'!P36</f>
        <v>0.94125000000000003</v>
      </c>
      <c r="Q31" s="18">
        <f>'23'!Q36</f>
        <v>4.9675000000000002</v>
      </c>
      <c r="R31" s="36"/>
      <c r="S31" s="36"/>
      <c r="T31" s="36"/>
      <c r="U31" s="36"/>
    </row>
    <row r="32" spans="1:24" s="2" customFormat="1">
      <c r="A32" s="16">
        <f>'24'!$B$2</f>
        <v>45315.041666666664</v>
      </c>
      <c r="B32" s="18">
        <f>'24'!B36</f>
        <v>25.882916666666659</v>
      </c>
      <c r="C32" s="18">
        <f>'24'!C36</f>
        <v>27.986666666666668</v>
      </c>
      <c r="D32" s="18">
        <f>'24'!D36</f>
        <v>36.524166666666666</v>
      </c>
      <c r="E32" s="18">
        <f>'24'!E36</f>
        <v>7.4483333333333315</v>
      </c>
      <c r="F32" s="18">
        <f>'24'!F36</f>
        <v>3.4658333333333338</v>
      </c>
      <c r="G32" s="18">
        <f>'24'!G36</f>
        <v>78.379166666666663</v>
      </c>
      <c r="H32" s="18">
        <f>'24'!H36</f>
        <v>40.731666666666669</v>
      </c>
      <c r="I32" s="18">
        <f>'24'!I36</f>
        <v>10.249583333333335</v>
      </c>
      <c r="J32" s="18">
        <f>'24'!J36</f>
        <v>0.82999999999999974</v>
      </c>
      <c r="K32" s="18">
        <f>'24'!K36</f>
        <v>135.38833333333332</v>
      </c>
      <c r="L32" s="18">
        <f>'24'!L36</f>
        <v>18.284583333333334</v>
      </c>
      <c r="M32" s="18">
        <f>'24'!M36</f>
        <v>87.332083333333344</v>
      </c>
      <c r="N32" s="18">
        <f>'24'!N36</f>
        <v>89.649999999999977</v>
      </c>
      <c r="O32" s="18">
        <f>'24'!O36</f>
        <v>5.8333333333333327E-2</v>
      </c>
      <c r="P32" s="18">
        <f>'24'!P36</f>
        <v>1.1012499999999998</v>
      </c>
      <c r="Q32" s="18">
        <f>'24'!Q36</f>
        <v>5.0999999999999988</v>
      </c>
      <c r="R32" s="36"/>
      <c r="S32" s="36"/>
      <c r="T32" s="36"/>
      <c r="U32" s="36"/>
    </row>
    <row r="33" spans="1:21" s="2" customFormat="1">
      <c r="A33" s="16">
        <f>'25'!$B$2</f>
        <v>45316.041666666664</v>
      </c>
      <c r="B33" s="18">
        <f>'25'!B36</f>
        <v>24.62166666666667</v>
      </c>
      <c r="C33" s="18">
        <f>'25'!C36</f>
        <v>26.264166666666664</v>
      </c>
      <c r="D33" s="18">
        <f>'25'!D36</f>
        <v>34.600416666666668</v>
      </c>
      <c r="E33" s="18">
        <f>'25'!E36</f>
        <v>6.3583333333333334</v>
      </c>
      <c r="F33" s="18">
        <f>'25'!F36</f>
        <v>3.7212500000000008</v>
      </c>
      <c r="G33" s="18">
        <f>'25'!G36</f>
        <v>70.921666666666653</v>
      </c>
      <c r="H33" s="18">
        <f>'25'!H36</f>
        <v>34.598333333333336</v>
      </c>
      <c r="I33" s="18">
        <f>'25'!I36</f>
        <v>8.9724999999999984</v>
      </c>
      <c r="J33" s="18">
        <f>'25'!J36</f>
        <v>0.9</v>
      </c>
      <c r="K33" s="18">
        <f>'25'!K36</f>
        <v>111.80333333333334</v>
      </c>
      <c r="L33" s="18">
        <f>'25'!L36</f>
        <v>18.841249999999995</v>
      </c>
      <c r="M33" s="18">
        <f>'25'!M36</f>
        <v>74.4375</v>
      </c>
      <c r="N33" s="18">
        <f>'25'!N36</f>
        <v>153.61666666666667</v>
      </c>
      <c r="O33" s="18">
        <f>'25'!O36</f>
        <v>0</v>
      </c>
      <c r="P33" s="18">
        <f>'25'!P36</f>
        <v>0.94083333333333341</v>
      </c>
      <c r="Q33" s="18">
        <f>'25'!Q36</f>
        <v>5.0579166666666664</v>
      </c>
      <c r="R33" s="36"/>
      <c r="S33" s="36"/>
      <c r="T33" s="36"/>
      <c r="U33" s="36"/>
    </row>
    <row r="34" spans="1:21" s="2" customFormat="1">
      <c r="A34" s="16">
        <f>'26'!$B$2</f>
        <v>45317.041666666664</v>
      </c>
      <c r="B34" s="18">
        <f>'26'!B36</f>
        <v>27.902500000000007</v>
      </c>
      <c r="C34" s="18">
        <f>'26'!C36</f>
        <v>29.369583333333335</v>
      </c>
      <c r="D34" s="18">
        <f>'26'!D36</f>
        <v>38.967083333333342</v>
      </c>
      <c r="E34" s="18">
        <f>'26'!E36</f>
        <v>6.2787499999999996</v>
      </c>
      <c r="F34" s="18">
        <f>'26'!F36</f>
        <v>3.912500000000001</v>
      </c>
      <c r="G34" s="18">
        <f>'26'!G36</f>
        <v>77.436249999999987</v>
      </c>
      <c r="H34" s="18">
        <f>'26'!H36</f>
        <v>36.630833333333335</v>
      </c>
      <c r="I34" s="18">
        <f>'26'!I36</f>
        <v>8.4279166666666701</v>
      </c>
      <c r="J34" s="18">
        <f>'26'!J36</f>
        <v>0.58708333333333329</v>
      </c>
      <c r="K34" s="18">
        <f>'26'!K36</f>
        <v>143.84041666666664</v>
      </c>
      <c r="L34" s="18">
        <f>'26'!L36</f>
        <v>18.714583333333334</v>
      </c>
      <c r="M34" s="18">
        <f>'26'!M36</f>
        <v>62.106666666666676</v>
      </c>
      <c r="N34" s="18">
        <f>'26'!N36</f>
        <v>170.51249999999999</v>
      </c>
      <c r="O34" s="18">
        <f>'26'!O36</f>
        <v>0</v>
      </c>
      <c r="P34" s="18">
        <f>'26'!P36</f>
        <v>0.86083333333333334</v>
      </c>
      <c r="Q34" s="18">
        <f>'26'!Q36</f>
        <v>5.097500000000001</v>
      </c>
      <c r="R34" s="36"/>
      <c r="S34" s="36"/>
      <c r="T34" s="36"/>
      <c r="U34" s="36"/>
    </row>
    <row r="35" spans="1:21" s="2" customFormat="1">
      <c r="A35" s="16">
        <f>'27'!$B$2</f>
        <v>45318.041666666664</v>
      </c>
      <c r="B35" s="18">
        <f>'27'!B36</f>
        <v>32.920833333333327</v>
      </c>
      <c r="C35" s="18">
        <f>'27'!C36</f>
        <v>31.974999999999998</v>
      </c>
      <c r="D35" s="18">
        <f>'27'!D36</f>
        <v>44.342083333333342</v>
      </c>
      <c r="E35" s="18">
        <f>'27'!E36</f>
        <v>7.9358333333333348</v>
      </c>
      <c r="F35" s="18">
        <f>'27'!F36</f>
        <v>3.6416666666666662</v>
      </c>
      <c r="G35" s="18">
        <f>'27'!G36</f>
        <v>97.15583333333332</v>
      </c>
      <c r="H35" s="18">
        <f>'27'!H36</f>
        <v>43.284166666666657</v>
      </c>
      <c r="I35" s="18">
        <f>'27'!I36</f>
        <v>10.499999999999998</v>
      </c>
      <c r="J35" s="18">
        <f>'27'!J36</f>
        <v>0.41291666666666665</v>
      </c>
      <c r="K35" s="18">
        <f>'27'!K36</f>
        <v>203.99833333333333</v>
      </c>
      <c r="L35" s="18">
        <f>'27'!L36</f>
        <v>18.703333333333337</v>
      </c>
      <c r="M35" s="18">
        <f>'27'!M36</f>
        <v>66.149166666666659</v>
      </c>
      <c r="N35" s="18">
        <f>'27'!N36</f>
        <v>132.96666666666667</v>
      </c>
      <c r="O35" s="18">
        <f>'27'!O36</f>
        <v>0</v>
      </c>
      <c r="P35" s="18">
        <f>'27'!P36</f>
        <v>1.0395833333333335</v>
      </c>
      <c r="Q35" s="18">
        <f>'27'!Q36</f>
        <v>5.1237500000000002</v>
      </c>
      <c r="R35" s="36"/>
      <c r="S35" s="36"/>
      <c r="T35" s="36"/>
      <c r="U35" s="36"/>
    </row>
    <row r="36" spans="1:21" s="2" customFormat="1">
      <c r="A36" s="16">
        <f>'28'!$B$2</f>
        <v>45319.041666666664</v>
      </c>
      <c r="B36" s="18">
        <f>'28'!B36</f>
        <v>49.766250000000007</v>
      </c>
      <c r="C36" s="18">
        <f>'28'!C36</f>
        <v>33.355833333333337</v>
      </c>
      <c r="D36" s="18">
        <f>'28'!D36</f>
        <v>58.411249999999974</v>
      </c>
      <c r="E36" s="18">
        <f>'28'!E36</f>
        <v>7.6383333333333345</v>
      </c>
      <c r="F36" s="18">
        <f>'28'!F36</f>
        <v>3.7570833333333336</v>
      </c>
      <c r="G36" s="18">
        <f>'28'!G36</f>
        <v>116.72000000000001</v>
      </c>
      <c r="H36" s="18">
        <f>'28'!H36</f>
        <v>52.676666666666677</v>
      </c>
      <c r="I36" s="18">
        <f>'28'!I36</f>
        <v>15.693333333333333</v>
      </c>
      <c r="J36" s="18">
        <f>'28'!J36</f>
        <v>0.36749999999999999</v>
      </c>
      <c r="K36" s="18">
        <f>'28'!K36</f>
        <v>207.36958333333337</v>
      </c>
      <c r="L36" s="18">
        <f>'28'!L36</f>
        <v>19.942500000000003</v>
      </c>
      <c r="M36" s="18">
        <f>'28'!M36</f>
        <v>65.734583333333333</v>
      </c>
      <c r="N36" s="18">
        <f>'28'!N36</f>
        <v>147.25416666666669</v>
      </c>
      <c r="O36" s="18">
        <f>'28'!O36</f>
        <v>0</v>
      </c>
      <c r="P36" s="18">
        <f>'28'!P36</f>
        <v>1.3833333333333331</v>
      </c>
      <c r="Q36" s="18">
        <f>'28'!Q36</f>
        <v>5.2704166666666667</v>
      </c>
      <c r="R36" s="36"/>
      <c r="S36" s="36"/>
      <c r="T36" s="36"/>
      <c r="U36" s="36"/>
    </row>
    <row r="37" spans="1:21" s="2" customFormat="1">
      <c r="A37" s="16">
        <f>'29'!$B$2</f>
        <v>45320.041666666664</v>
      </c>
      <c r="B37" s="18">
        <f>'29'!B36</f>
        <v>21.125000000000007</v>
      </c>
      <c r="C37" s="18">
        <f>'29'!C36</f>
        <v>27.75791666666667</v>
      </c>
      <c r="D37" s="18">
        <f>'29'!D36</f>
        <v>32.593333333333334</v>
      </c>
      <c r="E37" s="18">
        <f>'29'!E36</f>
        <v>6.682083333333332</v>
      </c>
      <c r="F37" s="18">
        <f>'29'!F36</f>
        <v>3.8487499999999994</v>
      </c>
      <c r="G37" s="18">
        <f>'29'!G36</f>
        <v>90.65000000000002</v>
      </c>
      <c r="H37" s="18">
        <f>'29'!H36</f>
        <v>44.225833333333327</v>
      </c>
      <c r="I37" s="18">
        <f>'29'!I36</f>
        <v>12.328333333333333</v>
      </c>
      <c r="J37" s="18">
        <f>'29'!J36</f>
        <v>0.34874999999999995</v>
      </c>
      <c r="K37" s="18">
        <f>'29'!K36</f>
        <v>223.63666666666666</v>
      </c>
      <c r="L37" s="18">
        <f>'29'!L36</f>
        <v>20.353750000000002</v>
      </c>
      <c r="M37" s="18">
        <f>'29'!M36</f>
        <v>69.509166666666673</v>
      </c>
      <c r="N37" s="18">
        <f>'29'!N36</f>
        <v>138.22499999999999</v>
      </c>
      <c r="O37" s="18">
        <f>'29'!O36</f>
        <v>0</v>
      </c>
      <c r="P37" s="18">
        <f>'29'!P36</f>
        <v>1.0320833333333332</v>
      </c>
      <c r="Q37" s="18">
        <f>'29'!Q36</f>
        <v>4.9587499999999993</v>
      </c>
      <c r="R37" s="36"/>
      <c r="S37" s="36"/>
      <c r="T37" s="36"/>
      <c r="U37" s="36"/>
    </row>
    <row r="38" spans="1:21" s="2" customFormat="1">
      <c r="A38" s="16">
        <f>'30'!$B$2</f>
        <v>45321.041666666664</v>
      </c>
      <c r="B38" s="18">
        <f>'30'!B36</f>
        <v>11.980416666666668</v>
      </c>
      <c r="C38" s="18">
        <f>'30'!C36</f>
        <v>23.740833333333338</v>
      </c>
      <c r="D38" s="18">
        <f>'30'!D36</f>
        <v>23.206249999999997</v>
      </c>
      <c r="E38" s="18">
        <f>'30'!E36</f>
        <v>7.6412499999999994</v>
      </c>
      <c r="F38" s="18">
        <f>'30'!F36</f>
        <v>6.069583333333334</v>
      </c>
      <c r="G38" s="18">
        <f>'30'!G36</f>
        <v>69.120434782608697</v>
      </c>
      <c r="H38" s="18">
        <f>'30'!H36</f>
        <v>36.199130434782617</v>
      </c>
      <c r="I38" s="18">
        <f>'30'!I36</f>
        <v>24.484583333333333</v>
      </c>
      <c r="J38" s="18">
        <f>'30'!J36</f>
        <v>0.44750000000000001</v>
      </c>
      <c r="K38" s="18">
        <f>'30'!K36</f>
        <v>235.81375</v>
      </c>
      <c r="L38" s="18">
        <f>'30'!L36</f>
        <v>21.918333333333326</v>
      </c>
      <c r="M38" s="18">
        <f>'30'!M36</f>
        <v>68.790833333333339</v>
      </c>
      <c r="N38" s="18">
        <f>'30'!N36</f>
        <v>132.74583333333334</v>
      </c>
      <c r="O38" s="18">
        <f>'30'!O36</f>
        <v>0</v>
      </c>
      <c r="P38" s="18">
        <f>'30'!P36</f>
        <v>0.86249999999999993</v>
      </c>
      <c r="Q38" s="18">
        <f>'30'!Q36</f>
        <v>4.8404166666666661</v>
      </c>
      <c r="R38" s="36"/>
      <c r="S38" s="36"/>
      <c r="T38" s="36"/>
      <c r="U38" s="36"/>
    </row>
    <row r="39" spans="1:21">
      <c r="A39" s="16">
        <f>'31'!$B$2</f>
        <v>45322.041666666664</v>
      </c>
      <c r="B39" s="18">
        <f>'31'!B36</f>
        <v>11.538750000000002</v>
      </c>
      <c r="C39" s="18">
        <f>'31'!C36</f>
        <v>24.378333333333334</v>
      </c>
      <c r="D39" s="18">
        <f>'31'!D36</f>
        <v>23.209166666666672</v>
      </c>
      <c r="E39" s="18">
        <f>'31'!E36</f>
        <v>7.6616666666666662</v>
      </c>
      <c r="F39" s="18">
        <f>'31'!F36</f>
        <v>4.0545833333333334</v>
      </c>
      <c r="G39" s="18">
        <f>'31'!G36</f>
        <v>84.334583333333356</v>
      </c>
      <c r="H39" s="18">
        <f>'31'!H36</f>
        <v>37.584583333333327</v>
      </c>
      <c r="I39" s="18">
        <f>'31'!I36</f>
        <v>12.181666666666665</v>
      </c>
      <c r="J39" s="18">
        <f>'31'!J36</f>
        <v>0.50416666666666665</v>
      </c>
      <c r="K39" s="18">
        <f>'31'!K36</f>
        <v>218.47166666666661</v>
      </c>
      <c r="L39" s="18">
        <f>'31'!L36</f>
        <v>22.170416666666672</v>
      </c>
      <c r="M39" s="18">
        <f>'31'!M36</f>
        <v>70.931666666666672</v>
      </c>
      <c r="N39" s="18">
        <f>'31'!N36</f>
        <v>107.125</v>
      </c>
      <c r="O39" s="18">
        <f>'31'!O36</f>
        <v>0</v>
      </c>
      <c r="P39" s="18">
        <f>'31'!P36</f>
        <v>0.87333333333333341</v>
      </c>
      <c r="Q39" s="18">
        <f>'31'!Q36</f>
        <v>4.8241666666666667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8.2791666666666668</v>
      </c>
      <c r="C41" s="20">
        <f t="shared" si="0"/>
        <v>21.724999999999994</v>
      </c>
      <c r="D41" s="20">
        <f t="shared" si="0"/>
        <v>19.268750000000001</v>
      </c>
      <c r="E41" s="20">
        <f t="shared" si="0"/>
        <v>6.2787499999999996</v>
      </c>
      <c r="F41" s="20">
        <f t="shared" si="0"/>
        <v>2.6691666666666674</v>
      </c>
      <c r="G41" s="20">
        <f t="shared" si="0"/>
        <v>67.430833333333325</v>
      </c>
      <c r="H41" s="20">
        <f t="shared" si="0"/>
        <v>28.212083333333336</v>
      </c>
      <c r="I41" s="20">
        <f t="shared" si="0"/>
        <v>6.8487500000000017</v>
      </c>
      <c r="J41" s="20">
        <f t="shared" si="0"/>
        <v>0.2091666666666667</v>
      </c>
      <c r="K41" s="20">
        <f t="shared" si="0"/>
        <v>79.429999999999993</v>
      </c>
      <c r="L41" s="20">
        <f t="shared" si="0"/>
        <v>18.284583333333334</v>
      </c>
      <c r="M41" s="20">
        <f t="shared" si="0"/>
        <v>52.62083333333333</v>
      </c>
      <c r="N41" s="20">
        <f t="shared" si="0"/>
        <v>35.412500000000001</v>
      </c>
      <c r="O41" s="20">
        <f t="shared" si="0"/>
        <v>0</v>
      </c>
      <c r="P41" s="20">
        <f t="shared" si="0"/>
        <v>0.66499999999999992</v>
      </c>
      <c r="Q41" s="20">
        <f t="shared" si="0"/>
        <v>4.8404166666666661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49.766250000000007</v>
      </c>
      <c r="C42" s="20">
        <f t="shared" si="1"/>
        <v>33.355833333333337</v>
      </c>
      <c r="D42" s="20">
        <f t="shared" si="1"/>
        <v>58.411249999999974</v>
      </c>
      <c r="E42" s="20">
        <f t="shared" si="1"/>
        <v>9.3125</v>
      </c>
      <c r="F42" s="20">
        <f t="shared" si="1"/>
        <v>6.069583333333334</v>
      </c>
      <c r="G42" s="20">
        <f t="shared" si="1"/>
        <v>116.72000000000001</v>
      </c>
      <c r="H42" s="20">
        <f t="shared" si="1"/>
        <v>59.624166666666675</v>
      </c>
      <c r="I42" s="20">
        <f t="shared" si="1"/>
        <v>24.484583333333333</v>
      </c>
      <c r="J42" s="20">
        <f t="shared" si="1"/>
        <v>1.1775</v>
      </c>
      <c r="K42" s="20">
        <f t="shared" si="1"/>
        <v>246.52916666666667</v>
      </c>
      <c r="L42" s="20">
        <f t="shared" si="1"/>
        <v>23.346666666666668</v>
      </c>
      <c r="M42" s="20">
        <f t="shared" si="1"/>
        <v>91.717499999999987</v>
      </c>
      <c r="N42" s="20">
        <f t="shared" si="1"/>
        <v>170.51249999999999</v>
      </c>
      <c r="O42" s="20">
        <f t="shared" si="1"/>
        <v>0.20833333333333334</v>
      </c>
      <c r="P42" s="20">
        <f t="shared" si="1"/>
        <v>1.3833333333333331</v>
      </c>
      <c r="Q42" s="20">
        <f t="shared" si="1"/>
        <v>5.2704166666666667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19.946597222222223</v>
      </c>
      <c r="C43" s="20">
        <f t="shared" si="2"/>
        <v>26.971097222222223</v>
      </c>
      <c r="D43" s="20">
        <f t="shared" si="2"/>
        <v>31.272375</v>
      </c>
      <c r="E43" s="20">
        <f t="shared" si="2"/>
        <v>7.6089722222222198</v>
      </c>
      <c r="F43" s="20">
        <f t="shared" si="2"/>
        <v>3.6095416666666664</v>
      </c>
      <c r="G43" s="20">
        <f t="shared" si="2"/>
        <v>92.198361714975846</v>
      </c>
      <c r="H43" s="20">
        <f t="shared" si="2"/>
        <v>42.911415458937192</v>
      </c>
      <c r="I43" s="20">
        <f t="shared" si="2"/>
        <v>10.108069444444446</v>
      </c>
      <c r="J43" s="20">
        <f t="shared" si="2"/>
        <v>0.59401388888888895</v>
      </c>
      <c r="K43" s="20">
        <f t="shared" si="2"/>
        <v>159.57654166666663</v>
      </c>
      <c r="L43" s="20">
        <f t="shared" si="2"/>
        <v>20.886694444444444</v>
      </c>
      <c r="M43" s="20">
        <f t="shared" si="2"/>
        <v>72.163027777777785</v>
      </c>
      <c r="N43" s="20">
        <f t="shared" si="2"/>
        <v>97.973611111111097</v>
      </c>
      <c r="O43" s="20">
        <f t="shared" si="2"/>
        <v>9.4444444444444445E-3</v>
      </c>
      <c r="P43" s="20">
        <f t="shared" si="2"/>
        <v>0.92070833333333335</v>
      </c>
      <c r="Q43" s="20">
        <f t="shared" si="2"/>
        <v>5.0051944444444452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8.3371725215886805</v>
      </c>
      <c r="C44" s="20">
        <f t="shared" si="3"/>
        <v>2.4595906060305341</v>
      </c>
      <c r="D44" s="20">
        <f t="shared" si="3"/>
        <v>7.7089307093392696</v>
      </c>
      <c r="E44" s="20">
        <f t="shared" si="3"/>
        <v>0.77952936371590242</v>
      </c>
      <c r="F44" s="20">
        <f t="shared" si="3"/>
        <v>0.64119442009660965</v>
      </c>
      <c r="G44" s="20">
        <f t="shared" si="3"/>
        <v>14.739833409722454</v>
      </c>
      <c r="H44" s="20">
        <f t="shared" si="3"/>
        <v>8.1609635885268084</v>
      </c>
      <c r="I44" s="20">
        <f t="shared" si="3"/>
        <v>3.2415552393521976</v>
      </c>
      <c r="J44" s="20">
        <f t="shared" si="3"/>
        <v>0.25975091874884382</v>
      </c>
      <c r="K44" s="20">
        <f t="shared" si="3"/>
        <v>49.419293466018459</v>
      </c>
      <c r="L44" s="20">
        <f t="shared" si="3"/>
        <v>1.4622569423945635</v>
      </c>
      <c r="M44" s="20">
        <f t="shared" si="3"/>
        <v>8.3546037141198735</v>
      </c>
      <c r="N44" s="20">
        <f t="shared" si="3"/>
        <v>31.806112894362279</v>
      </c>
      <c r="O44" s="20">
        <f t="shared" si="3"/>
        <v>3.9131699561867427E-2</v>
      </c>
      <c r="P44" s="20">
        <f t="shared" si="3"/>
        <v>0.15900380388652072</v>
      </c>
      <c r="Q44" s="20">
        <f t="shared" si="3"/>
        <v>9.3652454574111865E-2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31</v>
      </c>
      <c r="F45" s="6">
        <f t="shared" si="4"/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f t="shared" si="4"/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2024-02-08T14:01:18Z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