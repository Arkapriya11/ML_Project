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4\JANUARY 2024\"/>
    </mc:Choice>
  </mc:AlternateContent>
  <xr:revisionPtr revIDLastSave="0" documentId="13_ncr:1_{672FB9BF-ACF2-4562-9C4B-75CDA2AF233B}" xr6:coauthVersionLast="47" xr6:coauthVersionMax="47" xr10:uidLastSave="{00000000-0000-0000-0000-000000000000}"/>
  <bookViews>
    <workbookView xWindow="-120" yWindow="-120" windowWidth="20730" windowHeight="11040" tabRatio="814" firstSheet="14" activeTab="32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91029"/>
</workbook>
</file>

<file path=xl/calcChain.xml><?xml version="1.0" encoding="utf-8"?>
<calcChain xmlns="http://schemas.openxmlformats.org/spreadsheetml/2006/main">
  <c r="D23" i="5" l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P37" i="39"/>
  <c r="J37" i="39"/>
  <c r="H37" i="39"/>
  <c r="E37" i="39"/>
  <c r="D31" i="39"/>
  <c r="Q30" i="39"/>
  <c r="O30" i="39"/>
  <c r="H30" i="39"/>
  <c r="P21" i="39"/>
  <c r="H21" i="39"/>
  <c r="G20" i="39"/>
  <c r="I112" i="41"/>
  <c r="I111" i="41"/>
  <c r="Q110" i="41"/>
  <c r="Q112" i="41" s="1"/>
  <c r="P110" i="41"/>
  <c r="P112" i="41" s="1"/>
  <c r="O110" i="41"/>
  <c r="O112" i="41" s="1"/>
  <c r="N110" i="41"/>
  <c r="N112" i="41" s="1"/>
  <c r="M110" i="41"/>
  <c r="M112" i="41" s="1"/>
  <c r="L110" i="41"/>
  <c r="L112" i="41" s="1"/>
  <c r="K110" i="41"/>
  <c r="K112" i="41" s="1"/>
  <c r="J110" i="41"/>
  <c r="J112" i="41" s="1"/>
  <c r="I110" i="41"/>
  <c r="H110" i="41"/>
  <c r="H112" i="41" s="1"/>
  <c r="G110" i="41"/>
  <c r="G112" i="41" s="1"/>
  <c r="F110" i="41"/>
  <c r="F112" i="41" s="1"/>
  <c r="E110" i="41"/>
  <c r="E112" i="41" s="1"/>
  <c r="D110" i="41"/>
  <c r="D112" i="41" s="1"/>
  <c r="C110" i="41"/>
  <c r="C112" i="41" s="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Q39" i="39" s="1"/>
  <c r="P108" i="41"/>
  <c r="P39" i="39" s="1"/>
  <c r="O108" i="41"/>
  <c r="O39" i="39" s="1"/>
  <c r="N108" i="41"/>
  <c r="N39" i="39" s="1"/>
  <c r="M108" i="41"/>
  <c r="M39" i="39" s="1"/>
  <c r="L108" i="41"/>
  <c r="L39" i="39" s="1"/>
  <c r="K108" i="41"/>
  <c r="K39" i="39" s="1"/>
  <c r="J108" i="41"/>
  <c r="J39" i="39" s="1"/>
  <c r="I108" i="41"/>
  <c r="I39" i="39" s="1"/>
  <c r="H108" i="41"/>
  <c r="H39" i="39" s="1"/>
  <c r="G108" i="41"/>
  <c r="G39" i="39" s="1"/>
  <c r="F108" i="41"/>
  <c r="F39" i="39" s="1"/>
  <c r="E108" i="41"/>
  <c r="E39" i="39" s="1"/>
  <c r="D108" i="41"/>
  <c r="D39" i="39" s="1"/>
  <c r="C108" i="41"/>
  <c r="C39" i="39" s="1"/>
  <c r="B108" i="41"/>
  <c r="B39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9" i="39" s="1"/>
  <c r="Q112" i="40"/>
  <c r="P112" i="40"/>
  <c r="O112" i="40"/>
  <c r="N112" i="40"/>
  <c r="M112" i="40"/>
  <c r="L112" i="40"/>
  <c r="K112" i="40"/>
  <c r="J112" i="40"/>
  <c r="I111" i="40"/>
  <c r="H112" i="40"/>
  <c r="G112" i="40"/>
  <c r="F112" i="40"/>
  <c r="E112" i="40"/>
  <c r="D112" i="40"/>
  <c r="C112" i="40"/>
  <c r="B112" i="40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I108" i="44"/>
  <c r="I37" i="39" s="1"/>
  <c r="H108" i="44"/>
  <c r="G108" i="44"/>
  <c r="G37" i="39" s="1"/>
  <c r="F108" i="44"/>
  <c r="F37" i="39" s="1"/>
  <c r="E108" i="44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2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Q110" i="32"/>
  <c r="Q112" i="32" s="1"/>
  <c r="P110" i="32"/>
  <c r="P112" i="32" s="1"/>
  <c r="O110" i="32"/>
  <c r="O112" i="32" s="1"/>
  <c r="N110" i="32"/>
  <c r="N112" i="32" s="1"/>
  <c r="M110" i="32"/>
  <c r="M112" i="32" s="1"/>
  <c r="L110" i="32"/>
  <c r="L112" i="32" s="1"/>
  <c r="K110" i="32"/>
  <c r="K112" i="32" s="1"/>
  <c r="J110" i="32"/>
  <c r="J112" i="32" s="1"/>
  <c r="I110" i="32"/>
  <c r="I112" i="32" s="1"/>
  <c r="H110" i="32"/>
  <c r="H112" i="32" s="1"/>
  <c r="G110" i="32"/>
  <c r="G112" i="32" s="1"/>
  <c r="F110" i="32"/>
  <c r="F112" i="32" s="1"/>
  <c r="E110" i="32"/>
  <c r="E112" i="32" s="1"/>
  <c r="D110" i="32"/>
  <c r="D112" i="32" s="1"/>
  <c r="C110" i="32"/>
  <c r="C112" i="32" s="1"/>
  <c r="B110" i="32"/>
  <c r="B112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L112" i="31" s="1"/>
  <c r="K110" i="31"/>
  <c r="K112" i="31" s="1"/>
  <c r="J110" i="31"/>
  <c r="J112" i="31" s="1"/>
  <c r="I110" i="31"/>
  <c r="I112" i="31" s="1"/>
  <c r="H110" i="31"/>
  <c r="H112" i="31" s="1"/>
  <c r="G110" i="31"/>
  <c r="G111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1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1" i="29" s="1"/>
  <c r="E110" i="29"/>
  <c r="E112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0" i="28"/>
  <c r="N112" i="28" s="1"/>
  <c r="M110" i="28"/>
  <c r="M112" i="28" s="1"/>
  <c r="L110" i="28"/>
  <c r="L112" i="28" s="1"/>
  <c r="K110" i="28"/>
  <c r="K112" i="28" s="1"/>
  <c r="J110" i="28"/>
  <c r="J112" i="28" s="1"/>
  <c r="I110" i="28"/>
  <c r="I112" i="28" s="1"/>
  <c r="H110" i="28"/>
  <c r="H112" i="28" s="1"/>
  <c r="G110" i="28"/>
  <c r="G112" i="28" s="1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0" i="27"/>
  <c r="N112" i="27" s="1"/>
  <c r="M110" i="27"/>
  <c r="M112" i="27" s="1"/>
  <c r="L110" i="27"/>
  <c r="L112" i="27" s="1"/>
  <c r="K110" i="27"/>
  <c r="K112" i="27" s="1"/>
  <c r="J110" i="27"/>
  <c r="J112" i="27" s="1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P108" i="27"/>
  <c r="P30" i="39" s="1"/>
  <c r="O108" i="27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0" i="26"/>
  <c r="Q112" i="26" s="1"/>
  <c r="P110" i="26"/>
  <c r="P112" i="26" s="1"/>
  <c r="O110" i="26"/>
  <c r="O112" i="26" s="1"/>
  <c r="N110" i="26"/>
  <c r="N112" i="26" s="1"/>
  <c r="M110" i="26"/>
  <c r="M112" i="26" s="1"/>
  <c r="L110" i="26"/>
  <c r="L112" i="26" s="1"/>
  <c r="K110" i="26"/>
  <c r="K112" i="26" s="1"/>
  <c r="J110" i="26"/>
  <c r="J112" i="26" s="1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1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10" i="25"/>
  <c r="Q112" i="25" s="1"/>
  <c r="P110" i="25"/>
  <c r="P112" i="25" s="1"/>
  <c r="O110" i="25"/>
  <c r="O112" i="25" s="1"/>
  <c r="N110" i="25"/>
  <c r="N112" i="25" s="1"/>
  <c r="M110" i="25"/>
  <c r="M112" i="25" s="1"/>
  <c r="L110" i="25"/>
  <c r="L112" i="25" s="1"/>
  <c r="K110" i="25"/>
  <c r="K112" i="25" s="1"/>
  <c r="J110" i="25"/>
  <c r="J112" i="25" s="1"/>
  <c r="I110" i="25"/>
  <c r="I112" i="25" s="1"/>
  <c r="H110" i="25"/>
  <c r="H112" i="25" s="1"/>
  <c r="G110" i="25"/>
  <c r="G112" i="25" s="1"/>
  <c r="F110" i="25"/>
  <c r="F112" i="25" s="1"/>
  <c r="E110" i="25"/>
  <c r="E112" i="25" s="1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2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1" i="22" s="1"/>
  <c r="L110" i="22"/>
  <c r="L112" i="22" s="1"/>
  <c r="K110" i="22"/>
  <c r="K112" i="22" s="1"/>
  <c r="J110" i="22"/>
  <c r="J112" i="22" s="1"/>
  <c r="I110" i="22"/>
  <c r="I112" i="22" s="1"/>
  <c r="H110" i="22"/>
  <c r="H112" i="22" s="1"/>
  <c r="G110" i="22"/>
  <c r="G112" i="22" s="1"/>
  <c r="F110" i="22"/>
  <c r="F112" i="22" s="1"/>
  <c r="E110" i="22"/>
  <c r="E112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2" i="20" s="1"/>
  <c r="N110" i="20"/>
  <c r="N112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1" i="20" s="1"/>
  <c r="F110" i="20"/>
  <c r="F111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H110" i="19"/>
  <c r="H112" i="19" s="1"/>
  <c r="G110" i="19"/>
  <c r="G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0" i="18"/>
  <c r="H112" i="18" s="1"/>
  <c r="G110" i="18"/>
  <c r="G112" i="18" s="1"/>
  <c r="F110" i="18"/>
  <c r="F112" i="18" s="1"/>
  <c r="E110" i="18"/>
  <c r="E112" i="18" s="1"/>
  <c r="D110" i="18"/>
  <c r="D112" i="18" s="1"/>
  <c r="C110" i="18"/>
  <c r="C111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2" i="17" s="1"/>
  <c r="I110" i="17"/>
  <c r="I112" i="17" s="1"/>
  <c r="H110" i="17"/>
  <c r="H112" i="17" s="1"/>
  <c r="G110" i="17"/>
  <c r="G112" i="17" s="1"/>
  <c r="F110" i="17"/>
  <c r="F112" i="17" s="1"/>
  <c r="E110" i="17"/>
  <c r="E111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2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Q110" i="15"/>
  <c r="Q112" i="15" s="1"/>
  <c r="P110" i="15"/>
  <c r="P112" i="15" s="1"/>
  <c r="O110" i="15"/>
  <c r="O112" i="15" s="1"/>
  <c r="N110" i="15"/>
  <c r="N112" i="15" s="1"/>
  <c r="M110" i="15"/>
  <c r="M112" i="15" s="1"/>
  <c r="L110" i="15"/>
  <c r="L112" i="15" s="1"/>
  <c r="K110" i="15"/>
  <c r="K112" i="15" s="1"/>
  <c r="J110" i="15"/>
  <c r="J112" i="15" s="1"/>
  <c r="I110" i="15"/>
  <c r="I112" i="15" s="1"/>
  <c r="H110" i="15"/>
  <c r="H112" i="15" s="1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2" i="14" s="1"/>
  <c r="N110" i="14"/>
  <c r="N112" i="14" s="1"/>
  <c r="M110" i="14"/>
  <c r="M112" i="14" s="1"/>
  <c r="L110" i="14"/>
  <c r="L112" i="14" s="1"/>
  <c r="K110" i="14"/>
  <c r="K111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2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2" i="13" s="1"/>
  <c r="N110" i="13"/>
  <c r="N112" i="13" s="1"/>
  <c r="M110" i="13"/>
  <c r="M112" i="13" s="1"/>
  <c r="L110" i="13"/>
  <c r="L111" i="13" s="1"/>
  <c r="K110" i="13"/>
  <c r="K112" i="13" s="1"/>
  <c r="J110" i="13"/>
  <c r="J112" i="13" s="1"/>
  <c r="I110" i="13"/>
  <c r="I112" i="13" s="1"/>
  <c r="H110" i="13"/>
  <c r="H111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2" i="12" s="1"/>
  <c r="O110" i="12"/>
  <c r="O112" i="12" s="1"/>
  <c r="N110" i="12"/>
  <c r="N112" i="12" s="1"/>
  <c r="M110" i="12"/>
  <c r="M111" i="12" s="1"/>
  <c r="L110" i="12"/>
  <c r="L111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2" i="11"/>
  <c r="P112" i="11"/>
  <c r="O112" i="11"/>
  <c r="N111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1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1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2" i="8" s="1"/>
  <c r="E110" i="8"/>
  <c r="E112" i="8" s="1"/>
  <c r="D110" i="8"/>
  <c r="D112" i="8" s="1"/>
  <c r="C110" i="8"/>
  <c r="C112" i="8" s="1"/>
  <c r="B110" i="8"/>
  <c r="B112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1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2" i="3" s="1"/>
  <c r="D110" i="3"/>
  <c r="D112" i="3" s="1"/>
  <c r="C110" i="3"/>
  <c r="C112" i="3" s="1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D44" i="5" l="1"/>
  <c r="M112" i="12"/>
  <c r="J111" i="15"/>
  <c r="F111" i="30"/>
  <c r="G111" i="41"/>
  <c r="F111" i="41"/>
  <c r="E111" i="41"/>
  <c r="D111" i="41"/>
  <c r="C111" i="41"/>
  <c r="B111" i="41"/>
  <c r="Q111" i="41"/>
  <c r="P111" i="41"/>
  <c r="O111" i="41"/>
  <c r="N111" i="41"/>
  <c r="H111" i="41"/>
  <c r="M111" i="41"/>
  <c r="L111" i="41"/>
  <c r="K111" i="41"/>
  <c r="J111" i="41"/>
  <c r="H111" i="40"/>
  <c r="G111" i="40"/>
  <c r="F111" i="40"/>
  <c r="E111" i="40"/>
  <c r="D111" i="40"/>
  <c r="C111" i="40"/>
  <c r="B111" i="40"/>
  <c r="Q111" i="40"/>
  <c r="P111" i="40"/>
  <c r="O111" i="40"/>
  <c r="N111" i="40"/>
  <c r="I112" i="40"/>
  <c r="M111" i="40"/>
  <c r="L111" i="40"/>
  <c r="K111" i="40"/>
  <c r="J111" i="40"/>
  <c r="E111" i="44"/>
  <c r="D111" i="44"/>
  <c r="C111" i="44"/>
  <c r="B111" i="44"/>
  <c r="Q111" i="44"/>
  <c r="F111" i="44"/>
  <c r="P111" i="44"/>
  <c r="O111" i="44"/>
  <c r="N111" i="44"/>
  <c r="M111" i="44"/>
  <c r="L111" i="44"/>
  <c r="K111" i="44"/>
  <c r="J111" i="44"/>
  <c r="I111" i="44"/>
  <c r="H111" i="44"/>
  <c r="G111" i="44"/>
  <c r="F111" i="33"/>
  <c r="E111" i="33"/>
  <c r="D111" i="33"/>
  <c r="C111" i="33"/>
  <c r="B111" i="33"/>
  <c r="Q111" i="33"/>
  <c r="P111" i="33"/>
  <c r="O111" i="33"/>
  <c r="N111" i="33"/>
  <c r="M111" i="33"/>
  <c r="L111" i="33"/>
  <c r="K111" i="33"/>
  <c r="J111" i="33"/>
  <c r="I111" i="33"/>
  <c r="H111" i="33"/>
  <c r="G111" i="33"/>
  <c r="E111" i="32"/>
  <c r="D111" i="32"/>
  <c r="C111" i="32"/>
  <c r="B111" i="32"/>
  <c r="Q111" i="32"/>
  <c r="F111" i="32"/>
  <c r="P111" i="32"/>
  <c r="O111" i="32"/>
  <c r="N111" i="32"/>
  <c r="M111" i="32"/>
  <c r="L111" i="32"/>
  <c r="K111" i="32"/>
  <c r="J111" i="32"/>
  <c r="I111" i="32"/>
  <c r="H111" i="32"/>
  <c r="G111" i="32"/>
  <c r="F111" i="31"/>
  <c r="G112" i="31"/>
  <c r="E111" i="31"/>
  <c r="D111" i="31"/>
  <c r="C111" i="31"/>
  <c r="B111" i="31"/>
  <c r="Q111" i="31"/>
  <c r="P111" i="31"/>
  <c r="O111" i="31"/>
  <c r="N111" i="31"/>
  <c r="M111" i="31"/>
  <c r="L111" i="31"/>
  <c r="K111" i="31"/>
  <c r="J111" i="31"/>
  <c r="I111" i="31"/>
  <c r="H111" i="31"/>
  <c r="E111" i="30"/>
  <c r="D111" i="30"/>
  <c r="C111" i="30"/>
  <c r="B111" i="30"/>
  <c r="Q111" i="30"/>
  <c r="G112" i="30"/>
  <c r="P111" i="30"/>
  <c r="O111" i="30"/>
  <c r="N111" i="30"/>
  <c r="M111" i="30"/>
  <c r="L111" i="30"/>
  <c r="K111" i="30"/>
  <c r="J111" i="30"/>
  <c r="I111" i="30"/>
  <c r="H111" i="30"/>
  <c r="E111" i="29"/>
  <c r="D111" i="29"/>
  <c r="C111" i="29"/>
  <c r="B111" i="29"/>
  <c r="F112" i="29"/>
  <c r="Q111" i="29"/>
  <c r="P111" i="29"/>
  <c r="O111" i="29"/>
  <c r="N111" i="29"/>
  <c r="M111" i="29"/>
  <c r="G111" i="29"/>
  <c r="L111" i="29"/>
  <c r="K111" i="29"/>
  <c r="J111" i="29"/>
  <c r="I111" i="29"/>
  <c r="H111" i="29"/>
  <c r="D111" i="28"/>
  <c r="E111" i="28"/>
  <c r="C111" i="28"/>
  <c r="B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D111" i="27"/>
  <c r="C111" i="27"/>
  <c r="B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2" i="26"/>
  <c r="B111" i="26"/>
  <c r="Q111" i="26"/>
  <c r="P111" i="26"/>
  <c r="O111" i="26"/>
  <c r="N111" i="26"/>
  <c r="C111" i="26"/>
  <c r="M111" i="26"/>
  <c r="L111" i="26"/>
  <c r="K111" i="26"/>
  <c r="J111" i="26"/>
  <c r="I111" i="26"/>
  <c r="H111" i="26"/>
  <c r="G111" i="26"/>
  <c r="F111" i="26"/>
  <c r="E111" i="26"/>
  <c r="D111" i="25"/>
  <c r="C111" i="25"/>
  <c r="B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4"/>
  <c r="C111" i="24"/>
  <c r="B111" i="24"/>
  <c r="E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F111" i="23"/>
  <c r="E111" i="23"/>
  <c r="D111" i="23"/>
  <c r="C111" i="23"/>
  <c r="B111" i="23"/>
  <c r="Q111" i="23"/>
  <c r="P111" i="23"/>
  <c r="O111" i="23"/>
  <c r="N111" i="23"/>
  <c r="M111" i="23"/>
  <c r="L111" i="23"/>
  <c r="K111" i="23"/>
  <c r="J111" i="23"/>
  <c r="I111" i="23"/>
  <c r="H111" i="23"/>
  <c r="G111" i="23"/>
  <c r="G111" i="22"/>
  <c r="F111" i="22"/>
  <c r="E111" i="22"/>
  <c r="D111" i="22"/>
  <c r="C111" i="22"/>
  <c r="B111" i="22"/>
  <c r="Q111" i="22"/>
  <c r="P111" i="22"/>
  <c r="O111" i="22"/>
  <c r="N111" i="22"/>
  <c r="M112" i="22"/>
  <c r="L111" i="22"/>
  <c r="J111" i="22"/>
  <c r="K111" i="22"/>
  <c r="I111" i="22"/>
  <c r="H111" i="22"/>
  <c r="I111" i="21"/>
  <c r="H111" i="21"/>
  <c r="G111" i="21"/>
  <c r="F111" i="21"/>
  <c r="E111" i="21"/>
  <c r="D111" i="21"/>
  <c r="C111" i="21"/>
  <c r="B111" i="21"/>
  <c r="Q111" i="21"/>
  <c r="P111" i="21"/>
  <c r="O111" i="21"/>
  <c r="N111" i="21"/>
  <c r="M111" i="21"/>
  <c r="L111" i="21"/>
  <c r="K111" i="21"/>
  <c r="J111" i="21"/>
  <c r="E111" i="20"/>
  <c r="D111" i="20"/>
  <c r="C111" i="20"/>
  <c r="B111" i="20"/>
  <c r="G112" i="20"/>
  <c r="Q111" i="20"/>
  <c r="P111" i="20"/>
  <c r="F112" i="20"/>
  <c r="O111" i="20"/>
  <c r="N111" i="20"/>
  <c r="M111" i="20"/>
  <c r="L111" i="20"/>
  <c r="K111" i="20"/>
  <c r="J111" i="20"/>
  <c r="I111" i="20"/>
  <c r="H111" i="20"/>
  <c r="G111" i="19"/>
  <c r="E111" i="19"/>
  <c r="D111" i="19"/>
  <c r="C111" i="19"/>
  <c r="B111" i="19"/>
  <c r="Q111" i="19"/>
  <c r="P111" i="19"/>
  <c r="O111" i="19"/>
  <c r="N111" i="19"/>
  <c r="M111" i="19"/>
  <c r="F111" i="19"/>
  <c r="L111" i="19"/>
  <c r="K111" i="19"/>
  <c r="J111" i="19"/>
  <c r="I111" i="19"/>
  <c r="H111" i="19"/>
  <c r="E111" i="18"/>
  <c r="D111" i="18"/>
  <c r="C112" i="18"/>
  <c r="B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C111" i="17"/>
  <c r="B111" i="17"/>
  <c r="E112" i="17"/>
  <c r="Q111" i="17"/>
  <c r="P111" i="17"/>
  <c r="O111" i="17"/>
  <c r="N111" i="17"/>
  <c r="M111" i="17"/>
  <c r="L111" i="17"/>
  <c r="K111" i="17"/>
  <c r="J111" i="17"/>
  <c r="I111" i="17"/>
  <c r="H111" i="17"/>
  <c r="D111" i="17"/>
  <c r="G111" i="17"/>
  <c r="F111" i="17"/>
  <c r="G111" i="16"/>
  <c r="F111" i="16"/>
  <c r="E111" i="16"/>
  <c r="D111" i="16"/>
  <c r="C111" i="16"/>
  <c r="B111" i="16"/>
  <c r="Q111" i="16"/>
  <c r="P111" i="16"/>
  <c r="O111" i="16"/>
  <c r="N111" i="16"/>
  <c r="M111" i="16"/>
  <c r="L111" i="16"/>
  <c r="K111" i="16"/>
  <c r="J111" i="16"/>
  <c r="I111" i="16"/>
  <c r="H111" i="16"/>
  <c r="I111" i="15"/>
  <c r="H111" i="15"/>
  <c r="G111" i="15"/>
  <c r="F111" i="15"/>
  <c r="E111" i="15"/>
  <c r="D111" i="15"/>
  <c r="C111" i="15"/>
  <c r="B111" i="15"/>
  <c r="Q111" i="15"/>
  <c r="P111" i="15"/>
  <c r="O111" i="15"/>
  <c r="N111" i="15"/>
  <c r="M111" i="15"/>
  <c r="L111" i="15"/>
  <c r="K111" i="15"/>
  <c r="K112" i="14"/>
  <c r="J111" i="14"/>
  <c r="I111" i="14"/>
  <c r="G111" i="14"/>
  <c r="F111" i="14"/>
  <c r="E111" i="14"/>
  <c r="L111" i="14"/>
  <c r="D111" i="14"/>
  <c r="H111" i="14"/>
  <c r="C111" i="14"/>
  <c r="B111" i="14"/>
  <c r="Q111" i="14"/>
  <c r="P111" i="14"/>
  <c r="O111" i="14"/>
  <c r="N111" i="14"/>
  <c r="M111" i="14"/>
  <c r="K111" i="13"/>
  <c r="J111" i="13"/>
  <c r="I111" i="13"/>
  <c r="G111" i="13"/>
  <c r="F111" i="13"/>
  <c r="H112" i="13"/>
  <c r="E111" i="13"/>
  <c r="D111" i="13"/>
  <c r="C111" i="13"/>
  <c r="B111" i="13"/>
  <c r="Q111" i="13"/>
  <c r="P111" i="13"/>
  <c r="L112" i="13"/>
  <c r="O111" i="13"/>
  <c r="N111" i="13"/>
  <c r="M111" i="13"/>
  <c r="L112" i="12"/>
  <c r="K111" i="12"/>
  <c r="J111" i="12"/>
  <c r="I111" i="12"/>
  <c r="H111" i="12"/>
  <c r="G111" i="12"/>
  <c r="F111" i="12"/>
  <c r="E111" i="12"/>
  <c r="D111" i="12"/>
  <c r="C111" i="12"/>
  <c r="B111" i="12"/>
  <c r="Q111" i="12"/>
  <c r="P111" i="12"/>
  <c r="O111" i="12"/>
  <c r="N111" i="12"/>
  <c r="N112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Q111" i="11"/>
  <c r="P111" i="11"/>
  <c r="O111" i="11"/>
  <c r="O111" i="10"/>
  <c r="N111" i="10"/>
  <c r="M111" i="10"/>
  <c r="L111" i="10"/>
  <c r="K111" i="10"/>
  <c r="P112" i="10"/>
  <c r="J111" i="10"/>
  <c r="I111" i="10"/>
  <c r="H111" i="10"/>
  <c r="G111" i="10"/>
  <c r="F111" i="10"/>
  <c r="E111" i="10"/>
  <c r="D111" i="10"/>
  <c r="C111" i="10"/>
  <c r="B111" i="10"/>
  <c r="Q111" i="10"/>
  <c r="P112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Q111" i="9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O111" i="3"/>
  <c r="N111" i="3"/>
  <c r="M111" i="3"/>
  <c r="L111" i="3"/>
  <c r="K111" i="3"/>
  <c r="Q112" i="3"/>
  <c r="J111" i="3"/>
  <c r="I111" i="3"/>
  <c r="H111" i="3"/>
  <c r="G111" i="3"/>
  <c r="F111" i="3"/>
  <c r="E111" i="3"/>
  <c r="P111" i="3"/>
  <c r="D111" i="3"/>
  <c r="C111" i="3"/>
  <c r="B111" i="3"/>
  <c r="Q45" i="39"/>
  <c r="Q44" i="39"/>
  <c r="Q43" i="39"/>
  <c r="Q42" i="39"/>
  <c r="Q41" i="39"/>
  <c r="P45" i="39"/>
  <c r="P44" i="39"/>
  <c r="P43" i="39"/>
  <c r="P42" i="39"/>
  <c r="P41" i="39"/>
  <c r="O45" i="39"/>
  <c r="O44" i="39"/>
  <c r="O43" i="39"/>
  <c r="O42" i="39"/>
  <c r="O41" i="39"/>
  <c r="N45" i="39"/>
  <c r="N44" i="39"/>
  <c r="N43" i="39"/>
  <c r="N42" i="39"/>
  <c r="N41" i="39"/>
  <c r="M45" i="39"/>
  <c r="M44" i="39"/>
  <c r="M43" i="39"/>
  <c r="M42" i="39"/>
  <c r="M41" i="39"/>
  <c r="L45" i="39"/>
  <c r="L44" i="39"/>
  <c r="L43" i="39"/>
  <c r="L42" i="39"/>
  <c r="L41" i="39"/>
  <c r="K45" i="39"/>
  <c r="K44" i="39"/>
  <c r="K43" i="39"/>
  <c r="K42" i="39"/>
  <c r="K41" i="39"/>
  <c r="I45" i="39"/>
  <c r="I44" i="39"/>
  <c r="I43" i="39"/>
  <c r="I42" i="39"/>
  <c r="I41" i="39"/>
  <c r="B45" i="39"/>
  <c r="B44" i="39"/>
  <c r="B43" i="39"/>
  <c r="B42" i="39"/>
  <c r="B41" i="39"/>
  <c r="H45" i="39"/>
  <c r="H44" i="39"/>
  <c r="H43" i="39"/>
  <c r="H42" i="39"/>
  <c r="H41" i="39"/>
  <c r="G43" i="39"/>
  <c r="G42" i="39"/>
  <c r="G45" i="39"/>
  <c r="G44" i="39"/>
  <c r="G41" i="39"/>
  <c r="J45" i="39"/>
  <c r="J44" i="39"/>
  <c r="J43" i="39"/>
  <c r="J42" i="39"/>
  <c r="J41" i="39"/>
  <c r="F45" i="39"/>
  <c r="F44" i="39"/>
  <c r="F43" i="39"/>
  <c r="F42" i="39"/>
  <c r="F41" i="39"/>
  <c r="E45" i="39"/>
  <c r="E44" i="39"/>
  <c r="E43" i="39"/>
  <c r="E42" i="39"/>
  <c r="E41" i="39"/>
  <c r="D45" i="39"/>
  <c r="D44" i="39"/>
  <c r="D43" i="39"/>
  <c r="D42" i="39"/>
  <c r="D41" i="39"/>
  <c r="C45" i="39"/>
  <c r="C44" i="39"/>
  <c r="C43" i="39"/>
  <c r="C42" i="39"/>
  <c r="C41" i="39"/>
  <c r="E111" i="2"/>
  <c r="D111" i="2"/>
  <c r="C111" i="2"/>
  <c r="B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Q47" i="39" l="1"/>
  <c r="Q46" i="39"/>
  <c r="G47" i="39"/>
  <c r="G46" i="39"/>
  <c r="M47" i="39"/>
  <c r="M46" i="39"/>
  <c r="P47" i="39"/>
  <c r="P46" i="39"/>
  <c r="J47" i="39"/>
  <c r="J46" i="39"/>
  <c r="I47" i="39"/>
  <c r="I46" i="39"/>
  <c r="B47" i="39"/>
  <c r="B46" i="39"/>
  <c r="L47" i="39"/>
  <c r="L46" i="39"/>
  <c r="C47" i="39"/>
  <c r="C46" i="39"/>
  <c r="N47" i="39"/>
  <c r="N46" i="39"/>
  <c r="E47" i="39"/>
  <c r="E46" i="39"/>
  <c r="O47" i="39"/>
  <c r="O46" i="39"/>
  <c r="F47" i="39"/>
  <c r="F46" i="39"/>
  <c r="D47" i="39"/>
  <c r="D46" i="39"/>
  <c r="H47" i="39"/>
  <c r="H46" i="39"/>
  <c r="K47" i="39"/>
  <c r="K46" i="39"/>
</calcChain>
</file>

<file path=xl/sharedStrings.xml><?xml version="1.0" encoding="utf-8"?>
<sst xmlns="http://schemas.openxmlformats.org/spreadsheetml/2006/main" count="4366" uniqueCount="1679">
  <si>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</si>
  <si>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</si>
  <si>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</si>
  <si>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</si>
  <si>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</si>
  <si>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</si>
  <si>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</si>
  <si>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</si>
  <si>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</si>
  <si>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</si>
  <si>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</si>
  <si>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</si>
  <si>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</si>
  <si>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</si>
  <si>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</si>
  <si>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</si>
  <si>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</si>
  <si>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</si>
  <si>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</si>
  <si>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</si>
  <si>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</si>
  <si>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</si>
  <si>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</si>
  <si>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</si>
  <si>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</si>
  <si>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</si>
  <si>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</si>
  <si>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</si>
  <si>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</si>
  <si>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</si>
  <si>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</si>
  <si>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</si>
  <si>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</si>
  <si>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</si>
  <si>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</si>
  <si>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</si>
  <si>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</si>
  <si>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</si>
  <si>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</si>
  <si>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</si>
  <si>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</si>
  <si>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</si>
  <si>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</si>
  <si>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</si>
  <si>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</si>
  <si>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</si>
  <si>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</si>
  <si>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</si>
  <si>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</si>
  <si>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</si>
  <si>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</si>
  <si>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</si>
  <si>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</si>
  <si>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</si>
  <si>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</si>
  <si>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</si>
  <si>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</si>
  <si>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</si>
  <si>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</si>
  <si>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</si>
  <si>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</si>
  <si>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</si>
  <si>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</si>
  <si>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</si>
  <si>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</si>
  <si>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</si>
  <si>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</si>
  <si>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</si>
  <si>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</si>
  <si>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</si>
  <si>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</si>
  <si>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</si>
  <si>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</si>
  <si>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</si>
  <si>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</si>
  <si>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</si>
  <si>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</si>
  <si>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</si>
  <si>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</si>
  <si>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</si>
  <si>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</si>
  <si>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</si>
  <si>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</si>
  <si>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</si>
  <si>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</si>
  <si>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</si>
  <si>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</si>
  <si>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</si>
  <si>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</si>
  <si>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</si>
  <si>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</si>
  <si>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</si>
  <si>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</si>
  <si>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</si>
  <si>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</si>
  <si>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</si>
  <si>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</si>
  <si>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</si>
  <si>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</si>
  <si>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</si>
  <si>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</si>
  <si>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</si>
  <si>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</si>
  <si>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</si>
  <si>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</si>
  <si>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</si>
  <si>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</si>
  <si>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</si>
  <si>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</si>
  <si>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</si>
  <si>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</si>
  <si>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</si>
  <si>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</si>
  <si>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</si>
  <si>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</si>
  <si>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</si>
  <si>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</si>
  <si>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</si>
  <si>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</si>
  <si>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</si>
  <si>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</si>
  <si>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</si>
  <si>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</si>
  <si>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</si>
  <si>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</si>
  <si>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</si>
  <si>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</si>
  <si>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</si>
  <si>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</si>
  <si>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</si>
  <si>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</si>
  <si>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</si>
  <si>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</si>
  <si>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</si>
  <si>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</si>
  <si>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</si>
  <si>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</si>
  <si>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</si>
  <si>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</si>
  <si>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</si>
  <si>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</si>
  <si>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</si>
  <si>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</si>
  <si>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</si>
  <si>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</si>
  <si>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</si>
  <si>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</si>
  <si>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</si>
  <si>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</si>
  <si>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</si>
  <si>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</si>
  <si>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</si>
  <si>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</si>
  <si>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</si>
  <si>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</si>
  <si>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</si>
  <si>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</si>
  <si>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</si>
  <si>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</si>
  <si>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</si>
  <si>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</si>
  <si>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</si>
  <si>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</si>
  <si>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</si>
  <si>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</si>
  <si>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</si>
  <si>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</si>
  <si>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</si>
  <si>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</si>
  <si>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</si>
  <si>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</si>
  <si>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</si>
  <si>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</si>
  <si>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</si>
  <si>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</si>
  <si>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</si>
  <si>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</si>
  <si>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</si>
  <si>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</si>
  <si>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</si>
  <si>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</si>
  <si>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</si>
  <si>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</si>
  <si>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</si>
  <si>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</si>
  <si>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</si>
  <si>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</si>
  <si>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</si>
  <si>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</si>
  <si>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</si>
  <si>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</si>
  <si>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</si>
  <si>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</si>
  <si>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</si>
  <si>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</si>
  <si>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</si>
  <si>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</si>
  <si>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</si>
  <si>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</si>
  <si>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</si>
  <si>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</si>
  <si>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</si>
  <si>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</si>
  <si>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</si>
  <si>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</si>
  <si>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</si>
  <si>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</si>
  <si>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</si>
  <si>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</si>
  <si>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</si>
  <si>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</si>
  <si>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</si>
  <si>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</si>
  <si>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</si>
  <si>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</si>
  <si>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</si>
  <si>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</si>
  <si>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</si>
  <si>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</si>
  <si>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</si>
  <si>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</si>
  <si>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</si>
  <si>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</si>
  <si>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</si>
  <si>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</si>
  <si>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</si>
  <si>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</si>
  <si>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</si>
  <si>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</si>
  <si>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</si>
  <si>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</si>
  <si>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</si>
  <si>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</si>
  <si>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</si>
  <si>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</si>
  <si>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</si>
  <si>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</si>
  <si>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</si>
  <si>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</si>
  <si>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01/01/2024 00:15</t>
  </si>
  <si>
    <t>01/01/2024 00:30</t>
  </si>
  <si>
    <t>01/01/2024 00:45</t>
  </si>
  <si>
    <t>01/01/2024 01:00</t>
  </si>
  <si>
    <t>01/01/2024 01:15</t>
  </si>
  <si>
    <t>01/01/2024 01:30</t>
  </si>
  <si>
    <t>01/01/2024 01:45</t>
  </si>
  <si>
    <t>01/01/2024 02:00</t>
  </si>
  <si>
    <t>01/01/2024 02:15</t>
  </si>
  <si>
    <t>01/01/2024 02:30</t>
  </si>
  <si>
    <t>01/01/2024 02:45</t>
  </si>
  <si>
    <t>01/01/2024 03:00</t>
  </si>
  <si>
    <t>01/01/2024 03:15</t>
  </si>
  <si>
    <t>01/01/2024 03:30</t>
  </si>
  <si>
    <t>01/01/2024 03:45</t>
  </si>
  <si>
    <t>01/01/2024 04:00</t>
  </si>
  <si>
    <t>01/01/2024 04:15</t>
  </si>
  <si>
    <t>01/01/2024 04:30</t>
  </si>
  <si>
    <t>01/01/2024 04:45</t>
  </si>
  <si>
    <t>01/01/2024 05:00</t>
  </si>
  <si>
    <t>01/01/2024 05:15</t>
  </si>
  <si>
    <t>01/01/2024 05:30</t>
  </si>
  <si>
    <t>01/01/2024 05:45</t>
  </si>
  <si>
    <t>01/01/2024 06:00</t>
  </si>
  <si>
    <t>01/01/2024 06:15</t>
  </si>
  <si>
    <t>01/01/2024 06:30</t>
  </si>
  <si>
    <t>01/01/2024 06:45</t>
  </si>
  <si>
    <t>01/01/2024 07:00</t>
  </si>
  <si>
    <t>01/01/2024 07:15</t>
  </si>
  <si>
    <t>01/01/2024 07:30</t>
  </si>
  <si>
    <t>01/01/2024 07:45</t>
  </si>
  <si>
    <t>01/01/2024 08:00</t>
  </si>
  <si>
    <t>01/01/2024 08:15</t>
  </si>
  <si>
    <t>01/01/2024 08:30</t>
  </si>
  <si>
    <t>01/01/2024 08:45</t>
  </si>
  <si>
    <t>01/01/2024 09:00</t>
  </si>
  <si>
    <t>01/01/2024 09:15</t>
  </si>
  <si>
    <t>01/01/2024 09:30</t>
  </si>
  <si>
    <t>01/01/2024 09:45</t>
  </si>
  <si>
    <t>01/01/2024 10:00</t>
  </si>
  <si>
    <t>01/01/2024 10:15</t>
  </si>
  <si>
    <t>01/01/2024 10:30</t>
  </si>
  <si>
    <t>01/01/2024 10:45</t>
  </si>
  <si>
    <t>01/01/2024 11:00</t>
  </si>
  <si>
    <t>01/01/2024 11:15</t>
  </si>
  <si>
    <t>01/01/2024 11:30</t>
  </si>
  <si>
    <t>01/01/2024 11:45</t>
  </si>
  <si>
    <t>01/01/2024 12:00</t>
  </si>
  <si>
    <t>01/01/2024 12:15</t>
  </si>
  <si>
    <t>01/01/2024 12:30</t>
  </si>
  <si>
    <t>01/01/2024 12:45</t>
  </si>
  <si>
    <t>01/01/2024 13:00</t>
  </si>
  <si>
    <t>01/01/2024 13:15</t>
  </si>
  <si>
    <t>01/01/2024 13:30</t>
  </si>
  <si>
    <t>01/01/2024 13:45</t>
  </si>
  <si>
    <t>01/01/2024 14:00</t>
  </si>
  <si>
    <t>01/01/2024 14:15</t>
  </si>
  <si>
    <t>01/01/2024 14:30</t>
  </si>
  <si>
    <t>01/01/2024 14:45</t>
  </si>
  <si>
    <t>01/01/2024 15:00</t>
  </si>
  <si>
    <t>01/01/2024 15:15</t>
  </si>
  <si>
    <t>01/01/2024 15:30</t>
  </si>
  <si>
    <t>01/01/2024 15:45</t>
  </si>
  <si>
    <t>01/01/2024 16:00</t>
  </si>
  <si>
    <t>01/01/2024 16:15</t>
  </si>
  <si>
    <t>01/01/2024 16:30</t>
  </si>
  <si>
    <t>01/01/2024 16:45</t>
  </si>
  <si>
    <t>01/01/2024 17:00</t>
  </si>
  <si>
    <t>01/01/2024 17:15</t>
  </si>
  <si>
    <t>01/01/2024 17:30</t>
  </si>
  <si>
    <t>01/01/2024 17:45</t>
  </si>
  <si>
    <t>01/01/2024 18:00</t>
  </si>
  <si>
    <t>01/01/2024 18:15</t>
  </si>
  <si>
    <t>01/01/2024 18:30</t>
  </si>
  <si>
    <t>01/01/2024 18:45</t>
  </si>
  <si>
    <t>01/01/2024 19:00</t>
  </si>
  <si>
    <t>01/01/2024 19:15</t>
  </si>
  <si>
    <t>01/01/2024 19:30</t>
  </si>
  <si>
    <t>01/01/2024 19:45</t>
  </si>
  <si>
    <t>01/01/2024 20:00</t>
  </si>
  <si>
    <t>01/01/2024 20:15</t>
  </si>
  <si>
    <t>01/01/2024 20:30</t>
  </si>
  <si>
    <t>01/01/2024 20:45</t>
  </si>
  <si>
    <t>01/01/2024 21:00</t>
  </si>
  <si>
    <t>01/01/2024 21:15</t>
  </si>
  <si>
    <t>01/01/2024 21:30</t>
  </si>
  <si>
    <t>01/01/2024 21:45</t>
  </si>
  <si>
    <t>01/01/2024 22:00</t>
  </si>
  <si>
    <t>01/01/2024 22:15</t>
  </si>
  <si>
    <t>01/01/2024 22:30</t>
  </si>
  <si>
    <t>01/01/2024 22:45</t>
  </si>
  <si>
    <t>01/01/2024 23:00</t>
  </si>
  <si>
    <t>01/01/2024 23:15</t>
  </si>
  <si>
    <t>01/01/2024 23:30</t>
  </si>
  <si>
    <t>01/01/2024 23:45</t>
  </si>
  <si>
    <t>01/01/2024 24:00</t>
  </si>
  <si>
    <t>02/01/2024 00:15</t>
  </si>
  <si>
    <t>02/01/2024 00:30</t>
  </si>
  <si>
    <t>02/01/2024 00:45</t>
  </si>
  <si>
    <t>02/01/2024 01:00</t>
  </si>
  <si>
    <t>02/01/2024 01:15</t>
  </si>
  <si>
    <t>02/01/2024 01:30</t>
  </si>
  <si>
    <t>02/01/2024 01:45</t>
  </si>
  <si>
    <t>02/01/2024 02:00</t>
  </si>
  <si>
    <t>02/01/2024 02:15</t>
  </si>
  <si>
    <t>02/01/2024 02:30</t>
  </si>
  <si>
    <t>02/01/2024 02:45</t>
  </si>
  <si>
    <t>02/01/2024 03:00</t>
  </si>
  <si>
    <t>02/01/2024 03:15</t>
  </si>
  <si>
    <t>02/01/2024 03:30</t>
  </si>
  <si>
    <t>02/01/2024 03:45</t>
  </si>
  <si>
    <t>02/01/2024 04:00</t>
  </si>
  <si>
    <t>02/01/2024 04:15</t>
  </si>
  <si>
    <t>02/01/2024 04:30</t>
  </si>
  <si>
    <t>02/01/2024 04:45</t>
  </si>
  <si>
    <t>02/01/2024 05:00</t>
  </si>
  <si>
    <t>02/01/2024 05:15</t>
  </si>
  <si>
    <t>02/01/2024 05:30</t>
  </si>
  <si>
    <t>02/01/2024 05:45</t>
  </si>
  <si>
    <t>02/01/2024 06:00</t>
  </si>
  <si>
    <t>02/01/2024 06:15</t>
  </si>
  <si>
    <t>02/01/2024 06:30</t>
  </si>
  <si>
    <t>02/01/2024 06:45</t>
  </si>
  <si>
    <t>02/01/2024 07:00</t>
  </si>
  <si>
    <t>02/01/2024 07:15</t>
  </si>
  <si>
    <t>02/01/2024 07:30</t>
  </si>
  <si>
    <t>02/01/2024 07:45</t>
  </si>
  <si>
    <t>02/01/2024 08:00</t>
  </si>
  <si>
    <t>02/01/2024 08:15</t>
  </si>
  <si>
    <t>02/01/2024 08:30</t>
  </si>
  <si>
    <t>02/01/2024 08:45</t>
  </si>
  <si>
    <t>02/01/2024 09:00</t>
  </si>
  <si>
    <t>02/01/2024 09:15</t>
  </si>
  <si>
    <t>02/01/2024 09:30</t>
  </si>
  <si>
    <t>02/01/2024 09:45</t>
  </si>
  <si>
    <t>02/01/2024 10:00</t>
  </si>
  <si>
    <t>02/01/2024 10:15</t>
  </si>
  <si>
    <t>02/01/2024 10:30</t>
  </si>
  <si>
    <t>02/01/2024 10:45</t>
  </si>
  <si>
    <t>02/01/2024 11:00</t>
  </si>
  <si>
    <t>02/01/2024 11:15</t>
  </si>
  <si>
    <t>02/01/2024 11:30</t>
  </si>
  <si>
    <t>02/01/2024 11:45</t>
  </si>
  <si>
    <t>02/01/2024 12:00</t>
  </si>
  <si>
    <t>02/01/2024 12:15</t>
  </si>
  <si>
    <t>02/01/2024 12:30</t>
  </si>
  <si>
    <t>02/01/2024 12:45</t>
  </si>
  <si>
    <t>02/01/2024 13:00</t>
  </si>
  <si>
    <t>02/01/2024 13:15</t>
  </si>
  <si>
    <t>02/01/2024 13:30</t>
  </si>
  <si>
    <t>02/01/2024 13:45</t>
  </si>
  <si>
    <t>02/01/2024 14:00</t>
  </si>
  <si>
    <t>02/01/2024 14:15</t>
  </si>
  <si>
    <t>02/01/2024 14:30</t>
  </si>
  <si>
    <t>02/01/2024 14:45</t>
  </si>
  <si>
    <t>02/01/2024 15:00</t>
  </si>
  <si>
    <t>02/01/2024 15:15</t>
  </si>
  <si>
    <t>02/01/2024 15:30</t>
  </si>
  <si>
    <t>02/01/2024 15:45</t>
  </si>
  <si>
    <t>02/01/2024 16:00</t>
  </si>
  <si>
    <t>02/01/2024 16:15</t>
  </si>
  <si>
    <t>02/01/2024 16:30</t>
  </si>
  <si>
    <t>02/01/2024 16:45</t>
  </si>
  <si>
    <t>02/01/2024 17:00</t>
  </si>
  <si>
    <t>02/01/2024 17:15</t>
  </si>
  <si>
    <t>02/01/2024 17:30</t>
  </si>
  <si>
    <t>02/01/2024 17:45</t>
  </si>
  <si>
    <t>02/01/2024 18:00</t>
  </si>
  <si>
    <t>02/01/2024 18:15</t>
  </si>
  <si>
    <t>02/01/2024 18:30</t>
  </si>
  <si>
    <t>02/01/2024 18:45</t>
  </si>
  <si>
    <t>02/01/2024 19:00</t>
  </si>
  <si>
    <t>02/01/2024 19:15</t>
  </si>
  <si>
    <t>02/01/2024 19:30</t>
  </si>
  <si>
    <t>02/01/2024 19:45</t>
  </si>
  <si>
    <t>02/01/2024 20:00</t>
  </si>
  <si>
    <t>02/01/2024 20:15</t>
  </si>
  <si>
    <t>02/01/2024 20:30</t>
  </si>
  <si>
    <t>02/01/2024 20:45</t>
  </si>
  <si>
    <t>02/01/2024 21:00</t>
  </si>
  <si>
    <t>02/01/2024 21:15</t>
  </si>
  <si>
    <t>02/01/2024 21:30</t>
  </si>
  <si>
    <t>02/01/2024 21:45</t>
  </si>
  <si>
    <t>02/01/2024 22:00</t>
  </si>
  <si>
    <t>02/01/2024 22:15</t>
  </si>
  <si>
    <t>02/01/2024 22:30</t>
  </si>
  <si>
    <t>02/01/2024 22:45</t>
  </si>
  <si>
    <t>02/01/2024 23:00</t>
  </si>
  <si>
    <t>02/01/2024 23:15</t>
  </si>
  <si>
    <t>02/01/2024 23:30</t>
  </si>
  <si>
    <t>02/01/2024 23:45</t>
  </si>
  <si>
    <t>02/01/2024 24:00</t>
  </si>
  <si>
    <t>03/01/2024 00:15</t>
  </si>
  <si>
    <t>03/01/2024 00:30</t>
  </si>
  <si>
    <t>03/01/2024 00:45</t>
  </si>
  <si>
    <t>03/01/2024 01:00</t>
  </si>
  <si>
    <t>03/01/2024 01:15</t>
  </si>
  <si>
    <t>03/01/2024 01:30</t>
  </si>
  <si>
    <t>03/01/2024 01:45</t>
  </si>
  <si>
    <t>03/01/2024 02:00</t>
  </si>
  <si>
    <t>03/01/2024 02:15</t>
  </si>
  <si>
    <t>03/01/2024 02:30</t>
  </si>
  <si>
    <t>03/01/2024 02:45</t>
  </si>
  <si>
    <t>03/01/2024 03:00</t>
  </si>
  <si>
    <t>03/01/2024 03:15</t>
  </si>
  <si>
    <t>03/01/2024 03:30</t>
  </si>
  <si>
    <t>03/01/2024 03:45</t>
  </si>
  <si>
    <t>03/01/2024 04:00</t>
  </si>
  <si>
    <t>03/01/2024 04:15</t>
  </si>
  <si>
    <t>03/01/2024 04:30</t>
  </si>
  <si>
    <t>03/01/2024 04:45</t>
  </si>
  <si>
    <t>03/01/2024 05:00</t>
  </si>
  <si>
    <t>03/01/2024 05:15</t>
  </si>
  <si>
    <t>03/01/2024 05:30</t>
  </si>
  <si>
    <t>03/01/2024 05:45</t>
  </si>
  <si>
    <t>03/01/2024 06:00</t>
  </si>
  <si>
    <t>03/01/2024 06:15</t>
  </si>
  <si>
    <t>03/01/2024 06:30</t>
  </si>
  <si>
    <t>03/01/2024 06:45</t>
  </si>
  <si>
    <t>03/01/2024 07:00</t>
  </si>
  <si>
    <t>03/01/2024 07:15</t>
  </si>
  <si>
    <t>03/01/2024 07:30</t>
  </si>
  <si>
    <t>03/01/2024 07:45</t>
  </si>
  <si>
    <t>03/01/2024 08:00</t>
  </si>
  <si>
    <t>03/01/2024 08:15</t>
  </si>
  <si>
    <t>03/01/2024 08:30</t>
  </si>
  <si>
    <t>03/01/2024 08:45</t>
  </si>
  <si>
    <t>03/01/2024 09:00</t>
  </si>
  <si>
    <t>03/01/2024 09:15</t>
  </si>
  <si>
    <t>03/01/2024 09:30</t>
  </si>
  <si>
    <t>03/01/2024 09:45</t>
  </si>
  <si>
    <t>03/01/2024 10:00</t>
  </si>
  <si>
    <t>03/01/2024 10:15</t>
  </si>
  <si>
    <t>03/01/2024 10:30</t>
  </si>
  <si>
    <t>03/01/2024 10:45</t>
  </si>
  <si>
    <t>03/01/2024 11:00</t>
  </si>
  <si>
    <t>03/01/2024 11:15</t>
  </si>
  <si>
    <t>03/01/2024 11:30</t>
  </si>
  <si>
    <t>03/01/2024 11:45</t>
  </si>
  <si>
    <t>03/01/2024 12:00</t>
  </si>
  <si>
    <t>03/01/2024 12:15</t>
  </si>
  <si>
    <t>03/01/2024 12:30</t>
  </si>
  <si>
    <t>03/01/2024 12:45</t>
  </si>
  <si>
    <t>03/01/2024 13:00</t>
  </si>
  <si>
    <t>03/01/2024 13:15</t>
  </si>
  <si>
    <t>03/01/2024 13:30</t>
  </si>
  <si>
    <t>03/01/2024 13:45</t>
  </si>
  <si>
    <t>03/01/2024 14:00</t>
  </si>
  <si>
    <t>03/01/2024 14:15</t>
  </si>
  <si>
    <t>03/01/2024 14:30</t>
  </si>
  <si>
    <t>03/01/2024 14:45</t>
  </si>
  <si>
    <t>03/01/2024 15:00</t>
  </si>
  <si>
    <t>03/01/2024 15:15</t>
  </si>
  <si>
    <t>03/01/2024 15:30</t>
  </si>
  <si>
    <t>03/01/2024 15:45</t>
  </si>
  <si>
    <t>03/01/2024 16:00</t>
  </si>
  <si>
    <t>03/01/2024 16:15</t>
  </si>
  <si>
    <t>03/01/2024 16:30</t>
  </si>
  <si>
    <t>03/01/2024 16:45</t>
  </si>
  <si>
    <t>03/01/2024 17:00</t>
  </si>
  <si>
    <t>03/01/2024 17:15</t>
  </si>
  <si>
    <t>03/01/2024 17:30</t>
  </si>
  <si>
    <t>03/01/2024 17:45</t>
  </si>
  <si>
    <t>03/01/2024 18:00</t>
  </si>
  <si>
    <t>03/01/2024 18:15</t>
  </si>
  <si>
    <t>03/01/2024 18:30</t>
  </si>
  <si>
    <t>03/01/2024 18:45</t>
  </si>
  <si>
    <t>03/01/2024 19:00</t>
  </si>
  <si>
    <t>03/01/2024 19:15</t>
  </si>
  <si>
    <t>03/01/2024 19:30</t>
  </si>
  <si>
    <t>03/01/2024 19:45</t>
  </si>
  <si>
    <t>03/01/2024 20:00</t>
  </si>
  <si>
    <t>03/01/2024 20:15</t>
  </si>
  <si>
    <t>03/01/2024 20:30</t>
  </si>
  <si>
    <t>03/01/2024 20:45</t>
  </si>
  <si>
    <t>03/01/2024 21:00</t>
  </si>
  <si>
    <t>03/01/2024 21:15</t>
  </si>
  <si>
    <t>03/01/2024 21:30</t>
  </si>
  <si>
    <t>03/01/2024 21:45</t>
  </si>
  <si>
    <t>03/01/2024 22:00</t>
  </si>
  <si>
    <t>03/01/2024 22:15</t>
  </si>
  <si>
    <t>03/01/2024 22:30</t>
  </si>
  <si>
    <t>03/01/2024 22:45</t>
  </si>
  <si>
    <t>03/01/2024 23:00</t>
  </si>
  <si>
    <t>03/01/2024 23:15</t>
  </si>
  <si>
    <t>03/01/2024 23:30</t>
  </si>
  <si>
    <t>03/01/2024 23:45</t>
  </si>
  <si>
    <t>03/01/2024 24:00</t>
  </si>
  <si>
    <t>04/01/2024 00:15</t>
  </si>
  <si>
    <t>04/01/2024 00:30</t>
  </si>
  <si>
    <t>04/01/2024 00:45</t>
  </si>
  <si>
    <t>04/01/2024 01:00</t>
  </si>
  <si>
    <t>04/01/2024 01:15</t>
  </si>
  <si>
    <t>04/01/2024 01:30</t>
  </si>
  <si>
    <t>04/01/2024 01:45</t>
  </si>
  <si>
    <t>04/01/2024 02:00</t>
  </si>
  <si>
    <t>04/01/2024 02:15</t>
  </si>
  <si>
    <t>04/01/2024 02:30</t>
  </si>
  <si>
    <t>04/01/2024 02:45</t>
  </si>
  <si>
    <t>04/01/2024 03:00</t>
  </si>
  <si>
    <t>04/01/2024 03:15</t>
  </si>
  <si>
    <t>04/01/2024 03:30</t>
  </si>
  <si>
    <t>04/01/2024 03:45</t>
  </si>
  <si>
    <t>04/01/2024 04:00</t>
  </si>
  <si>
    <t>04/01/2024 04:15</t>
  </si>
  <si>
    <t>04/01/2024 04:30</t>
  </si>
  <si>
    <t>04/01/2024 04:45</t>
  </si>
  <si>
    <t>04/01/2024 05:00</t>
  </si>
  <si>
    <t>04/01/2024 05:15</t>
  </si>
  <si>
    <t>04/01/2024 05:30</t>
  </si>
  <si>
    <t>04/01/2024 05:45</t>
  </si>
  <si>
    <t>04/01/2024 06:00</t>
  </si>
  <si>
    <t>04/01/2024 06:15</t>
  </si>
  <si>
    <t>04/01/2024 06:30</t>
  </si>
  <si>
    <t>04/01/2024 06:45</t>
  </si>
  <si>
    <t>04/01/2024 07:00</t>
  </si>
  <si>
    <t>04/01/2024 07:15</t>
  </si>
  <si>
    <t>04/01/2024 07:30</t>
  </si>
  <si>
    <t>04/01/2024 07:45</t>
  </si>
  <si>
    <t>04/01/2024 08:00</t>
  </si>
  <si>
    <t>04/01/2024 08:15</t>
  </si>
  <si>
    <t>04/01/2024 08:30</t>
  </si>
  <si>
    <t>04/01/2024 08:45</t>
  </si>
  <si>
    <t>04/01/2024 09:00</t>
  </si>
  <si>
    <t>04/01/2024 09:15</t>
  </si>
  <si>
    <t>04/01/2024 09:30</t>
  </si>
  <si>
    <t>04/01/2024 09:45</t>
  </si>
  <si>
    <t>04/01/2024 10:00</t>
  </si>
  <si>
    <t>04/01/2024 10:15</t>
  </si>
  <si>
    <t>04/01/2024 10:30</t>
  </si>
  <si>
    <t>04/01/2024 10:45</t>
  </si>
  <si>
    <t>04/01/2024 11:00</t>
  </si>
  <si>
    <t>04/01/2024 11:15</t>
  </si>
  <si>
    <t>04/01/2024 11:30</t>
  </si>
  <si>
    <t>04/01/2024 11:45</t>
  </si>
  <si>
    <t>04/01/2024 12:00</t>
  </si>
  <si>
    <t>04/01/2024 12:15</t>
  </si>
  <si>
    <t>04/01/2024 12:30</t>
  </si>
  <si>
    <t>04/01/2024 12:45</t>
  </si>
  <si>
    <t>04/01/2024 13:00</t>
  </si>
  <si>
    <t>04/01/2024 13:15</t>
  </si>
  <si>
    <t>04/01/2024 13:30</t>
  </si>
  <si>
    <t>04/01/2024 13:45</t>
  </si>
  <si>
    <t>04/01/2024 14:00</t>
  </si>
  <si>
    <t>04/01/2024 14:15</t>
  </si>
  <si>
    <t>04/01/2024 14:30</t>
  </si>
  <si>
    <t>04/01/2024 14:45</t>
  </si>
  <si>
    <t>04/01/2024 15:00</t>
  </si>
  <si>
    <t>04/01/2024 15:15</t>
  </si>
  <si>
    <t>04/01/2024 15:30</t>
  </si>
  <si>
    <t>04/01/2024 15:45</t>
  </si>
  <si>
    <t>04/01/2024 16:00</t>
  </si>
  <si>
    <t>04/01/2024 16:15</t>
  </si>
  <si>
    <t>04/01/2024 16:30</t>
  </si>
  <si>
    <t>04/01/2024 16:45</t>
  </si>
  <si>
    <t>04/01/2024 17:00</t>
  </si>
  <si>
    <t>04/01/2024 17:15</t>
  </si>
  <si>
    <t>04/01/2024 17:30</t>
  </si>
  <si>
    <t>04/01/2024 17:45</t>
  </si>
  <si>
    <t>04/01/2024 18:00</t>
  </si>
  <si>
    <t>04/01/2024 18:15</t>
  </si>
  <si>
    <t>04/01/2024 18:30</t>
  </si>
  <si>
    <t>04/01/2024 18:45</t>
  </si>
  <si>
    <t>04/01/2024 19:00</t>
  </si>
  <si>
    <t>04/01/2024 19:15</t>
  </si>
  <si>
    <t>04/01/2024 19:30</t>
  </si>
  <si>
    <t>04/01/2024 19:45</t>
  </si>
  <si>
    <t>04/01/2024 20:00</t>
  </si>
  <si>
    <t>04/01/2024 20:15</t>
  </si>
  <si>
    <t>04/01/2024 20:30</t>
  </si>
  <si>
    <t>04/01/2024 20:45</t>
  </si>
  <si>
    <t>04/01/2024 21:00</t>
  </si>
  <si>
    <t>04/01/2024 21:15</t>
  </si>
  <si>
    <t>04/01/2024 21:30</t>
  </si>
  <si>
    <t>04/01/2024 21:45</t>
  </si>
  <si>
    <t>04/01/2024 22:00</t>
  </si>
  <si>
    <t>04/01/2024 22:15</t>
  </si>
  <si>
    <t>04/01/2024 22:30</t>
  </si>
  <si>
    <t>04/01/2024 22:45</t>
  </si>
  <si>
    <t>04/01/2024 23:00</t>
  </si>
  <si>
    <t>04/01/2024 23:15</t>
  </si>
  <si>
    <t>04/01/2024 23:30</t>
  </si>
  <si>
    <t>04/01/2024 23:45</t>
  </si>
  <si>
    <t>04/01/2024 24:00</t>
  </si>
  <si>
    <t>05/01/2024 00:15</t>
  </si>
  <si>
    <t>05/01/2024 00:30</t>
  </si>
  <si>
    <t>05/01/2024 00:45</t>
  </si>
  <si>
    <t>05/01/2024 01:00</t>
  </si>
  <si>
    <t>05/01/2024 01:15</t>
  </si>
  <si>
    <t>05/01/2024 01:30</t>
  </si>
  <si>
    <t>05/01/2024 01:45</t>
  </si>
  <si>
    <t>05/01/2024 02:00</t>
  </si>
  <si>
    <t>05/01/2024 02:15</t>
  </si>
  <si>
    <t>05/01/2024 02:30</t>
  </si>
  <si>
    <t>05/01/2024 02:45</t>
  </si>
  <si>
    <t>05/01/2024 03:00</t>
  </si>
  <si>
    <t>05/01/2024 03:15</t>
  </si>
  <si>
    <t>05/01/2024 03:30</t>
  </si>
  <si>
    <t>05/01/2024 03:45</t>
  </si>
  <si>
    <t>05/01/2024 04:00</t>
  </si>
  <si>
    <t>05/01/2024 04:15</t>
  </si>
  <si>
    <t>05/01/2024 04:30</t>
  </si>
  <si>
    <t>05/01/2024 04:45</t>
  </si>
  <si>
    <t>05/01/2024 05:00</t>
  </si>
  <si>
    <t>05/01/2024 05:15</t>
  </si>
  <si>
    <t>05/01/2024 05:30</t>
  </si>
  <si>
    <t>05/01/2024 05:45</t>
  </si>
  <si>
    <t>05/01/2024 06:00</t>
  </si>
  <si>
    <t>05/01/2024 06:15</t>
  </si>
  <si>
    <t>05/01/2024 06:30</t>
  </si>
  <si>
    <t>05/01/2024 06:45</t>
  </si>
  <si>
    <t>05/01/2024 07:00</t>
  </si>
  <si>
    <t>05/01/2024 07:15</t>
  </si>
  <si>
    <t>05/01/2024 07:30</t>
  </si>
  <si>
    <t>05/01/2024 07:45</t>
  </si>
  <si>
    <t>05/01/2024 08:00</t>
  </si>
  <si>
    <t>05/01/2024 08:15</t>
  </si>
  <si>
    <t>05/01/2024 08:30</t>
  </si>
  <si>
    <t>05/01/2024 08:45</t>
  </si>
  <si>
    <t>05/01/2024 09:00</t>
  </si>
  <si>
    <t>05/01/2024 09:15</t>
  </si>
  <si>
    <t>05/01/2024 09:30</t>
  </si>
  <si>
    <t>05/01/2024 09:45</t>
  </si>
  <si>
    <t>05/01/2024 10:00</t>
  </si>
  <si>
    <t>05/01/2024 10:15</t>
  </si>
  <si>
    <t>05/01/2024 10:30</t>
  </si>
  <si>
    <t>05/01/2024 10:45</t>
  </si>
  <si>
    <t>05/01/2024 11:00</t>
  </si>
  <si>
    <t>05/01/2024 11:15</t>
  </si>
  <si>
    <t>05/01/2024 11:30</t>
  </si>
  <si>
    <t>05/01/2024 11:45</t>
  </si>
  <si>
    <t>05/01/2024 12:00</t>
  </si>
  <si>
    <t>05/01/2024 12:15</t>
  </si>
  <si>
    <t>05/01/2024 12:30</t>
  </si>
  <si>
    <t>05/01/2024 12:45</t>
  </si>
  <si>
    <t>05/01/2024 13:00</t>
  </si>
  <si>
    <t>05/01/2024 13:15</t>
  </si>
  <si>
    <t>05/01/2024 13:30</t>
  </si>
  <si>
    <t>05/01/2024 13:45</t>
  </si>
  <si>
    <t>05/01/2024 14:00</t>
  </si>
  <si>
    <t>05/01/2024 14:15</t>
  </si>
  <si>
    <t>05/01/2024 14:30</t>
  </si>
  <si>
    <t>05/01/2024 14:45</t>
  </si>
  <si>
    <t>05/01/2024 15:00</t>
  </si>
  <si>
    <t>05/01/2024 15:15</t>
  </si>
  <si>
    <t>05/01/2024 15:30</t>
  </si>
  <si>
    <t>05/01/2024 15:45</t>
  </si>
  <si>
    <t>05/01/2024 16:00</t>
  </si>
  <si>
    <t>05/01/2024 16:15</t>
  </si>
  <si>
    <t>05/01/2024 16:30</t>
  </si>
  <si>
    <t>05/01/2024 16:45</t>
  </si>
  <si>
    <t>05/01/2024 17:00</t>
  </si>
  <si>
    <t>05/01/2024 17:15</t>
  </si>
  <si>
    <t>05/01/2024 17:30</t>
  </si>
  <si>
    <t>05/01/2024 17:45</t>
  </si>
  <si>
    <t>05/01/2024 18:00</t>
  </si>
  <si>
    <t>05/01/2024 18:15</t>
  </si>
  <si>
    <t>05/01/2024 18:30</t>
  </si>
  <si>
    <t>05/01/2024 18:45</t>
  </si>
  <si>
    <t>05/01/2024 19:00</t>
  </si>
  <si>
    <t>05/01/2024 19:15</t>
  </si>
  <si>
    <t>05/01/2024 19:30</t>
  </si>
  <si>
    <t>05/01/2024 19:45</t>
  </si>
  <si>
    <t>05/01/2024 20:00</t>
  </si>
  <si>
    <t>05/01/2024 20:15</t>
  </si>
  <si>
    <t>05/01/2024 20:30</t>
  </si>
  <si>
    <t>05/01/2024 20:45</t>
  </si>
  <si>
    <t>05/01/2024 21:00</t>
  </si>
  <si>
    <t>05/01/2024 21:15</t>
  </si>
  <si>
    <t>05/01/2024 21:30</t>
  </si>
  <si>
    <t>05/01/2024 21:45</t>
  </si>
  <si>
    <t>05/01/2024 22:00</t>
  </si>
  <si>
    <t>05/01/2024 22:15</t>
  </si>
  <si>
    <t>05/01/2024 22:30</t>
  </si>
  <si>
    <t>05/01/2024 22:45</t>
  </si>
  <si>
    <t>05/01/2024 23:00</t>
  </si>
  <si>
    <t>05/01/2024 23:15</t>
  </si>
  <si>
    <t>05/01/2024 23:30</t>
  </si>
  <si>
    <t>05/01/2024 23:45</t>
  </si>
  <si>
    <t>05/01/2024 24:00</t>
  </si>
  <si>
    <t>06/01/2024 00:15</t>
  </si>
  <si>
    <t>06/01/2024 00:30</t>
  </si>
  <si>
    <t>06/01/2024 00:45</t>
  </si>
  <si>
    <t>06/01/2024 01:00</t>
  </si>
  <si>
    <t>06/01/2024 01:15</t>
  </si>
  <si>
    <t>06/01/2024 01:30</t>
  </si>
  <si>
    <t>06/01/2024 01:45</t>
  </si>
  <si>
    <t>06/01/2024 02:00</t>
  </si>
  <si>
    <t>06/01/2024 02:15</t>
  </si>
  <si>
    <t>06/01/2024 02:30</t>
  </si>
  <si>
    <t>06/01/2024 02:45</t>
  </si>
  <si>
    <t>06/01/2024 03:00</t>
  </si>
  <si>
    <t>06/01/2024 03:15</t>
  </si>
  <si>
    <t>06/01/2024 03:30</t>
  </si>
  <si>
    <t>06/01/2024 03:45</t>
  </si>
  <si>
    <t>06/01/2024 04:00</t>
  </si>
  <si>
    <t>06/01/2024 04:15</t>
  </si>
  <si>
    <t>06/01/2024 04:30</t>
  </si>
  <si>
    <t>06/01/2024 04:45</t>
  </si>
  <si>
    <t>06/01/2024 05:00</t>
  </si>
  <si>
    <t>06/01/2024 05:15</t>
  </si>
  <si>
    <t>06/01/2024 05:30</t>
  </si>
  <si>
    <t>06/01/2024 05:45</t>
  </si>
  <si>
    <t>06/01/2024 06:00</t>
  </si>
  <si>
    <t>06/01/2024 06:15</t>
  </si>
  <si>
    <t>06/01/2024 06:30</t>
  </si>
  <si>
    <t>06/01/2024 06:45</t>
  </si>
  <si>
    <t>06/01/2024 07:00</t>
  </si>
  <si>
    <t>06/01/2024 07:15</t>
  </si>
  <si>
    <t>06/01/2024 07:30</t>
  </si>
  <si>
    <t>06/01/2024 07:45</t>
  </si>
  <si>
    <t>06/01/2024 08:00</t>
  </si>
  <si>
    <t>06/01/2024 08:15</t>
  </si>
  <si>
    <t>06/01/2024 08:30</t>
  </si>
  <si>
    <t>06/01/2024 08:45</t>
  </si>
  <si>
    <t>06/01/2024 09:00</t>
  </si>
  <si>
    <t>06/01/2024 09:15</t>
  </si>
  <si>
    <t>06/01/2024 09:30</t>
  </si>
  <si>
    <t>06/01/2024 09:45</t>
  </si>
  <si>
    <t>06/01/2024 10:00</t>
  </si>
  <si>
    <t>06/01/2024 10:15</t>
  </si>
  <si>
    <t>06/01/2024 10:30</t>
  </si>
  <si>
    <t>06/01/2024 10:45</t>
  </si>
  <si>
    <t>06/01/2024 11:00</t>
  </si>
  <si>
    <t>06/01/2024 11:15</t>
  </si>
  <si>
    <t>06/01/2024 11:30</t>
  </si>
  <si>
    <t>06/01/2024 11:45</t>
  </si>
  <si>
    <t>06/01/2024 12:00</t>
  </si>
  <si>
    <t>06/01/2024 12:15</t>
  </si>
  <si>
    <t>06/01/2024 12:30</t>
  </si>
  <si>
    <t>06/01/2024 12:45</t>
  </si>
  <si>
    <t>06/01/2024 13:00</t>
  </si>
  <si>
    <t>06/01/2024 13:15</t>
  </si>
  <si>
    <t>06/01/2024 13:30</t>
  </si>
  <si>
    <t>06/01/2024 13:45</t>
  </si>
  <si>
    <t>06/01/2024 14:00</t>
  </si>
  <si>
    <t>06/01/2024 14:15</t>
  </si>
  <si>
    <t>06/01/2024 14:30</t>
  </si>
  <si>
    <t>06/01/2024 14:45</t>
  </si>
  <si>
    <t>06/01/2024 15:00</t>
  </si>
  <si>
    <t>06/01/2024 15:15</t>
  </si>
  <si>
    <t>06/01/2024 15:30</t>
  </si>
  <si>
    <t>06/01/2024 15:45</t>
  </si>
  <si>
    <t>06/01/2024 16:00</t>
  </si>
  <si>
    <t>06/01/2024 16:15</t>
  </si>
  <si>
    <t>06/01/2024 16:30</t>
  </si>
  <si>
    <t>06/01/2024 16:45</t>
  </si>
  <si>
    <t>06/01/2024 17:00</t>
  </si>
  <si>
    <t>06/01/2024 17:15</t>
  </si>
  <si>
    <t>06/01/2024 17:30</t>
  </si>
  <si>
    <t>06/01/2024 17:45</t>
  </si>
  <si>
    <t>06/01/2024 18:00</t>
  </si>
  <si>
    <t>06/01/2024 18:15</t>
  </si>
  <si>
    <t>06/01/2024 18:30</t>
  </si>
  <si>
    <t>06/01/2024 18:45</t>
  </si>
  <si>
    <t>06/01/2024 19:00</t>
  </si>
  <si>
    <t>06/01/2024 19:15</t>
  </si>
  <si>
    <t>06/01/2024 19:30</t>
  </si>
  <si>
    <t>06/01/2024 19:45</t>
  </si>
  <si>
    <t>06/01/2024 20:00</t>
  </si>
  <si>
    <t>06/01/2024 20:15</t>
  </si>
  <si>
    <t>06/01/2024 20:30</t>
  </si>
  <si>
    <t>06/01/2024 20:45</t>
  </si>
  <si>
    <t>06/01/2024 21:00</t>
  </si>
  <si>
    <t>06/01/2024 21:15</t>
  </si>
  <si>
    <t>06/01/2024 21:30</t>
  </si>
  <si>
    <t>06/01/2024 21:45</t>
  </si>
  <si>
    <t>06/01/2024 22:00</t>
  </si>
  <si>
    <t>06/01/2024 22:15</t>
  </si>
  <si>
    <t>06/01/2024 22:30</t>
  </si>
  <si>
    <t>06/01/2024 22:45</t>
  </si>
  <si>
    <t>06/01/2024 23:00</t>
  </si>
  <si>
    <t>06/01/2024 23:15</t>
  </si>
  <si>
    <t>06/01/2024 23:30</t>
  </si>
  <si>
    <t>06/01/2024 23:45</t>
  </si>
  <si>
    <t>06/01/2024 24:00</t>
  </si>
  <si>
    <t>07/01/2024 00:15</t>
  </si>
  <si>
    <t>07/01/2024 00:30</t>
  </si>
  <si>
    <t>07/01/2024 00:45</t>
  </si>
  <si>
    <t>07/01/2024 01:00</t>
  </si>
  <si>
    <t>07/01/2024 01:15</t>
  </si>
  <si>
    <t>07/01/2024 01:30</t>
  </si>
  <si>
    <t>07/01/2024 01:45</t>
  </si>
  <si>
    <t>07/01/2024 02:00</t>
  </si>
  <si>
    <t>07/01/2024 02:15</t>
  </si>
  <si>
    <t>07/01/2024 02:30</t>
  </si>
  <si>
    <t>07/01/2024 02:45</t>
  </si>
  <si>
    <t>07/01/2024 03:00</t>
  </si>
  <si>
    <t>07/01/2024 03:15</t>
  </si>
  <si>
    <t>07/01/2024 03:30</t>
  </si>
  <si>
    <t>07/01/2024 03:45</t>
  </si>
  <si>
    <t>07/01/2024 04:00</t>
  </si>
  <si>
    <t>07/01/2024 04:15</t>
  </si>
  <si>
    <t>07/01/2024 04:30</t>
  </si>
  <si>
    <t>07/01/2024 04:45</t>
  </si>
  <si>
    <t>07/01/2024 05:00</t>
  </si>
  <si>
    <t>07/01/2024 05:15</t>
  </si>
  <si>
    <t>07/01/2024 05:30</t>
  </si>
  <si>
    <t>07/01/2024 05:45</t>
  </si>
  <si>
    <t>07/01/2024 06:00</t>
  </si>
  <si>
    <t>07/01/2024 06:15</t>
  </si>
  <si>
    <t>07/01/2024 06:30</t>
  </si>
  <si>
    <t>07/01/2024 06:45</t>
  </si>
  <si>
    <t>07/01/2024 07:00</t>
  </si>
  <si>
    <t>07/01/2024 07:15</t>
  </si>
  <si>
    <t>07/01/2024 07:30</t>
  </si>
  <si>
    <t>07/01/2024 07:45</t>
  </si>
  <si>
    <t>07/01/2024 08:00</t>
  </si>
  <si>
    <t>07/01/2024 08:15</t>
  </si>
  <si>
    <t>07/01/2024 08:30</t>
  </si>
  <si>
    <t>07/01/2024 08:45</t>
  </si>
  <si>
    <t>07/01/2024 09:00</t>
  </si>
  <si>
    <t>07/01/2024 09:15</t>
  </si>
  <si>
    <t>07/01/2024 09:30</t>
  </si>
  <si>
    <t>07/01/2024 09:45</t>
  </si>
  <si>
    <t>07/01/2024 10:00</t>
  </si>
  <si>
    <t>07/01/2024 10:15</t>
  </si>
  <si>
    <t>07/01/2024 10:30</t>
  </si>
  <si>
    <t>07/01/2024 10:45</t>
  </si>
  <si>
    <t>07/01/2024 11:00</t>
  </si>
  <si>
    <t>07/01/2024 11:15</t>
  </si>
  <si>
    <t>07/01/2024 11:30</t>
  </si>
  <si>
    <t>07/01/2024 11:45</t>
  </si>
  <si>
    <t>07/01/2024 12:00</t>
  </si>
  <si>
    <t>07/01/2024 12:15</t>
  </si>
  <si>
    <t>07/01/2024 12:30</t>
  </si>
  <si>
    <t>07/01/2024 12:45</t>
  </si>
  <si>
    <t>07/01/2024 13:00</t>
  </si>
  <si>
    <t>07/01/2024 13:15</t>
  </si>
  <si>
    <t>07/01/2024 13:30</t>
  </si>
  <si>
    <t>07/01/2024 13:45</t>
  </si>
  <si>
    <t>07/01/2024 14:00</t>
  </si>
  <si>
    <t>07/01/2024 14:15</t>
  </si>
  <si>
    <t>07/01/2024 14:30</t>
  </si>
  <si>
    <t>07/01/2024 14:45</t>
  </si>
  <si>
    <t>07/01/2024 15:00</t>
  </si>
  <si>
    <t>07/01/2024 15:15</t>
  </si>
  <si>
    <t>07/01/2024 15:30</t>
  </si>
  <si>
    <t>07/01/2024 15:45</t>
  </si>
  <si>
    <t>07/01/2024 16:00</t>
  </si>
  <si>
    <t>07/01/2024 16:15</t>
  </si>
  <si>
    <t>07/01/2024 16:30</t>
  </si>
  <si>
    <t>07/01/2024 16:45</t>
  </si>
  <si>
    <t>07/01/2024 17:00</t>
  </si>
  <si>
    <t>07/01/2024 17:15</t>
  </si>
  <si>
    <t>07/01/2024 17:30</t>
  </si>
  <si>
    <t>07/01/2024 17:45</t>
  </si>
  <si>
    <t>07/01/2024 18:00</t>
  </si>
  <si>
    <t>07/01/2024 18:15</t>
  </si>
  <si>
    <t>07/01/2024 18:30</t>
  </si>
  <si>
    <t>07/01/2024 18:45</t>
  </si>
  <si>
    <t>07/01/2024 19:00</t>
  </si>
  <si>
    <t>07/01/2024 19:15</t>
  </si>
  <si>
    <t>07/01/2024 19:30</t>
  </si>
  <si>
    <t>07/01/2024 19:45</t>
  </si>
  <si>
    <t>07/01/2024 20:00</t>
  </si>
  <si>
    <t>07/01/2024 20:15</t>
  </si>
  <si>
    <t>07/01/2024 20:30</t>
  </si>
  <si>
    <t>07/01/2024 20:45</t>
  </si>
  <si>
    <t>07/01/2024 21:00</t>
  </si>
  <si>
    <t>07/01/2024 21:15</t>
  </si>
  <si>
    <t>07/01/2024 21:30</t>
  </si>
  <si>
    <t>07/01/2024 21:45</t>
  </si>
  <si>
    <t>07/01/2024 22:00</t>
  </si>
  <si>
    <t>07/01/2024 22:15</t>
  </si>
  <si>
    <t>07/01/2024 22:30</t>
  </si>
  <si>
    <t>07/01/2024 22:45</t>
  </si>
  <si>
    <t>07/01/2024 23:00</t>
  </si>
  <si>
    <t>07/01/2024 23:15</t>
  </si>
  <si>
    <t>07/01/2024 23:30</t>
  </si>
  <si>
    <t>07/01/2024 23:45</t>
  </si>
  <si>
    <t>07/01/2024 24:00</t>
  </si>
  <si>
    <t>08/01/2024 00:15</t>
  </si>
  <si>
    <t>08/01/2024 00:30</t>
  </si>
  <si>
    <t>08/01/2024 00:45</t>
  </si>
  <si>
    <t>08/01/2024 01:00</t>
  </si>
  <si>
    <t>08/01/2024 01:15</t>
  </si>
  <si>
    <t>08/01/2024 01:30</t>
  </si>
  <si>
    <t>08/01/2024 01:45</t>
  </si>
  <si>
    <t>08/01/2024 02:00</t>
  </si>
  <si>
    <t>08/01/2024 02:15</t>
  </si>
  <si>
    <t>08/01/2024 02:30</t>
  </si>
  <si>
    <t>08/01/2024 02:45</t>
  </si>
  <si>
    <t>08/01/2024 03:00</t>
  </si>
  <si>
    <t>08/01/2024 03:15</t>
  </si>
  <si>
    <t>08/01/2024 03:30</t>
  </si>
  <si>
    <t>08/01/2024 03:45</t>
  </si>
  <si>
    <t>08/01/2024 04:00</t>
  </si>
  <si>
    <t>08/01/2024 04:15</t>
  </si>
  <si>
    <t>08/01/2024 04:30</t>
  </si>
  <si>
    <t>08/01/2024 04:45</t>
  </si>
  <si>
    <t>08/01/2024 05:00</t>
  </si>
  <si>
    <t>08/01/2024 05:15</t>
  </si>
  <si>
    <t>08/01/2024 05:30</t>
  </si>
  <si>
    <t>08/01/2024 05:45</t>
  </si>
  <si>
    <t>08/01/2024 06:00</t>
  </si>
  <si>
    <t>08/01/2024 06:15</t>
  </si>
  <si>
    <t>08/01/2024 06:30</t>
  </si>
  <si>
    <t>08/01/2024 06:45</t>
  </si>
  <si>
    <t>08/01/2024 07:00</t>
  </si>
  <si>
    <t>08/01/2024 07:15</t>
  </si>
  <si>
    <t>08/01/2024 07:30</t>
  </si>
  <si>
    <t>08/01/2024 07:45</t>
  </si>
  <si>
    <t>08/01/2024 08:00</t>
  </si>
  <si>
    <t>08/01/2024 08:15</t>
  </si>
  <si>
    <t>08/01/2024 08:30</t>
  </si>
  <si>
    <t>08/01/2024 08:45</t>
  </si>
  <si>
    <t>08/01/2024 09:00</t>
  </si>
  <si>
    <t>08/01/2024 09:15</t>
  </si>
  <si>
    <t>08/01/2024 09:30</t>
  </si>
  <si>
    <t>08/01/2024 09:45</t>
  </si>
  <si>
    <t>08/01/2024 10:00</t>
  </si>
  <si>
    <t>08/01/2024 10:15</t>
  </si>
  <si>
    <t>08/01/2024 10:30</t>
  </si>
  <si>
    <t>08/01/2024 10:45</t>
  </si>
  <si>
    <t>08/01/2024 11:00</t>
  </si>
  <si>
    <t>08/01/2024 11:15</t>
  </si>
  <si>
    <t>08/01/2024 11:30</t>
  </si>
  <si>
    <t>08/01/2024 11:45</t>
  </si>
  <si>
    <t>08/01/2024 12:00</t>
  </si>
  <si>
    <t>08/01/2024 12:15</t>
  </si>
  <si>
    <t>08/01/2024 12:30</t>
  </si>
  <si>
    <t>08/01/2024 12:45</t>
  </si>
  <si>
    <t>08/01/2024 13:00</t>
  </si>
  <si>
    <t>08/01/2024 13:15</t>
  </si>
  <si>
    <t>08/01/2024 13:30</t>
  </si>
  <si>
    <t>08/01/2024 13:45</t>
  </si>
  <si>
    <t>08/01/2024 14:00</t>
  </si>
  <si>
    <t>08/01/2024 14:15</t>
  </si>
  <si>
    <t>08/01/2024 14:30</t>
  </si>
  <si>
    <t>08/01/2024 14:45</t>
  </si>
  <si>
    <t>08/01/2024 15:00</t>
  </si>
  <si>
    <t>08/01/2024 15:15</t>
  </si>
  <si>
    <t>08/01/2024 15:30</t>
  </si>
  <si>
    <t>08/01/2024 15:45</t>
  </si>
  <si>
    <t>08/01/2024 16:00</t>
  </si>
  <si>
    <t>08/01/2024 16:15</t>
  </si>
  <si>
    <t>08/01/2024 16:30</t>
  </si>
  <si>
    <t>08/01/2024 16:45</t>
  </si>
  <si>
    <t>08/01/2024 17:00</t>
  </si>
  <si>
    <t>08/01/2024 17:15</t>
  </si>
  <si>
    <t>08/01/2024 17:30</t>
  </si>
  <si>
    <t>08/01/2024 17:45</t>
  </si>
  <si>
    <t>08/01/2024 18:00</t>
  </si>
  <si>
    <t>08/01/2024 18:15</t>
  </si>
  <si>
    <t>08/01/2024 18:30</t>
  </si>
  <si>
    <t>08/01/2024 18:45</t>
  </si>
  <si>
    <t>08/01/2024 19:00</t>
  </si>
  <si>
    <t>08/01/2024 19:15</t>
  </si>
  <si>
    <t>08/01/2024 19:30</t>
  </si>
  <si>
    <t>08/01/2024 19:45</t>
  </si>
  <si>
    <t>08/01/2024 20:00</t>
  </si>
  <si>
    <t>08/01/2024 20:15</t>
  </si>
  <si>
    <t>08/01/2024 20:30</t>
  </si>
  <si>
    <t>08/01/2024 20:45</t>
  </si>
  <si>
    <t>08/01/2024 21:00</t>
  </si>
  <si>
    <t>08/01/2024 21:15</t>
  </si>
  <si>
    <t>08/01/2024 21:30</t>
  </si>
  <si>
    <t>08/01/2024 21:45</t>
  </si>
  <si>
    <t>08/01/2024 22:00</t>
  </si>
  <si>
    <t>08/01/2024 22:15</t>
  </si>
  <si>
    <t>08/01/2024 22:30</t>
  </si>
  <si>
    <t>08/01/2024 22:45</t>
  </si>
  <si>
    <t>08/01/2024 23:00</t>
  </si>
  <si>
    <t>08/01/2024 23:15</t>
  </si>
  <si>
    <t>08/01/2024 23:30</t>
  </si>
  <si>
    <t>08/01/2024 23:45</t>
  </si>
  <si>
    <t>08/01/2024 24:00</t>
  </si>
  <si>
    <t>09/01/2024 00:15</t>
  </si>
  <si>
    <t>09/01/2024 00:30</t>
  </si>
  <si>
    <t>09/01/2024 00:45</t>
  </si>
  <si>
    <t>09/01/2024 01:00</t>
  </si>
  <si>
    <t>09/01/2024 01:15</t>
  </si>
  <si>
    <t>09/01/2024 01:30</t>
  </si>
  <si>
    <t>09/01/2024 01:45</t>
  </si>
  <si>
    <t>09/01/2024 02:00</t>
  </si>
  <si>
    <t>09/01/2024 02:15</t>
  </si>
  <si>
    <t>09/01/2024 02:30</t>
  </si>
  <si>
    <t>09/01/2024 02:45</t>
  </si>
  <si>
    <t>09/01/2024 03:00</t>
  </si>
  <si>
    <t>09/01/2024 03:15</t>
  </si>
  <si>
    <t>09/01/2024 03:30</t>
  </si>
  <si>
    <t>09/01/2024 03:45</t>
  </si>
  <si>
    <t>09/01/2024 04:00</t>
  </si>
  <si>
    <t>09/01/2024 04:15</t>
  </si>
  <si>
    <t>09/01/2024 04:30</t>
  </si>
  <si>
    <t>09/01/2024 04:45</t>
  </si>
  <si>
    <t>09/01/2024 05:00</t>
  </si>
  <si>
    <t>09/01/2024 05:15</t>
  </si>
  <si>
    <t>09/01/2024 05:30</t>
  </si>
  <si>
    <t>09/01/2024 05:45</t>
  </si>
  <si>
    <t>09/01/2024 06:00</t>
  </si>
  <si>
    <t>09/01/2024 06:15</t>
  </si>
  <si>
    <t>09/01/2024 06:30</t>
  </si>
  <si>
    <t>09/01/2024 06:45</t>
  </si>
  <si>
    <t>09/01/2024 07:00</t>
  </si>
  <si>
    <t>09/01/2024 07:15</t>
  </si>
  <si>
    <t>09/01/2024 07:30</t>
  </si>
  <si>
    <t>09/01/2024 07:45</t>
  </si>
  <si>
    <t>09/01/2024 08:00</t>
  </si>
  <si>
    <t>09/01/2024 08:15</t>
  </si>
  <si>
    <t>09/01/2024 08:30</t>
  </si>
  <si>
    <t>09/01/2024 08:45</t>
  </si>
  <si>
    <t>09/01/2024 09:00</t>
  </si>
  <si>
    <t>09/01/2024 09:15</t>
  </si>
  <si>
    <t>09/01/2024 09:30</t>
  </si>
  <si>
    <t>09/01/2024 09:45</t>
  </si>
  <si>
    <t>09/01/2024 10:00</t>
  </si>
  <si>
    <t>09/01/2024 10:15</t>
  </si>
  <si>
    <t>09/01/2024 10:30</t>
  </si>
  <si>
    <t>09/01/2024 10:45</t>
  </si>
  <si>
    <t>09/01/2024 11:00</t>
  </si>
  <si>
    <t>09/01/2024 11:15</t>
  </si>
  <si>
    <t>09/01/2024 11:30</t>
  </si>
  <si>
    <t>09/01/2024 11:45</t>
  </si>
  <si>
    <t>09/01/2024 12:00</t>
  </si>
  <si>
    <t>09/01/2024 12:15</t>
  </si>
  <si>
    <t>09/01/2024 12:30</t>
  </si>
  <si>
    <t>09/01/2024 12:45</t>
  </si>
  <si>
    <t>09/01/2024 13:00</t>
  </si>
  <si>
    <t>09/01/2024 13:15</t>
  </si>
  <si>
    <t>09/01/2024 13:30</t>
  </si>
  <si>
    <t>09/01/2024 13:45</t>
  </si>
  <si>
    <t>09/01/2024 14:00</t>
  </si>
  <si>
    <t>09/01/2024 14:15</t>
  </si>
  <si>
    <t>09/01/2024 14:30</t>
  </si>
  <si>
    <t>09/01/2024 14:45</t>
  </si>
  <si>
    <t>09/01/2024 15:00</t>
  </si>
  <si>
    <t>09/01/2024 15:15</t>
  </si>
  <si>
    <t>09/01/2024 15:30</t>
  </si>
  <si>
    <t>09/01/2024 15:45</t>
  </si>
  <si>
    <t>09/01/2024 16:00</t>
  </si>
  <si>
    <t>09/01/2024 16:15</t>
  </si>
  <si>
    <t>09/01/2024 16:30</t>
  </si>
  <si>
    <t>09/01/2024 16:45</t>
  </si>
  <si>
    <t>09/01/2024 17:00</t>
  </si>
  <si>
    <t>09/01/2024 17:15</t>
  </si>
  <si>
    <t>09/01/2024 17:30</t>
  </si>
  <si>
    <t>09/01/2024 17:45</t>
  </si>
  <si>
    <t>09/01/2024 18:00</t>
  </si>
  <si>
    <t>09/01/2024 18:15</t>
  </si>
  <si>
    <t>09/01/2024 18:30</t>
  </si>
  <si>
    <t>09/01/2024 18:45</t>
  </si>
  <si>
    <t>09/01/2024 19:00</t>
  </si>
  <si>
    <t>09/01/2024 19:15</t>
  </si>
  <si>
    <t>09/01/2024 19:30</t>
  </si>
  <si>
    <t>09/01/2024 19:45</t>
  </si>
  <si>
    <t>09/01/2024 20:00</t>
  </si>
  <si>
    <t>09/01/2024 20:15</t>
  </si>
  <si>
    <t>09/01/2024 20:30</t>
  </si>
  <si>
    <t>09/01/2024 20:45</t>
  </si>
  <si>
    <t>09/01/2024 21:00</t>
  </si>
  <si>
    <t>09/01/2024 21:15</t>
  </si>
  <si>
    <t>09/01/2024 21:30</t>
  </si>
  <si>
    <t>09/01/2024 21:45</t>
  </si>
  <si>
    <t>09/01/2024 22:00</t>
  </si>
  <si>
    <t>09/01/2024 22:15</t>
  </si>
  <si>
    <t>09/01/2024 22:30</t>
  </si>
  <si>
    <t>09/01/2024 22:45</t>
  </si>
  <si>
    <t>09/01/2024 23:00</t>
  </si>
  <si>
    <t>09/01/2024 23:15</t>
  </si>
  <si>
    <t>09/01/2024 23:30</t>
  </si>
  <si>
    <t>09/01/2024 23:45</t>
  </si>
  <si>
    <t>09/01/2024 24:00</t>
  </si>
  <si>
    <t>10/01/2024 00:15</t>
  </si>
  <si>
    <t>10/01/2024 00:30</t>
  </si>
  <si>
    <t>10/01/2024 00:45</t>
  </si>
  <si>
    <t>10/01/2024 01:00</t>
  </si>
  <si>
    <t>10/01/2024 01:15</t>
  </si>
  <si>
    <t>10/01/2024 01:30</t>
  </si>
  <si>
    <t>10/01/2024 01:45</t>
  </si>
  <si>
    <t>10/01/2024 02:00</t>
  </si>
  <si>
    <t>10/01/2024 02:15</t>
  </si>
  <si>
    <t>10/01/2024 02:30</t>
  </si>
  <si>
    <t>10/01/2024 02:45</t>
  </si>
  <si>
    <t>10/01/2024 03:00</t>
  </si>
  <si>
    <t>10/01/2024 03:15</t>
  </si>
  <si>
    <t>10/01/2024 03:30</t>
  </si>
  <si>
    <t>10/01/2024 03:45</t>
  </si>
  <si>
    <t>10/01/2024 04:00</t>
  </si>
  <si>
    <t>10/01/2024 04:15</t>
  </si>
  <si>
    <t>10/01/2024 04:30</t>
  </si>
  <si>
    <t>10/01/2024 04:45</t>
  </si>
  <si>
    <t>10/01/2024 05:00</t>
  </si>
  <si>
    <t>10/01/2024 05:15</t>
  </si>
  <si>
    <t>10/01/2024 05:30</t>
  </si>
  <si>
    <t>10/01/2024 05:45</t>
  </si>
  <si>
    <t>10/01/2024 06:00</t>
  </si>
  <si>
    <t>10/01/2024 06:15</t>
  </si>
  <si>
    <t>10/01/2024 06:30</t>
  </si>
  <si>
    <t>10/01/2024 06:45</t>
  </si>
  <si>
    <t>10/01/2024 07:00</t>
  </si>
  <si>
    <t>10/01/2024 07:15</t>
  </si>
  <si>
    <t>10/01/2024 07:30</t>
  </si>
  <si>
    <t>10/01/2024 07:45</t>
  </si>
  <si>
    <t>10/01/2024 08:00</t>
  </si>
  <si>
    <t>10/01/2024 08:15</t>
  </si>
  <si>
    <t>10/01/2024 08:30</t>
  </si>
  <si>
    <t>10/01/2024 08:45</t>
  </si>
  <si>
    <t>10/01/2024 09:00</t>
  </si>
  <si>
    <t>10/01/2024 09:15</t>
  </si>
  <si>
    <t>10/01/2024 09:30</t>
  </si>
  <si>
    <t>10/01/2024 09:45</t>
  </si>
  <si>
    <t>10/01/2024 10:00</t>
  </si>
  <si>
    <t>10/01/2024 10:15</t>
  </si>
  <si>
    <t>10/01/2024 10:30</t>
  </si>
  <si>
    <t>10/01/2024 10:45</t>
  </si>
  <si>
    <t>10/01/2024 11:00</t>
  </si>
  <si>
    <t>10/01/2024 11:15</t>
  </si>
  <si>
    <t>10/01/2024 11:30</t>
  </si>
  <si>
    <t>10/01/2024 11:45</t>
  </si>
  <si>
    <t>10/01/2024 12:00</t>
  </si>
  <si>
    <t>10/01/2024 12:15</t>
  </si>
  <si>
    <t>10/01/2024 12:30</t>
  </si>
  <si>
    <t>10/01/2024 12:45</t>
  </si>
  <si>
    <t>10/01/2024 13:00</t>
  </si>
  <si>
    <t>10/01/2024 13:15</t>
  </si>
  <si>
    <t>10/01/2024 13:30</t>
  </si>
  <si>
    <t>10/01/2024 13:45</t>
  </si>
  <si>
    <t>10/01/2024 14:00</t>
  </si>
  <si>
    <t>10/01/2024 14:15</t>
  </si>
  <si>
    <t>10/01/2024 14:30</t>
  </si>
  <si>
    <t>10/01/2024 14:45</t>
  </si>
  <si>
    <t>10/01/2024 15:00</t>
  </si>
  <si>
    <t>10/01/2024 15:15</t>
  </si>
  <si>
    <t>10/01/2024 15:30</t>
  </si>
  <si>
    <t>10/01/2024 15:45</t>
  </si>
  <si>
    <t>10/01/2024 16:00</t>
  </si>
  <si>
    <t>10/01/2024 16:15</t>
  </si>
  <si>
    <t>10/01/2024 16:30</t>
  </si>
  <si>
    <t>10/01/2024 16:45</t>
  </si>
  <si>
    <t>10/01/2024 17:00</t>
  </si>
  <si>
    <t>10/01/2024 17:15</t>
  </si>
  <si>
    <t>10/01/2024 17:30</t>
  </si>
  <si>
    <t>10/01/2024 17:45</t>
  </si>
  <si>
    <t>10/01/2024 18:00</t>
  </si>
  <si>
    <t>10/01/2024 18:15</t>
  </si>
  <si>
    <t>10/01/2024 18:30</t>
  </si>
  <si>
    <t>10/01/2024 18:45</t>
  </si>
  <si>
    <t>10/01/2024 19:00</t>
  </si>
  <si>
    <t>10/01/2024 19:15</t>
  </si>
  <si>
    <t>10/01/2024 19:30</t>
  </si>
  <si>
    <t>10/01/2024 19:45</t>
  </si>
  <si>
    <t>10/01/2024 20:00</t>
  </si>
  <si>
    <t>10/01/2024 20:15</t>
  </si>
  <si>
    <t>10/01/2024 20:30</t>
  </si>
  <si>
    <t>10/01/2024 20:45</t>
  </si>
  <si>
    <t>10/01/2024 21:00</t>
  </si>
  <si>
    <t>10/01/2024 21:15</t>
  </si>
  <si>
    <t>10/01/2024 21:30</t>
  </si>
  <si>
    <t>10/01/2024 21:45</t>
  </si>
  <si>
    <t>10/01/2024 22:00</t>
  </si>
  <si>
    <t>10/01/2024 22:15</t>
  </si>
  <si>
    <t>10/01/2024 22:30</t>
  </si>
  <si>
    <t>10/01/2024 22:45</t>
  </si>
  <si>
    <t>10/01/2024 23:00</t>
  </si>
  <si>
    <t>10/01/2024 23:15</t>
  </si>
  <si>
    <t>10/01/2024 23:30</t>
  </si>
  <si>
    <t>10/01/2024 23:45</t>
  </si>
  <si>
    <t>10/01/2024 24:00</t>
  </si>
  <si>
    <t>11/01/2024 00:15</t>
  </si>
  <si>
    <t>11/01/2024 00:30</t>
  </si>
  <si>
    <t>11/01/2024 00:45</t>
  </si>
  <si>
    <t>11/01/2024 01:00</t>
  </si>
  <si>
    <t>11/01/2024 01:15</t>
  </si>
  <si>
    <t>11/01/2024 01:30</t>
  </si>
  <si>
    <t>11/01/2024 01:45</t>
  </si>
  <si>
    <t>11/01/2024 02:00</t>
  </si>
  <si>
    <t>11/01/2024 02:15</t>
  </si>
  <si>
    <t>11/01/2024 02:30</t>
  </si>
  <si>
    <t>11/01/2024 02:45</t>
  </si>
  <si>
    <t>11/01/2024 03:00</t>
  </si>
  <si>
    <t>11/01/2024 03:15</t>
  </si>
  <si>
    <t>11/01/2024 03:30</t>
  </si>
  <si>
    <t>11/01/2024 03:45</t>
  </si>
  <si>
    <t>11/01/2024 04:00</t>
  </si>
  <si>
    <t>11/01/2024 04:15</t>
  </si>
  <si>
    <t>11/01/2024 04:30</t>
  </si>
  <si>
    <t>11/01/2024 04:45</t>
  </si>
  <si>
    <t>11/01/2024 05:00</t>
  </si>
  <si>
    <t>11/01/2024 05:15</t>
  </si>
  <si>
    <t>11/01/2024 05:30</t>
  </si>
  <si>
    <t>11/01/2024 05:45</t>
  </si>
  <si>
    <t>11/01/2024 06:00</t>
  </si>
  <si>
    <t>11/01/2024 06:15</t>
  </si>
  <si>
    <t>11/01/2024 06:30</t>
  </si>
  <si>
    <t>11/01/2024 06:45</t>
  </si>
  <si>
    <t>11/01/2024 07:00</t>
  </si>
  <si>
    <t>11/01/2024 07:15</t>
  </si>
  <si>
    <t>11/01/2024 07:30</t>
  </si>
  <si>
    <t>11/01/2024 07:45</t>
  </si>
  <si>
    <t>11/01/2024 08:00</t>
  </si>
  <si>
    <t>11/01/2024 08:15</t>
  </si>
  <si>
    <t>11/01/2024 08:30</t>
  </si>
  <si>
    <t>11/01/2024 08:45</t>
  </si>
  <si>
    <t>11/01/2024 09:00</t>
  </si>
  <si>
    <t>11/01/2024 09:15</t>
  </si>
  <si>
    <t>11/01/2024 09:30</t>
  </si>
  <si>
    <t>11/01/2024 09:45</t>
  </si>
  <si>
    <t>11/01/2024 10:00</t>
  </si>
  <si>
    <t>11/01/2024 10:15</t>
  </si>
  <si>
    <t>11/01/2024 10:30</t>
  </si>
  <si>
    <t>11/01/2024 10:45</t>
  </si>
  <si>
    <t>11/01/2024 11:00</t>
  </si>
  <si>
    <t>11/01/2024 11:15</t>
  </si>
  <si>
    <t>11/01/2024 11:30</t>
  </si>
  <si>
    <t>11/01/2024 11:45</t>
  </si>
  <si>
    <t>11/01/2024 12:00</t>
  </si>
  <si>
    <t>11/01/2024 12:15</t>
  </si>
  <si>
    <t>11/01/2024 12:30</t>
  </si>
  <si>
    <t>11/01/2024 12:45</t>
  </si>
  <si>
    <t>11/01/2024 13:00</t>
  </si>
  <si>
    <t>11/01/2024 13:15</t>
  </si>
  <si>
    <t>11/01/2024 13:30</t>
  </si>
  <si>
    <t>11/01/2024 13:45</t>
  </si>
  <si>
    <t>11/01/2024 14:00</t>
  </si>
  <si>
    <t>11/01/2024 14:15</t>
  </si>
  <si>
    <t>11/01/2024 14:30</t>
  </si>
  <si>
    <t>11/01/2024 14:45</t>
  </si>
  <si>
    <t>11/01/2024 15:00</t>
  </si>
  <si>
    <t>11/01/2024 15:15</t>
  </si>
  <si>
    <t>11/01/2024 15:30</t>
  </si>
  <si>
    <t>11/01/2024 15:45</t>
  </si>
  <si>
    <t>11/01/2024 16:00</t>
  </si>
  <si>
    <t>11/01/2024 16:15</t>
  </si>
  <si>
    <t>11/01/2024 16:30</t>
  </si>
  <si>
    <t>11/01/2024 16:45</t>
  </si>
  <si>
    <t>11/01/2024 17:00</t>
  </si>
  <si>
    <t>11/01/2024 17:15</t>
  </si>
  <si>
    <t>11/01/2024 17:30</t>
  </si>
  <si>
    <t>11/01/2024 17:45</t>
  </si>
  <si>
    <t>11/01/2024 18:00</t>
  </si>
  <si>
    <t>11/01/2024 18:15</t>
  </si>
  <si>
    <t>11/01/2024 18:30</t>
  </si>
  <si>
    <t>11/01/2024 18:45</t>
  </si>
  <si>
    <t>11/01/2024 19:00</t>
  </si>
  <si>
    <t>11/01/2024 19:15</t>
  </si>
  <si>
    <t>11/01/2024 19:30</t>
  </si>
  <si>
    <t>11/01/2024 19:45</t>
  </si>
  <si>
    <t>11/01/2024 20:00</t>
  </si>
  <si>
    <t>11/01/2024 20:15</t>
  </si>
  <si>
    <t>11/01/2024 20:30</t>
  </si>
  <si>
    <t>11/01/2024 20:45</t>
  </si>
  <si>
    <t>11/01/2024 21:00</t>
  </si>
  <si>
    <t>11/01/2024 21:15</t>
  </si>
  <si>
    <t>11/01/2024 21:30</t>
  </si>
  <si>
    <t>11/01/2024 21:45</t>
  </si>
  <si>
    <t>11/01/2024 22:00</t>
  </si>
  <si>
    <t>11/01/2024 22:15</t>
  </si>
  <si>
    <t>11/01/2024 22:30</t>
  </si>
  <si>
    <t>11/01/2024 22:45</t>
  </si>
  <si>
    <t>11/01/2024 23:00</t>
  </si>
  <si>
    <t>11/01/2024 23:15</t>
  </si>
  <si>
    <t>11/01/2024 23:30</t>
  </si>
  <si>
    <t>11/01/2024 23:45</t>
  </si>
  <si>
    <t>11/01/2024 24:00</t>
  </si>
  <si>
    <t>12/01/2024 00:15</t>
  </si>
  <si>
    <t>12/01/2024 00:30</t>
  </si>
  <si>
    <t>12/01/2024 00:45</t>
  </si>
  <si>
    <t>12/01/2024 01:00</t>
  </si>
  <si>
    <t>12/01/2024 01:15</t>
  </si>
  <si>
    <t>12/01/2024 01:30</t>
  </si>
  <si>
    <t>12/01/2024 01:45</t>
  </si>
  <si>
    <t>12/01/2024 02:00</t>
  </si>
  <si>
    <t>12/01/2024 02:15</t>
  </si>
  <si>
    <t>12/01/2024 02:30</t>
  </si>
  <si>
    <t>12/01/2024 02:45</t>
  </si>
  <si>
    <t>12/01/2024 03:00</t>
  </si>
  <si>
    <t>12/01/2024 03:15</t>
  </si>
  <si>
    <t>12/01/2024 03:30</t>
  </si>
  <si>
    <t>12/01/2024 03:45</t>
  </si>
  <si>
    <t>12/01/2024 04:00</t>
  </si>
  <si>
    <t>12/01/2024 04:15</t>
  </si>
  <si>
    <t>12/01/2024 04:30</t>
  </si>
  <si>
    <t>12/01/2024 04:45</t>
  </si>
  <si>
    <t>12/01/2024 05:00</t>
  </si>
  <si>
    <t>12/01/2024 05:15</t>
  </si>
  <si>
    <t>12/01/2024 05:30</t>
  </si>
  <si>
    <t>12/01/2024 05:45</t>
  </si>
  <si>
    <t>12/01/2024 06:00</t>
  </si>
  <si>
    <t>12/01/2024 06:15</t>
  </si>
  <si>
    <t>12/01/2024 06:30</t>
  </si>
  <si>
    <t>12/01/2024 06:45</t>
  </si>
  <si>
    <t>12/01/2024 07:00</t>
  </si>
  <si>
    <t>12/01/2024 07:15</t>
  </si>
  <si>
    <t>12/01/2024 07:30</t>
  </si>
  <si>
    <t>12/01/2024 07:45</t>
  </si>
  <si>
    <t>12/01/2024 08:00</t>
  </si>
  <si>
    <t>12/01/2024 08:15</t>
  </si>
  <si>
    <t>12/01/2024 08:30</t>
  </si>
  <si>
    <t>12/01/2024 08:45</t>
  </si>
  <si>
    <t>12/01/2024 09:00</t>
  </si>
  <si>
    <t>12/01/2024 09:15</t>
  </si>
  <si>
    <t>12/01/2024 09:30</t>
  </si>
  <si>
    <t>12/01/2024 09:45</t>
  </si>
  <si>
    <t>12/01/2024 10:00</t>
  </si>
  <si>
    <t>12/01/2024 10:15</t>
  </si>
  <si>
    <t>12/01/2024 10:30</t>
  </si>
  <si>
    <t>12/01/2024 10:45</t>
  </si>
  <si>
    <t>12/01/2024 11:00</t>
  </si>
  <si>
    <t>12/01/2024 11:15</t>
  </si>
  <si>
    <t>12/01/2024 11:30</t>
  </si>
  <si>
    <t>12/01/2024 11:45</t>
  </si>
  <si>
    <t>12/01/2024 12:00</t>
  </si>
  <si>
    <t>12/01/2024 12:15</t>
  </si>
  <si>
    <t>12/01/2024 12:30</t>
  </si>
  <si>
    <t>12/01/2024 12:45</t>
  </si>
  <si>
    <t>12/01/2024 13:00</t>
  </si>
  <si>
    <t>12/01/2024 13:15</t>
  </si>
  <si>
    <t>12/01/2024 13:30</t>
  </si>
  <si>
    <t>12/01/2024 13:45</t>
  </si>
  <si>
    <t>12/01/2024 14:00</t>
  </si>
  <si>
    <t>12/01/2024 14:15</t>
  </si>
  <si>
    <t>12/01/2024 14:30</t>
  </si>
  <si>
    <t>12/01/2024 14:45</t>
  </si>
  <si>
    <t>12/01/2024 15:00</t>
  </si>
  <si>
    <t>12/01/2024 15:15</t>
  </si>
  <si>
    <t>12/01/2024 15:30</t>
  </si>
  <si>
    <t>12/01/2024 15:45</t>
  </si>
  <si>
    <t>12/01/2024 16:00</t>
  </si>
  <si>
    <t>12/01/2024 16:15</t>
  </si>
  <si>
    <t>12/01/2024 16:30</t>
  </si>
  <si>
    <t>12/01/2024 16:45</t>
  </si>
  <si>
    <t>12/01/2024 17:00</t>
  </si>
  <si>
    <t>12/01/2024 17:15</t>
  </si>
  <si>
    <t>12/01/2024 17:30</t>
  </si>
  <si>
    <t>12/01/2024 17:45</t>
  </si>
  <si>
    <t>12/01/2024 18:00</t>
  </si>
  <si>
    <t>12/01/2024 18:15</t>
  </si>
  <si>
    <t>12/01/2024 18:30</t>
  </si>
  <si>
    <t>12/01/2024 18:45</t>
  </si>
  <si>
    <t>12/01/2024 19:00</t>
  </si>
  <si>
    <t>12/01/2024 19:15</t>
  </si>
  <si>
    <t>12/01/2024 19:30</t>
  </si>
  <si>
    <t>12/01/2024 19:45</t>
  </si>
  <si>
    <t>12/01/2024 20:00</t>
  </si>
  <si>
    <t>12/01/2024 20:15</t>
  </si>
  <si>
    <t>12/01/2024 20:30</t>
  </si>
  <si>
    <t>12/01/2024 20:45</t>
  </si>
  <si>
    <t>12/01/2024 21:00</t>
  </si>
  <si>
    <t>12/01/2024 21:15</t>
  </si>
  <si>
    <t>12/01/2024 21:30</t>
  </si>
  <si>
    <t>12/01/2024 21:45</t>
  </si>
  <si>
    <t>12/01/2024 22:00</t>
  </si>
  <si>
    <t>12/01/2024 22:15</t>
  </si>
  <si>
    <t>12/01/2024 22:30</t>
  </si>
  <si>
    <t>12/01/2024 22:45</t>
  </si>
  <si>
    <t>12/01/2024 23:00</t>
  </si>
  <si>
    <t>12/01/2024 23:15</t>
  </si>
  <si>
    <t>12/01/2024 23:30</t>
  </si>
  <si>
    <t>12/01/2024 23:45</t>
  </si>
  <si>
    <t>12/01/2024 24:00</t>
  </si>
  <si>
    <t>13/01/2024 00:15</t>
  </si>
  <si>
    <t>13/01/2024 00:30</t>
  </si>
  <si>
    <t>13/01/2024 00:45</t>
  </si>
  <si>
    <t>13/01/2024 01:00</t>
  </si>
  <si>
    <t>13/01/2024 01:15</t>
  </si>
  <si>
    <t>13/01/2024 01:30</t>
  </si>
  <si>
    <t>13/01/2024 01:45</t>
  </si>
  <si>
    <t>13/01/2024 02:00</t>
  </si>
  <si>
    <t>13/01/2024 02:15</t>
  </si>
  <si>
    <t>13/01/2024 02:30</t>
  </si>
  <si>
    <t>13/01/2024 02:45</t>
  </si>
  <si>
    <t>13/01/2024 03:00</t>
  </si>
  <si>
    <t>13/01/2024 03:15</t>
  </si>
  <si>
    <t>13/01/2024 03:30</t>
  </si>
  <si>
    <t>13/01/2024 03:45</t>
  </si>
  <si>
    <t>13/01/2024 04:00</t>
  </si>
  <si>
    <t>13/01/2024 04:15</t>
  </si>
  <si>
    <t>13/01/2024 04:30</t>
  </si>
  <si>
    <t>13/01/2024 04:45</t>
  </si>
  <si>
    <t>13/01/2024 05:00</t>
  </si>
  <si>
    <t>13/01/2024 05:15</t>
  </si>
  <si>
    <t>13/01/2024 05:30</t>
  </si>
  <si>
    <t>13/01/2024 05:45</t>
  </si>
  <si>
    <t>13/01/2024 06:00</t>
  </si>
  <si>
    <t>13/01/2024 06:15</t>
  </si>
  <si>
    <t>13/01/2024 06:30</t>
  </si>
  <si>
    <t>13/01/2024 06:45</t>
  </si>
  <si>
    <t>13/01/2024 07:00</t>
  </si>
  <si>
    <t>13/01/2024 07:15</t>
  </si>
  <si>
    <t>13/01/2024 07:30</t>
  </si>
  <si>
    <t>13/01/2024 07:45</t>
  </si>
  <si>
    <t>13/01/2024 08:00</t>
  </si>
  <si>
    <t>13/01/2024 08:15</t>
  </si>
  <si>
    <t>13/01/2024 08:30</t>
  </si>
  <si>
    <t>13/01/2024 08:45</t>
  </si>
  <si>
    <t>13/01/2024 09:00</t>
  </si>
  <si>
    <t>13/01/2024 09:15</t>
  </si>
  <si>
    <t>13/01/2024 09:30</t>
  </si>
  <si>
    <t>13/01/2024 09:45</t>
  </si>
  <si>
    <t>13/01/2024 10:00</t>
  </si>
  <si>
    <t>13/01/2024 10:15</t>
  </si>
  <si>
    <t>13/01/2024 10:30</t>
  </si>
  <si>
    <t>13/01/2024 10:45</t>
  </si>
  <si>
    <t>13/01/2024 11:00</t>
  </si>
  <si>
    <t>13/01/2024 11:15</t>
  </si>
  <si>
    <t>13/01/2024 11:30</t>
  </si>
  <si>
    <t>13/01/2024 11:45</t>
  </si>
  <si>
    <t>13/01/2024 12:00</t>
  </si>
  <si>
    <t>13/01/2024 12:15</t>
  </si>
  <si>
    <t>13/01/2024 12:30</t>
  </si>
  <si>
    <t>13/01/2024 12:45</t>
  </si>
  <si>
    <t>13/01/2024 13:00</t>
  </si>
  <si>
    <t>13/01/2024 13:15</t>
  </si>
  <si>
    <t>13/01/2024 13:30</t>
  </si>
  <si>
    <t>13/01/2024 13:45</t>
  </si>
  <si>
    <t>13/01/2024 14:00</t>
  </si>
  <si>
    <t>13/01/2024 14:15</t>
  </si>
  <si>
    <t>13/01/2024 14:30</t>
  </si>
  <si>
    <t>13/01/2024 14:45</t>
  </si>
  <si>
    <t>13/01/2024 15:00</t>
  </si>
  <si>
    <t>13/01/2024 15:15</t>
  </si>
  <si>
    <t>13/01/2024 15:30</t>
  </si>
  <si>
    <t>13/01/2024 15:45</t>
  </si>
  <si>
    <t>13/01/2024 16:00</t>
  </si>
  <si>
    <t>13/01/2024 16:15</t>
  </si>
  <si>
    <t>13/01/2024 16:30</t>
  </si>
  <si>
    <t>13/01/2024 16:45</t>
  </si>
  <si>
    <t>13/01/2024 17:00</t>
  </si>
  <si>
    <t>13/01/2024 17:15</t>
  </si>
  <si>
    <t>13/01/2024 17:30</t>
  </si>
  <si>
    <t>13/01/2024 17:45</t>
  </si>
  <si>
    <t>13/01/2024 18:00</t>
  </si>
  <si>
    <t>13/01/2024 18:15</t>
  </si>
  <si>
    <t>13/01/2024 18:30</t>
  </si>
  <si>
    <t>13/01/2024 18:45</t>
  </si>
  <si>
    <t>13/01/2024 19:00</t>
  </si>
  <si>
    <t>13/01/2024 19:15</t>
  </si>
  <si>
    <t>13/01/2024 19:30</t>
  </si>
  <si>
    <t>13/01/2024 19:45</t>
  </si>
  <si>
    <t>13/01/2024 20:00</t>
  </si>
  <si>
    <t>13/01/2024 20:15</t>
  </si>
  <si>
    <t>13/01/2024 20:30</t>
  </si>
  <si>
    <t>13/01/2024 20:45</t>
  </si>
  <si>
    <t>13/01/2024 21:00</t>
  </si>
  <si>
    <t>13/01/2024 21:15</t>
  </si>
  <si>
    <t>13/01/2024 21:30</t>
  </si>
  <si>
    <t>13/01/2024 21:45</t>
  </si>
  <si>
    <t>13/01/2024 22:00</t>
  </si>
  <si>
    <t>13/01/2024 22:15</t>
  </si>
  <si>
    <t>13/01/2024 22:30</t>
  </si>
  <si>
    <t>13/01/2024 22:45</t>
  </si>
  <si>
    <t>13/01/2024 23:00</t>
  </si>
  <si>
    <t>13/01/2024 23:15</t>
  </si>
  <si>
    <t>13/01/2024 23:30</t>
  </si>
  <si>
    <t>13/01/2024 23:45</t>
  </si>
  <si>
    <t>13/01/2024 24:00</t>
  </si>
  <si>
    <t>14/01/2024 00:15</t>
  </si>
  <si>
    <t>14/01/2024 00:30</t>
  </si>
  <si>
    <t>14/01/2024 00:45</t>
  </si>
  <si>
    <t>14/01/2024 01:00</t>
  </si>
  <si>
    <t>14/01/2024 01:15</t>
  </si>
  <si>
    <t>14/01/2024 01:30</t>
  </si>
  <si>
    <t>14/01/2024 01:45</t>
  </si>
  <si>
    <t>14/01/2024 02:00</t>
  </si>
  <si>
    <t>14/01/2024 02:15</t>
  </si>
  <si>
    <t>14/01/2024 02:30</t>
  </si>
  <si>
    <t>14/01/2024 02:45</t>
  </si>
  <si>
    <t>14/01/2024 03:00</t>
  </si>
  <si>
    <t>14/01/2024 03:15</t>
  </si>
  <si>
    <t>14/01/2024 03:30</t>
  </si>
  <si>
    <t>14/01/2024 03:45</t>
  </si>
  <si>
    <t>14/01/2024 04:00</t>
  </si>
  <si>
    <t>14/01/2024 04:15</t>
  </si>
  <si>
    <t>14/01/2024 04:30</t>
  </si>
  <si>
    <t>14/01/2024 04:45</t>
  </si>
  <si>
    <t>14/01/2024 05:00</t>
  </si>
  <si>
    <t>14/01/2024 05:15</t>
  </si>
  <si>
    <t>14/01/2024 05:30</t>
  </si>
  <si>
    <t>14/01/2024 05:45</t>
  </si>
  <si>
    <t>14/01/2024 06:00</t>
  </si>
  <si>
    <t>14/01/2024 06:15</t>
  </si>
  <si>
    <t>14/01/2024 06:30</t>
  </si>
  <si>
    <t>14/01/2024 06:45</t>
  </si>
  <si>
    <t>14/01/2024 07:00</t>
  </si>
  <si>
    <t>14/01/2024 07:15</t>
  </si>
  <si>
    <t>14/01/2024 07:30</t>
  </si>
  <si>
    <t>14/01/2024 07:45</t>
  </si>
  <si>
    <t>14/01/2024 08:00</t>
  </si>
  <si>
    <t>14/01/2024 08:15</t>
  </si>
  <si>
    <t>14/01/2024 08:30</t>
  </si>
  <si>
    <t>14/01/2024 08:45</t>
  </si>
  <si>
    <t>14/01/2024 09:00</t>
  </si>
  <si>
    <t>14/01/2024 09:15</t>
  </si>
  <si>
    <t>14/01/2024 09:30</t>
  </si>
  <si>
    <t>14/01/2024 09:45</t>
  </si>
  <si>
    <t>14/01/2024 10:00</t>
  </si>
  <si>
    <t>14/01/2024 10:15</t>
  </si>
  <si>
    <t>14/01/2024 10:30</t>
  </si>
  <si>
    <t>14/01/2024 10:45</t>
  </si>
  <si>
    <t>14/01/2024 11:00</t>
  </si>
  <si>
    <t>14/01/2024 11:15</t>
  </si>
  <si>
    <t>14/01/2024 11:30</t>
  </si>
  <si>
    <t>14/01/2024 11:45</t>
  </si>
  <si>
    <t>14/01/2024 12:00</t>
  </si>
  <si>
    <t>14/01/2024 12:15</t>
  </si>
  <si>
    <t>14/01/2024 12:30</t>
  </si>
  <si>
    <t>14/01/2024 12:45</t>
  </si>
  <si>
    <t>14/01/2024 13:00</t>
  </si>
  <si>
    <t>14/01/2024 13:15</t>
  </si>
  <si>
    <t>14/01/2024 13:30</t>
  </si>
  <si>
    <t>14/01/2024 13:45</t>
  </si>
  <si>
    <t>14/01/2024 14:00</t>
  </si>
  <si>
    <t>14/01/2024 14:15</t>
  </si>
  <si>
    <t>14/01/2024 14:30</t>
  </si>
  <si>
    <t>14/01/2024 14:45</t>
  </si>
  <si>
    <t>14/01/2024 15:00</t>
  </si>
  <si>
    <t>14/01/2024 15:15</t>
  </si>
  <si>
    <t>14/01/2024 15:30</t>
  </si>
  <si>
    <t>14/01/2024 15:45</t>
  </si>
  <si>
    <t>14/01/2024 16:00</t>
  </si>
  <si>
    <t>14/01/2024 16:15</t>
  </si>
  <si>
    <t>14/01/2024 16:30</t>
  </si>
  <si>
    <t>14/01/2024 16:45</t>
  </si>
  <si>
    <t>14/01/2024 17:00</t>
  </si>
  <si>
    <t>14/01/2024 17:15</t>
  </si>
  <si>
    <t>14/01/2024 17:30</t>
  </si>
  <si>
    <t>14/01/2024 17:45</t>
  </si>
  <si>
    <t>14/01/2024 18:00</t>
  </si>
  <si>
    <t>14/01/2024 18:15</t>
  </si>
  <si>
    <t>14/01/2024 18:30</t>
  </si>
  <si>
    <t>14/01/2024 18:45</t>
  </si>
  <si>
    <t>14/01/2024 19:00</t>
  </si>
  <si>
    <t>14/01/2024 19:15</t>
  </si>
  <si>
    <t>14/01/2024 19:30</t>
  </si>
  <si>
    <t>14/01/2024 19:45</t>
  </si>
  <si>
    <t>14/01/2024 20:00</t>
  </si>
  <si>
    <t>14/01/2024 20:15</t>
  </si>
  <si>
    <t>14/01/2024 20:30</t>
  </si>
  <si>
    <t>14/01/2024 20:45</t>
  </si>
  <si>
    <t>14/01/2024 21:00</t>
  </si>
  <si>
    <t>14/01/2024 21:15</t>
  </si>
  <si>
    <t>14/01/2024 21:30</t>
  </si>
  <si>
    <t>14/01/2024 21:45</t>
  </si>
  <si>
    <t>14/01/2024 22:00</t>
  </si>
  <si>
    <t>14/01/2024 22:15</t>
  </si>
  <si>
    <t>14/01/2024 22:30</t>
  </si>
  <si>
    <t>14/01/2024 22:45</t>
  </si>
  <si>
    <t>14/01/2024 23:00</t>
  </si>
  <si>
    <t>14/01/2024 23:15</t>
  </si>
  <si>
    <t>14/01/2024 23:30</t>
  </si>
  <si>
    <t>14/01/2024 23:45</t>
  </si>
  <si>
    <t>14/01/2024 24:00</t>
  </si>
  <si>
    <t>15/01/2024 00:15</t>
  </si>
  <si>
    <t>15/01/2024 00:30</t>
  </si>
  <si>
    <t>15/01/2024 00:45</t>
  </si>
  <si>
    <t>15/01/2024 01:00</t>
  </si>
  <si>
    <t>15/01/2024 01:15</t>
  </si>
  <si>
    <t>15/01/2024 01:30</t>
  </si>
  <si>
    <t>15/01/2024 01:45</t>
  </si>
  <si>
    <t>15/01/2024 02:00</t>
  </si>
  <si>
    <t>15/01/2024 02:15</t>
  </si>
  <si>
    <t>15/01/2024 02:30</t>
  </si>
  <si>
    <t>15/01/2024 02:45</t>
  </si>
  <si>
    <t>15/01/2024 03:00</t>
  </si>
  <si>
    <t>15/01/2024 03:15</t>
  </si>
  <si>
    <t>15/01/2024 03:30</t>
  </si>
  <si>
    <t>15/01/2024 03:45</t>
  </si>
  <si>
    <t>15/01/2024 04:00</t>
  </si>
  <si>
    <t>15/01/2024 04:15</t>
  </si>
  <si>
    <t>15/01/2024 04:30</t>
  </si>
  <si>
    <t>15/01/2024 04:45</t>
  </si>
  <si>
    <t>15/01/2024 05:00</t>
  </si>
  <si>
    <t>15/01/2024 05:15</t>
  </si>
  <si>
    <t>15/01/2024 05:30</t>
  </si>
  <si>
    <t>15/01/2024 05:45</t>
  </si>
  <si>
    <t>15/01/2024 06:00</t>
  </si>
  <si>
    <t>15/01/2024 06:15</t>
  </si>
  <si>
    <t>15/01/2024 06:30</t>
  </si>
  <si>
    <t>15/01/2024 06:45</t>
  </si>
  <si>
    <t>15/01/2024 07:00</t>
  </si>
  <si>
    <t>15/01/2024 07:15</t>
  </si>
  <si>
    <t>15/01/2024 07:30</t>
  </si>
  <si>
    <t>15/01/2024 07:45</t>
  </si>
  <si>
    <t>15/01/2024 08:00</t>
  </si>
  <si>
    <t>15/01/2024 08:15</t>
  </si>
  <si>
    <t>15/01/2024 08:30</t>
  </si>
  <si>
    <t>15/01/2024 08:45</t>
  </si>
  <si>
    <t>15/01/2024 09:00</t>
  </si>
  <si>
    <t>15/01/2024 09:15</t>
  </si>
  <si>
    <t>15/01/2024 09:30</t>
  </si>
  <si>
    <t>15/01/2024 09:45</t>
  </si>
  <si>
    <t>15/01/2024 10:00</t>
  </si>
  <si>
    <t>15/01/2024 10:15</t>
  </si>
  <si>
    <t>15/01/2024 10:30</t>
  </si>
  <si>
    <t>15/01/2024 10:45</t>
  </si>
  <si>
    <t>15/01/2024 11:00</t>
  </si>
  <si>
    <t>15/01/2024 11:15</t>
  </si>
  <si>
    <t>15/01/2024 11:30</t>
  </si>
  <si>
    <t>15/01/2024 11:45</t>
  </si>
  <si>
    <t>15/01/2024 12:00</t>
  </si>
  <si>
    <t>15/01/2024 12:15</t>
  </si>
  <si>
    <t>15/01/2024 12:30</t>
  </si>
  <si>
    <t>15/01/2024 12:45</t>
  </si>
  <si>
    <t>15/01/2024 13:00</t>
  </si>
  <si>
    <t>15/01/2024 13:15</t>
  </si>
  <si>
    <t>15/01/2024 13:30</t>
  </si>
  <si>
    <t>15/01/2024 13:45</t>
  </si>
  <si>
    <t>15/01/2024 14:00</t>
  </si>
  <si>
    <t>15/01/2024 14:15</t>
  </si>
  <si>
    <t>15/01/2024 14:30</t>
  </si>
  <si>
    <t>15/01/2024 14:45</t>
  </si>
  <si>
    <t>15/01/2024 15:00</t>
  </si>
  <si>
    <t>15/01/2024 15:15</t>
  </si>
  <si>
    <t>15/01/2024 15:30</t>
  </si>
  <si>
    <t>15/01/2024 15:45</t>
  </si>
  <si>
    <t>15/01/2024 16:00</t>
  </si>
  <si>
    <t>15/01/2024 16:15</t>
  </si>
  <si>
    <t>15/01/2024 16:30</t>
  </si>
  <si>
    <t>15/01/2024 16:45</t>
  </si>
  <si>
    <t>15/01/2024 17:00</t>
  </si>
  <si>
    <t>15/01/2024 17:15</t>
  </si>
  <si>
    <t>15/01/2024 17:30</t>
  </si>
  <si>
    <t>15/01/2024 17:45</t>
  </si>
  <si>
    <t>15/01/2024 18:00</t>
  </si>
  <si>
    <t>15/01/2024 18:15</t>
  </si>
  <si>
    <t>15/01/2024 18:30</t>
  </si>
  <si>
    <t>15/01/2024 18:45</t>
  </si>
  <si>
    <t>15/01/2024 19:00</t>
  </si>
  <si>
    <t>15/01/2024 19:15</t>
  </si>
  <si>
    <t>15/01/2024 19:30</t>
  </si>
  <si>
    <t>15/01/2024 19:45</t>
  </si>
  <si>
    <t>15/01/2024 20:00</t>
  </si>
  <si>
    <t>15/01/2024 20:15</t>
  </si>
  <si>
    <t>15/01/2024 20:30</t>
  </si>
  <si>
    <t>15/01/2024 20:45</t>
  </si>
  <si>
    <t>15/01/2024 21:00</t>
  </si>
  <si>
    <t>15/01/2024 21:15</t>
  </si>
  <si>
    <t>15/01/2024 21:30</t>
  </si>
  <si>
    <t>15/01/2024 21:45</t>
  </si>
  <si>
    <t>15/01/2024 22:00</t>
  </si>
  <si>
    <t>15/01/2024 22:15</t>
  </si>
  <si>
    <t>15/01/2024 22:30</t>
  </si>
  <si>
    <t>15/01/2024 22:45</t>
  </si>
  <si>
    <t>15/01/2024 23:00</t>
  </si>
  <si>
    <t>15/01/2024 23:15</t>
  </si>
  <si>
    <t>15/01/2024 23:30</t>
  </si>
  <si>
    <t>15/01/2024 23:45</t>
  </si>
  <si>
    <t>15/01/2024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</si>
</sst>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7"/>
  <sheetViews>
    <sheetView zoomScale="80" zoomScaleNormal="80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239</v>
      </c>
      <c r="B9" s="6">
        <v>16.41</v>
      </c>
      <c r="C9" s="6">
        <v>30.55</v>
      </c>
      <c r="D9" s="6">
        <v>30.47</v>
      </c>
      <c r="E9" s="6">
        <v>6.04</v>
      </c>
      <c r="F9" s="6">
        <v>2.56</v>
      </c>
      <c r="G9" s="6">
        <v>146.82</v>
      </c>
      <c r="H9" s="6">
        <v>70.44</v>
      </c>
      <c r="I9" s="6">
        <v>10.61</v>
      </c>
      <c r="J9" s="6">
        <v>0.14000000000000001</v>
      </c>
      <c r="K9" s="6">
        <v>160.01</v>
      </c>
      <c r="L9" s="6">
        <v>17.149999999999999</v>
      </c>
      <c r="M9" s="6">
        <v>90.45</v>
      </c>
      <c r="N9" s="6">
        <v>0</v>
      </c>
      <c r="O9" s="6">
        <v>0</v>
      </c>
      <c r="P9" s="6">
        <v>1.19</v>
      </c>
      <c r="Q9" s="6">
        <v>5.03</v>
      </c>
    </row>
    <row r="10" spans="1:21" customFormat="1">
      <c r="A10" s="6" t="s">
        <v>240</v>
      </c>
      <c r="B10" s="6">
        <v>15.88</v>
      </c>
      <c r="C10" s="6">
        <v>29.75</v>
      </c>
      <c r="D10" s="6">
        <v>29.63</v>
      </c>
      <c r="E10" s="6">
        <v>6.35</v>
      </c>
      <c r="F10" s="6">
        <v>2.56</v>
      </c>
      <c r="G10" s="6">
        <v>146.82</v>
      </c>
      <c r="H10" s="6">
        <v>70.44</v>
      </c>
      <c r="I10" s="6">
        <v>10.61</v>
      </c>
      <c r="J10" s="6">
        <v>0.15</v>
      </c>
      <c r="K10" s="6">
        <v>165.14</v>
      </c>
      <c r="L10" s="6">
        <v>17.02</v>
      </c>
      <c r="M10" s="6">
        <v>90.16</v>
      </c>
      <c r="N10" s="6">
        <v>0</v>
      </c>
      <c r="O10" s="6">
        <v>0</v>
      </c>
      <c r="P10" s="6">
        <v>1.19</v>
      </c>
      <c r="Q10" s="6">
        <v>5.0199999999999996</v>
      </c>
    </row>
    <row r="11" spans="1:21" customFormat="1">
      <c r="A11" s="6" t="s">
        <v>241</v>
      </c>
      <c r="B11" s="6">
        <v>14.96</v>
      </c>
      <c r="C11" s="6">
        <v>29.53</v>
      </c>
      <c r="D11" s="6">
        <v>28.77</v>
      </c>
      <c r="E11" s="6">
        <v>6.13</v>
      </c>
      <c r="F11" s="6">
        <v>2.6</v>
      </c>
      <c r="G11" s="6">
        <v>138.11000000000001</v>
      </c>
      <c r="H11" s="6">
        <v>72.84</v>
      </c>
      <c r="I11" s="6">
        <v>10.59</v>
      </c>
      <c r="J11" s="6">
        <v>0.08</v>
      </c>
      <c r="K11" s="6">
        <v>228.02</v>
      </c>
      <c r="L11" s="6">
        <v>17.07</v>
      </c>
      <c r="M11" s="6">
        <v>91.13</v>
      </c>
      <c r="N11" s="6">
        <v>0</v>
      </c>
      <c r="O11" s="6">
        <v>0</v>
      </c>
      <c r="P11" s="6">
        <v>1.19</v>
      </c>
      <c r="Q11" s="6">
        <v>5</v>
      </c>
    </row>
    <row r="12" spans="1:21" customFormat="1">
      <c r="A12" s="6" t="s">
        <v>242</v>
      </c>
      <c r="B12" s="6">
        <v>14.96</v>
      </c>
      <c r="C12" s="6">
        <v>29.53</v>
      </c>
      <c r="D12" s="6">
        <v>28.77</v>
      </c>
      <c r="E12" s="6">
        <v>6.13</v>
      </c>
      <c r="F12" s="6">
        <v>2.6</v>
      </c>
      <c r="G12" s="6">
        <v>138.11000000000001</v>
      </c>
      <c r="H12" s="6">
        <v>72.84</v>
      </c>
      <c r="I12" s="6">
        <v>10.59</v>
      </c>
      <c r="J12" s="6">
        <v>0.08</v>
      </c>
      <c r="K12" s="6">
        <v>228.02</v>
      </c>
      <c r="L12" s="6">
        <v>17.07</v>
      </c>
      <c r="M12" s="6">
        <v>91.13</v>
      </c>
      <c r="N12" s="6">
        <v>0</v>
      </c>
      <c r="O12" s="6">
        <v>0</v>
      </c>
      <c r="P12" s="6">
        <v>1.19</v>
      </c>
      <c r="Q12" s="6">
        <v>5</v>
      </c>
    </row>
    <row r="13" spans="1:21" customFormat="1">
      <c r="A13" s="6" t="s">
        <v>243</v>
      </c>
      <c r="B13" s="6">
        <v>14.09</v>
      </c>
      <c r="C13" s="6">
        <v>28.44</v>
      </c>
      <c r="D13" s="6">
        <v>27.51</v>
      </c>
      <c r="E13" s="6">
        <v>5.96</v>
      </c>
      <c r="F13" s="6">
        <v>2.62</v>
      </c>
      <c r="G13" s="6">
        <v>136.88999999999999</v>
      </c>
      <c r="H13" s="6">
        <v>72.84</v>
      </c>
      <c r="I13" s="6">
        <v>10.57</v>
      </c>
      <c r="J13" s="6">
        <v>0.13</v>
      </c>
      <c r="K13" s="6">
        <v>153.24</v>
      </c>
      <c r="L13" s="6">
        <v>16.87</v>
      </c>
      <c r="M13" s="6">
        <v>92.18</v>
      </c>
      <c r="N13" s="6">
        <v>0</v>
      </c>
      <c r="O13" s="6">
        <v>0</v>
      </c>
      <c r="P13" s="6">
        <v>1.17</v>
      </c>
      <c r="Q13" s="6">
        <v>4.96</v>
      </c>
    </row>
    <row r="14" spans="1:21" customFormat="1">
      <c r="A14" s="6" t="s">
        <v>244</v>
      </c>
      <c r="B14" s="6">
        <v>13.6</v>
      </c>
      <c r="C14" s="6">
        <v>28.15</v>
      </c>
      <c r="D14" s="6">
        <v>26.96</v>
      </c>
      <c r="E14" s="6">
        <v>5.83</v>
      </c>
      <c r="F14" s="6">
        <v>2.67</v>
      </c>
      <c r="G14" s="6">
        <v>136.88999999999999</v>
      </c>
      <c r="H14" s="6">
        <v>72.84</v>
      </c>
      <c r="I14" s="6">
        <v>10.56</v>
      </c>
      <c r="J14" s="6">
        <v>0.11</v>
      </c>
      <c r="K14" s="6">
        <v>165.74</v>
      </c>
      <c r="L14" s="6">
        <v>16.72</v>
      </c>
      <c r="M14" s="6">
        <v>92.11</v>
      </c>
      <c r="N14" s="6">
        <v>0</v>
      </c>
      <c r="O14" s="6">
        <v>0</v>
      </c>
      <c r="P14" s="6">
        <v>1.1599999999999999</v>
      </c>
      <c r="Q14" s="6">
        <v>0</v>
      </c>
    </row>
    <row r="15" spans="1:21" customFormat="1">
      <c r="A15" s="6" t="s">
        <v>245</v>
      </c>
      <c r="B15" s="6">
        <v>14.12</v>
      </c>
      <c r="C15" s="6">
        <v>28.9</v>
      </c>
      <c r="D15" s="6">
        <v>27.78</v>
      </c>
      <c r="E15" s="6">
        <v>6.68</v>
      </c>
      <c r="F15" s="6">
        <v>2.7</v>
      </c>
      <c r="G15" s="6">
        <v>127.8</v>
      </c>
      <c r="H15" s="6">
        <v>71.540000000000006</v>
      </c>
      <c r="I15" s="6">
        <v>10.53</v>
      </c>
      <c r="J15" s="6">
        <v>0.11</v>
      </c>
      <c r="K15" s="6">
        <v>97.33</v>
      </c>
      <c r="L15" s="6">
        <v>16.68</v>
      </c>
      <c r="M15" s="6">
        <v>92</v>
      </c>
      <c r="N15" s="6">
        <v>0</v>
      </c>
      <c r="O15" s="6">
        <v>0</v>
      </c>
      <c r="P15" s="6">
        <v>1.17</v>
      </c>
      <c r="Q15" s="6">
        <v>4.9400000000000004</v>
      </c>
    </row>
    <row r="16" spans="1:21" customFormat="1">
      <c r="A16" s="6" t="s">
        <v>246</v>
      </c>
      <c r="B16" s="6">
        <v>15.98</v>
      </c>
      <c r="C16" s="6">
        <v>30.02</v>
      </c>
      <c r="D16" s="6">
        <v>29.85</v>
      </c>
      <c r="E16" s="6">
        <v>6.65</v>
      </c>
      <c r="F16" s="6">
        <v>2.56</v>
      </c>
      <c r="G16" s="6">
        <v>126.47</v>
      </c>
      <c r="H16" s="6">
        <v>71.540000000000006</v>
      </c>
      <c r="I16" s="6">
        <v>10.49</v>
      </c>
      <c r="J16" s="6">
        <v>0.08</v>
      </c>
      <c r="K16" s="6">
        <v>85.75</v>
      </c>
      <c r="L16" s="6">
        <v>16.73</v>
      </c>
      <c r="M16" s="6">
        <v>90.65</v>
      </c>
      <c r="N16" s="6">
        <v>0</v>
      </c>
      <c r="O16" s="6">
        <v>0</v>
      </c>
      <c r="P16" s="6">
        <v>1.19</v>
      </c>
      <c r="Q16" s="6">
        <v>4.97</v>
      </c>
    </row>
    <row r="17" spans="1:17" customFormat="1">
      <c r="A17" s="6" t="s">
        <v>247</v>
      </c>
      <c r="B17" s="6">
        <v>18.22</v>
      </c>
      <c r="C17" s="6">
        <v>31.16</v>
      </c>
      <c r="D17" s="6">
        <v>32.24</v>
      </c>
      <c r="E17" s="6">
        <v>6.26</v>
      </c>
      <c r="F17" s="6">
        <v>2.5099999999999998</v>
      </c>
      <c r="G17" s="6">
        <v>126.47</v>
      </c>
      <c r="H17" s="6">
        <v>71.540000000000006</v>
      </c>
      <c r="I17" s="6">
        <v>10.54</v>
      </c>
      <c r="J17" s="6">
        <v>0.09</v>
      </c>
      <c r="K17" s="6">
        <v>55.22</v>
      </c>
      <c r="L17" s="6">
        <v>16.66</v>
      </c>
      <c r="M17" s="6">
        <v>90.76</v>
      </c>
      <c r="N17" s="6">
        <v>0</v>
      </c>
      <c r="O17" s="6">
        <v>0</v>
      </c>
      <c r="P17" s="6">
        <v>1.21</v>
      </c>
      <c r="Q17" s="6">
        <v>4.9800000000000004</v>
      </c>
    </row>
    <row r="18" spans="1:17" customFormat="1">
      <c r="A18" s="6" t="s">
        <v>248</v>
      </c>
      <c r="B18" s="6">
        <v>20.05</v>
      </c>
      <c r="C18" s="6">
        <v>32.270000000000003</v>
      </c>
      <c r="D18" s="6">
        <v>34.29</v>
      </c>
      <c r="E18" s="6">
        <v>7.19</v>
      </c>
      <c r="F18" s="6">
        <v>2.59</v>
      </c>
      <c r="G18" s="6">
        <v>126.47</v>
      </c>
      <c r="H18" s="6">
        <v>71.540000000000006</v>
      </c>
      <c r="I18" s="6">
        <v>10.69</v>
      </c>
      <c r="J18" s="6">
        <v>0.09</v>
      </c>
      <c r="K18" s="6">
        <v>73.77</v>
      </c>
      <c r="L18" s="6">
        <v>16.579999999999998</v>
      </c>
      <c r="M18" s="6">
        <v>91.13</v>
      </c>
      <c r="N18" s="6">
        <v>0</v>
      </c>
      <c r="O18" s="6">
        <v>0</v>
      </c>
      <c r="P18" s="6">
        <v>1.22</v>
      </c>
      <c r="Q18" s="6">
        <v>5</v>
      </c>
    </row>
    <row r="19" spans="1:17" customFormat="1">
      <c r="A19" s="6" t="s">
        <v>249</v>
      </c>
      <c r="B19" s="6">
        <v>21.4</v>
      </c>
      <c r="C19" s="6">
        <v>29.42</v>
      </c>
      <c r="D19" s="6">
        <v>33.880000000000003</v>
      </c>
      <c r="E19" s="6">
        <v>7.2</v>
      </c>
      <c r="F19" s="6">
        <v>2.92</v>
      </c>
      <c r="G19" s="6">
        <v>147.68</v>
      </c>
      <c r="H19" s="6">
        <v>75.64</v>
      </c>
      <c r="I19" s="6">
        <v>10.89</v>
      </c>
      <c r="J19" s="6">
        <v>0.24</v>
      </c>
      <c r="K19" s="6">
        <v>34.46</v>
      </c>
      <c r="L19" s="6">
        <v>16.47</v>
      </c>
      <c r="M19" s="6">
        <v>91.87</v>
      </c>
      <c r="N19" s="6">
        <v>0</v>
      </c>
      <c r="O19" s="6">
        <v>0</v>
      </c>
      <c r="P19" s="6">
        <v>1.21</v>
      </c>
      <c r="Q19" s="6">
        <v>5.03</v>
      </c>
    </row>
    <row r="20" spans="1:17" customFormat="1">
      <c r="A20" s="6" t="s">
        <v>250</v>
      </c>
      <c r="B20" s="6">
        <v>22.05</v>
      </c>
      <c r="C20" s="6">
        <v>28.05</v>
      </c>
      <c r="D20" s="6">
        <v>33.68</v>
      </c>
      <c r="E20" s="6">
        <v>6.9</v>
      </c>
      <c r="F20" s="6">
        <v>2.74</v>
      </c>
      <c r="G20" s="6">
        <v>150.94999999999999</v>
      </c>
      <c r="H20" s="6">
        <v>75.64</v>
      </c>
      <c r="I20" s="6">
        <v>10.99</v>
      </c>
      <c r="J20" s="6">
        <v>0.14000000000000001</v>
      </c>
      <c r="K20" s="6">
        <v>57.76</v>
      </c>
      <c r="L20" s="6">
        <v>16.41</v>
      </c>
      <c r="M20" s="6">
        <v>92.16</v>
      </c>
      <c r="N20" s="6">
        <v>0</v>
      </c>
      <c r="O20" s="6">
        <v>0</v>
      </c>
      <c r="P20" s="6">
        <v>1.21</v>
      </c>
      <c r="Q20" s="6">
        <v>5.03</v>
      </c>
    </row>
    <row r="21" spans="1:17" customFormat="1">
      <c r="A21" s="6" t="s">
        <v>251</v>
      </c>
      <c r="B21" s="6">
        <v>22.01</v>
      </c>
      <c r="C21" s="6">
        <v>29.1</v>
      </c>
      <c r="D21" s="6">
        <v>34.21</v>
      </c>
      <c r="E21" s="6">
        <v>6.9</v>
      </c>
      <c r="F21" s="6">
        <v>2.4500000000000002</v>
      </c>
      <c r="G21" s="6">
        <v>150.94999999999999</v>
      </c>
      <c r="H21" s="6">
        <v>75.64</v>
      </c>
      <c r="I21" s="6">
        <v>11.02</v>
      </c>
      <c r="J21" s="6">
        <v>0.12</v>
      </c>
      <c r="K21" s="6">
        <v>37.47</v>
      </c>
      <c r="L21" s="6">
        <v>16.260000000000002</v>
      </c>
      <c r="M21" s="6">
        <v>92.79</v>
      </c>
      <c r="N21" s="6">
        <v>0</v>
      </c>
      <c r="O21" s="6">
        <v>0</v>
      </c>
      <c r="P21" s="6">
        <v>1.21</v>
      </c>
      <c r="Q21" s="6">
        <v>5.03</v>
      </c>
    </row>
    <row r="22" spans="1:17" customFormat="1">
      <c r="A22" s="6" t="s">
        <v>252</v>
      </c>
      <c r="B22" s="6">
        <v>22.04</v>
      </c>
      <c r="C22" s="6">
        <v>27.4</v>
      </c>
      <c r="D22" s="6">
        <v>33.340000000000003</v>
      </c>
      <c r="E22" s="6">
        <v>6.64</v>
      </c>
      <c r="F22" s="6">
        <v>2.57</v>
      </c>
      <c r="G22" s="6">
        <v>150.94999999999999</v>
      </c>
      <c r="H22" s="6">
        <v>75.64</v>
      </c>
      <c r="I22" s="6">
        <v>11.08</v>
      </c>
      <c r="J22" s="6">
        <v>0.2</v>
      </c>
      <c r="K22" s="6">
        <v>44.86</v>
      </c>
      <c r="L22" s="6">
        <v>15.95</v>
      </c>
      <c r="M22" s="6">
        <v>95.02</v>
      </c>
      <c r="N22" s="6">
        <v>0</v>
      </c>
      <c r="O22" s="6">
        <v>0</v>
      </c>
      <c r="P22" s="6">
        <v>1.19</v>
      </c>
      <c r="Q22" s="6">
        <v>5.04</v>
      </c>
    </row>
    <row r="23" spans="1:17" customFormat="1">
      <c r="A23" s="6" t="s">
        <v>253</v>
      </c>
      <c r="B23" s="6">
        <v>21.94</v>
      </c>
      <c r="C23" s="6">
        <v>28.99</v>
      </c>
      <c r="D23" s="6">
        <v>34.090000000000003</v>
      </c>
      <c r="E23" s="6">
        <v>6.35</v>
      </c>
      <c r="F23" s="6">
        <v>2.2799999999999998</v>
      </c>
      <c r="G23" s="6">
        <v>153.15</v>
      </c>
      <c r="H23" s="6">
        <v>76.05</v>
      </c>
      <c r="I23" s="6">
        <v>11.15</v>
      </c>
      <c r="J23" s="6">
        <v>0.08</v>
      </c>
      <c r="K23" s="6">
        <v>115.66</v>
      </c>
      <c r="L23" s="6">
        <v>16</v>
      </c>
      <c r="M23" s="6">
        <v>94.3</v>
      </c>
      <c r="N23" s="6">
        <v>0</v>
      </c>
      <c r="O23" s="6">
        <v>0</v>
      </c>
      <c r="P23" s="6">
        <v>1.2</v>
      </c>
      <c r="Q23" s="6">
        <v>5.04</v>
      </c>
    </row>
    <row r="24" spans="1:17" customFormat="1">
      <c r="A24" s="6" t="s">
        <v>254</v>
      </c>
      <c r="B24" s="6">
        <v>22.02</v>
      </c>
      <c r="C24" s="6">
        <v>27.77</v>
      </c>
      <c r="D24" s="6">
        <v>33.51</v>
      </c>
      <c r="E24" s="6">
        <v>6.66</v>
      </c>
      <c r="F24" s="6">
        <v>2.63</v>
      </c>
      <c r="G24" s="6">
        <v>153.33000000000001</v>
      </c>
      <c r="H24" s="6">
        <v>76.05</v>
      </c>
      <c r="I24" s="6">
        <v>11.21</v>
      </c>
      <c r="J24" s="6">
        <v>0.12</v>
      </c>
      <c r="K24" s="6">
        <v>67.11</v>
      </c>
      <c r="L24" s="6">
        <v>16.03</v>
      </c>
      <c r="M24" s="6">
        <v>93.95</v>
      </c>
      <c r="N24" s="6">
        <v>0</v>
      </c>
      <c r="O24" s="6">
        <v>0</v>
      </c>
      <c r="P24" s="6">
        <v>1.19</v>
      </c>
      <c r="Q24" s="6">
        <v>5.07</v>
      </c>
    </row>
    <row r="25" spans="1:17" customFormat="1">
      <c r="A25" s="6" t="s">
        <v>255</v>
      </c>
      <c r="B25" s="6">
        <v>22.29</v>
      </c>
      <c r="C25" s="6">
        <v>27.85</v>
      </c>
      <c r="D25" s="6">
        <v>33.78</v>
      </c>
      <c r="E25" s="6">
        <v>6.53</v>
      </c>
      <c r="F25" s="6">
        <v>2.52</v>
      </c>
      <c r="G25" s="6">
        <v>153.33000000000001</v>
      </c>
      <c r="H25" s="6">
        <v>76.05</v>
      </c>
      <c r="I25" s="6">
        <v>11.31</v>
      </c>
      <c r="J25" s="6">
        <v>0.13</v>
      </c>
      <c r="K25" s="6">
        <v>99.34</v>
      </c>
      <c r="L25" s="6">
        <v>15.85</v>
      </c>
      <c r="M25" s="6">
        <v>94.62</v>
      </c>
      <c r="N25" s="6">
        <v>0</v>
      </c>
      <c r="O25" s="6">
        <v>0</v>
      </c>
      <c r="P25" s="6">
        <v>1.18</v>
      </c>
      <c r="Q25" s="6">
        <v>5.08</v>
      </c>
    </row>
    <row r="26" spans="1:17" customFormat="1">
      <c r="A26" s="6" t="s">
        <v>256</v>
      </c>
      <c r="B26" s="6">
        <v>22.16</v>
      </c>
      <c r="C26" s="6">
        <v>28.22</v>
      </c>
      <c r="D26" s="6">
        <v>33.869999999999997</v>
      </c>
      <c r="E26" s="6">
        <v>6.39</v>
      </c>
      <c r="F26" s="6">
        <v>2.48</v>
      </c>
      <c r="G26" s="6">
        <v>153.33000000000001</v>
      </c>
      <c r="H26" s="6">
        <v>76.05</v>
      </c>
      <c r="I26" s="6">
        <v>11.34</v>
      </c>
      <c r="J26" s="6">
        <v>7.0000000000000007E-2</v>
      </c>
      <c r="K26" s="6">
        <v>136.22999999999999</v>
      </c>
      <c r="L26" s="6">
        <v>15.91</v>
      </c>
      <c r="M26" s="6">
        <v>94.18</v>
      </c>
      <c r="N26" s="6">
        <v>0</v>
      </c>
      <c r="O26" s="6">
        <v>0</v>
      </c>
      <c r="P26" s="6">
        <v>1.17</v>
      </c>
      <c r="Q26" s="6">
        <v>5.0999999999999996</v>
      </c>
    </row>
    <row r="27" spans="1:17" customFormat="1">
      <c r="A27" s="6" t="s">
        <v>257</v>
      </c>
      <c r="B27" s="6">
        <v>21.96</v>
      </c>
      <c r="C27" s="6">
        <v>27.7</v>
      </c>
      <c r="D27" s="6">
        <v>33.43</v>
      </c>
      <c r="E27" s="6">
        <v>6.92</v>
      </c>
      <c r="F27" s="6">
        <v>2.59</v>
      </c>
      <c r="G27" s="6">
        <v>140.71</v>
      </c>
      <c r="H27" s="6">
        <v>77.03</v>
      </c>
      <c r="I27" s="6">
        <v>11.34</v>
      </c>
      <c r="J27" s="6">
        <v>0.11</v>
      </c>
      <c r="K27" s="6">
        <v>127.93</v>
      </c>
      <c r="L27" s="6">
        <v>15.84</v>
      </c>
      <c r="M27" s="6">
        <v>93.96</v>
      </c>
      <c r="N27" s="6">
        <v>0</v>
      </c>
      <c r="O27" s="6">
        <v>0</v>
      </c>
      <c r="P27" s="6">
        <v>1.1499999999999999</v>
      </c>
      <c r="Q27" s="6">
        <v>5.0999999999999996</v>
      </c>
    </row>
    <row r="28" spans="1:17" customFormat="1">
      <c r="A28" s="6" t="s">
        <v>258</v>
      </c>
      <c r="B28" s="6">
        <v>21.27</v>
      </c>
      <c r="C28" s="6">
        <v>28.38</v>
      </c>
      <c r="D28" s="6">
        <v>33.24</v>
      </c>
      <c r="E28" s="6">
        <v>6.46</v>
      </c>
      <c r="F28" s="6">
        <v>2.4700000000000002</v>
      </c>
      <c r="G28" s="6">
        <v>138.96</v>
      </c>
      <c r="H28" s="6">
        <v>77.03</v>
      </c>
      <c r="I28" s="6">
        <v>11.36</v>
      </c>
      <c r="J28" s="6">
        <v>0.12</v>
      </c>
      <c r="K28" s="6">
        <v>134.31</v>
      </c>
      <c r="L28" s="6">
        <v>15.88</v>
      </c>
      <c r="M28" s="6">
        <v>93.5</v>
      </c>
      <c r="N28" s="6">
        <v>0</v>
      </c>
      <c r="O28" s="6">
        <v>0</v>
      </c>
      <c r="P28" s="6">
        <v>1.1499999999999999</v>
      </c>
      <c r="Q28" s="6">
        <v>5.0999999999999996</v>
      </c>
    </row>
    <row r="29" spans="1:17" customFormat="1">
      <c r="A29" s="6" t="s">
        <v>259</v>
      </c>
      <c r="B29" s="6">
        <v>20.48</v>
      </c>
      <c r="C29" s="6">
        <v>27.34</v>
      </c>
      <c r="D29" s="6">
        <v>32.06</v>
      </c>
      <c r="E29" s="6">
        <v>6.88</v>
      </c>
      <c r="F29" s="6">
        <v>2.5499999999999998</v>
      </c>
      <c r="G29" s="6">
        <v>138.96</v>
      </c>
      <c r="H29" s="6">
        <v>77.03</v>
      </c>
      <c r="I29" s="6">
        <v>11.33</v>
      </c>
      <c r="J29" s="6">
        <v>0.08</v>
      </c>
      <c r="K29" s="6">
        <v>117.46</v>
      </c>
      <c r="L29" s="6">
        <v>15.74</v>
      </c>
      <c r="M29" s="6">
        <v>93.88</v>
      </c>
      <c r="N29" s="6">
        <v>0</v>
      </c>
      <c r="O29" s="6">
        <v>0</v>
      </c>
      <c r="P29" s="6">
        <v>1.1299999999999999</v>
      </c>
      <c r="Q29" s="6">
        <v>5.07</v>
      </c>
    </row>
    <row r="30" spans="1:17" customFormat="1">
      <c r="A30" s="6" t="s">
        <v>260</v>
      </c>
      <c r="B30" s="6">
        <v>19.64</v>
      </c>
      <c r="C30" s="6">
        <v>27.76</v>
      </c>
      <c r="D30" s="6">
        <v>31.6</v>
      </c>
      <c r="E30" s="6">
        <v>6.84</v>
      </c>
      <c r="F30" s="6">
        <v>2.54</v>
      </c>
      <c r="G30" s="6">
        <v>138.96</v>
      </c>
      <c r="H30" s="6">
        <v>77.03</v>
      </c>
      <c r="I30" s="6">
        <v>11.3</v>
      </c>
      <c r="J30" s="6">
        <v>0.08</v>
      </c>
      <c r="K30" s="6">
        <v>139.87</v>
      </c>
      <c r="L30" s="6">
        <v>15.75</v>
      </c>
      <c r="M30" s="6">
        <v>93.76</v>
      </c>
      <c r="N30" s="6">
        <v>0</v>
      </c>
      <c r="O30" s="6">
        <v>0</v>
      </c>
      <c r="P30" s="6">
        <v>1.1100000000000001</v>
      </c>
      <c r="Q30" s="6">
        <v>5.09</v>
      </c>
    </row>
    <row r="31" spans="1:17" customFormat="1">
      <c r="A31" s="6" t="s">
        <v>261</v>
      </c>
      <c r="B31" s="6">
        <v>19.079999999999998</v>
      </c>
      <c r="C31" s="6">
        <v>26.95</v>
      </c>
      <c r="D31" s="6">
        <v>30.73</v>
      </c>
      <c r="E31" s="6">
        <v>6.45</v>
      </c>
      <c r="F31" s="6">
        <v>2.68</v>
      </c>
      <c r="G31" s="6">
        <v>127.68</v>
      </c>
      <c r="H31" s="6">
        <v>73.63</v>
      </c>
      <c r="I31" s="6">
        <v>11.24</v>
      </c>
      <c r="J31" s="6">
        <v>0.06</v>
      </c>
      <c r="K31" s="6">
        <v>123.08</v>
      </c>
      <c r="L31" s="6">
        <v>15.67</v>
      </c>
      <c r="M31" s="6">
        <v>93.6</v>
      </c>
      <c r="N31" s="6">
        <v>0</v>
      </c>
      <c r="O31" s="6">
        <v>0</v>
      </c>
      <c r="P31" s="6">
        <v>1.0900000000000001</v>
      </c>
      <c r="Q31" s="6">
        <v>5.07</v>
      </c>
    </row>
    <row r="32" spans="1:17" customFormat="1">
      <c r="A32" s="6" t="s">
        <v>262</v>
      </c>
      <c r="B32" s="6">
        <v>18.48</v>
      </c>
      <c r="C32" s="6">
        <v>27.45</v>
      </c>
      <c r="D32" s="6">
        <v>30.51</v>
      </c>
      <c r="E32" s="6">
        <v>6.7</v>
      </c>
      <c r="F32" s="6">
        <v>2.57</v>
      </c>
      <c r="G32" s="6">
        <v>126</v>
      </c>
      <c r="H32" s="6">
        <v>73.63</v>
      </c>
      <c r="I32" s="6">
        <v>11.13</v>
      </c>
      <c r="J32" s="6">
        <v>0.09</v>
      </c>
      <c r="K32" s="6">
        <v>276.3</v>
      </c>
      <c r="L32" s="6">
        <v>15.31</v>
      </c>
      <c r="M32" s="6">
        <v>93.43</v>
      </c>
      <c r="N32" s="6">
        <v>0</v>
      </c>
      <c r="O32" s="6">
        <v>0</v>
      </c>
      <c r="P32" s="6">
        <v>1.08</v>
      </c>
      <c r="Q32" s="6">
        <v>5.0599999999999996</v>
      </c>
    </row>
    <row r="33" spans="1:17" customFormat="1">
      <c r="A33" s="6" t="s">
        <v>263</v>
      </c>
      <c r="B33" s="6">
        <v>18.3</v>
      </c>
      <c r="C33" s="6">
        <v>25.91</v>
      </c>
      <c r="D33" s="6">
        <v>29.57</v>
      </c>
      <c r="E33" s="6">
        <v>7.14</v>
      </c>
      <c r="F33" s="6">
        <v>2.68</v>
      </c>
      <c r="G33" s="6">
        <v>126</v>
      </c>
      <c r="H33" s="6">
        <v>73.63</v>
      </c>
      <c r="I33" s="6">
        <v>11</v>
      </c>
      <c r="J33" s="6">
        <v>0.05</v>
      </c>
      <c r="K33" s="6">
        <v>91.83</v>
      </c>
      <c r="L33" s="6">
        <v>15.17</v>
      </c>
      <c r="M33" s="6">
        <v>94.4</v>
      </c>
      <c r="N33" s="6">
        <v>0</v>
      </c>
      <c r="O33" s="6">
        <v>0</v>
      </c>
      <c r="P33" s="6">
        <v>1.05</v>
      </c>
      <c r="Q33" s="6">
        <v>5.04</v>
      </c>
    </row>
    <row r="34" spans="1:17" customFormat="1">
      <c r="A34" s="6" t="s">
        <v>264</v>
      </c>
      <c r="B34" s="6">
        <v>17.93</v>
      </c>
      <c r="C34" s="6">
        <v>27.32</v>
      </c>
      <c r="D34" s="6">
        <v>30</v>
      </c>
      <c r="E34" s="6">
        <v>7.26</v>
      </c>
      <c r="F34" s="6">
        <v>2.5499999999999998</v>
      </c>
      <c r="G34" s="6">
        <v>126</v>
      </c>
      <c r="H34" s="6">
        <v>73.63</v>
      </c>
      <c r="I34" s="6">
        <v>10.84</v>
      </c>
      <c r="J34" s="6">
        <v>7.0000000000000007E-2</v>
      </c>
      <c r="K34" s="6">
        <v>244.03</v>
      </c>
      <c r="L34" s="6">
        <v>15.12</v>
      </c>
      <c r="M34" s="6">
        <v>94.26</v>
      </c>
      <c r="N34" s="6">
        <v>0</v>
      </c>
      <c r="O34" s="6">
        <v>0</v>
      </c>
      <c r="P34" s="6">
        <v>1.05</v>
      </c>
      <c r="Q34" s="6">
        <v>5.03</v>
      </c>
    </row>
    <row r="35" spans="1:17" customFormat="1">
      <c r="A35" s="6" t="s">
        <v>265</v>
      </c>
      <c r="B35" s="6">
        <v>17.559999999999999</v>
      </c>
      <c r="C35" s="6">
        <v>26.11</v>
      </c>
      <c r="D35" s="6">
        <v>29.07</v>
      </c>
      <c r="E35" s="6">
        <v>6.61</v>
      </c>
      <c r="F35" s="6">
        <v>2.65</v>
      </c>
      <c r="G35" s="6">
        <v>112.91</v>
      </c>
      <c r="H35" s="6">
        <v>67.010000000000005</v>
      </c>
      <c r="I35" s="6">
        <v>10.72</v>
      </c>
      <c r="J35" s="6">
        <v>0.12</v>
      </c>
      <c r="K35" s="6">
        <v>243.74</v>
      </c>
      <c r="L35" s="6">
        <v>14.94</v>
      </c>
      <c r="M35" s="6">
        <v>94.5</v>
      </c>
      <c r="N35" s="6">
        <v>0</v>
      </c>
      <c r="O35" s="6">
        <v>0</v>
      </c>
      <c r="P35" s="6">
        <v>1.02</v>
      </c>
      <c r="Q35" s="6">
        <v>5.04</v>
      </c>
    </row>
    <row r="36" spans="1:17" customFormat="1">
      <c r="A36" s="6" t="s">
        <v>266</v>
      </c>
      <c r="B36" s="6">
        <v>17</v>
      </c>
      <c r="C36" s="6">
        <v>26.33</v>
      </c>
      <c r="D36" s="6">
        <v>28.74</v>
      </c>
      <c r="E36" s="6">
        <v>6.91</v>
      </c>
      <c r="F36" s="6">
        <v>2.34</v>
      </c>
      <c r="G36" s="6">
        <v>111.04</v>
      </c>
      <c r="H36" s="6">
        <v>67.010000000000005</v>
      </c>
      <c r="I36" s="6">
        <v>10.55</v>
      </c>
      <c r="J36" s="6">
        <v>0.18</v>
      </c>
      <c r="K36" s="6">
        <v>264.45</v>
      </c>
      <c r="L36" s="6">
        <v>14.88</v>
      </c>
      <c r="M36" s="6">
        <v>95.23</v>
      </c>
      <c r="N36" s="6">
        <v>2.2999999999999998</v>
      </c>
      <c r="O36" s="6">
        <v>0</v>
      </c>
      <c r="P36" s="6">
        <v>1.01</v>
      </c>
      <c r="Q36" s="6">
        <v>5.01</v>
      </c>
    </row>
    <row r="37" spans="1:17" customFormat="1">
      <c r="A37" s="6" t="s">
        <v>267</v>
      </c>
      <c r="B37" s="6">
        <v>16.399999999999999</v>
      </c>
      <c r="C37" s="6">
        <v>25.11</v>
      </c>
      <c r="D37" s="6">
        <v>27.62</v>
      </c>
      <c r="E37" s="6">
        <v>6.94</v>
      </c>
      <c r="F37" s="6">
        <v>2.71</v>
      </c>
      <c r="G37" s="6">
        <v>111.04</v>
      </c>
      <c r="H37" s="6">
        <v>67.010000000000005</v>
      </c>
      <c r="I37" s="6">
        <v>10.43</v>
      </c>
      <c r="J37" s="6">
        <v>0.09</v>
      </c>
      <c r="K37" s="6">
        <v>227.72</v>
      </c>
      <c r="L37" s="6">
        <v>14.97</v>
      </c>
      <c r="M37" s="6">
        <v>95.55</v>
      </c>
      <c r="N37" s="6">
        <v>11.1</v>
      </c>
      <c r="O37" s="6">
        <v>0</v>
      </c>
      <c r="P37" s="6">
        <v>1.01</v>
      </c>
      <c r="Q37" s="6">
        <v>5</v>
      </c>
    </row>
    <row r="38" spans="1:17" customFormat="1">
      <c r="A38" s="6" t="s">
        <v>268</v>
      </c>
      <c r="B38" s="6">
        <v>15.74</v>
      </c>
      <c r="C38" s="6">
        <v>24.84</v>
      </c>
      <c r="D38" s="6">
        <v>26.95</v>
      </c>
      <c r="E38" s="6">
        <v>6.96</v>
      </c>
      <c r="F38" s="6">
        <v>2.66</v>
      </c>
      <c r="G38" s="6">
        <v>111.04</v>
      </c>
      <c r="H38" s="6">
        <v>67.010000000000005</v>
      </c>
      <c r="I38" s="6">
        <v>10.33</v>
      </c>
      <c r="J38" s="6">
        <v>0.1</v>
      </c>
      <c r="K38" s="6">
        <v>257.38</v>
      </c>
      <c r="L38" s="6">
        <v>15.33</v>
      </c>
      <c r="M38" s="6">
        <v>95.38</v>
      </c>
      <c r="N38" s="6">
        <v>22.1</v>
      </c>
      <c r="O38" s="6">
        <v>0</v>
      </c>
      <c r="P38" s="6">
        <v>1</v>
      </c>
      <c r="Q38" s="6">
        <v>5.0199999999999996</v>
      </c>
    </row>
    <row r="39" spans="1:17" customFormat="1">
      <c r="A39" s="6" t="s">
        <v>269</v>
      </c>
      <c r="B39" s="6">
        <v>15.32</v>
      </c>
      <c r="C39" s="6">
        <v>24.91</v>
      </c>
      <c r="D39" s="6">
        <v>26.65</v>
      </c>
      <c r="E39" s="6">
        <v>6.84</v>
      </c>
      <c r="F39" s="6">
        <v>2.5299999999999998</v>
      </c>
      <c r="G39" s="6">
        <v>101.97</v>
      </c>
      <c r="H39" s="6">
        <v>61.46</v>
      </c>
      <c r="I39" s="6">
        <v>10.26</v>
      </c>
      <c r="J39" s="6">
        <v>0.06</v>
      </c>
      <c r="K39" s="6">
        <v>196.37</v>
      </c>
      <c r="L39" s="6">
        <v>15.83</v>
      </c>
      <c r="M39" s="6">
        <v>95.14</v>
      </c>
      <c r="N39" s="6">
        <v>34.299999999999997</v>
      </c>
      <c r="O39" s="6">
        <v>0</v>
      </c>
      <c r="P39" s="6">
        <v>1.01</v>
      </c>
      <c r="Q39" s="6">
        <v>4.9800000000000004</v>
      </c>
    </row>
    <row r="40" spans="1:17" customFormat="1">
      <c r="A40" s="6" t="s">
        <v>270</v>
      </c>
      <c r="B40" s="6">
        <v>15.01</v>
      </c>
      <c r="C40" s="6">
        <v>24.61</v>
      </c>
      <c r="D40" s="6">
        <v>26.24</v>
      </c>
      <c r="E40" s="6">
        <v>6.85</v>
      </c>
      <c r="F40" s="6">
        <v>2.69</v>
      </c>
      <c r="G40" s="6">
        <v>100.63</v>
      </c>
      <c r="H40" s="6">
        <v>61.46</v>
      </c>
      <c r="I40" s="6">
        <v>10.23</v>
      </c>
      <c r="J40" s="6">
        <v>0.15</v>
      </c>
      <c r="K40" s="6">
        <v>152.07</v>
      </c>
      <c r="L40" s="6">
        <v>16.57</v>
      </c>
      <c r="M40" s="6">
        <v>92.02</v>
      </c>
      <c r="N40" s="6">
        <v>48</v>
      </c>
      <c r="O40" s="6">
        <v>0</v>
      </c>
      <c r="P40" s="6">
        <v>1</v>
      </c>
      <c r="Q40" s="6">
        <v>4.9800000000000004</v>
      </c>
    </row>
    <row r="41" spans="1:17" customFormat="1">
      <c r="A41" s="6" t="s">
        <v>271</v>
      </c>
      <c r="B41" s="6">
        <v>14.51</v>
      </c>
      <c r="C41" s="6">
        <v>24.96</v>
      </c>
      <c r="D41" s="6">
        <v>26.03</v>
      </c>
      <c r="E41" s="6">
        <v>6.88</v>
      </c>
      <c r="F41" s="6">
        <v>2.67</v>
      </c>
      <c r="G41" s="6">
        <v>100.63</v>
      </c>
      <c r="H41" s="6">
        <v>61.46</v>
      </c>
      <c r="I41" s="6">
        <v>10.26</v>
      </c>
      <c r="J41" s="6">
        <v>0.16</v>
      </c>
      <c r="K41" s="6">
        <v>102.25</v>
      </c>
      <c r="L41" s="6">
        <v>17.36</v>
      </c>
      <c r="M41" s="6">
        <v>81.47</v>
      </c>
      <c r="N41" s="6">
        <v>84.8</v>
      </c>
      <c r="O41" s="6">
        <v>0</v>
      </c>
      <c r="P41" s="6">
        <v>0.99</v>
      </c>
      <c r="Q41" s="6">
        <v>4.97</v>
      </c>
    </row>
    <row r="42" spans="1:17" customFormat="1">
      <c r="A42" s="6" t="s">
        <v>272</v>
      </c>
      <c r="B42" s="6">
        <v>13.77</v>
      </c>
      <c r="C42" s="6">
        <v>25.63</v>
      </c>
      <c r="D42" s="6">
        <v>25.78</v>
      </c>
      <c r="E42" s="6">
        <v>6.99</v>
      </c>
      <c r="F42" s="6">
        <v>2.78</v>
      </c>
      <c r="G42" s="6">
        <v>100.63</v>
      </c>
      <c r="H42" s="6">
        <v>61.46</v>
      </c>
      <c r="I42" s="6">
        <v>10.26</v>
      </c>
      <c r="J42" s="6">
        <v>0.1</v>
      </c>
      <c r="K42" s="6">
        <v>157.49</v>
      </c>
      <c r="L42" s="6">
        <v>18.34</v>
      </c>
      <c r="M42" s="6">
        <v>75.72</v>
      </c>
      <c r="N42" s="6">
        <v>113.7</v>
      </c>
      <c r="O42" s="6">
        <v>0</v>
      </c>
      <c r="P42" s="6">
        <v>0.97</v>
      </c>
      <c r="Q42" s="6">
        <v>4.96</v>
      </c>
    </row>
    <row r="43" spans="1:17" customFormat="1">
      <c r="A43" s="6" t="s">
        <v>273</v>
      </c>
      <c r="B43" s="6">
        <v>12.93</v>
      </c>
      <c r="C43" s="6">
        <v>25.36</v>
      </c>
      <c r="D43" s="6">
        <v>24.97</v>
      </c>
      <c r="E43" s="6">
        <v>6.79</v>
      </c>
      <c r="F43" s="6">
        <v>2.76</v>
      </c>
      <c r="G43" s="6">
        <v>95.17</v>
      </c>
      <c r="H43" s="6">
        <v>53.04</v>
      </c>
      <c r="I43" s="6">
        <v>10.199999999999999</v>
      </c>
      <c r="J43" s="6">
        <v>0.23</v>
      </c>
      <c r="K43" s="6">
        <v>101.5</v>
      </c>
      <c r="L43" s="6">
        <v>19.09</v>
      </c>
      <c r="M43" s="6">
        <v>71.97</v>
      </c>
      <c r="N43" s="6">
        <v>138.30000000000001</v>
      </c>
      <c r="O43" s="6">
        <v>0</v>
      </c>
      <c r="P43" s="6">
        <v>0.96</v>
      </c>
      <c r="Q43" s="6">
        <v>4.95</v>
      </c>
    </row>
    <row r="44" spans="1:17" customFormat="1">
      <c r="A44" s="6" t="s">
        <v>274</v>
      </c>
      <c r="B44" s="6">
        <v>12.08</v>
      </c>
      <c r="C44" s="6">
        <v>25.75</v>
      </c>
      <c r="D44" s="6">
        <v>24.5</v>
      </c>
      <c r="E44" s="6">
        <v>7.22</v>
      </c>
      <c r="F44" s="6">
        <v>2.8</v>
      </c>
      <c r="G44" s="6">
        <v>94.46</v>
      </c>
      <c r="H44" s="6">
        <v>53.04</v>
      </c>
      <c r="I44" s="6">
        <v>10.08</v>
      </c>
      <c r="J44" s="6">
        <v>0.4</v>
      </c>
      <c r="K44" s="6">
        <v>63.5</v>
      </c>
      <c r="L44" s="6">
        <v>19.68</v>
      </c>
      <c r="M44" s="6">
        <v>71.09</v>
      </c>
      <c r="N44" s="6">
        <v>157.80000000000001</v>
      </c>
      <c r="O44" s="6">
        <v>0</v>
      </c>
      <c r="P44" s="6">
        <v>0.94</v>
      </c>
      <c r="Q44" s="6">
        <v>4.93</v>
      </c>
    </row>
    <row r="45" spans="1:17" customFormat="1">
      <c r="A45" s="6" t="s">
        <v>275</v>
      </c>
      <c r="B45" s="6">
        <v>11.59</v>
      </c>
      <c r="C45" s="6">
        <v>25.92</v>
      </c>
      <c r="D45" s="6">
        <v>24.19</v>
      </c>
      <c r="E45" s="6">
        <v>7</v>
      </c>
      <c r="F45" s="6">
        <v>2.7</v>
      </c>
      <c r="G45" s="6">
        <v>94.46</v>
      </c>
      <c r="H45" s="6">
        <v>53.04</v>
      </c>
      <c r="I45" s="6">
        <v>9.91</v>
      </c>
      <c r="J45" s="6">
        <v>0.35</v>
      </c>
      <c r="K45" s="6">
        <v>82.16</v>
      </c>
      <c r="L45" s="6">
        <v>20.309999999999999</v>
      </c>
      <c r="M45" s="6">
        <v>67.66</v>
      </c>
      <c r="N45" s="6">
        <v>139.80000000000001</v>
      </c>
      <c r="O45" s="6">
        <v>0</v>
      </c>
      <c r="P45" s="6">
        <v>0.94</v>
      </c>
      <c r="Q45" s="6">
        <v>4.9400000000000004</v>
      </c>
    </row>
    <row r="46" spans="1:17" customFormat="1">
      <c r="A46" s="6" t="s">
        <v>276</v>
      </c>
      <c r="B46" s="6">
        <v>10.94</v>
      </c>
      <c r="C46" s="6">
        <v>25.86</v>
      </c>
      <c r="D46" s="6">
        <v>23.63</v>
      </c>
      <c r="E46" s="6">
        <v>7.05</v>
      </c>
      <c r="F46" s="6">
        <v>2.91</v>
      </c>
      <c r="G46" s="6">
        <v>94.46</v>
      </c>
      <c r="H46" s="6">
        <v>53.04</v>
      </c>
      <c r="I46" s="6">
        <v>9.7899999999999991</v>
      </c>
      <c r="J46" s="6">
        <v>0.3</v>
      </c>
      <c r="K46" s="6">
        <v>100.36</v>
      </c>
      <c r="L46" s="6">
        <v>21.15</v>
      </c>
      <c r="M46" s="6">
        <v>64.17</v>
      </c>
      <c r="N46" s="6">
        <v>134.6</v>
      </c>
      <c r="O46" s="6">
        <v>0</v>
      </c>
      <c r="P46" s="6">
        <v>0.92</v>
      </c>
      <c r="Q46" s="6">
        <v>4.92</v>
      </c>
    </row>
    <row r="47" spans="1:17" customFormat="1">
      <c r="A47" s="6" t="s">
        <v>277</v>
      </c>
      <c r="B47" s="6">
        <v>10.130000000000001</v>
      </c>
      <c r="C47" s="6">
        <v>25.96</v>
      </c>
      <c r="D47" s="6">
        <v>23.04</v>
      </c>
      <c r="E47" s="6">
        <v>6.76</v>
      </c>
      <c r="F47" s="6">
        <v>2.97</v>
      </c>
      <c r="G47" s="6">
        <v>86.93</v>
      </c>
      <c r="H47" s="6">
        <v>49.61</v>
      </c>
      <c r="I47" s="6">
        <v>9.6300000000000008</v>
      </c>
      <c r="J47" s="6">
        <v>0.35</v>
      </c>
      <c r="K47" s="6">
        <v>73.38</v>
      </c>
      <c r="L47" s="6">
        <v>21.78</v>
      </c>
      <c r="M47" s="6">
        <v>62.43</v>
      </c>
      <c r="N47" s="6">
        <v>149</v>
      </c>
      <c r="O47" s="6">
        <v>0</v>
      </c>
      <c r="P47" s="6">
        <v>0.9</v>
      </c>
      <c r="Q47" s="6">
        <v>4.91</v>
      </c>
    </row>
    <row r="48" spans="1:17" customFormat="1">
      <c r="A48" s="6" t="s">
        <v>278</v>
      </c>
      <c r="B48" s="6">
        <v>9.56</v>
      </c>
      <c r="C48" s="6">
        <v>26.17</v>
      </c>
      <c r="D48" s="6">
        <v>22.69</v>
      </c>
      <c r="E48" s="6">
        <v>7.05</v>
      </c>
      <c r="F48" s="6">
        <v>2.89</v>
      </c>
      <c r="G48" s="6">
        <v>85.79</v>
      </c>
      <c r="H48" s="6">
        <v>49.61</v>
      </c>
      <c r="I48" s="6">
        <v>9.42</v>
      </c>
      <c r="J48" s="6">
        <v>0.28999999999999998</v>
      </c>
      <c r="K48" s="6">
        <v>81.55</v>
      </c>
      <c r="L48" s="6">
        <v>22.44</v>
      </c>
      <c r="M48" s="6">
        <v>60.74</v>
      </c>
      <c r="N48" s="6">
        <v>183.1</v>
      </c>
      <c r="O48" s="6">
        <v>0</v>
      </c>
      <c r="P48" s="6">
        <v>0.88</v>
      </c>
      <c r="Q48" s="6">
        <v>4.88</v>
      </c>
    </row>
    <row r="49" spans="1:17" customFormat="1">
      <c r="A49" s="6" t="s">
        <v>279</v>
      </c>
      <c r="B49" s="6">
        <v>8.91</v>
      </c>
      <c r="C49" s="6">
        <v>26.25</v>
      </c>
      <c r="D49" s="6">
        <v>22.21</v>
      </c>
      <c r="E49" s="6">
        <v>6.65</v>
      </c>
      <c r="F49" s="6">
        <v>3.2</v>
      </c>
      <c r="G49" s="6">
        <v>85.79</v>
      </c>
      <c r="H49" s="6">
        <v>49.61</v>
      </c>
      <c r="I49" s="6">
        <v>9.27</v>
      </c>
      <c r="J49" s="6">
        <v>0.31</v>
      </c>
      <c r="K49" s="6">
        <v>61.14</v>
      </c>
      <c r="L49" s="6">
        <v>22.95</v>
      </c>
      <c r="M49" s="6">
        <v>59.11</v>
      </c>
      <c r="N49" s="6">
        <v>282.7</v>
      </c>
      <c r="O49" s="6">
        <v>0</v>
      </c>
      <c r="P49" s="6">
        <v>0.87</v>
      </c>
      <c r="Q49" s="6">
        <v>4.87</v>
      </c>
    </row>
    <row r="50" spans="1:17" customFormat="1">
      <c r="A50" s="6" t="s">
        <v>280</v>
      </c>
      <c r="B50" s="6">
        <v>8.1300000000000008</v>
      </c>
      <c r="C50" s="6">
        <v>26.32</v>
      </c>
      <c r="D50" s="6">
        <v>21.62</v>
      </c>
      <c r="E50" s="6">
        <v>7.9</v>
      </c>
      <c r="F50" s="6">
        <v>3.27</v>
      </c>
      <c r="G50" s="6">
        <v>85.79</v>
      </c>
      <c r="H50" s="6">
        <v>49.61</v>
      </c>
      <c r="I50" s="6">
        <v>9.16</v>
      </c>
      <c r="J50" s="6">
        <v>0.39</v>
      </c>
      <c r="K50" s="6">
        <v>12.95</v>
      </c>
      <c r="L50" s="6">
        <v>23.3</v>
      </c>
      <c r="M50" s="6">
        <v>58.35</v>
      </c>
      <c r="N50" s="6">
        <v>311.60000000000002</v>
      </c>
      <c r="O50" s="6">
        <v>0</v>
      </c>
      <c r="P50" s="6">
        <v>0.86</v>
      </c>
      <c r="Q50" s="6">
        <v>4.8499999999999996</v>
      </c>
    </row>
    <row r="51" spans="1:17" customFormat="1">
      <c r="A51" s="6" t="s">
        <v>281</v>
      </c>
      <c r="B51" s="6">
        <v>7.72</v>
      </c>
      <c r="C51" s="6">
        <v>26.39</v>
      </c>
      <c r="D51" s="6">
        <v>21.33</v>
      </c>
      <c r="E51" s="6">
        <v>7.92</v>
      </c>
      <c r="F51" s="6">
        <v>3.4</v>
      </c>
      <c r="G51" s="6">
        <v>79.83</v>
      </c>
      <c r="H51" s="6">
        <v>48.18</v>
      </c>
      <c r="I51" s="6">
        <v>8.99</v>
      </c>
      <c r="J51" s="6">
        <v>0.25</v>
      </c>
      <c r="K51" s="6">
        <v>81.09</v>
      </c>
      <c r="L51" s="6">
        <v>23.86</v>
      </c>
      <c r="M51" s="6">
        <v>56.4</v>
      </c>
      <c r="N51" s="6">
        <v>329.2</v>
      </c>
      <c r="O51" s="6">
        <v>0</v>
      </c>
      <c r="P51" s="6">
        <v>0.85</v>
      </c>
      <c r="Q51" s="6">
        <v>4.84</v>
      </c>
    </row>
    <row r="52" spans="1:17" customFormat="1">
      <c r="A52" s="6" t="s">
        <v>282</v>
      </c>
      <c r="B52" s="6">
        <v>7.24</v>
      </c>
      <c r="C52" s="6">
        <v>26.15</v>
      </c>
      <c r="D52" s="6">
        <v>20.82</v>
      </c>
      <c r="E52" s="6">
        <v>8.02</v>
      </c>
      <c r="F52" s="6">
        <v>3.37</v>
      </c>
      <c r="G52" s="6">
        <v>79.06</v>
      </c>
      <c r="H52" s="6">
        <v>48.18</v>
      </c>
      <c r="I52" s="6">
        <v>8.82</v>
      </c>
      <c r="J52" s="6">
        <v>0.24</v>
      </c>
      <c r="K52" s="6">
        <v>43.15</v>
      </c>
      <c r="L52" s="6">
        <v>24.25</v>
      </c>
      <c r="M52" s="6">
        <v>55.46</v>
      </c>
      <c r="N52" s="6">
        <v>345.7</v>
      </c>
      <c r="O52" s="6">
        <v>0</v>
      </c>
      <c r="P52" s="6">
        <v>0.84</v>
      </c>
      <c r="Q52" s="6">
        <v>4.8499999999999996</v>
      </c>
    </row>
    <row r="53" spans="1:17" customFormat="1">
      <c r="A53" s="6" t="s">
        <v>283</v>
      </c>
      <c r="B53" s="6">
        <v>6.68</v>
      </c>
      <c r="C53" s="6">
        <v>25.95</v>
      </c>
      <c r="D53" s="6">
        <v>20.27</v>
      </c>
      <c r="E53" s="6">
        <v>7.77</v>
      </c>
      <c r="F53" s="6">
        <v>3.68</v>
      </c>
      <c r="G53" s="6">
        <v>79.06</v>
      </c>
      <c r="H53" s="6">
        <v>48.18</v>
      </c>
      <c r="I53" s="6">
        <v>8.6999999999999993</v>
      </c>
      <c r="J53" s="6">
        <v>0.1</v>
      </c>
      <c r="K53" s="6">
        <v>240.95</v>
      </c>
      <c r="L53" s="6">
        <v>24.73</v>
      </c>
      <c r="M53" s="6">
        <v>53.89</v>
      </c>
      <c r="N53" s="6">
        <v>339.3</v>
      </c>
      <c r="O53" s="6">
        <v>0</v>
      </c>
      <c r="P53" s="6">
        <v>0.83</v>
      </c>
      <c r="Q53" s="6">
        <v>4.82</v>
      </c>
    </row>
    <row r="54" spans="1:17" customFormat="1">
      <c r="A54" s="6" t="s">
        <v>284</v>
      </c>
      <c r="B54" s="6">
        <v>6.03</v>
      </c>
      <c r="C54" s="6">
        <v>25.72</v>
      </c>
      <c r="D54" s="6">
        <v>19.62</v>
      </c>
      <c r="E54" s="6">
        <v>8.26</v>
      </c>
      <c r="F54" s="6">
        <v>4.1399999999999997</v>
      </c>
      <c r="G54" s="6">
        <v>79.06</v>
      </c>
      <c r="H54" s="6">
        <v>48.18</v>
      </c>
      <c r="I54" s="6">
        <v>8.59</v>
      </c>
      <c r="J54" s="6">
        <v>0.25</v>
      </c>
      <c r="K54" s="6">
        <v>114.66</v>
      </c>
      <c r="L54" s="6">
        <v>25.66</v>
      </c>
      <c r="M54" s="6">
        <v>51.45</v>
      </c>
      <c r="N54" s="6">
        <v>372</v>
      </c>
      <c r="O54" s="6">
        <v>0</v>
      </c>
      <c r="P54" s="6">
        <v>0.82</v>
      </c>
      <c r="Q54" s="6">
        <v>4.79</v>
      </c>
    </row>
    <row r="55" spans="1:17" customFormat="1">
      <c r="A55" s="6" t="s">
        <v>285</v>
      </c>
      <c r="B55" s="6">
        <v>5.55</v>
      </c>
      <c r="C55" s="6">
        <v>25.35</v>
      </c>
      <c r="D55" s="6">
        <v>19.04</v>
      </c>
      <c r="E55" s="6">
        <v>8.43</v>
      </c>
      <c r="F55" s="6">
        <v>4.26</v>
      </c>
      <c r="G55" s="6">
        <v>78.459999999999994</v>
      </c>
      <c r="H55" s="6">
        <v>50.96</v>
      </c>
      <c r="I55" s="6">
        <v>8.42</v>
      </c>
      <c r="J55" s="6">
        <v>0.22</v>
      </c>
      <c r="K55" s="6">
        <v>100.63</v>
      </c>
      <c r="L55" s="6">
        <v>25.53</v>
      </c>
      <c r="M55" s="6">
        <v>52.46</v>
      </c>
      <c r="N55" s="6">
        <v>380.7</v>
      </c>
      <c r="O55" s="6">
        <v>0</v>
      </c>
      <c r="P55" s="6">
        <v>0.81</v>
      </c>
      <c r="Q55" s="6">
        <v>4.8</v>
      </c>
    </row>
    <row r="56" spans="1:17" customFormat="1">
      <c r="A56" s="6" t="s">
        <v>286</v>
      </c>
      <c r="B56" s="6">
        <v>5.27</v>
      </c>
      <c r="C56" s="6">
        <v>25.13</v>
      </c>
      <c r="D56" s="6">
        <v>18.71</v>
      </c>
      <c r="E56" s="6">
        <v>8.44</v>
      </c>
      <c r="F56" s="6">
        <v>4.1900000000000004</v>
      </c>
      <c r="G56" s="6">
        <v>78.37</v>
      </c>
      <c r="H56" s="6">
        <v>50.96</v>
      </c>
      <c r="I56" s="6">
        <v>8.26</v>
      </c>
      <c r="J56" s="6">
        <v>0.22</v>
      </c>
      <c r="K56" s="6">
        <v>137.19999999999999</v>
      </c>
      <c r="L56" s="6">
        <v>26.06</v>
      </c>
      <c r="M56" s="6">
        <v>49.86</v>
      </c>
      <c r="N56" s="6">
        <v>397</v>
      </c>
      <c r="O56" s="6">
        <v>0</v>
      </c>
      <c r="P56" s="6">
        <v>0.8</v>
      </c>
      <c r="Q56" s="6">
        <v>4.7699999999999996</v>
      </c>
    </row>
    <row r="57" spans="1:17" customFormat="1">
      <c r="A57" s="6" t="s">
        <v>287</v>
      </c>
      <c r="B57" s="6">
        <v>5.04</v>
      </c>
      <c r="C57" s="6">
        <v>25.24</v>
      </c>
      <c r="D57" s="6">
        <v>18.579999999999998</v>
      </c>
      <c r="E57" s="6">
        <v>8.48</v>
      </c>
      <c r="F57" s="6">
        <v>4.46</v>
      </c>
      <c r="G57" s="6">
        <v>78.37</v>
      </c>
      <c r="H57" s="6">
        <v>50.96</v>
      </c>
      <c r="I57" s="6">
        <v>8.14</v>
      </c>
      <c r="J57" s="6">
        <v>0.16</v>
      </c>
      <c r="K57" s="6">
        <v>40.93</v>
      </c>
      <c r="L57" s="6">
        <v>25.88</v>
      </c>
      <c r="M57" s="6">
        <v>50.22</v>
      </c>
      <c r="N57" s="6">
        <v>394</v>
      </c>
      <c r="O57" s="6">
        <v>0</v>
      </c>
      <c r="P57" s="6">
        <v>0.81</v>
      </c>
      <c r="Q57" s="6">
        <v>4.76</v>
      </c>
    </row>
    <row r="58" spans="1:17" customFormat="1">
      <c r="A58" s="6" t="s">
        <v>288</v>
      </c>
      <c r="B58" s="6">
        <v>5.04</v>
      </c>
      <c r="C58" s="6">
        <v>25.24</v>
      </c>
      <c r="D58" s="6">
        <v>18.579999999999998</v>
      </c>
      <c r="E58" s="6">
        <v>8.48</v>
      </c>
      <c r="F58" s="6">
        <v>4.46</v>
      </c>
      <c r="G58" s="6">
        <v>78.37</v>
      </c>
      <c r="H58" s="6">
        <v>50.96</v>
      </c>
      <c r="I58" s="6">
        <v>8.14</v>
      </c>
      <c r="J58" s="6">
        <v>0.16</v>
      </c>
      <c r="K58" s="6">
        <v>40.93</v>
      </c>
      <c r="L58" s="6">
        <v>25.88</v>
      </c>
      <c r="M58" s="6">
        <v>50.22</v>
      </c>
      <c r="N58" s="6">
        <v>394</v>
      </c>
      <c r="O58" s="6">
        <v>0</v>
      </c>
      <c r="P58" s="6">
        <v>0.81</v>
      </c>
      <c r="Q58" s="6">
        <v>4.76</v>
      </c>
    </row>
    <row r="59" spans="1:17" customFormat="1">
      <c r="A59" s="6" t="s">
        <v>289</v>
      </c>
      <c r="B59" s="6">
        <v>4.96</v>
      </c>
      <c r="C59" s="6">
        <v>22.86</v>
      </c>
      <c r="D59" s="6">
        <v>17.27</v>
      </c>
      <c r="E59" s="6">
        <v>8.14</v>
      </c>
      <c r="F59" s="6">
        <v>4.3</v>
      </c>
      <c r="G59" s="6">
        <v>82.65</v>
      </c>
      <c r="H59" s="6">
        <v>50.59</v>
      </c>
      <c r="I59" s="6">
        <v>8.0299999999999994</v>
      </c>
      <c r="J59" s="6">
        <v>0.22</v>
      </c>
      <c r="K59" s="6">
        <v>67.95</v>
      </c>
      <c r="L59" s="6">
        <v>26.39</v>
      </c>
      <c r="M59" s="6">
        <v>48.73</v>
      </c>
      <c r="N59" s="6">
        <v>379</v>
      </c>
      <c r="O59" s="6">
        <v>0</v>
      </c>
      <c r="P59" s="6">
        <v>0.79</v>
      </c>
      <c r="Q59" s="6">
        <v>4.7300000000000004</v>
      </c>
    </row>
    <row r="60" spans="1:17" customFormat="1">
      <c r="A60" s="6" t="s">
        <v>290</v>
      </c>
      <c r="B60" s="6">
        <v>4.9800000000000004</v>
      </c>
      <c r="C60" s="6">
        <v>19.41</v>
      </c>
      <c r="D60" s="6">
        <v>15.49</v>
      </c>
      <c r="E60" s="6">
        <v>7.57</v>
      </c>
      <c r="F60" s="6">
        <v>4.16</v>
      </c>
      <c r="G60" s="6">
        <v>89.53</v>
      </c>
      <c r="H60" s="6">
        <v>49.99</v>
      </c>
      <c r="I60" s="6">
        <v>7.88</v>
      </c>
      <c r="J60" s="6">
        <v>0.18</v>
      </c>
      <c r="K60" s="6">
        <v>98.34</v>
      </c>
      <c r="L60" s="6">
        <v>26.21</v>
      </c>
      <c r="M60" s="6">
        <v>48.32</v>
      </c>
      <c r="N60" s="6">
        <v>367</v>
      </c>
      <c r="O60" s="6">
        <v>0</v>
      </c>
      <c r="P60" s="6">
        <v>0.77</v>
      </c>
      <c r="Q60" s="6">
        <v>4.74</v>
      </c>
    </row>
    <row r="61" spans="1:17" customFormat="1">
      <c r="A61" s="6" t="s">
        <v>291</v>
      </c>
      <c r="B61" s="6">
        <v>4.9000000000000004</v>
      </c>
      <c r="C61" s="6">
        <v>18.28</v>
      </c>
      <c r="D61" s="6">
        <v>14.83</v>
      </c>
      <c r="E61" s="6">
        <v>7.38</v>
      </c>
      <c r="F61" s="6">
        <v>4.1500000000000004</v>
      </c>
      <c r="G61" s="6">
        <v>89.53</v>
      </c>
      <c r="H61" s="6">
        <v>49.99</v>
      </c>
      <c r="I61" s="6">
        <v>7.81</v>
      </c>
      <c r="J61" s="6">
        <v>0.32</v>
      </c>
      <c r="K61" s="6">
        <v>96.4</v>
      </c>
      <c r="L61" s="6">
        <v>26.88</v>
      </c>
      <c r="M61" s="6">
        <v>45.35</v>
      </c>
      <c r="N61" s="6">
        <v>357.5</v>
      </c>
      <c r="O61" s="6">
        <v>0</v>
      </c>
      <c r="P61" s="6">
        <v>0.76</v>
      </c>
      <c r="Q61" s="6">
        <v>4.74</v>
      </c>
    </row>
    <row r="62" spans="1:17" customFormat="1">
      <c r="A62" s="6" t="s">
        <v>292</v>
      </c>
      <c r="B62" s="6">
        <v>4.8899999999999997</v>
      </c>
      <c r="C62" s="6">
        <v>17.57</v>
      </c>
      <c r="D62" s="6">
        <v>14.46</v>
      </c>
      <c r="E62" s="6">
        <v>7.35</v>
      </c>
      <c r="F62" s="6">
        <v>4.3</v>
      </c>
      <c r="G62" s="6">
        <v>89.53</v>
      </c>
      <c r="H62" s="6">
        <v>49.99</v>
      </c>
      <c r="I62" s="6">
        <v>7.75</v>
      </c>
      <c r="J62" s="6">
        <v>0.35</v>
      </c>
      <c r="K62" s="6">
        <v>37.049999999999997</v>
      </c>
      <c r="L62" s="6">
        <v>27.15</v>
      </c>
      <c r="M62" s="6">
        <v>44.48</v>
      </c>
      <c r="N62" s="6">
        <v>350.3</v>
      </c>
      <c r="O62" s="6">
        <v>0</v>
      </c>
      <c r="P62" s="6">
        <v>0.76</v>
      </c>
      <c r="Q62" s="6">
        <v>4.7699999999999996</v>
      </c>
    </row>
    <row r="63" spans="1:17" customFormat="1">
      <c r="A63" s="6" t="s">
        <v>293</v>
      </c>
      <c r="B63" s="6">
        <v>4.92</v>
      </c>
      <c r="C63" s="6">
        <v>17.309999999999999</v>
      </c>
      <c r="D63" s="6">
        <v>14.34</v>
      </c>
      <c r="E63" s="6">
        <v>7.39</v>
      </c>
      <c r="F63" s="6">
        <v>5.79</v>
      </c>
      <c r="G63" s="6">
        <v>85.61</v>
      </c>
      <c r="H63" s="6">
        <v>51.67</v>
      </c>
      <c r="I63" s="6">
        <v>7.67</v>
      </c>
      <c r="J63" s="6">
        <v>0.25</v>
      </c>
      <c r="K63" s="6">
        <v>334.18</v>
      </c>
      <c r="L63" s="6">
        <v>26.99</v>
      </c>
      <c r="M63" s="6">
        <v>45.01</v>
      </c>
      <c r="N63" s="6">
        <v>332.4</v>
      </c>
      <c r="O63" s="6">
        <v>0</v>
      </c>
      <c r="P63" s="6">
        <v>0.75</v>
      </c>
      <c r="Q63" s="6">
        <v>4.82</v>
      </c>
    </row>
    <row r="64" spans="1:17" customFormat="1">
      <c r="A64" s="6" t="s">
        <v>294</v>
      </c>
      <c r="B64" s="6">
        <v>4.92</v>
      </c>
      <c r="C64" s="6">
        <v>17.309999999999999</v>
      </c>
      <c r="D64" s="6">
        <v>14.34</v>
      </c>
      <c r="E64" s="6">
        <v>7.39</v>
      </c>
      <c r="F64" s="6">
        <v>5.79</v>
      </c>
      <c r="G64" s="6">
        <v>85.61</v>
      </c>
      <c r="H64" s="6">
        <v>51.67</v>
      </c>
      <c r="I64" s="6">
        <v>7.67</v>
      </c>
      <c r="J64" s="6">
        <v>0.25</v>
      </c>
      <c r="K64" s="6">
        <v>334.18</v>
      </c>
      <c r="L64" s="6">
        <v>26.99</v>
      </c>
      <c r="M64" s="6">
        <v>45.01</v>
      </c>
      <c r="N64" s="6">
        <v>332.4</v>
      </c>
      <c r="O64" s="6">
        <v>0</v>
      </c>
      <c r="P64" s="6">
        <v>0.75</v>
      </c>
      <c r="Q64" s="6">
        <v>4.82</v>
      </c>
    </row>
    <row r="65" spans="1:17" customFormat="1">
      <c r="A65" s="6" t="s">
        <v>295</v>
      </c>
      <c r="B65" s="6">
        <v>4.8899999999999997</v>
      </c>
      <c r="C65" s="6">
        <v>17.29</v>
      </c>
      <c r="D65" s="6">
        <v>14.31</v>
      </c>
      <c r="E65" s="6">
        <v>6.87</v>
      </c>
      <c r="F65" s="6">
        <v>4.38</v>
      </c>
      <c r="G65" s="6">
        <v>84.99</v>
      </c>
      <c r="H65" s="6">
        <v>51.67</v>
      </c>
      <c r="I65" s="6">
        <v>7.57</v>
      </c>
      <c r="J65" s="6">
        <v>0.23</v>
      </c>
      <c r="K65" s="6">
        <v>324.63</v>
      </c>
      <c r="L65" s="6">
        <v>26.98</v>
      </c>
      <c r="M65" s="6">
        <v>45.15</v>
      </c>
      <c r="N65" s="6">
        <v>241.4</v>
      </c>
      <c r="O65" s="6">
        <v>0</v>
      </c>
      <c r="P65" s="6">
        <v>0.73</v>
      </c>
      <c r="Q65" s="6">
        <v>4.84</v>
      </c>
    </row>
    <row r="66" spans="1:17" customFormat="1">
      <c r="A66" s="6" t="s">
        <v>296</v>
      </c>
      <c r="B66" s="6">
        <v>4.8899999999999997</v>
      </c>
      <c r="C66" s="6">
        <v>17.29</v>
      </c>
      <c r="D66" s="6">
        <v>14.31</v>
      </c>
      <c r="E66" s="6">
        <v>6.87</v>
      </c>
      <c r="F66" s="6">
        <v>4.38</v>
      </c>
      <c r="G66" s="6">
        <v>84.99</v>
      </c>
      <c r="H66" s="6">
        <v>51.67</v>
      </c>
      <c r="I66" s="6">
        <v>7.57</v>
      </c>
      <c r="J66" s="6">
        <v>0.23</v>
      </c>
      <c r="K66" s="6">
        <v>324.63</v>
      </c>
      <c r="L66" s="6">
        <v>26.98</v>
      </c>
      <c r="M66" s="6">
        <v>45.15</v>
      </c>
      <c r="N66" s="6">
        <v>241.4</v>
      </c>
      <c r="O66" s="6">
        <v>0</v>
      </c>
      <c r="P66" s="6">
        <v>0.73</v>
      </c>
      <c r="Q66" s="6">
        <v>4.84</v>
      </c>
    </row>
    <row r="67" spans="1:17" customFormat="1">
      <c r="A67" s="6" t="s">
        <v>297</v>
      </c>
      <c r="B67" s="6">
        <v>4.8099999999999996</v>
      </c>
      <c r="C67" s="6">
        <v>16.68</v>
      </c>
      <c r="D67" s="6">
        <v>13.92</v>
      </c>
      <c r="E67" s="6">
        <v>7.22</v>
      </c>
      <c r="F67" s="6">
        <v>4.1900000000000004</v>
      </c>
      <c r="G67" s="6">
        <v>84.2</v>
      </c>
      <c r="H67" s="6">
        <v>50.44</v>
      </c>
      <c r="I67" s="6">
        <v>7.44</v>
      </c>
      <c r="J67" s="6">
        <v>0.14000000000000001</v>
      </c>
      <c r="K67" s="6">
        <v>131.43</v>
      </c>
      <c r="L67" s="6">
        <v>26.68</v>
      </c>
      <c r="M67" s="6">
        <v>45.32</v>
      </c>
      <c r="N67" s="6">
        <v>144</v>
      </c>
      <c r="O67" s="6">
        <v>0</v>
      </c>
      <c r="P67" s="6">
        <v>0.73</v>
      </c>
      <c r="Q67" s="6">
        <v>4.8499999999999996</v>
      </c>
    </row>
    <row r="68" spans="1:17" customFormat="1">
      <c r="A68" s="6" t="s">
        <v>298</v>
      </c>
      <c r="B68" s="6">
        <v>4.66</v>
      </c>
      <c r="C68" s="6">
        <v>16.260000000000002</v>
      </c>
      <c r="D68" s="6">
        <v>13.58</v>
      </c>
      <c r="E68" s="6">
        <v>7.25</v>
      </c>
      <c r="F68" s="6">
        <v>4.91</v>
      </c>
      <c r="G68" s="6">
        <v>83.14</v>
      </c>
      <c r="H68" s="6">
        <v>48.81</v>
      </c>
      <c r="I68" s="6">
        <v>7.36</v>
      </c>
      <c r="J68" s="6">
        <v>0.28999999999999998</v>
      </c>
      <c r="K68" s="6">
        <v>70.510000000000005</v>
      </c>
      <c r="L68" s="6">
        <v>26.48</v>
      </c>
      <c r="M68" s="6">
        <v>44.15</v>
      </c>
      <c r="N68" s="6">
        <v>98.5</v>
      </c>
      <c r="O68" s="6">
        <v>0</v>
      </c>
      <c r="P68" s="6">
        <v>0.72</v>
      </c>
      <c r="Q68" s="6">
        <v>4.84</v>
      </c>
    </row>
    <row r="69" spans="1:17" customFormat="1">
      <c r="A69" s="6" t="s">
        <v>299</v>
      </c>
      <c r="B69" s="6">
        <v>4.63</v>
      </c>
      <c r="C69" s="6">
        <v>15.84</v>
      </c>
      <c r="D69" s="6">
        <v>13.34</v>
      </c>
      <c r="E69" s="6">
        <v>7.33</v>
      </c>
      <c r="F69" s="6">
        <v>4.72</v>
      </c>
      <c r="G69" s="6">
        <v>83.14</v>
      </c>
      <c r="H69" s="6">
        <v>48.81</v>
      </c>
      <c r="I69" s="6">
        <v>7.28</v>
      </c>
      <c r="J69" s="6">
        <v>0.39</v>
      </c>
      <c r="K69" s="6">
        <v>62.83</v>
      </c>
      <c r="L69" s="6">
        <v>26.41</v>
      </c>
      <c r="M69" s="6">
        <v>42.94</v>
      </c>
      <c r="N69" s="6">
        <v>84.5</v>
      </c>
      <c r="O69" s="6">
        <v>0</v>
      </c>
      <c r="P69" s="6">
        <v>0.72</v>
      </c>
      <c r="Q69" s="6">
        <v>4.82</v>
      </c>
    </row>
    <row r="70" spans="1:17" customFormat="1">
      <c r="A70" s="6" t="s">
        <v>300</v>
      </c>
      <c r="B70" s="6">
        <v>4.78</v>
      </c>
      <c r="C70" s="6">
        <v>15.61</v>
      </c>
      <c r="D70" s="6">
        <v>13.34</v>
      </c>
      <c r="E70" s="6">
        <v>7.51</v>
      </c>
      <c r="F70" s="6">
        <v>4.5199999999999996</v>
      </c>
      <c r="G70" s="6">
        <v>83.14</v>
      </c>
      <c r="H70" s="6">
        <v>48.81</v>
      </c>
      <c r="I70" s="6">
        <v>7.21</v>
      </c>
      <c r="J70" s="6">
        <v>0.35</v>
      </c>
      <c r="K70" s="6">
        <v>48.46</v>
      </c>
      <c r="L70" s="6">
        <v>26.18</v>
      </c>
      <c r="M70" s="6">
        <v>44.06</v>
      </c>
      <c r="N70" s="6">
        <v>73.5</v>
      </c>
      <c r="O70" s="6">
        <v>0</v>
      </c>
      <c r="P70" s="6">
        <v>0.71</v>
      </c>
      <c r="Q70" s="6">
        <v>0</v>
      </c>
    </row>
    <row r="71" spans="1:17" customFormat="1">
      <c r="A71" s="6" t="s">
        <v>301</v>
      </c>
      <c r="B71" s="6">
        <v>4.8600000000000003</v>
      </c>
      <c r="C71" s="6">
        <v>17.46</v>
      </c>
      <c r="D71" s="6">
        <v>14.37</v>
      </c>
      <c r="E71" s="6">
        <v>7.59</v>
      </c>
      <c r="F71" s="6">
        <v>4.18</v>
      </c>
      <c r="G71" s="6">
        <v>82.72</v>
      </c>
      <c r="H71" s="6">
        <v>48.53</v>
      </c>
      <c r="I71" s="6">
        <v>7.17</v>
      </c>
      <c r="J71" s="6">
        <v>0.13</v>
      </c>
      <c r="K71" s="6">
        <v>32.26</v>
      </c>
      <c r="L71" s="6">
        <v>26.06</v>
      </c>
      <c r="M71" s="6">
        <v>45.22</v>
      </c>
      <c r="N71" s="6">
        <v>61.4</v>
      </c>
      <c r="O71" s="6">
        <v>0</v>
      </c>
      <c r="P71" s="6">
        <v>0.72</v>
      </c>
      <c r="Q71" s="6">
        <v>4.8600000000000003</v>
      </c>
    </row>
    <row r="72" spans="1:17" customFormat="1">
      <c r="A72" s="6" t="s">
        <v>302</v>
      </c>
      <c r="B72" s="6">
        <v>4.92</v>
      </c>
      <c r="C72" s="6">
        <v>17.579999999999998</v>
      </c>
      <c r="D72" s="6">
        <v>14.48</v>
      </c>
      <c r="E72" s="6">
        <v>7.15</v>
      </c>
      <c r="F72" s="6">
        <v>4.13</v>
      </c>
      <c r="G72" s="6">
        <v>82.65</v>
      </c>
      <c r="H72" s="6">
        <v>48.53</v>
      </c>
      <c r="I72" s="6">
        <v>7.13</v>
      </c>
      <c r="J72" s="6">
        <v>0.25</v>
      </c>
      <c r="K72" s="6">
        <v>61.08</v>
      </c>
      <c r="L72" s="6">
        <v>25.88</v>
      </c>
      <c r="M72" s="6">
        <v>45.31</v>
      </c>
      <c r="N72" s="6">
        <v>50</v>
      </c>
      <c r="O72" s="6">
        <v>0</v>
      </c>
      <c r="P72" s="6">
        <v>0.72</v>
      </c>
      <c r="Q72" s="6">
        <v>0</v>
      </c>
    </row>
    <row r="73" spans="1:17" customFormat="1">
      <c r="A73" s="6" t="s">
        <v>303</v>
      </c>
      <c r="B73" s="6">
        <v>4.95</v>
      </c>
      <c r="C73" s="6">
        <v>16.93</v>
      </c>
      <c r="D73" s="6">
        <v>14.17</v>
      </c>
      <c r="E73" s="6">
        <v>7.46</v>
      </c>
      <c r="F73" s="6">
        <v>3.72</v>
      </c>
      <c r="G73" s="6">
        <v>82.65</v>
      </c>
      <c r="H73" s="6">
        <v>48.53</v>
      </c>
      <c r="I73" s="6">
        <v>7.08</v>
      </c>
      <c r="J73" s="6">
        <v>0.24</v>
      </c>
      <c r="K73" s="6">
        <v>64.17</v>
      </c>
      <c r="L73" s="6">
        <v>25.74</v>
      </c>
      <c r="M73" s="6">
        <v>46.21</v>
      </c>
      <c r="N73" s="6">
        <v>36.700000000000003</v>
      </c>
      <c r="O73" s="6">
        <v>0</v>
      </c>
      <c r="P73" s="6">
        <v>0.72</v>
      </c>
      <c r="Q73" s="6">
        <v>4.8499999999999996</v>
      </c>
    </row>
    <row r="74" spans="1:17" customFormat="1">
      <c r="A74" s="6" t="s">
        <v>304</v>
      </c>
      <c r="B74" s="6">
        <v>4.99</v>
      </c>
      <c r="C74" s="6">
        <v>16.64</v>
      </c>
      <c r="D74" s="6">
        <v>14.05</v>
      </c>
      <c r="E74" s="6">
        <v>7.3</v>
      </c>
      <c r="F74" s="6">
        <v>3.6</v>
      </c>
      <c r="G74" s="6">
        <v>82.65</v>
      </c>
      <c r="H74" s="6">
        <v>48.53</v>
      </c>
      <c r="I74" s="6">
        <v>7.06</v>
      </c>
      <c r="J74" s="6">
        <v>0.25</v>
      </c>
      <c r="K74" s="6">
        <v>167.68</v>
      </c>
      <c r="L74" s="6">
        <v>25.12</v>
      </c>
      <c r="M74" s="6">
        <v>51.82</v>
      </c>
      <c r="N74" s="6">
        <v>24.8</v>
      </c>
      <c r="O74" s="6">
        <v>0</v>
      </c>
      <c r="P74" s="6">
        <v>0.72</v>
      </c>
      <c r="Q74" s="6">
        <v>4.84</v>
      </c>
    </row>
    <row r="75" spans="1:17" customFormat="1">
      <c r="A75" s="6" t="s">
        <v>305</v>
      </c>
      <c r="B75" s="6">
        <v>4.97</v>
      </c>
      <c r="C75" s="6">
        <v>16.7</v>
      </c>
      <c r="D75" s="6">
        <v>14.07</v>
      </c>
      <c r="E75" s="6">
        <v>6.66</v>
      </c>
      <c r="F75" s="6">
        <v>3.47</v>
      </c>
      <c r="G75" s="6">
        <v>84.85</v>
      </c>
      <c r="H75" s="6">
        <v>49.45</v>
      </c>
      <c r="I75" s="6">
        <v>7.03</v>
      </c>
      <c r="J75" s="6">
        <v>0.23</v>
      </c>
      <c r="K75" s="6">
        <v>167.36</v>
      </c>
      <c r="L75" s="6">
        <v>24.47</v>
      </c>
      <c r="M75" s="6">
        <v>53.74</v>
      </c>
      <c r="N75" s="6">
        <v>14.9</v>
      </c>
      <c r="O75" s="6">
        <v>0</v>
      </c>
      <c r="P75" s="6">
        <v>0.72</v>
      </c>
      <c r="Q75" s="6">
        <v>4.8600000000000003</v>
      </c>
    </row>
    <row r="76" spans="1:17" customFormat="1">
      <c r="A76" s="6" t="s">
        <v>306</v>
      </c>
      <c r="B76" s="6">
        <v>5</v>
      </c>
      <c r="C76" s="6">
        <v>17.21</v>
      </c>
      <c r="D76" s="6">
        <v>14.35</v>
      </c>
      <c r="E76" s="6">
        <v>7.33</v>
      </c>
      <c r="F76" s="6">
        <v>3.52</v>
      </c>
      <c r="G76" s="6">
        <v>85.27</v>
      </c>
      <c r="H76" s="6">
        <v>49.45</v>
      </c>
      <c r="I76" s="6">
        <v>7</v>
      </c>
      <c r="J76" s="6">
        <v>0.24</v>
      </c>
      <c r="K76" s="6">
        <v>163.47</v>
      </c>
      <c r="L76" s="6">
        <v>23.88</v>
      </c>
      <c r="M76" s="6">
        <v>55.59</v>
      </c>
      <c r="N76" s="6">
        <v>5.0999999999999996</v>
      </c>
      <c r="O76" s="6">
        <v>0</v>
      </c>
      <c r="P76" s="6">
        <v>0.71</v>
      </c>
      <c r="Q76" s="6">
        <v>0</v>
      </c>
    </row>
    <row r="77" spans="1:17" customFormat="1">
      <c r="A77" s="6" t="s">
        <v>307</v>
      </c>
      <c r="B77" s="6">
        <v>5.03</v>
      </c>
      <c r="C77" s="6">
        <v>17.86</v>
      </c>
      <c r="D77" s="6">
        <v>14.71</v>
      </c>
      <c r="E77" s="6">
        <v>7.37</v>
      </c>
      <c r="F77" s="6">
        <v>4.13</v>
      </c>
      <c r="G77" s="6">
        <v>85.27</v>
      </c>
      <c r="H77" s="6">
        <v>49.45</v>
      </c>
      <c r="I77" s="6">
        <v>7</v>
      </c>
      <c r="J77" s="6">
        <v>0.18</v>
      </c>
      <c r="K77" s="6">
        <v>154.69999999999999</v>
      </c>
      <c r="L77" s="6">
        <v>23.38</v>
      </c>
      <c r="M77" s="6">
        <v>57.76</v>
      </c>
      <c r="N77" s="6">
        <v>0.1</v>
      </c>
      <c r="O77" s="6">
        <v>0</v>
      </c>
      <c r="P77" s="6">
        <v>0.74</v>
      </c>
      <c r="Q77" s="6">
        <v>4.87</v>
      </c>
    </row>
    <row r="78" spans="1:17" customFormat="1">
      <c r="A78" s="6" t="s">
        <v>308</v>
      </c>
      <c r="B78" s="6">
        <v>4.8899999999999997</v>
      </c>
      <c r="C78" s="6">
        <v>19.149999999999999</v>
      </c>
      <c r="D78" s="6">
        <v>15.28</v>
      </c>
      <c r="E78" s="6">
        <v>8.1199999999999992</v>
      </c>
      <c r="F78" s="6">
        <v>4.17</v>
      </c>
      <c r="G78" s="6">
        <v>85.27</v>
      </c>
      <c r="H78" s="6">
        <v>49.45</v>
      </c>
      <c r="I78" s="6">
        <v>6.98</v>
      </c>
      <c r="J78" s="6">
        <v>0.21</v>
      </c>
      <c r="K78" s="6">
        <v>159.12</v>
      </c>
      <c r="L78" s="6">
        <v>22.97</v>
      </c>
      <c r="M78" s="6">
        <v>60.18</v>
      </c>
      <c r="N78" s="6">
        <v>0</v>
      </c>
      <c r="O78" s="6">
        <v>0</v>
      </c>
      <c r="P78" s="6">
        <v>0.76</v>
      </c>
      <c r="Q78" s="6">
        <v>4.87</v>
      </c>
    </row>
    <row r="79" spans="1:17" customFormat="1">
      <c r="A79" s="6" t="s">
        <v>309</v>
      </c>
      <c r="B79" s="6">
        <v>4.91</v>
      </c>
      <c r="C79" s="6">
        <v>20.51</v>
      </c>
      <c r="D79" s="6">
        <v>16</v>
      </c>
      <c r="E79" s="6">
        <v>8.2100000000000009</v>
      </c>
      <c r="F79" s="6">
        <v>4.13</v>
      </c>
      <c r="G79" s="6">
        <v>92.83</v>
      </c>
      <c r="H79" s="6">
        <v>50.8</v>
      </c>
      <c r="I79" s="6">
        <v>6.95</v>
      </c>
      <c r="J79" s="6">
        <v>0.21</v>
      </c>
      <c r="K79" s="6">
        <v>163.63</v>
      </c>
      <c r="L79" s="6">
        <v>22.43</v>
      </c>
      <c r="M79" s="6">
        <v>63.1</v>
      </c>
      <c r="N79" s="6">
        <v>0</v>
      </c>
      <c r="O79" s="6">
        <v>0</v>
      </c>
      <c r="P79" s="6">
        <v>0.78</v>
      </c>
      <c r="Q79" s="6">
        <v>0</v>
      </c>
    </row>
    <row r="80" spans="1:17" customFormat="1">
      <c r="A80" s="6" t="s">
        <v>310</v>
      </c>
      <c r="B80" s="6">
        <v>5.0199999999999996</v>
      </c>
      <c r="C80" s="6">
        <v>21.84</v>
      </c>
      <c r="D80" s="6">
        <v>16.79</v>
      </c>
      <c r="E80" s="6">
        <v>7.83</v>
      </c>
      <c r="F80" s="6">
        <v>3.41</v>
      </c>
      <c r="G80" s="6">
        <v>94.9</v>
      </c>
      <c r="H80" s="6">
        <v>50.8</v>
      </c>
      <c r="I80" s="6">
        <v>7</v>
      </c>
      <c r="J80" s="6">
        <v>0.19</v>
      </c>
      <c r="K80" s="6">
        <v>154.27000000000001</v>
      </c>
      <c r="L80" s="6">
        <v>21.96</v>
      </c>
      <c r="M80" s="6">
        <v>67.45</v>
      </c>
      <c r="N80" s="6">
        <v>0</v>
      </c>
      <c r="O80" s="6">
        <v>0</v>
      </c>
      <c r="P80" s="6">
        <v>0.81</v>
      </c>
      <c r="Q80" s="6">
        <v>4.8600000000000003</v>
      </c>
    </row>
    <row r="81" spans="1:17" customFormat="1">
      <c r="A81" s="6" t="s">
        <v>311</v>
      </c>
      <c r="B81" s="6">
        <v>5.0199999999999996</v>
      </c>
      <c r="C81" s="6">
        <v>21.84</v>
      </c>
      <c r="D81" s="6">
        <v>16.79</v>
      </c>
      <c r="E81" s="6">
        <v>7.83</v>
      </c>
      <c r="F81" s="6">
        <v>3.41</v>
      </c>
      <c r="G81" s="6">
        <v>94.9</v>
      </c>
      <c r="H81" s="6">
        <v>50.8</v>
      </c>
      <c r="I81" s="6">
        <v>7</v>
      </c>
      <c r="J81" s="6">
        <v>0.19</v>
      </c>
      <c r="K81" s="6">
        <v>154.27000000000001</v>
      </c>
      <c r="L81" s="6">
        <v>21.96</v>
      </c>
      <c r="M81" s="6">
        <v>67.45</v>
      </c>
      <c r="N81" s="6">
        <v>0</v>
      </c>
      <c r="O81" s="6">
        <v>0</v>
      </c>
      <c r="P81" s="6">
        <v>0.81</v>
      </c>
      <c r="Q81" s="6">
        <v>4.8600000000000003</v>
      </c>
    </row>
    <row r="82" spans="1:17" customFormat="1">
      <c r="A82" s="6" t="s">
        <v>312</v>
      </c>
      <c r="B82" s="6">
        <v>5.57</v>
      </c>
      <c r="C82" s="6">
        <v>23.76</v>
      </c>
      <c r="D82" s="6">
        <v>18.23</v>
      </c>
      <c r="E82" s="6">
        <v>6.64</v>
      </c>
      <c r="F82" s="6">
        <v>2.97</v>
      </c>
      <c r="G82" s="6">
        <v>94.9</v>
      </c>
      <c r="H82" s="6">
        <v>50.8</v>
      </c>
      <c r="I82" s="6">
        <v>7.23</v>
      </c>
      <c r="J82" s="6">
        <v>0.25</v>
      </c>
      <c r="K82" s="6">
        <v>173.76</v>
      </c>
      <c r="L82" s="6">
        <v>21.35</v>
      </c>
      <c r="M82" s="6">
        <v>70.09</v>
      </c>
      <c r="N82" s="6">
        <v>0</v>
      </c>
      <c r="O82" s="6">
        <v>0</v>
      </c>
      <c r="P82" s="6">
        <v>0.85</v>
      </c>
      <c r="Q82" s="6">
        <v>4.91</v>
      </c>
    </row>
    <row r="83" spans="1:17" customFormat="1">
      <c r="A83" s="6" t="s">
        <v>313</v>
      </c>
      <c r="B83" s="6">
        <v>5.57</v>
      </c>
      <c r="C83" s="6">
        <v>23.76</v>
      </c>
      <c r="D83" s="6">
        <v>18.23</v>
      </c>
      <c r="E83" s="6">
        <v>6.64</v>
      </c>
      <c r="F83" s="6">
        <v>2.97</v>
      </c>
      <c r="G83" s="6">
        <v>94.9</v>
      </c>
      <c r="H83" s="6">
        <v>50.8</v>
      </c>
      <c r="I83" s="6">
        <v>7.23</v>
      </c>
      <c r="J83" s="6">
        <v>0.25</v>
      </c>
      <c r="K83" s="6">
        <v>173.76</v>
      </c>
      <c r="L83" s="6">
        <v>21.35</v>
      </c>
      <c r="M83" s="6">
        <v>70.09</v>
      </c>
      <c r="N83" s="6">
        <v>0</v>
      </c>
      <c r="O83" s="6">
        <v>0</v>
      </c>
      <c r="P83" s="6">
        <v>0.85</v>
      </c>
      <c r="Q83" s="6">
        <v>4.91</v>
      </c>
    </row>
    <row r="84" spans="1:17" customFormat="1">
      <c r="A84" s="6" t="s">
        <v>314</v>
      </c>
      <c r="B84" s="6">
        <v>5.88</v>
      </c>
      <c r="C84" s="6">
        <v>24.88</v>
      </c>
      <c r="D84" s="6">
        <v>19.07</v>
      </c>
      <c r="E84" s="6">
        <v>6.56</v>
      </c>
      <c r="F84" s="6">
        <v>3.07</v>
      </c>
      <c r="G84" s="6">
        <v>112.57</v>
      </c>
      <c r="H84" s="6">
        <v>53.4</v>
      </c>
      <c r="I84" s="6">
        <v>7.62</v>
      </c>
      <c r="J84" s="6">
        <v>0.19</v>
      </c>
      <c r="K84" s="6">
        <v>170.3</v>
      </c>
      <c r="L84" s="6">
        <v>20.41</v>
      </c>
      <c r="M84" s="6">
        <v>76.489999999999995</v>
      </c>
      <c r="N84" s="6">
        <v>0</v>
      </c>
      <c r="O84" s="6">
        <v>0</v>
      </c>
      <c r="P84" s="6">
        <v>0.89</v>
      </c>
      <c r="Q84" s="6">
        <v>4.88</v>
      </c>
    </row>
    <row r="85" spans="1:17" customFormat="1">
      <c r="A85" s="6" t="s">
        <v>315</v>
      </c>
      <c r="B85" s="6">
        <v>5.89</v>
      </c>
      <c r="C85" s="6">
        <v>25.12</v>
      </c>
      <c r="D85" s="6">
        <v>19.190000000000001</v>
      </c>
      <c r="E85" s="6">
        <v>6.64</v>
      </c>
      <c r="F85" s="6">
        <v>3.03</v>
      </c>
      <c r="G85" s="6">
        <v>113.15</v>
      </c>
      <c r="H85" s="6">
        <v>53.4</v>
      </c>
      <c r="I85" s="6">
        <v>7.77</v>
      </c>
      <c r="J85" s="6">
        <v>0.14000000000000001</v>
      </c>
      <c r="K85" s="6">
        <v>183.63</v>
      </c>
      <c r="L85" s="6">
        <v>19.920000000000002</v>
      </c>
      <c r="M85" s="6">
        <v>80.08</v>
      </c>
      <c r="N85" s="6">
        <v>0</v>
      </c>
      <c r="O85" s="6">
        <v>0</v>
      </c>
      <c r="P85" s="6">
        <v>0.9</v>
      </c>
      <c r="Q85" s="6">
        <v>0</v>
      </c>
    </row>
    <row r="86" spans="1:17" customFormat="1">
      <c r="A86" s="6" t="s">
        <v>316</v>
      </c>
      <c r="B86" s="6">
        <v>5.95</v>
      </c>
      <c r="C86" s="6">
        <v>25.15</v>
      </c>
      <c r="D86" s="6">
        <v>19.27</v>
      </c>
      <c r="E86" s="6">
        <v>6.18</v>
      </c>
      <c r="F86" s="6">
        <v>2.97</v>
      </c>
      <c r="G86" s="6">
        <v>113.15</v>
      </c>
      <c r="H86" s="6">
        <v>53.4</v>
      </c>
      <c r="I86" s="6">
        <v>7.85</v>
      </c>
      <c r="J86" s="6">
        <v>0.1</v>
      </c>
      <c r="K86" s="6">
        <v>206.33</v>
      </c>
      <c r="L86" s="6">
        <v>19.55</v>
      </c>
      <c r="M86" s="6">
        <v>80.08</v>
      </c>
      <c r="N86" s="6">
        <v>0</v>
      </c>
      <c r="O86" s="6">
        <v>0</v>
      </c>
      <c r="P86" s="6">
        <v>0.92</v>
      </c>
      <c r="Q86" s="6">
        <v>4.87</v>
      </c>
    </row>
    <row r="87" spans="1:17" customFormat="1">
      <c r="A87" s="6" t="s">
        <v>317</v>
      </c>
      <c r="B87" s="6">
        <v>6.07</v>
      </c>
      <c r="C87" s="6">
        <v>25.39</v>
      </c>
      <c r="D87" s="6">
        <v>19.489999999999998</v>
      </c>
      <c r="E87" s="6">
        <v>6.99</v>
      </c>
      <c r="F87" s="6">
        <v>3.01</v>
      </c>
      <c r="G87" s="6">
        <v>105.58</v>
      </c>
      <c r="H87" s="6">
        <v>50.84</v>
      </c>
      <c r="I87" s="6">
        <v>7.93</v>
      </c>
      <c r="J87" s="6">
        <v>0.13</v>
      </c>
      <c r="K87" s="6">
        <v>162.68</v>
      </c>
      <c r="L87" s="6">
        <v>19.27</v>
      </c>
      <c r="M87" s="6">
        <v>80.16</v>
      </c>
      <c r="N87" s="6">
        <v>0</v>
      </c>
      <c r="O87" s="6">
        <v>0</v>
      </c>
      <c r="P87" s="6">
        <v>0.92</v>
      </c>
      <c r="Q87" s="6">
        <v>4.8600000000000003</v>
      </c>
    </row>
    <row r="88" spans="1:17" customFormat="1">
      <c r="A88" s="6" t="s">
        <v>318</v>
      </c>
      <c r="B88" s="6">
        <v>6.07</v>
      </c>
      <c r="C88" s="6">
        <v>25.39</v>
      </c>
      <c r="D88" s="6">
        <v>19.489999999999998</v>
      </c>
      <c r="E88" s="6">
        <v>6.99</v>
      </c>
      <c r="F88" s="6">
        <v>3.01</v>
      </c>
      <c r="G88" s="6">
        <v>105.58</v>
      </c>
      <c r="H88" s="6">
        <v>50.84</v>
      </c>
      <c r="I88" s="6">
        <v>7.93</v>
      </c>
      <c r="J88" s="6">
        <v>0.13</v>
      </c>
      <c r="K88" s="6">
        <v>162.68</v>
      </c>
      <c r="L88" s="6">
        <v>19.27</v>
      </c>
      <c r="M88" s="6">
        <v>80.16</v>
      </c>
      <c r="N88" s="6">
        <v>0</v>
      </c>
      <c r="O88" s="6">
        <v>0</v>
      </c>
      <c r="P88" s="6">
        <v>0.92</v>
      </c>
      <c r="Q88" s="6">
        <v>4.8600000000000003</v>
      </c>
    </row>
    <row r="89" spans="1:17" customFormat="1">
      <c r="A89" s="6" t="s">
        <v>319</v>
      </c>
      <c r="B89" s="6">
        <v>6.25</v>
      </c>
      <c r="C89" s="6">
        <v>25.48</v>
      </c>
      <c r="D89" s="6">
        <v>19.68</v>
      </c>
      <c r="E89" s="6">
        <v>6.51</v>
      </c>
      <c r="F89" s="6">
        <v>2.95</v>
      </c>
      <c r="G89" s="6">
        <v>105.15</v>
      </c>
      <c r="H89" s="6">
        <v>50.84</v>
      </c>
      <c r="I89" s="6">
        <v>8.08</v>
      </c>
      <c r="J89" s="6">
        <v>0.15</v>
      </c>
      <c r="K89" s="6">
        <v>167.54</v>
      </c>
      <c r="L89" s="6">
        <v>18.989999999999998</v>
      </c>
      <c r="M89" s="6">
        <v>81.819999999999993</v>
      </c>
      <c r="N89" s="6">
        <v>0</v>
      </c>
      <c r="O89" s="6">
        <v>0</v>
      </c>
      <c r="P89" s="6">
        <v>0.94</v>
      </c>
      <c r="Q89" s="6">
        <v>4.8499999999999996</v>
      </c>
    </row>
    <row r="90" spans="1:17" customFormat="1">
      <c r="A90" s="6" t="s">
        <v>320</v>
      </c>
      <c r="B90" s="6">
        <v>6.32</v>
      </c>
      <c r="C90" s="6">
        <v>25.47</v>
      </c>
      <c r="D90" s="6">
        <v>19.73</v>
      </c>
      <c r="E90" s="6">
        <v>6.6</v>
      </c>
      <c r="F90" s="6">
        <v>2.9</v>
      </c>
      <c r="G90" s="6">
        <v>105.15</v>
      </c>
      <c r="H90" s="6">
        <v>50.84</v>
      </c>
      <c r="I90" s="6">
        <v>8.2200000000000006</v>
      </c>
      <c r="J90" s="6">
        <v>0.16</v>
      </c>
      <c r="K90" s="6">
        <v>155.32</v>
      </c>
      <c r="L90" s="6">
        <v>18.96</v>
      </c>
      <c r="M90" s="6">
        <v>80.489999999999995</v>
      </c>
      <c r="N90" s="6">
        <v>0</v>
      </c>
      <c r="O90" s="6">
        <v>0</v>
      </c>
      <c r="P90" s="6">
        <v>0.94</v>
      </c>
      <c r="Q90" s="6">
        <v>0</v>
      </c>
    </row>
    <row r="91" spans="1:17" customFormat="1">
      <c r="A91" s="6" t="s">
        <v>321</v>
      </c>
      <c r="B91" s="6">
        <v>6.44</v>
      </c>
      <c r="C91" s="6">
        <v>25.47</v>
      </c>
      <c r="D91" s="6">
        <v>19.829999999999998</v>
      </c>
      <c r="E91" s="6">
        <v>6.58</v>
      </c>
      <c r="F91" s="6">
        <v>2.84</v>
      </c>
      <c r="G91" s="6">
        <v>99.47</v>
      </c>
      <c r="H91" s="6">
        <v>47.98</v>
      </c>
      <c r="I91" s="6">
        <v>8.3800000000000008</v>
      </c>
      <c r="J91" s="6">
        <v>0.1</v>
      </c>
      <c r="K91" s="6">
        <v>225.2</v>
      </c>
      <c r="L91" s="6">
        <v>18.55</v>
      </c>
      <c r="M91" s="6">
        <v>84.79</v>
      </c>
      <c r="N91" s="6">
        <v>0</v>
      </c>
      <c r="O91" s="6">
        <v>0</v>
      </c>
      <c r="P91" s="6">
        <v>0.95</v>
      </c>
      <c r="Q91" s="6">
        <v>0</v>
      </c>
    </row>
    <row r="92" spans="1:17" customFormat="1">
      <c r="A92" s="6" t="s">
        <v>322</v>
      </c>
      <c r="B92" s="6">
        <v>6.45</v>
      </c>
      <c r="C92" s="6">
        <v>25.45</v>
      </c>
      <c r="D92" s="6">
        <v>19.82</v>
      </c>
      <c r="E92" s="6">
        <v>6.9</v>
      </c>
      <c r="F92" s="6">
        <v>2.79</v>
      </c>
      <c r="G92" s="6">
        <v>99.47</v>
      </c>
      <c r="H92" s="6">
        <v>47.98</v>
      </c>
      <c r="I92" s="6">
        <v>8.42</v>
      </c>
      <c r="J92" s="6">
        <v>0.11</v>
      </c>
      <c r="K92" s="6">
        <v>190.01</v>
      </c>
      <c r="L92" s="6">
        <v>18.32</v>
      </c>
      <c r="M92" s="6">
        <v>85.85</v>
      </c>
      <c r="N92" s="6">
        <v>0</v>
      </c>
      <c r="O92" s="6">
        <v>0</v>
      </c>
      <c r="P92" s="6">
        <v>0.95</v>
      </c>
      <c r="Q92" s="6">
        <v>0</v>
      </c>
    </row>
    <row r="93" spans="1:17" customFormat="1">
      <c r="A93" s="6" t="s">
        <v>323</v>
      </c>
      <c r="B93" s="6">
        <v>6.56</v>
      </c>
      <c r="C93" s="6">
        <v>25.57</v>
      </c>
      <c r="D93" s="6">
        <v>19.97</v>
      </c>
      <c r="E93" s="6">
        <v>6.42</v>
      </c>
      <c r="F93" s="6">
        <v>2.68</v>
      </c>
      <c r="G93" s="6">
        <v>99.47</v>
      </c>
      <c r="H93" s="6">
        <v>47.98</v>
      </c>
      <c r="I93" s="6">
        <v>8.5299999999999994</v>
      </c>
      <c r="J93" s="6">
        <v>0.13</v>
      </c>
      <c r="K93" s="6">
        <v>211.33</v>
      </c>
      <c r="L93" s="6">
        <v>18.18</v>
      </c>
      <c r="M93" s="6">
        <v>87.11</v>
      </c>
      <c r="N93" s="6">
        <v>0</v>
      </c>
      <c r="O93" s="6">
        <v>0</v>
      </c>
      <c r="P93" s="6">
        <v>0.96</v>
      </c>
      <c r="Q93" s="6">
        <v>4.8099999999999996</v>
      </c>
    </row>
    <row r="94" spans="1:17" customFormat="1">
      <c r="A94" s="6" t="s">
        <v>324</v>
      </c>
      <c r="B94" s="6">
        <v>6.67</v>
      </c>
      <c r="C94" s="6">
        <v>25.41</v>
      </c>
      <c r="D94" s="6">
        <v>19.97</v>
      </c>
      <c r="E94" s="6">
        <v>6.83</v>
      </c>
      <c r="F94" s="6">
        <v>2.72</v>
      </c>
      <c r="G94" s="6">
        <v>99.47</v>
      </c>
      <c r="H94" s="6">
        <v>47.98</v>
      </c>
      <c r="I94" s="6">
        <v>8.61</v>
      </c>
      <c r="J94" s="6">
        <v>0.13</v>
      </c>
      <c r="K94" s="6">
        <v>226.04</v>
      </c>
      <c r="L94" s="6">
        <v>17.95</v>
      </c>
      <c r="M94" s="6">
        <v>87.06</v>
      </c>
      <c r="N94" s="6">
        <v>0</v>
      </c>
      <c r="O94" s="6">
        <v>0</v>
      </c>
      <c r="P94" s="6">
        <v>0.97</v>
      </c>
      <c r="Q94" s="6">
        <v>0</v>
      </c>
    </row>
    <row r="95" spans="1:17" customFormat="1">
      <c r="A95" s="6" t="s">
        <v>325</v>
      </c>
      <c r="B95" s="6">
        <v>6.67</v>
      </c>
      <c r="C95" s="6">
        <v>25.41</v>
      </c>
      <c r="D95" s="6">
        <v>19.97</v>
      </c>
      <c r="E95" s="6">
        <v>6.83</v>
      </c>
      <c r="F95" s="6">
        <v>2.72</v>
      </c>
      <c r="G95" s="6">
        <v>99.47</v>
      </c>
      <c r="H95" s="6">
        <v>47.98</v>
      </c>
      <c r="I95" s="6">
        <v>8.61</v>
      </c>
      <c r="J95" s="6">
        <v>0.13</v>
      </c>
      <c r="K95" s="6">
        <v>226.04</v>
      </c>
      <c r="L95" s="6">
        <v>17.95</v>
      </c>
      <c r="M95" s="6">
        <v>87.06</v>
      </c>
      <c r="N95" s="6">
        <v>0</v>
      </c>
      <c r="O95" s="6">
        <v>0</v>
      </c>
      <c r="P95" s="6">
        <v>0.97</v>
      </c>
      <c r="Q95" s="6">
        <v>0</v>
      </c>
    </row>
    <row r="96" spans="1:17" customFormat="1">
      <c r="A96" s="6" t="s">
        <v>326</v>
      </c>
      <c r="B96" s="6">
        <v>6.73</v>
      </c>
      <c r="C96" s="6">
        <v>25.59</v>
      </c>
      <c r="D96" s="6">
        <v>20.12</v>
      </c>
      <c r="E96" s="6">
        <v>6.9</v>
      </c>
      <c r="F96" s="6">
        <v>2.65</v>
      </c>
      <c r="G96" s="6">
        <v>100.32</v>
      </c>
      <c r="H96" s="6">
        <v>52.42</v>
      </c>
      <c r="I96" s="6">
        <v>8.89</v>
      </c>
      <c r="J96" s="6">
        <v>0.1</v>
      </c>
      <c r="K96" s="6">
        <v>187.69</v>
      </c>
      <c r="L96" s="6">
        <v>17.68</v>
      </c>
      <c r="M96" s="6">
        <v>86.49</v>
      </c>
      <c r="N96" s="6">
        <v>0</v>
      </c>
      <c r="O96" s="6">
        <v>0</v>
      </c>
      <c r="P96" s="6">
        <v>0.98</v>
      </c>
      <c r="Q96" s="6">
        <v>4.8</v>
      </c>
    </row>
    <row r="97" spans="1:22" customFormat="1">
      <c r="A97" s="6" t="s">
        <v>327</v>
      </c>
      <c r="B97" s="6">
        <v>6.73</v>
      </c>
      <c r="C97" s="6">
        <v>25.59</v>
      </c>
      <c r="D97" s="6">
        <v>20.12</v>
      </c>
      <c r="E97" s="6">
        <v>6.9</v>
      </c>
      <c r="F97" s="6">
        <v>2.65</v>
      </c>
      <c r="G97" s="6">
        <v>100.32</v>
      </c>
      <c r="H97" s="6">
        <v>52.42</v>
      </c>
      <c r="I97" s="6">
        <v>8.89</v>
      </c>
      <c r="J97" s="6">
        <v>0.1</v>
      </c>
      <c r="K97" s="6">
        <v>187.69</v>
      </c>
      <c r="L97" s="6">
        <v>17.68</v>
      </c>
      <c r="M97" s="6">
        <v>86.49</v>
      </c>
      <c r="N97" s="6">
        <v>0</v>
      </c>
      <c r="O97" s="6">
        <v>0</v>
      </c>
      <c r="P97" s="6">
        <v>0.98</v>
      </c>
      <c r="Q97" s="6">
        <v>4.8</v>
      </c>
    </row>
    <row r="98" spans="1:22" customFormat="1">
      <c r="A98" s="6" t="s">
        <v>328</v>
      </c>
      <c r="B98" s="6">
        <v>6.83</v>
      </c>
      <c r="C98" s="6">
        <v>25.31</v>
      </c>
      <c r="D98" s="6">
        <v>20.05</v>
      </c>
      <c r="E98" s="6">
        <v>6.26</v>
      </c>
      <c r="F98" s="6">
        <v>2.84</v>
      </c>
      <c r="G98" s="6">
        <v>100.44</v>
      </c>
      <c r="H98" s="6">
        <v>52.42</v>
      </c>
      <c r="I98" s="6">
        <v>9.08</v>
      </c>
      <c r="J98" s="6">
        <v>0.11</v>
      </c>
      <c r="K98" s="6">
        <v>167.08</v>
      </c>
      <c r="L98" s="6">
        <v>17.66</v>
      </c>
      <c r="M98" s="6">
        <v>86.06</v>
      </c>
      <c r="N98" s="6">
        <v>0</v>
      </c>
      <c r="O98" s="6">
        <v>0</v>
      </c>
      <c r="P98" s="6">
        <v>0.98</v>
      </c>
      <c r="Q98" s="6">
        <v>4.7699999999999996</v>
      </c>
    </row>
    <row r="99" spans="1:22" customFormat="1">
      <c r="A99" s="6" t="s">
        <v>329</v>
      </c>
      <c r="B99" s="6">
        <v>7.07</v>
      </c>
      <c r="C99" s="6">
        <v>21.68</v>
      </c>
      <c r="D99" s="6">
        <v>18.350000000000001</v>
      </c>
      <c r="E99" s="6">
        <v>6.01</v>
      </c>
      <c r="F99" s="6">
        <v>2.9</v>
      </c>
      <c r="G99" s="6">
        <v>106.62</v>
      </c>
      <c r="H99" s="6">
        <v>55.21</v>
      </c>
      <c r="I99" s="6">
        <v>9.14</v>
      </c>
      <c r="J99" s="6">
        <v>0.1</v>
      </c>
      <c r="K99" s="6">
        <v>186.59</v>
      </c>
      <c r="L99" s="6">
        <v>17.57</v>
      </c>
      <c r="M99" s="6">
        <v>86.42</v>
      </c>
      <c r="N99" s="6">
        <v>0</v>
      </c>
      <c r="O99" s="6">
        <v>0</v>
      </c>
      <c r="P99" s="6">
        <v>0.96</v>
      </c>
      <c r="Q99" s="6">
        <v>4.78</v>
      </c>
    </row>
    <row r="100" spans="1:22" customFormat="1">
      <c r="A100" s="6" t="s">
        <v>330</v>
      </c>
      <c r="B100" s="6">
        <v>7.37</v>
      </c>
      <c r="C100" s="6">
        <v>22.08</v>
      </c>
      <c r="D100" s="6">
        <v>18.8</v>
      </c>
      <c r="E100" s="6">
        <v>5.92</v>
      </c>
      <c r="F100" s="6">
        <v>2.74</v>
      </c>
      <c r="G100" s="6">
        <v>107.41</v>
      </c>
      <c r="H100" s="6">
        <v>55.21</v>
      </c>
      <c r="I100" s="6">
        <v>9.1300000000000008</v>
      </c>
      <c r="J100" s="6">
        <v>0.13</v>
      </c>
      <c r="K100" s="6">
        <v>160.59</v>
      </c>
      <c r="L100" s="6">
        <v>17.489999999999998</v>
      </c>
      <c r="M100" s="6">
        <v>86.72</v>
      </c>
      <c r="N100" s="6">
        <v>0</v>
      </c>
      <c r="O100" s="6">
        <v>0</v>
      </c>
      <c r="P100" s="6">
        <v>0.96</v>
      </c>
      <c r="Q100" s="6">
        <v>0</v>
      </c>
    </row>
    <row r="101" spans="1:22" customFormat="1">
      <c r="A101" s="6" t="s">
        <v>331</v>
      </c>
      <c r="B101" s="6">
        <v>7.49</v>
      </c>
      <c r="C101" s="6">
        <v>21.83</v>
      </c>
      <c r="D101" s="6">
        <v>18.760000000000002</v>
      </c>
      <c r="E101" s="6">
        <v>6.09</v>
      </c>
      <c r="F101" s="6">
        <v>2.71</v>
      </c>
      <c r="G101" s="6">
        <v>107.41</v>
      </c>
      <c r="H101" s="6">
        <v>55.21</v>
      </c>
      <c r="I101" s="6">
        <v>9.16</v>
      </c>
      <c r="J101" s="6">
        <v>0.1</v>
      </c>
      <c r="K101" s="6">
        <v>175.95</v>
      </c>
      <c r="L101" s="6">
        <v>17.38</v>
      </c>
      <c r="M101" s="6">
        <v>88.18</v>
      </c>
      <c r="N101" s="6">
        <v>0</v>
      </c>
      <c r="O101" s="6">
        <v>0</v>
      </c>
      <c r="P101" s="6">
        <v>0.97</v>
      </c>
      <c r="Q101" s="6">
        <v>0</v>
      </c>
    </row>
    <row r="102" spans="1:22" customFormat="1">
      <c r="A102" s="6" t="s">
        <v>332</v>
      </c>
      <c r="B102" s="6">
        <v>7.36</v>
      </c>
      <c r="C102" s="6">
        <v>21.01</v>
      </c>
      <c r="D102" s="6">
        <v>18.23</v>
      </c>
      <c r="E102" s="6">
        <v>5.94</v>
      </c>
      <c r="F102" s="6">
        <v>2.78</v>
      </c>
      <c r="G102" s="6">
        <v>107.41</v>
      </c>
      <c r="H102" s="6">
        <v>55.21</v>
      </c>
      <c r="I102" s="6">
        <v>9.17</v>
      </c>
      <c r="J102" s="6">
        <v>0.12</v>
      </c>
      <c r="K102" s="6">
        <v>163.15</v>
      </c>
      <c r="L102" s="6">
        <v>17.239999999999998</v>
      </c>
      <c r="M102" s="6">
        <v>90.1</v>
      </c>
      <c r="N102" s="6">
        <v>0</v>
      </c>
      <c r="O102" s="6">
        <v>0</v>
      </c>
      <c r="P102" s="6">
        <v>0.95</v>
      </c>
      <c r="Q102" s="6">
        <v>4.79</v>
      </c>
    </row>
    <row r="103" spans="1:22" customFormat="1">
      <c r="A103" s="6" t="s">
        <v>333</v>
      </c>
      <c r="B103" s="6">
        <v>7.36</v>
      </c>
      <c r="C103" s="6">
        <v>21.01</v>
      </c>
      <c r="D103" s="6">
        <v>18.23</v>
      </c>
      <c r="E103" s="6">
        <v>5.94</v>
      </c>
      <c r="F103" s="6">
        <v>2.78</v>
      </c>
      <c r="G103" s="6">
        <v>107.41</v>
      </c>
      <c r="H103" s="6">
        <v>55.21</v>
      </c>
      <c r="I103" s="6">
        <v>9.17</v>
      </c>
      <c r="J103" s="6">
        <v>0.12</v>
      </c>
      <c r="K103" s="6">
        <v>163.15</v>
      </c>
      <c r="L103" s="6">
        <v>17.239999999999998</v>
      </c>
      <c r="M103" s="6">
        <v>90.1</v>
      </c>
      <c r="N103" s="6">
        <v>0</v>
      </c>
      <c r="O103" s="6">
        <v>0</v>
      </c>
      <c r="P103" s="6">
        <v>0.95</v>
      </c>
      <c r="Q103" s="6">
        <v>4.79</v>
      </c>
    </row>
    <row r="104" spans="1:22" customFormat="1">
      <c r="A104" s="6" t="s">
        <v>334</v>
      </c>
      <c r="B104" s="6">
        <v>7.52</v>
      </c>
      <c r="C104" s="6">
        <v>22.04</v>
      </c>
      <c r="D104" s="6">
        <v>18.89</v>
      </c>
      <c r="E104" s="6">
        <v>5.95</v>
      </c>
      <c r="F104" s="6">
        <v>2.63</v>
      </c>
      <c r="G104" s="6">
        <v>102.42</v>
      </c>
      <c r="H104" s="6">
        <v>53.65</v>
      </c>
      <c r="I104" s="6">
        <v>9.16</v>
      </c>
      <c r="J104" s="6">
        <v>0.11</v>
      </c>
      <c r="K104" s="6">
        <v>178.47</v>
      </c>
      <c r="L104" s="6">
        <v>17.079999999999998</v>
      </c>
      <c r="M104" s="6">
        <v>90.12</v>
      </c>
      <c r="N104" s="6">
        <v>0</v>
      </c>
      <c r="O104" s="6">
        <v>0</v>
      </c>
      <c r="P104" s="6">
        <v>0.95</v>
      </c>
      <c r="Q104" s="6">
        <v>4.82</v>
      </c>
    </row>
    <row r="106" spans="1:22">
      <c r="A106" s="156" t="s">
        <v>48</v>
      </c>
      <c r="B106" s="157">
        <f>MIN(B9:B104)</f>
        <v>4.63</v>
      </c>
      <c r="C106" s="157">
        <f>MIN(C9:C104)</f>
        <v>15.61</v>
      </c>
      <c r="D106" s="157">
        <f t="shared" ref="D106:Q106" si="0">MIN(D9:D104)</f>
        <v>13.34</v>
      </c>
      <c r="E106" s="157">
        <f t="shared" si="0"/>
        <v>5.83</v>
      </c>
      <c r="F106" s="157">
        <f t="shared" si="0"/>
        <v>2.2799999999999998</v>
      </c>
      <c r="G106" s="157">
        <f t="shared" si="0"/>
        <v>78.37</v>
      </c>
      <c r="H106" s="157">
        <f t="shared" si="0"/>
        <v>47.98</v>
      </c>
      <c r="I106" s="157">
        <f t="shared" si="0"/>
        <v>6.95</v>
      </c>
      <c r="J106" s="157">
        <f t="shared" si="0"/>
        <v>0.05</v>
      </c>
      <c r="K106" s="157">
        <f t="shared" si="0"/>
        <v>12.95</v>
      </c>
      <c r="L106" s="157">
        <f t="shared" si="0"/>
        <v>14.88</v>
      </c>
      <c r="M106" s="157">
        <f t="shared" si="0"/>
        <v>42.94</v>
      </c>
      <c r="N106" s="157">
        <f t="shared" si="0"/>
        <v>0</v>
      </c>
      <c r="O106" s="157">
        <f t="shared" si="0"/>
        <v>0</v>
      </c>
      <c r="P106" s="157">
        <f t="shared" si="0"/>
        <v>0.71</v>
      </c>
      <c r="Q106" s="157">
        <f t="shared" si="0"/>
        <v>0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22.29</v>
      </c>
      <c r="C107" s="156">
        <f t="shared" ref="C107:Q107" si="1">MAX(C9:C104)</f>
        <v>32.270000000000003</v>
      </c>
      <c r="D107" s="156">
        <f t="shared" si="1"/>
        <v>34.29</v>
      </c>
      <c r="E107" s="156">
        <f t="shared" si="1"/>
        <v>8.48</v>
      </c>
      <c r="F107" s="156">
        <f t="shared" si="1"/>
        <v>5.79</v>
      </c>
      <c r="G107" s="156">
        <f t="shared" si="1"/>
        <v>153.33000000000001</v>
      </c>
      <c r="H107" s="156">
        <f t="shared" si="1"/>
        <v>77.03</v>
      </c>
      <c r="I107" s="156">
        <f t="shared" si="1"/>
        <v>11.36</v>
      </c>
      <c r="J107" s="156">
        <f t="shared" si="1"/>
        <v>0.4</v>
      </c>
      <c r="K107" s="156">
        <f t="shared" si="1"/>
        <v>334.18</v>
      </c>
      <c r="L107" s="156">
        <f t="shared" si="1"/>
        <v>27.15</v>
      </c>
      <c r="M107" s="156">
        <f t="shared" si="1"/>
        <v>95.55</v>
      </c>
      <c r="N107" s="156">
        <f t="shared" si="1"/>
        <v>397</v>
      </c>
      <c r="O107" s="156">
        <f t="shared" si="1"/>
        <v>0</v>
      </c>
      <c r="P107" s="156">
        <f t="shared" si="1"/>
        <v>1.22</v>
      </c>
      <c r="Q107" s="156">
        <f t="shared" si="1"/>
        <v>5.0999999999999996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10.552916666666667</v>
      </c>
      <c r="C108" s="157">
        <f t="shared" ref="C108:Q108" si="2">AVERAGE(C9:C104)</f>
        <v>24.296354166666674</v>
      </c>
      <c r="D108" s="157">
        <f t="shared" si="2"/>
        <v>22.507604166666656</v>
      </c>
      <c r="E108" s="157">
        <f t="shared" si="2"/>
        <v>6.968541666666666</v>
      </c>
      <c r="F108" s="157">
        <f t="shared" si="2"/>
        <v>3.1921874999999988</v>
      </c>
      <c r="G108" s="157">
        <f t="shared" si="2"/>
        <v>106.23302083333328</v>
      </c>
      <c r="H108" s="157">
        <f t="shared" si="2"/>
        <v>58.221770833333323</v>
      </c>
      <c r="I108" s="157">
        <f t="shared" si="2"/>
        <v>9.1219791666666659</v>
      </c>
      <c r="J108" s="157">
        <f t="shared" si="2"/>
        <v>0.1730208333333334</v>
      </c>
      <c r="K108" s="157">
        <f t="shared" si="2"/>
        <v>143.90697916666673</v>
      </c>
      <c r="L108" s="157">
        <f t="shared" si="2"/>
        <v>20.144687500000007</v>
      </c>
      <c r="M108" s="157">
        <f t="shared" si="2"/>
        <v>74.493541666666658</v>
      </c>
      <c r="N108" s="157">
        <f t="shared" si="2"/>
        <v>82.916666666666657</v>
      </c>
      <c r="O108" s="157">
        <f t="shared" si="2"/>
        <v>0</v>
      </c>
      <c r="P108" s="157">
        <f t="shared" si="2"/>
        <v>0.94624999999999992</v>
      </c>
      <c r="Q108" s="157">
        <f t="shared" si="2"/>
        <v>4.2464583333333339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6.116556120230551</v>
      </c>
      <c r="C109" s="157">
        <f t="shared" ref="C109:Q109" si="3">STDEV(C9:C104)</f>
        <v>4.1376128688161531</v>
      </c>
      <c r="D109" s="157">
        <f t="shared" si="3"/>
        <v>6.6177023751358091</v>
      </c>
      <c r="E109" s="157">
        <f t="shared" si="3"/>
        <v>0.64080045201158042</v>
      </c>
      <c r="F109" s="157">
        <f t="shared" si="3"/>
        <v>0.77616357896760513</v>
      </c>
      <c r="G109" s="157">
        <f t="shared" si="3"/>
        <v>23.015644387415872</v>
      </c>
      <c r="H109" s="157">
        <f t="shared" si="3"/>
        <v>10.652169435060852</v>
      </c>
      <c r="I109" s="157">
        <f t="shared" si="3"/>
        <v>1.4654416397664696</v>
      </c>
      <c r="J109" s="157">
        <f t="shared" si="3"/>
        <v>8.5693699229985751E-2</v>
      </c>
      <c r="K109" s="157">
        <f t="shared" si="3"/>
        <v>73.444005095465087</v>
      </c>
      <c r="L109" s="157">
        <f t="shared" si="3"/>
        <v>4.0922882424396922</v>
      </c>
      <c r="M109" s="157">
        <f t="shared" si="3"/>
        <v>18.78088249589365</v>
      </c>
      <c r="N109" s="157">
        <f t="shared" si="3"/>
        <v>133.41137067192361</v>
      </c>
      <c r="O109" s="157">
        <f t="shared" si="3"/>
        <v>0</v>
      </c>
      <c r="P109" s="157">
        <f t="shared" si="3"/>
        <v>0.16050086079454401</v>
      </c>
      <c r="Q109" s="157">
        <f t="shared" si="3"/>
        <v>1.6922429707136681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7"/>
  <sheetViews>
    <sheetView zoomScale="85" zoomScaleNormal="85" workbookViewId="0">
      <pane xSplit="1" ySplit="8" topLeftCell="B108" activePane="bottomRight" state="frozen"/>
      <selection pane="topRight"/>
      <selection pane="bottomLeft"/>
      <selection pane="bottomRight" activeCell="K19" sqref="J19:K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335</v>
      </c>
      <c r="B9" s="6">
        <v>7.52</v>
      </c>
      <c r="C9" s="6">
        <v>22.04</v>
      </c>
      <c r="D9" s="6">
        <v>18.89</v>
      </c>
      <c r="E9" s="6">
        <v>5.95</v>
      </c>
      <c r="F9" s="6">
        <v>2.63</v>
      </c>
      <c r="G9" s="6">
        <v>102.42</v>
      </c>
      <c r="H9" s="6">
        <v>53.65</v>
      </c>
      <c r="I9" s="6">
        <v>9.16</v>
      </c>
      <c r="J9" s="6">
        <v>0.11</v>
      </c>
      <c r="K9" s="6">
        <v>178.47</v>
      </c>
      <c r="L9" s="6">
        <v>17.079999999999998</v>
      </c>
      <c r="M9" s="6">
        <v>90.12</v>
      </c>
      <c r="N9" s="6">
        <v>0</v>
      </c>
      <c r="O9" s="6">
        <v>0</v>
      </c>
      <c r="P9" s="6">
        <v>0.95</v>
      </c>
      <c r="Q9" s="6">
        <v>4.82</v>
      </c>
    </row>
    <row r="10" spans="1:21" customFormat="1">
      <c r="A10" s="6" t="s">
        <v>336</v>
      </c>
      <c r="B10" s="6">
        <v>7.52</v>
      </c>
      <c r="C10" s="6">
        <v>22.04</v>
      </c>
      <c r="D10" s="6">
        <v>18.89</v>
      </c>
      <c r="E10" s="6">
        <v>5.95</v>
      </c>
      <c r="F10" s="6">
        <v>2.63</v>
      </c>
      <c r="G10" s="6">
        <v>102.42</v>
      </c>
      <c r="H10" s="6">
        <v>53.65</v>
      </c>
      <c r="I10" s="6">
        <v>9.16</v>
      </c>
      <c r="J10" s="6">
        <v>0.11</v>
      </c>
      <c r="K10" s="6">
        <v>178.47</v>
      </c>
      <c r="L10" s="6">
        <v>17.079999999999998</v>
      </c>
      <c r="M10" s="6">
        <v>90.12</v>
      </c>
      <c r="N10" s="6">
        <v>0</v>
      </c>
      <c r="O10" s="6">
        <v>0</v>
      </c>
      <c r="P10" s="6">
        <v>0.95</v>
      </c>
      <c r="Q10" s="6">
        <v>4.82</v>
      </c>
    </row>
    <row r="11" spans="1:21" customFormat="1">
      <c r="A11" s="6" t="s">
        <v>337</v>
      </c>
      <c r="B11" s="6">
        <v>8.44</v>
      </c>
      <c r="C11" s="6">
        <v>22.09</v>
      </c>
      <c r="D11" s="6">
        <v>19.66</v>
      </c>
      <c r="E11" s="6">
        <v>6.19</v>
      </c>
      <c r="F11" s="6">
        <v>2.5499999999999998</v>
      </c>
      <c r="G11" s="6">
        <v>101.17</v>
      </c>
      <c r="H11" s="6">
        <v>53.61</v>
      </c>
      <c r="I11" s="6">
        <v>9.16</v>
      </c>
      <c r="J11" s="6">
        <v>0.08</v>
      </c>
      <c r="K11" s="6">
        <v>193.9</v>
      </c>
      <c r="L11" s="6">
        <v>16.68</v>
      </c>
      <c r="M11" s="6">
        <v>90.87</v>
      </c>
      <c r="N11" s="6">
        <v>0</v>
      </c>
      <c r="O11" s="6">
        <v>0</v>
      </c>
      <c r="P11" s="6">
        <v>0.96</v>
      </c>
      <c r="Q11" s="6">
        <v>4.8499999999999996</v>
      </c>
    </row>
    <row r="12" spans="1:21" customFormat="1">
      <c r="A12" s="6" t="s">
        <v>338</v>
      </c>
      <c r="B12" s="6">
        <v>8.98</v>
      </c>
      <c r="C12" s="6">
        <v>22.3</v>
      </c>
      <c r="D12" s="6">
        <v>20.21</v>
      </c>
      <c r="E12" s="6">
        <v>6.11</v>
      </c>
      <c r="F12" s="6">
        <v>2.54</v>
      </c>
      <c r="G12" s="6">
        <v>99.83</v>
      </c>
      <c r="H12" s="6">
        <v>53.55</v>
      </c>
      <c r="I12" s="6">
        <v>9.16</v>
      </c>
      <c r="J12" s="6">
        <v>0.08</v>
      </c>
      <c r="K12" s="6">
        <v>203.22</v>
      </c>
      <c r="L12" s="6">
        <v>16.350000000000001</v>
      </c>
      <c r="M12" s="6">
        <v>92.38</v>
      </c>
      <c r="N12" s="6">
        <v>0</v>
      </c>
      <c r="O12" s="6">
        <v>0</v>
      </c>
      <c r="P12" s="6">
        <v>0.96</v>
      </c>
      <c r="Q12" s="6">
        <v>4.88</v>
      </c>
    </row>
    <row r="13" spans="1:21" customFormat="1">
      <c r="A13" s="6" t="s">
        <v>339</v>
      </c>
      <c r="B13" s="6">
        <v>8.98</v>
      </c>
      <c r="C13" s="6">
        <v>22.3</v>
      </c>
      <c r="D13" s="6">
        <v>20.21</v>
      </c>
      <c r="E13" s="6">
        <v>6.11</v>
      </c>
      <c r="F13" s="6">
        <v>2.54</v>
      </c>
      <c r="G13" s="6">
        <v>99.83</v>
      </c>
      <c r="H13" s="6">
        <v>53.55</v>
      </c>
      <c r="I13" s="6">
        <v>9.16</v>
      </c>
      <c r="J13" s="6">
        <v>0.08</v>
      </c>
      <c r="K13" s="6">
        <v>203.22</v>
      </c>
      <c r="L13" s="6">
        <v>16.350000000000001</v>
      </c>
      <c r="M13" s="6">
        <v>92.38</v>
      </c>
      <c r="N13" s="6">
        <v>0</v>
      </c>
      <c r="O13" s="6">
        <v>0</v>
      </c>
      <c r="P13" s="6">
        <v>0.96</v>
      </c>
      <c r="Q13" s="6">
        <v>4.88</v>
      </c>
    </row>
    <row r="14" spans="1:21" customFormat="1">
      <c r="A14" s="6" t="s">
        <v>340</v>
      </c>
      <c r="B14" s="6">
        <v>8.98</v>
      </c>
      <c r="C14" s="6">
        <v>22.3</v>
      </c>
      <c r="D14" s="6">
        <v>20.21</v>
      </c>
      <c r="E14" s="6">
        <v>6.11</v>
      </c>
      <c r="F14" s="6">
        <v>2.54</v>
      </c>
      <c r="G14" s="6">
        <v>99.83</v>
      </c>
      <c r="H14" s="6">
        <v>53.55</v>
      </c>
      <c r="I14" s="6">
        <v>9.16</v>
      </c>
      <c r="J14" s="6">
        <v>0.08</v>
      </c>
      <c r="K14" s="6">
        <v>203.22</v>
      </c>
      <c r="L14" s="6">
        <v>16.350000000000001</v>
      </c>
      <c r="M14" s="6">
        <v>92.38</v>
      </c>
      <c r="N14" s="6">
        <v>0</v>
      </c>
      <c r="O14" s="6">
        <v>0</v>
      </c>
      <c r="P14" s="6">
        <v>0.96</v>
      </c>
      <c r="Q14" s="6">
        <v>4.88</v>
      </c>
    </row>
    <row r="15" spans="1:21" customFormat="1">
      <c r="A15" s="6" t="s">
        <v>341</v>
      </c>
      <c r="B15" s="6">
        <v>8.98</v>
      </c>
      <c r="C15" s="6">
        <v>22.3</v>
      </c>
      <c r="D15" s="6">
        <v>20.21</v>
      </c>
      <c r="E15" s="6">
        <v>6.11</v>
      </c>
      <c r="F15" s="6">
        <v>2.54</v>
      </c>
      <c r="G15" s="6">
        <v>99.83</v>
      </c>
      <c r="H15" s="6">
        <v>53.55</v>
      </c>
      <c r="I15" s="6">
        <v>9.16</v>
      </c>
      <c r="J15" s="6">
        <v>0.08</v>
      </c>
      <c r="K15" s="6">
        <v>203.22</v>
      </c>
      <c r="L15" s="6">
        <v>16.350000000000001</v>
      </c>
      <c r="M15" s="6">
        <v>92.38</v>
      </c>
      <c r="N15" s="6">
        <v>0</v>
      </c>
      <c r="O15" s="6">
        <v>0</v>
      </c>
      <c r="P15" s="6">
        <v>0.96</v>
      </c>
      <c r="Q15" s="6">
        <v>4.88</v>
      </c>
    </row>
    <row r="16" spans="1:21" customFormat="1">
      <c r="A16" s="6" t="s">
        <v>342</v>
      </c>
      <c r="B16" s="6">
        <v>8.98</v>
      </c>
      <c r="C16" s="6">
        <v>22.3</v>
      </c>
      <c r="D16" s="6">
        <v>20.21</v>
      </c>
      <c r="E16" s="6">
        <v>6.11</v>
      </c>
      <c r="F16" s="6">
        <v>2.54</v>
      </c>
      <c r="G16" s="6">
        <v>99.83</v>
      </c>
      <c r="H16" s="6">
        <v>53.55</v>
      </c>
      <c r="I16" s="6">
        <v>9.16</v>
      </c>
      <c r="J16" s="6">
        <v>0.08</v>
      </c>
      <c r="K16" s="6">
        <v>203.22</v>
      </c>
      <c r="L16" s="6">
        <v>16.350000000000001</v>
      </c>
      <c r="M16" s="6">
        <v>92.38</v>
      </c>
      <c r="N16" s="6">
        <v>0</v>
      </c>
      <c r="O16" s="6">
        <v>0</v>
      </c>
      <c r="P16" s="6">
        <v>0.96</v>
      </c>
      <c r="Q16" s="6">
        <v>4.88</v>
      </c>
    </row>
    <row r="17" spans="1:17" customFormat="1">
      <c r="A17" s="6" t="s">
        <v>343</v>
      </c>
      <c r="B17" s="6">
        <v>8.98</v>
      </c>
      <c r="C17" s="6">
        <v>22.3</v>
      </c>
      <c r="D17" s="6">
        <v>20.21</v>
      </c>
      <c r="E17" s="6">
        <v>6.11</v>
      </c>
      <c r="F17" s="6">
        <v>2.54</v>
      </c>
      <c r="G17" s="6">
        <v>99.83</v>
      </c>
      <c r="H17" s="6">
        <v>53.55</v>
      </c>
      <c r="I17" s="6">
        <v>9.16</v>
      </c>
      <c r="J17" s="6">
        <v>0.08</v>
      </c>
      <c r="K17" s="6">
        <v>203.22</v>
      </c>
      <c r="L17" s="6">
        <v>16.350000000000001</v>
      </c>
      <c r="M17" s="6">
        <v>92.38</v>
      </c>
      <c r="N17" s="6">
        <v>0</v>
      </c>
      <c r="O17" s="6">
        <v>0</v>
      </c>
      <c r="P17" s="6">
        <v>0.96</v>
      </c>
      <c r="Q17" s="6">
        <v>4.88</v>
      </c>
    </row>
    <row r="18" spans="1:17" customFormat="1">
      <c r="A18" s="6" t="s">
        <v>344</v>
      </c>
      <c r="B18" s="6">
        <v>8.98</v>
      </c>
      <c r="C18" s="6">
        <v>22.3</v>
      </c>
      <c r="D18" s="6">
        <v>20.21</v>
      </c>
      <c r="E18" s="6">
        <v>6.11</v>
      </c>
      <c r="F18" s="6">
        <v>2.54</v>
      </c>
      <c r="G18" s="6">
        <v>99.83</v>
      </c>
      <c r="H18" s="6">
        <v>53.55</v>
      </c>
      <c r="I18" s="6">
        <v>9.16</v>
      </c>
      <c r="J18" s="6">
        <v>0.08</v>
      </c>
      <c r="K18" s="6">
        <v>203.22</v>
      </c>
      <c r="L18" s="6">
        <v>16.350000000000001</v>
      </c>
      <c r="M18" s="6">
        <v>92.38</v>
      </c>
      <c r="N18" s="6">
        <v>0</v>
      </c>
      <c r="O18" s="6">
        <v>0</v>
      </c>
      <c r="P18" s="6">
        <v>0.96</v>
      </c>
      <c r="Q18" s="6">
        <v>4.88</v>
      </c>
    </row>
    <row r="19" spans="1:17" customFormat="1">
      <c r="A19" s="6" t="s">
        <v>345</v>
      </c>
      <c r="B19" s="6">
        <v>8.98</v>
      </c>
      <c r="C19" s="6">
        <v>22.3</v>
      </c>
      <c r="D19" s="6">
        <v>20.21</v>
      </c>
      <c r="E19" s="6">
        <v>6.11</v>
      </c>
      <c r="F19" s="6">
        <v>2.54</v>
      </c>
      <c r="G19" s="6">
        <v>99.83</v>
      </c>
      <c r="H19" s="6">
        <v>53.55</v>
      </c>
      <c r="I19" s="6">
        <v>9.16</v>
      </c>
      <c r="J19" s="152" t="s">
        <v>15</v>
      </c>
      <c r="K19" s="152" t="s">
        <v>15</v>
      </c>
      <c r="L19" s="6">
        <v>16.350000000000001</v>
      </c>
      <c r="M19" s="6">
        <v>92.38</v>
      </c>
      <c r="N19" s="6">
        <v>0</v>
      </c>
      <c r="O19" s="6">
        <v>0</v>
      </c>
      <c r="P19" s="6">
        <v>0.96</v>
      </c>
      <c r="Q19" s="6">
        <v>4.88</v>
      </c>
    </row>
    <row r="20" spans="1:17" customFormat="1">
      <c r="A20" s="6" t="s">
        <v>346</v>
      </c>
      <c r="B20" s="6">
        <v>9.08</v>
      </c>
      <c r="C20" s="6">
        <v>20.86</v>
      </c>
      <c r="D20" s="6">
        <v>19.53</v>
      </c>
      <c r="E20" s="6">
        <v>6.25</v>
      </c>
      <c r="F20" s="6">
        <v>2.75</v>
      </c>
      <c r="G20" s="6">
        <v>97.07</v>
      </c>
      <c r="H20" s="6">
        <v>51.61</v>
      </c>
      <c r="I20" s="6">
        <v>9.1199999999999992</v>
      </c>
      <c r="J20" s="6">
        <v>0.1</v>
      </c>
      <c r="K20" s="6">
        <v>242.83</v>
      </c>
      <c r="L20" s="6">
        <v>16.07</v>
      </c>
      <c r="M20" s="6">
        <v>91.92</v>
      </c>
      <c r="N20" s="6">
        <v>0</v>
      </c>
      <c r="O20" s="6">
        <v>0</v>
      </c>
      <c r="P20" s="6">
        <v>0.93</v>
      </c>
      <c r="Q20" s="6">
        <v>4.87</v>
      </c>
    </row>
    <row r="21" spans="1:17" customFormat="1">
      <c r="A21" s="6" t="s">
        <v>347</v>
      </c>
      <c r="B21" s="6">
        <v>8.84</v>
      </c>
      <c r="C21" s="6">
        <v>20.69</v>
      </c>
      <c r="D21" s="6">
        <v>19.25</v>
      </c>
      <c r="E21" s="6">
        <v>5.96</v>
      </c>
      <c r="F21" s="6">
        <v>2.82</v>
      </c>
      <c r="G21" s="6">
        <v>92.43</v>
      </c>
      <c r="H21" s="6">
        <v>48.44</v>
      </c>
      <c r="I21" s="6">
        <v>8.93</v>
      </c>
      <c r="J21" s="6">
        <v>0.09</v>
      </c>
      <c r="K21" s="6">
        <v>262.45999999999998</v>
      </c>
      <c r="L21" s="6">
        <v>15.67</v>
      </c>
      <c r="M21" s="6">
        <v>92.8</v>
      </c>
      <c r="N21" s="6">
        <v>0</v>
      </c>
      <c r="O21" s="6">
        <v>0</v>
      </c>
      <c r="P21" s="6">
        <v>0.91</v>
      </c>
      <c r="Q21" s="6">
        <v>4.8600000000000003</v>
      </c>
    </row>
    <row r="22" spans="1:17" customFormat="1">
      <c r="A22" s="6" t="s">
        <v>348</v>
      </c>
      <c r="B22" s="6">
        <v>9.14</v>
      </c>
      <c r="C22" s="6">
        <v>21.27</v>
      </c>
      <c r="D22" s="6">
        <v>19.79</v>
      </c>
      <c r="E22" s="6">
        <v>6</v>
      </c>
      <c r="F22" s="6">
        <v>2.67</v>
      </c>
      <c r="G22" s="6">
        <v>92.43</v>
      </c>
      <c r="H22" s="6">
        <v>48.44</v>
      </c>
      <c r="I22" s="6">
        <v>8.86</v>
      </c>
      <c r="J22" s="6">
        <v>0.16</v>
      </c>
      <c r="K22" s="6">
        <v>45.16</v>
      </c>
      <c r="L22" s="6">
        <v>15.59</v>
      </c>
      <c r="M22" s="6">
        <v>93.2</v>
      </c>
      <c r="N22" s="6">
        <v>0</v>
      </c>
      <c r="O22" s="6">
        <v>0</v>
      </c>
      <c r="P22" s="6">
        <v>0.92</v>
      </c>
      <c r="Q22" s="6">
        <v>4.8499999999999996</v>
      </c>
    </row>
    <row r="23" spans="1:17" customFormat="1">
      <c r="A23" s="6" t="s">
        <v>349</v>
      </c>
      <c r="B23" s="6">
        <v>9.94</v>
      </c>
      <c r="C23" s="6">
        <v>22.35</v>
      </c>
      <c r="D23" s="6">
        <v>21</v>
      </c>
      <c r="E23" s="6">
        <v>5.88</v>
      </c>
      <c r="F23" s="6">
        <v>2.71</v>
      </c>
      <c r="G23" s="6">
        <v>89.92</v>
      </c>
      <c r="H23" s="6">
        <v>51.39</v>
      </c>
      <c r="I23" s="6">
        <v>8.7799999999999994</v>
      </c>
      <c r="J23" s="6">
        <v>0.02</v>
      </c>
      <c r="K23" s="6">
        <v>161.77000000000001</v>
      </c>
      <c r="L23" s="6">
        <v>15.83</v>
      </c>
      <c r="M23" s="6">
        <v>92.05</v>
      </c>
      <c r="N23" s="6">
        <v>0</v>
      </c>
      <c r="O23" s="6">
        <v>0</v>
      </c>
      <c r="P23" s="6">
        <v>0.92</v>
      </c>
      <c r="Q23" s="6">
        <v>4.8600000000000003</v>
      </c>
    </row>
    <row r="24" spans="1:17" customFormat="1">
      <c r="A24" s="6" t="s">
        <v>350</v>
      </c>
      <c r="B24" s="6">
        <v>10.36</v>
      </c>
      <c r="C24" s="6">
        <v>22.92</v>
      </c>
      <c r="D24" s="6">
        <v>21.63</v>
      </c>
      <c r="E24" s="6">
        <v>5.57</v>
      </c>
      <c r="F24" s="6">
        <v>2.63</v>
      </c>
      <c r="G24" s="6">
        <v>89.57</v>
      </c>
      <c r="H24" s="6">
        <v>51.39</v>
      </c>
      <c r="I24" s="6">
        <v>8.73</v>
      </c>
      <c r="J24" s="6">
        <v>0.13</v>
      </c>
      <c r="K24" s="6">
        <v>212.03</v>
      </c>
      <c r="L24" s="6">
        <v>15.89</v>
      </c>
      <c r="M24" s="6">
        <v>91.7</v>
      </c>
      <c r="N24" s="6">
        <v>0</v>
      </c>
      <c r="O24" s="6">
        <v>0</v>
      </c>
      <c r="P24" s="6">
        <v>0.91</v>
      </c>
      <c r="Q24" s="6">
        <v>4.88</v>
      </c>
    </row>
    <row r="25" spans="1:17" customFormat="1">
      <c r="A25" s="6" t="s">
        <v>351</v>
      </c>
      <c r="B25" s="6">
        <v>10.32</v>
      </c>
      <c r="C25" s="6">
        <v>23.1</v>
      </c>
      <c r="D25" s="6">
        <v>21.7</v>
      </c>
      <c r="E25" s="6">
        <v>5.55</v>
      </c>
      <c r="F25" s="6">
        <v>2.73</v>
      </c>
      <c r="G25" s="6">
        <v>89.57</v>
      </c>
      <c r="H25" s="6">
        <v>51.39</v>
      </c>
      <c r="I25" s="6">
        <v>8.75</v>
      </c>
      <c r="J25" s="6">
        <v>0.12</v>
      </c>
      <c r="K25" s="6">
        <v>148.56</v>
      </c>
      <c r="L25" s="6">
        <v>15.78</v>
      </c>
      <c r="M25" s="6">
        <v>91.94</v>
      </c>
      <c r="N25" s="6">
        <v>0</v>
      </c>
      <c r="O25" s="6">
        <v>0</v>
      </c>
      <c r="P25" s="6">
        <v>0.91</v>
      </c>
      <c r="Q25" s="6">
        <v>4.88</v>
      </c>
    </row>
    <row r="26" spans="1:17" customFormat="1">
      <c r="A26" s="6" t="s">
        <v>352</v>
      </c>
      <c r="B26" s="6">
        <v>10.65</v>
      </c>
      <c r="C26" s="6">
        <v>23.18</v>
      </c>
      <c r="D26" s="6">
        <v>22</v>
      </c>
      <c r="E26" s="6">
        <v>5.24</v>
      </c>
      <c r="F26" s="6">
        <v>2.63</v>
      </c>
      <c r="G26" s="6">
        <v>89.57</v>
      </c>
      <c r="H26" s="6">
        <v>51.39</v>
      </c>
      <c r="I26" s="6">
        <v>8.8000000000000007</v>
      </c>
      <c r="J26" s="6">
        <v>0.1</v>
      </c>
      <c r="K26" s="6">
        <v>91.61</v>
      </c>
      <c r="L26" s="6">
        <v>15.64</v>
      </c>
      <c r="M26" s="6">
        <v>92.42</v>
      </c>
      <c r="N26" s="6">
        <v>0</v>
      </c>
      <c r="O26" s="6">
        <v>0</v>
      </c>
      <c r="P26" s="6">
        <v>0.91</v>
      </c>
      <c r="Q26" s="6">
        <v>4.8899999999999997</v>
      </c>
    </row>
    <row r="27" spans="1:17" customFormat="1">
      <c r="A27" s="6" t="s">
        <v>353</v>
      </c>
      <c r="B27" s="6">
        <v>11.29</v>
      </c>
      <c r="C27" s="6">
        <v>23.54</v>
      </c>
      <c r="D27" s="6">
        <v>22.71</v>
      </c>
      <c r="E27" s="6">
        <v>5.71</v>
      </c>
      <c r="F27" s="6">
        <v>2.67</v>
      </c>
      <c r="G27" s="6">
        <v>91.04</v>
      </c>
      <c r="H27" s="6">
        <v>54.52</v>
      </c>
      <c r="I27" s="6">
        <v>8.86</v>
      </c>
      <c r="J27" s="6">
        <v>0.12</v>
      </c>
      <c r="K27" s="6">
        <v>117.95</v>
      </c>
      <c r="L27" s="6">
        <v>15.62</v>
      </c>
      <c r="M27" s="6">
        <v>92.71</v>
      </c>
      <c r="N27" s="6">
        <v>0</v>
      </c>
      <c r="O27" s="6">
        <v>0</v>
      </c>
      <c r="P27" s="6">
        <v>0.91</v>
      </c>
      <c r="Q27" s="6">
        <v>4.9000000000000004</v>
      </c>
    </row>
    <row r="28" spans="1:17" customFormat="1">
      <c r="A28" s="6" t="s">
        <v>354</v>
      </c>
      <c r="B28" s="6">
        <v>11.36</v>
      </c>
      <c r="C28" s="6">
        <v>23.8</v>
      </c>
      <c r="D28" s="6">
        <v>22.89</v>
      </c>
      <c r="E28" s="6">
        <v>5.69</v>
      </c>
      <c r="F28" s="6">
        <v>2.58</v>
      </c>
      <c r="G28" s="6">
        <v>91.25</v>
      </c>
      <c r="H28" s="6">
        <v>54.52</v>
      </c>
      <c r="I28" s="6">
        <v>8.8699999999999992</v>
      </c>
      <c r="J28" s="6">
        <v>0.12</v>
      </c>
      <c r="K28" s="6">
        <v>212.23</v>
      </c>
      <c r="L28" s="6">
        <v>15.48</v>
      </c>
      <c r="M28" s="6">
        <v>93.62</v>
      </c>
      <c r="N28" s="6">
        <v>0</v>
      </c>
      <c r="O28" s="6">
        <v>0</v>
      </c>
      <c r="P28" s="6">
        <v>0.91</v>
      </c>
      <c r="Q28" s="6">
        <v>4.8899999999999997</v>
      </c>
    </row>
    <row r="29" spans="1:17" customFormat="1">
      <c r="A29" s="6" t="s">
        <v>355</v>
      </c>
      <c r="B29" s="6">
        <v>11.57</v>
      </c>
      <c r="C29" s="6">
        <v>23.71</v>
      </c>
      <c r="D29" s="6">
        <v>23.02</v>
      </c>
      <c r="E29" s="6">
        <v>6.31</v>
      </c>
      <c r="F29" s="6">
        <v>2.54</v>
      </c>
      <c r="G29" s="6">
        <v>91.25</v>
      </c>
      <c r="H29" s="6">
        <v>54.52</v>
      </c>
      <c r="I29" s="6">
        <v>8.92</v>
      </c>
      <c r="J29" s="6">
        <v>0.13</v>
      </c>
      <c r="K29" s="6">
        <v>202.95</v>
      </c>
      <c r="L29" s="6">
        <v>15.32</v>
      </c>
      <c r="M29" s="6">
        <v>94.48</v>
      </c>
      <c r="N29" s="6">
        <v>0</v>
      </c>
      <c r="O29" s="6">
        <v>0</v>
      </c>
      <c r="P29" s="6">
        <v>0.92</v>
      </c>
      <c r="Q29" s="6">
        <v>4.91</v>
      </c>
    </row>
    <row r="30" spans="1:17" customFormat="1">
      <c r="A30" s="6" t="s">
        <v>356</v>
      </c>
      <c r="B30" s="6">
        <v>11.56</v>
      </c>
      <c r="C30" s="6">
        <v>23.5</v>
      </c>
      <c r="D30" s="6">
        <v>22.9</v>
      </c>
      <c r="E30" s="6">
        <v>6.23</v>
      </c>
      <c r="F30" s="6">
        <v>2.57</v>
      </c>
      <c r="G30" s="6">
        <v>91.25</v>
      </c>
      <c r="H30" s="6">
        <v>54.52</v>
      </c>
      <c r="I30" s="6">
        <v>8.98</v>
      </c>
      <c r="J30" s="6">
        <v>7.0000000000000007E-2</v>
      </c>
      <c r="K30" s="6">
        <v>224.97</v>
      </c>
      <c r="L30" s="6">
        <v>15.01</v>
      </c>
      <c r="M30" s="6">
        <v>94.99</v>
      </c>
      <c r="N30" s="6">
        <v>0</v>
      </c>
      <c r="O30" s="6">
        <v>0</v>
      </c>
      <c r="P30" s="6">
        <v>0.91</v>
      </c>
      <c r="Q30" s="6">
        <v>4.91</v>
      </c>
    </row>
    <row r="31" spans="1:17" customFormat="1">
      <c r="A31" s="6" t="s">
        <v>357</v>
      </c>
      <c r="B31" s="6">
        <v>11.44</v>
      </c>
      <c r="C31" s="6">
        <v>23.35</v>
      </c>
      <c r="D31" s="6">
        <v>22.72</v>
      </c>
      <c r="E31" s="6">
        <v>6.14</v>
      </c>
      <c r="F31" s="6">
        <v>2.5499999999999998</v>
      </c>
      <c r="G31" s="6">
        <v>90.1</v>
      </c>
      <c r="H31" s="6">
        <v>51.27</v>
      </c>
      <c r="I31" s="6">
        <v>8.99</v>
      </c>
      <c r="J31" s="6">
        <v>0.11</v>
      </c>
      <c r="K31" s="6">
        <v>254.79</v>
      </c>
      <c r="L31" s="6">
        <v>14.82</v>
      </c>
      <c r="M31" s="6">
        <v>95.4</v>
      </c>
      <c r="N31" s="6">
        <v>0</v>
      </c>
      <c r="O31" s="6">
        <v>0</v>
      </c>
      <c r="P31" s="6">
        <v>0.9</v>
      </c>
      <c r="Q31" s="6">
        <v>4.8899999999999997</v>
      </c>
    </row>
    <row r="32" spans="1:17" customFormat="1">
      <c r="A32" s="6" t="s">
        <v>358</v>
      </c>
      <c r="B32" s="6">
        <v>11.46</v>
      </c>
      <c r="C32" s="6">
        <v>23.18</v>
      </c>
      <c r="D32" s="6">
        <v>22.65</v>
      </c>
      <c r="E32" s="6">
        <v>6.18</v>
      </c>
      <c r="F32" s="6">
        <v>2.39</v>
      </c>
      <c r="G32" s="6">
        <v>89.94</v>
      </c>
      <c r="H32" s="6">
        <v>51.27</v>
      </c>
      <c r="I32" s="6">
        <v>9.02</v>
      </c>
      <c r="J32" s="6">
        <v>0.13</v>
      </c>
      <c r="K32" s="6">
        <v>115.59</v>
      </c>
      <c r="L32" s="6">
        <v>14.78</v>
      </c>
      <c r="M32" s="6">
        <v>95.98</v>
      </c>
      <c r="N32" s="6">
        <v>0</v>
      </c>
      <c r="O32" s="6">
        <v>0</v>
      </c>
      <c r="P32" s="6">
        <v>0.9</v>
      </c>
      <c r="Q32" s="6">
        <v>4.8899999999999997</v>
      </c>
    </row>
    <row r="33" spans="1:17" customFormat="1">
      <c r="A33" s="6" t="s">
        <v>359</v>
      </c>
      <c r="B33" s="6">
        <v>13.12</v>
      </c>
      <c r="C33" s="6">
        <v>23.63</v>
      </c>
      <c r="D33" s="6">
        <v>24.22</v>
      </c>
      <c r="E33" s="6">
        <v>6.02</v>
      </c>
      <c r="F33" s="6">
        <v>2.42</v>
      </c>
      <c r="G33" s="6">
        <v>89.94</v>
      </c>
      <c r="H33" s="6">
        <v>51.27</v>
      </c>
      <c r="I33" s="6">
        <v>9</v>
      </c>
      <c r="J33" s="6">
        <v>0.12</v>
      </c>
      <c r="K33" s="6">
        <v>153.06</v>
      </c>
      <c r="L33" s="6">
        <v>14.91</v>
      </c>
      <c r="M33" s="6">
        <v>95.74</v>
      </c>
      <c r="N33" s="6">
        <v>0</v>
      </c>
      <c r="O33" s="6">
        <v>0</v>
      </c>
      <c r="P33" s="6">
        <v>0.9</v>
      </c>
      <c r="Q33" s="6">
        <v>4.91</v>
      </c>
    </row>
    <row r="34" spans="1:17" customFormat="1">
      <c r="A34" s="6" t="s">
        <v>360</v>
      </c>
      <c r="B34" s="6">
        <v>15.39</v>
      </c>
      <c r="C34" s="6">
        <v>24.25</v>
      </c>
      <c r="D34" s="6">
        <v>26.36</v>
      </c>
      <c r="E34" s="6">
        <v>6.56</v>
      </c>
      <c r="F34" s="6">
        <v>2.56</v>
      </c>
      <c r="G34" s="6">
        <v>89.94</v>
      </c>
      <c r="H34" s="6">
        <v>51.27</v>
      </c>
      <c r="I34" s="6">
        <v>9.0299999999999994</v>
      </c>
      <c r="J34" s="6">
        <v>0.12</v>
      </c>
      <c r="K34" s="6">
        <v>219.47</v>
      </c>
      <c r="L34" s="6">
        <v>14.95</v>
      </c>
      <c r="M34" s="6">
        <v>95.41</v>
      </c>
      <c r="N34" s="6">
        <v>0</v>
      </c>
      <c r="O34" s="6">
        <v>0</v>
      </c>
      <c r="P34" s="6">
        <v>0.9</v>
      </c>
      <c r="Q34" s="6">
        <v>4.9400000000000004</v>
      </c>
    </row>
    <row r="35" spans="1:17" customFormat="1">
      <c r="A35" s="6" t="s">
        <v>361</v>
      </c>
      <c r="B35" s="6">
        <v>16.239999999999998</v>
      </c>
      <c r="C35" s="6">
        <v>24.47</v>
      </c>
      <c r="D35" s="6">
        <v>27.16</v>
      </c>
      <c r="E35" s="6">
        <v>6.15</v>
      </c>
      <c r="F35" s="6">
        <v>2.61</v>
      </c>
      <c r="G35" s="6">
        <v>87.94</v>
      </c>
      <c r="H35" s="6">
        <v>53.26</v>
      </c>
      <c r="I35" s="6">
        <v>9.08</v>
      </c>
      <c r="J35" s="6">
        <v>0.08</v>
      </c>
      <c r="K35" s="6">
        <v>207.83</v>
      </c>
      <c r="L35" s="6">
        <v>14.8</v>
      </c>
      <c r="M35" s="6">
        <v>95.72</v>
      </c>
      <c r="N35" s="6">
        <v>0</v>
      </c>
      <c r="O35" s="6">
        <v>0</v>
      </c>
      <c r="P35" s="6">
        <v>0.91</v>
      </c>
      <c r="Q35" s="6">
        <v>4.95</v>
      </c>
    </row>
    <row r="36" spans="1:17" customFormat="1">
      <c r="A36" s="6" t="s">
        <v>362</v>
      </c>
      <c r="B36" s="6">
        <v>16.55</v>
      </c>
      <c r="C36" s="6">
        <v>24.57</v>
      </c>
      <c r="D36" s="6">
        <v>27.46</v>
      </c>
      <c r="E36" s="6">
        <v>6.43</v>
      </c>
      <c r="F36" s="6">
        <v>2.64</v>
      </c>
      <c r="G36" s="6">
        <v>87.66</v>
      </c>
      <c r="H36" s="6">
        <v>53.26</v>
      </c>
      <c r="I36" s="6">
        <v>9.1199999999999992</v>
      </c>
      <c r="J36" s="6">
        <v>0.1</v>
      </c>
      <c r="K36" s="6">
        <v>201.23</v>
      </c>
      <c r="L36" s="6">
        <v>14.88</v>
      </c>
      <c r="M36" s="6">
        <v>96.07</v>
      </c>
      <c r="N36" s="6">
        <v>2.5</v>
      </c>
      <c r="O36" s="6">
        <v>0</v>
      </c>
      <c r="P36" s="6">
        <v>0.91</v>
      </c>
      <c r="Q36" s="6">
        <v>4.96</v>
      </c>
    </row>
    <row r="37" spans="1:17" customFormat="1">
      <c r="A37" s="6" t="s">
        <v>363</v>
      </c>
      <c r="B37" s="6">
        <v>17.09</v>
      </c>
      <c r="C37" s="6">
        <v>24.6</v>
      </c>
      <c r="D37" s="6">
        <v>27.91</v>
      </c>
      <c r="E37" s="6">
        <v>6.52</v>
      </c>
      <c r="F37" s="6">
        <v>2.5099999999999998</v>
      </c>
      <c r="G37" s="6">
        <v>87.66</v>
      </c>
      <c r="H37" s="6">
        <v>53.26</v>
      </c>
      <c r="I37" s="6">
        <v>9.19</v>
      </c>
      <c r="J37" s="6">
        <v>0.18</v>
      </c>
      <c r="K37" s="6">
        <v>157.01</v>
      </c>
      <c r="L37" s="6">
        <v>15.21</v>
      </c>
      <c r="M37" s="6">
        <v>95.51</v>
      </c>
      <c r="N37" s="6">
        <v>12</v>
      </c>
      <c r="O37" s="6">
        <v>0</v>
      </c>
      <c r="P37" s="6">
        <v>0.91</v>
      </c>
      <c r="Q37" s="6">
        <v>4.96</v>
      </c>
    </row>
    <row r="38" spans="1:17" customFormat="1">
      <c r="A38" s="6" t="s">
        <v>364</v>
      </c>
      <c r="B38" s="6">
        <v>17.18</v>
      </c>
      <c r="C38" s="6">
        <v>24.56</v>
      </c>
      <c r="D38" s="6">
        <v>27.96</v>
      </c>
      <c r="E38" s="6">
        <v>6.51</v>
      </c>
      <c r="F38" s="6">
        <v>2.5299999999999998</v>
      </c>
      <c r="G38" s="6">
        <v>87.66</v>
      </c>
      <c r="H38" s="6">
        <v>53.26</v>
      </c>
      <c r="I38" s="6">
        <v>9.24</v>
      </c>
      <c r="J38" s="6">
        <v>0.12</v>
      </c>
      <c r="K38" s="6">
        <v>175.27</v>
      </c>
      <c r="L38" s="6">
        <v>15.43</v>
      </c>
      <c r="M38" s="6">
        <v>94.9</v>
      </c>
      <c r="N38" s="6">
        <v>23.5</v>
      </c>
      <c r="O38" s="6">
        <v>0</v>
      </c>
      <c r="P38" s="6">
        <v>0.92</v>
      </c>
      <c r="Q38" s="6">
        <v>4.9400000000000004</v>
      </c>
    </row>
    <row r="39" spans="1:17" customFormat="1">
      <c r="A39" s="6" t="s">
        <v>365</v>
      </c>
      <c r="B39" s="6">
        <v>16.89</v>
      </c>
      <c r="C39" s="6">
        <v>24.89</v>
      </c>
      <c r="D39" s="6">
        <v>27.9</v>
      </c>
      <c r="E39" s="6">
        <v>6.44</v>
      </c>
      <c r="F39" s="6">
        <v>2.5299999999999998</v>
      </c>
      <c r="G39" s="6">
        <v>86.03</v>
      </c>
      <c r="H39" s="6">
        <v>52.14</v>
      </c>
      <c r="I39" s="6">
        <v>9.31</v>
      </c>
      <c r="J39" s="6">
        <v>0.28999999999999998</v>
      </c>
      <c r="K39" s="6">
        <v>166.73</v>
      </c>
      <c r="L39" s="6">
        <v>15.99</v>
      </c>
      <c r="M39" s="6">
        <v>93.52</v>
      </c>
      <c r="N39" s="6">
        <v>35.799999999999997</v>
      </c>
      <c r="O39" s="6">
        <v>0</v>
      </c>
      <c r="P39" s="6">
        <v>0.93</v>
      </c>
      <c r="Q39" s="6">
        <v>4.9400000000000004</v>
      </c>
    </row>
    <row r="40" spans="1:17" customFormat="1">
      <c r="A40" s="6" t="s">
        <v>366</v>
      </c>
      <c r="B40" s="6">
        <v>16.670000000000002</v>
      </c>
      <c r="C40" s="6">
        <v>25.64</v>
      </c>
      <c r="D40" s="6">
        <v>28.12</v>
      </c>
      <c r="E40" s="6">
        <v>6.59</v>
      </c>
      <c r="F40" s="6">
        <v>2.54</v>
      </c>
      <c r="G40" s="6">
        <v>85.81</v>
      </c>
      <c r="H40" s="6">
        <v>52.14</v>
      </c>
      <c r="I40" s="6">
        <v>9.39</v>
      </c>
      <c r="J40" s="6">
        <v>0.26</v>
      </c>
      <c r="K40" s="6">
        <v>163.30000000000001</v>
      </c>
      <c r="L40" s="6">
        <v>16.34</v>
      </c>
      <c r="M40" s="6">
        <v>91.41</v>
      </c>
      <c r="N40" s="6">
        <v>47.9</v>
      </c>
      <c r="O40" s="6">
        <v>0</v>
      </c>
      <c r="P40" s="6">
        <v>0.94</v>
      </c>
      <c r="Q40" s="6">
        <v>4.9400000000000004</v>
      </c>
    </row>
    <row r="41" spans="1:17" customFormat="1">
      <c r="A41" s="6" t="s">
        <v>367</v>
      </c>
      <c r="B41" s="6">
        <v>16.39</v>
      </c>
      <c r="C41" s="6">
        <v>25.7</v>
      </c>
      <c r="D41" s="6">
        <v>27.92</v>
      </c>
      <c r="E41" s="6">
        <v>6.5</v>
      </c>
      <c r="F41" s="6">
        <v>2.73</v>
      </c>
      <c r="G41" s="6">
        <v>85.81</v>
      </c>
      <c r="H41" s="6">
        <v>52.14</v>
      </c>
      <c r="I41" s="6">
        <v>9.5399999999999991</v>
      </c>
      <c r="J41" s="6">
        <v>0.23</v>
      </c>
      <c r="K41" s="6">
        <v>146.01</v>
      </c>
      <c r="L41" s="6">
        <v>17.05</v>
      </c>
      <c r="M41" s="6">
        <v>89.4</v>
      </c>
      <c r="N41" s="6">
        <v>86.7</v>
      </c>
      <c r="O41" s="6">
        <v>0</v>
      </c>
      <c r="P41" s="6">
        <v>0.94</v>
      </c>
      <c r="Q41" s="6">
        <v>4.93</v>
      </c>
    </row>
    <row r="42" spans="1:17" customFormat="1">
      <c r="A42" s="6" t="s">
        <v>368</v>
      </c>
      <c r="B42" s="6">
        <v>15.91</v>
      </c>
      <c r="C42" s="6">
        <v>25</v>
      </c>
      <c r="D42" s="6">
        <v>27.17</v>
      </c>
      <c r="E42" s="6">
        <v>6.14</v>
      </c>
      <c r="F42" s="6">
        <v>2.91</v>
      </c>
      <c r="G42" s="6">
        <v>85.81</v>
      </c>
      <c r="H42" s="6">
        <v>52.14</v>
      </c>
      <c r="I42" s="6">
        <v>9.67</v>
      </c>
      <c r="J42" s="6">
        <v>0.27</v>
      </c>
      <c r="K42" s="6">
        <v>160.9</v>
      </c>
      <c r="L42" s="6">
        <v>17.809999999999999</v>
      </c>
      <c r="M42" s="6">
        <v>85.89</v>
      </c>
      <c r="N42" s="6">
        <v>116.6</v>
      </c>
      <c r="O42" s="6">
        <v>0</v>
      </c>
      <c r="P42" s="6">
        <v>0.92</v>
      </c>
      <c r="Q42" s="6">
        <v>4.9400000000000004</v>
      </c>
    </row>
    <row r="43" spans="1:17" customFormat="1">
      <c r="A43" s="6" t="s">
        <v>369</v>
      </c>
      <c r="B43" s="6">
        <v>15.36</v>
      </c>
      <c r="C43" s="6">
        <v>24.15</v>
      </c>
      <c r="D43" s="6">
        <v>26.29</v>
      </c>
      <c r="E43" s="6">
        <v>5.9</v>
      </c>
      <c r="F43" s="6">
        <v>2.87</v>
      </c>
      <c r="G43" s="6">
        <v>88.73</v>
      </c>
      <c r="H43" s="6">
        <v>56.28</v>
      </c>
      <c r="I43" s="6">
        <v>9.7100000000000009</v>
      </c>
      <c r="J43" s="6">
        <v>0.24</v>
      </c>
      <c r="K43" s="6">
        <v>146.29</v>
      </c>
      <c r="L43" s="6">
        <v>18.84</v>
      </c>
      <c r="M43" s="6">
        <v>82.26</v>
      </c>
      <c r="N43" s="6">
        <v>141</v>
      </c>
      <c r="O43" s="6">
        <v>0</v>
      </c>
      <c r="P43" s="6">
        <v>0.91</v>
      </c>
      <c r="Q43" s="6">
        <v>4.91</v>
      </c>
    </row>
    <row r="44" spans="1:17" customFormat="1">
      <c r="A44" s="6" t="s">
        <v>370</v>
      </c>
      <c r="B44" s="6">
        <v>14.71</v>
      </c>
      <c r="C44" s="6">
        <v>24.2</v>
      </c>
      <c r="D44" s="6">
        <v>25.79</v>
      </c>
      <c r="E44" s="6">
        <v>6.38</v>
      </c>
      <c r="F44" s="6">
        <v>2.66</v>
      </c>
      <c r="G44" s="6">
        <v>89.13</v>
      </c>
      <c r="H44" s="6">
        <v>56.28</v>
      </c>
      <c r="I44" s="6">
        <v>9.6999999999999993</v>
      </c>
      <c r="J44" s="6">
        <v>0.28000000000000003</v>
      </c>
      <c r="K44" s="6">
        <v>71.19</v>
      </c>
      <c r="L44" s="6">
        <v>19.739999999999998</v>
      </c>
      <c r="M44" s="6">
        <v>78.56</v>
      </c>
      <c r="N44" s="6">
        <v>162.1</v>
      </c>
      <c r="O44" s="6">
        <v>0</v>
      </c>
      <c r="P44" s="6">
        <v>0.91</v>
      </c>
      <c r="Q44" s="6">
        <v>4.93</v>
      </c>
    </row>
    <row r="45" spans="1:17" customFormat="1">
      <c r="A45" s="6" t="s">
        <v>371</v>
      </c>
      <c r="B45" s="6">
        <v>14.22</v>
      </c>
      <c r="C45" s="6">
        <v>21.23</v>
      </c>
      <c r="D45" s="6">
        <v>23.84</v>
      </c>
      <c r="E45" s="6">
        <v>6.49</v>
      </c>
      <c r="F45" s="6">
        <v>2.8</v>
      </c>
      <c r="G45" s="6">
        <v>89.13</v>
      </c>
      <c r="H45" s="6">
        <v>56.28</v>
      </c>
      <c r="I45" s="6">
        <v>9.69</v>
      </c>
      <c r="J45" s="6">
        <v>0.2</v>
      </c>
      <c r="K45" s="6">
        <v>210.68</v>
      </c>
      <c r="L45" s="6">
        <v>20.45</v>
      </c>
      <c r="M45" s="6">
        <v>74.62</v>
      </c>
      <c r="N45" s="6">
        <v>140.30000000000001</v>
      </c>
      <c r="O45" s="6">
        <v>0</v>
      </c>
      <c r="P45" s="6">
        <v>0.89</v>
      </c>
      <c r="Q45" s="6">
        <v>4.92</v>
      </c>
    </row>
    <row r="46" spans="1:17" customFormat="1">
      <c r="A46" s="6" t="s">
        <v>372</v>
      </c>
      <c r="B46" s="6">
        <v>13.5</v>
      </c>
      <c r="C46" s="6">
        <v>20.64</v>
      </c>
      <c r="D46" s="6">
        <v>22.96</v>
      </c>
      <c r="E46" s="6">
        <v>6.21</v>
      </c>
      <c r="F46" s="6">
        <v>2.81</v>
      </c>
      <c r="G46" s="6">
        <v>89.13</v>
      </c>
      <c r="H46" s="6">
        <v>56.28</v>
      </c>
      <c r="I46" s="6">
        <v>9.66</v>
      </c>
      <c r="J46" s="6">
        <v>0.14000000000000001</v>
      </c>
      <c r="K46" s="6">
        <v>251.78</v>
      </c>
      <c r="L46" s="6">
        <v>21.32</v>
      </c>
      <c r="M46" s="6">
        <v>69.209999999999994</v>
      </c>
      <c r="N46" s="6">
        <v>131.9</v>
      </c>
      <c r="O46" s="6">
        <v>0</v>
      </c>
      <c r="P46" s="6">
        <v>0.9</v>
      </c>
      <c r="Q46" s="6">
        <v>4.92</v>
      </c>
    </row>
    <row r="47" spans="1:17" customFormat="1">
      <c r="A47" s="6" t="s">
        <v>373</v>
      </c>
      <c r="B47" s="6">
        <v>12.86</v>
      </c>
      <c r="C47" s="6">
        <v>21.19</v>
      </c>
      <c r="D47" s="6">
        <v>22.74</v>
      </c>
      <c r="E47" s="6">
        <v>6</v>
      </c>
      <c r="F47" s="6">
        <v>2.89</v>
      </c>
      <c r="G47" s="6">
        <v>89.13</v>
      </c>
      <c r="H47" s="6">
        <v>55.65</v>
      </c>
      <c r="I47" s="6">
        <v>9.6</v>
      </c>
      <c r="J47" s="6">
        <v>0.13</v>
      </c>
      <c r="K47" s="6">
        <v>167.12</v>
      </c>
      <c r="L47" s="6">
        <v>21.82</v>
      </c>
      <c r="M47" s="6">
        <v>67.75</v>
      </c>
      <c r="N47" s="6">
        <v>144.80000000000001</v>
      </c>
      <c r="O47" s="6">
        <v>0</v>
      </c>
      <c r="P47" s="6">
        <v>0.89</v>
      </c>
      <c r="Q47" s="6">
        <v>4.92</v>
      </c>
    </row>
    <row r="48" spans="1:17" customFormat="1">
      <c r="A48" s="6" t="s">
        <v>374</v>
      </c>
      <c r="B48" s="6">
        <v>12.24</v>
      </c>
      <c r="C48" s="6">
        <v>22.12</v>
      </c>
      <c r="D48" s="6">
        <v>22.72</v>
      </c>
      <c r="E48" s="6">
        <v>6.86</v>
      </c>
      <c r="F48" s="6">
        <v>2.87</v>
      </c>
      <c r="G48" s="6">
        <v>89.13</v>
      </c>
      <c r="H48" s="6">
        <v>55.65</v>
      </c>
      <c r="I48" s="6">
        <v>9.49</v>
      </c>
      <c r="J48" s="6">
        <v>0.28999999999999998</v>
      </c>
      <c r="K48" s="6">
        <v>278.62</v>
      </c>
      <c r="L48" s="6">
        <v>22.23</v>
      </c>
      <c r="M48" s="6">
        <v>66.03</v>
      </c>
      <c r="N48" s="6">
        <v>183</v>
      </c>
      <c r="O48" s="6">
        <v>0</v>
      </c>
      <c r="P48" s="6">
        <v>0.89</v>
      </c>
      <c r="Q48" s="6">
        <v>4.9000000000000004</v>
      </c>
    </row>
    <row r="49" spans="1:17" customFormat="1">
      <c r="A49" s="6" t="s">
        <v>375</v>
      </c>
      <c r="B49" s="6">
        <v>11.69</v>
      </c>
      <c r="C49" s="6">
        <v>21.97</v>
      </c>
      <c r="D49" s="6">
        <v>22.2</v>
      </c>
      <c r="E49" s="6">
        <v>6.42</v>
      </c>
      <c r="F49" s="6">
        <v>2.84</v>
      </c>
      <c r="G49" s="6">
        <v>89.13</v>
      </c>
      <c r="H49" s="6">
        <v>55.65</v>
      </c>
      <c r="I49" s="6">
        <v>9.39</v>
      </c>
      <c r="J49" s="6">
        <v>0.1</v>
      </c>
      <c r="K49" s="6">
        <v>237.48</v>
      </c>
      <c r="L49" s="6">
        <v>23.22</v>
      </c>
      <c r="M49" s="6">
        <v>62.4</v>
      </c>
      <c r="N49" s="6">
        <v>284.8</v>
      </c>
      <c r="O49" s="6">
        <v>0</v>
      </c>
      <c r="P49" s="6">
        <v>0.89</v>
      </c>
      <c r="Q49" s="6">
        <v>4.91</v>
      </c>
    </row>
    <row r="50" spans="1:17" customFormat="1">
      <c r="A50" s="6" t="s">
        <v>376</v>
      </c>
      <c r="B50" s="6">
        <v>10.81</v>
      </c>
      <c r="C50" s="6">
        <v>20.16</v>
      </c>
      <c r="D50" s="6">
        <v>20.55</v>
      </c>
      <c r="E50" s="6">
        <v>8.48</v>
      </c>
      <c r="F50" s="6">
        <v>4.24</v>
      </c>
      <c r="G50" s="6">
        <v>89.13</v>
      </c>
      <c r="H50" s="6">
        <v>55.65</v>
      </c>
      <c r="I50" s="6">
        <v>9.2899999999999991</v>
      </c>
      <c r="J50" s="6">
        <v>0.17</v>
      </c>
      <c r="K50" s="6">
        <v>278.35000000000002</v>
      </c>
      <c r="L50" s="6">
        <v>23.61</v>
      </c>
      <c r="M50" s="6">
        <v>60.77</v>
      </c>
      <c r="N50" s="6">
        <v>311.7</v>
      </c>
      <c r="O50" s="6">
        <v>0</v>
      </c>
      <c r="P50" s="6">
        <v>0.86</v>
      </c>
      <c r="Q50" s="6">
        <v>4.9000000000000004</v>
      </c>
    </row>
    <row r="51" spans="1:17" customFormat="1">
      <c r="A51" s="6" t="s">
        <v>377</v>
      </c>
      <c r="B51" s="6">
        <v>7.53</v>
      </c>
      <c r="C51" s="6">
        <v>20.12</v>
      </c>
      <c r="D51" s="6">
        <v>17.899999999999999</v>
      </c>
      <c r="E51" s="6">
        <v>8.35</v>
      </c>
      <c r="F51" s="6">
        <v>5.51</v>
      </c>
      <c r="G51" s="6">
        <v>85.37</v>
      </c>
      <c r="H51" s="6">
        <v>56.37</v>
      </c>
      <c r="I51" s="6">
        <v>9.2100000000000009</v>
      </c>
      <c r="J51" s="6">
        <v>0.17</v>
      </c>
      <c r="K51" s="6">
        <v>225.32</v>
      </c>
      <c r="L51" s="6">
        <v>24.32</v>
      </c>
      <c r="M51" s="6">
        <v>58.14</v>
      </c>
      <c r="N51" s="6">
        <v>331.5</v>
      </c>
      <c r="O51" s="6">
        <v>0</v>
      </c>
      <c r="P51" s="6">
        <v>0.84</v>
      </c>
      <c r="Q51" s="6">
        <v>4.8600000000000003</v>
      </c>
    </row>
    <row r="52" spans="1:17" customFormat="1">
      <c r="A52" s="6" t="s">
        <v>378</v>
      </c>
      <c r="B52" s="6">
        <v>5.04</v>
      </c>
      <c r="C52" s="6">
        <v>20.309999999999999</v>
      </c>
      <c r="D52" s="6">
        <v>16</v>
      </c>
      <c r="E52" s="6">
        <v>8.41</v>
      </c>
      <c r="F52" s="6">
        <v>5.83</v>
      </c>
      <c r="G52" s="6">
        <v>84.85</v>
      </c>
      <c r="H52" s="6">
        <v>56.37</v>
      </c>
      <c r="I52" s="6">
        <v>8.92</v>
      </c>
      <c r="J52" s="6">
        <v>0.31</v>
      </c>
      <c r="K52" s="6">
        <v>135.30000000000001</v>
      </c>
      <c r="L52" s="6">
        <v>24.78</v>
      </c>
      <c r="M52" s="6">
        <v>56.6</v>
      </c>
      <c r="N52" s="6">
        <v>351</v>
      </c>
      <c r="O52" s="6">
        <v>0</v>
      </c>
      <c r="P52" s="6">
        <v>0.82</v>
      </c>
      <c r="Q52" s="6">
        <v>4.83</v>
      </c>
    </row>
    <row r="53" spans="1:17" customFormat="1">
      <c r="A53" s="6" t="s">
        <v>379</v>
      </c>
      <c r="B53" s="6">
        <v>3.8</v>
      </c>
      <c r="C53" s="6">
        <v>19.16</v>
      </c>
      <c r="D53" s="6">
        <v>14.41</v>
      </c>
      <c r="E53" s="6">
        <v>8.5299999999999994</v>
      </c>
      <c r="F53" s="6">
        <v>6.97</v>
      </c>
      <c r="G53" s="6">
        <v>84.85</v>
      </c>
      <c r="H53" s="6">
        <v>56.37</v>
      </c>
      <c r="I53" s="6">
        <v>8.5299999999999994</v>
      </c>
      <c r="J53" s="6">
        <v>0.14000000000000001</v>
      </c>
      <c r="K53" s="6">
        <v>121.96</v>
      </c>
      <c r="L53" s="6">
        <v>25.18</v>
      </c>
      <c r="M53" s="6">
        <v>54.99</v>
      </c>
      <c r="N53" s="6">
        <v>337.8</v>
      </c>
      <c r="O53" s="6">
        <v>0</v>
      </c>
      <c r="P53" s="6">
        <v>0.8</v>
      </c>
      <c r="Q53" s="6">
        <v>4.82</v>
      </c>
    </row>
    <row r="54" spans="1:17" customFormat="1">
      <c r="A54" s="6" t="s">
        <v>380</v>
      </c>
      <c r="B54" s="6">
        <v>3.14</v>
      </c>
      <c r="C54" s="6">
        <v>17.36</v>
      </c>
      <c r="D54" s="6">
        <v>12.93</v>
      </c>
      <c r="E54" s="6">
        <v>9.81</v>
      </c>
      <c r="F54" s="6">
        <v>10.95</v>
      </c>
      <c r="G54" s="6">
        <v>84.85</v>
      </c>
      <c r="H54" s="6">
        <v>56.37</v>
      </c>
      <c r="I54" s="6">
        <v>8.18</v>
      </c>
      <c r="J54" s="6">
        <v>0.14000000000000001</v>
      </c>
      <c r="K54" s="6">
        <v>203.63</v>
      </c>
      <c r="L54" s="6">
        <v>25.11</v>
      </c>
      <c r="M54" s="6">
        <v>54.22</v>
      </c>
      <c r="N54" s="6">
        <v>367.8</v>
      </c>
      <c r="O54" s="6">
        <v>0</v>
      </c>
      <c r="P54" s="6">
        <v>0.78</v>
      </c>
      <c r="Q54" s="6">
        <v>4.8099999999999996</v>
      </c>
    </row>
    <row r="55" spans="1:17" customFormat="1">
      <c r="A55" s="6" t="s">
        <v>381</v>
      </c>
      <c r="B55" s="6">
        <v>2.85</v>
      </c>
      <c r="C55" s="6">
        <v>16.010000000000002</v>
      </c>
      <c r="D55" s="6">
        <v>12.01</v>
      </c>
      <c r="E55" s="6">
        <v>10.23</v>
      </c>
      <c r="F55" s="6">
        <v>11.09</v>
      </c>
      <c r="G55" s="6">
        <v>83.52</v>
      </c>
      <c r="H55" s="6">
        <v>56.13</v>
      </c>
      <c r="I55" s="6">
        <v>7.84</v>
      </c>
      <c r="J55" s="6">
        <v>0.12</v>
      </c>
      <c r="K55" s="6">
        <v>114.18</v>
      </c>
      <c r="L55" s="6">
        <v>25.72</v>
      </c>
      <c r="M55" s="6">
        <v>50.62</v>
      </c>
      <c r="N55" s="6">
        <v>372.5</v>
      </c>
      <c r="O55" s="6">
        <v>0</v>
      </c>
      <c r="P55" s="6">
        <v>0.75</v>
      </c>
      <c r="Q55" s="6">
        <v>4.8</v>
      </c>
    </row>
    <row r="56" spans="1:17" customFormat="1">
      <c r="A56" s="6" t="s">
        <v>382</v>
      </c>
      <c r="B56" s="6">
        <v>2.77</v>
      </c>
      <c r="C56" s="6">
        <v>14.84</v>
      </c>
      <c r="D56" s="6">
        <v>11.32</v>
      </c>
      <c r="E56" s="6">
        <v>10.36</v>
      </c>
      <c r="F56" s="6">
        <v>12.04</v>
      </c>
      <c r="G56" s="6">
        <v>83.34</v>
      </c>
      <c r="H56" s="6">
        <v>56.13</v>
      </c>
      <c r="I56" s="6">
        <v>7.45</v>
      </c>
      <c r="J56" s="6">
        <v>0.22</v>
      </c>
      <c r="K56" s="6">
        <v>185.8</v>
      </c>
      <c r="L56" s="6">
        <v>26.26</v>
      </c>
      <c r="M56" s="6">
        <v>47.34</v>
      </c>
      <c r="N56" s="6">
        <v>392.9</v>
      </c>
      <c r="O56" s="6">
        <v>0</v>
      </c>
      <c r="P56" s="6">
        <v>0.72</v>
      </c>
      <c r="Q56" s="6">
        <v>4.7699999999999996</v>
      </c>
    </row>
    <row r="57" spans="1:17" customFormat="1">
      <c r="A57" s="6" t="s">
        <v>383</v>
      </c>
      <c r="B57" s="6">
        <v>2.5099999999999998</v>
      </c>
      <c r="C57" s="6">
        <v>14.28</v>
      </c>
      <c r="D57" s="6">
        <v>10.82</v>
      </c>
      <c r="E57" s="6">
        <v>10.59</v>
      </c>
      <c r="F57" s="6">
        <v>13.75</v>
      </c>
      <c r="G57" s="6">
        <v>83.34</v>
      </c>
      <c r="H57" s="6">
        <v>56.13</v>
      </c>
      <c r="I57" s="6">
        <v>7</v>
      </c>
      <c r="J57" s="6">
        <v>0.3</v>
      </c>
      <c r="K57" s="6">
        <v>117.46</v>
      </c>
      <c r="L57" s="6">
        <v>26.61</v>
      </c>
      <c r="M57" s="6">
        <v>46.16</v>
      </c>
      <c r="N57" s="6">
        <v>399.5</v>
      </c>
      <c r="O57" s="6">
        <v>0</v>
      </c>
      <c r="P57" s="6">
        <v>0.69</v>
      </c>
      <c r="Q57" s="6">
        <v>4.76</v>
      </c>
    </row>
    <row r="58" spans="1:17" customFormat="1">
      <c r="A58" s="6" t="s">
        <v>384</v>
      </c>
      <c r="B58" s="6">
        <v>2.38</v>
      </c>
      <c r="C58" s="6">
        <v>13.56</v>
      </c>
      <c r="D58" s="6">
        <v>10.34</v>
      </c>
      <c r="E58" s="6">
        <v>10.82</v>
      </c>
      <c r="F58" s="6">
        <v>15.92</v>
      </c>
      <c r="G58" s="6">
        <v>83.34</v>
      </c>
      <c r="H58" s="6">
        <v>56.13</v>
      </c>
      <c r="I58" s="6">
        <v>6.65</v>
      </c>
      <c r="J58" s="6">
        <v>0.19</v>
      </c>
      <c r="K58" s="6">
        <v>146.61000000000001</v>
      </c>
      <c r="L58" s="6">
        <v>26.8</v>
      </c>
      <c r="M58" s="6">
        <v>45.3</v>
      </c>
      <c r="N58" s="6">
        <v>391.6</v>
      </c>
      <c r="O58" s="6">
        <v>0</v>
      </c>
      <c r="P58" s="6">
        <v>0.65</v>
      </c>
      <c r="Q58" s="6">
        <v>4.76</v>
      </c>
    </row>
    <row r="59" spans="1:17" customFormat="1">
      <c r="A59" s="6" t="s">
        <v>385</v>
      </c>
      <c r="B59" s="6">
        <v>2.36</v>
      </c>
      <c r="C59" s="6">
        <v>13.43</v>
      </c>
      <c r="D59" s="6">
        <v>10.26</v>
      </c>
      <c r="E59" s="6">
        <v>10.15</v>
      </c>
      <c r="F59" s="6">
        <v>13.2</v>
      </c>
      <c r="G59" s="6">
        <v>84.04</v>
      </c>
      <c r="H59" s="6">
        <v>54.84</v>
      </c>
      <c r="I59" s="6">
        <v>6.24</v>
      </c>
      <c r="J59" s="6">
        <v>0.11</v>
      </c>
      <c r="K59" s="6">
        <v>112.8</v>
      </c>
      <c r="L59" s="6">
        <v>26.87</v>
      </c>
      <c r="M59" s="6">
        <v>45.06</v>
      </c>
      <c r="N59" s="6">
        <v>369.8</v>
      </c>
      <c r="O59" s="6">
        <v>0</v>
      </c>
      <c r="P59" s="6">
        <v>0.64</v>
      </c>
      <c r="Q59" s="6">
        <v>4.76</v>
      </c>
    </row>
    <row r="60" spans="1:17" customFormat="1">
      <c r="A60" s="6" t="s">
        <v>386</v>
      </c>
      <c r="B60" s="6">
        <v>2.19</v>
      </c>
      <c r="C60" s="6">
        <v>14.66</v>
      </c>
      <c r="D60" s="6">
        <v>10.77</v>
      </c>
      <c r="E60" s="6">
        <v>10.33</v>
      </c>
      <c r="F60" s="6">
        <v>12.22</v>
      </c>
      <c r="G60" s="6">
        <v>84.14</v>
      </c>
      <c r="H60" s="6">
        <v>54.84</v>
      </c>
      <c r="I60" s="6">
        <v>5.87</v>
      </c>
      <c r="J60" s="6">
        <v>0.08</v>
      </c>
      <c r="K60" s="6">
        <v>158.52000000000001</v>
      </c>
      <c r="L60" s="6">
        <v>26.82</v>
      </c>
      <c r="M60" s="6">
        <v>44.47</v>
      </c>
      <c r="N60" s="6">
        <v>368.3</v>
      </c>
      <c r="O60" s="6">
        <v>0</v>
      </c>
      <c r="P60" s="6">
        <v>0.63</v>
      </c>
      <c r="Q60" s="6">
        <v>4.78</v>
      </c>
    </row>
    <row r="61" spans="1:17" customFormat="1">
      <c r="A61" s="6" t="s">
        <v>387</v>
      </c>
      <c r="B61" s="6">
        <v>2.19</v>
      </c>
      <c r="C61" s="6">
        <v>15.35</v>
      </c>
      <c r="D61" s="6">
        <v>11.12</v>
      </c>
      <c r="E61" s="6">
        <v>12.56</v>
      </c>
      <c r="F61" s="6">
        <v>16.649999999999999</v>
      </c>
      <c r="G61" s="6">
        <v>84.14</v>
      </c>
      <c r="H61" s="6">
        <v>54.84</v>
      </c>
      <c r="I61" s="6">
        <v>5.28</v>
      </c>
      <c r="J61" s="6">
        <v>0.37</v>
      </c>
      <c r="K61" s="6">
        <v>157.55000000000001</v>
      </c>
      <c r="L61" s="6">
        <v>27.28</v>
      </c>
      <c r="M61" s="6">
        <v>42.85</v>
      </c>
      <c r="N61" s="6">
        <v>357.6</v>
      </c>
      <c r="O61" s="6">
        <v>0</v>
      </c>
      <c r="P61" s="6">
        <v>0.62</v>
      </c>
      <c r="Q61" s="6">
        <v>4.8</v>
      </c>
    </row>
    <row r="62" spans="1:17" customFormat="1">
      <c r="A62" s="6" t="s">
        <v>388</v>
      </c>
      <c r="B62" s="6">
        <v>2.2599999999999998</v>
      </c>
      <c r="C62" s="6">
        <v>15.56</v>
      </c>
      <c r="D62" s="6">
        <v>11.29</v>
      </c>
      <c r="E62" s="6">
        <v>10.78</v>
      </c>
      <c r="F62" s="6">
        <v>14.79</v>
      </c>
      <c r="G62" s="6">
        <v>84.14</v>
      </c>
      <c r="H62" s="6">
        <v>54.84</v>
      </c>
      <c r="I62" s="6">
        <v>4.8499999999999996</v>
      </c>
      <c r="J62" s="6">
        <v>0.22</v>
      </c>
      <c r="K62" s="6">
        <v>161.69</v>
      </c>
      <c r="L62" s="6">
        <v>27.53</v>
      </c>
      <c r="M62" s="6">
        <v>41.78</v>
      </c>
      <c r="N62" s="6">
        <v>365.8</v>
      </c>
      <c r="O62" s="6">
        <v>0</v>
      </c>
      <c r="P62" s="6">
        <v>0.61</v>
      </c>
      <c r="Q62" s="6">
        <v>4.78</v>
      </c>
    </row>
    <row r="63" spans="1:17" customFormat="1">
      <c r="A63" s="6" t="s">
        <v>389</v>
      </c>
      <c r="B63" s="6">
        <v>2.2200000000000002</v>
      </c>
      <c r="C63" s="6">
        <v>16.809999999999999</v>
      </c>
      <c r="D63" s="6">
        <v>11.92</v>
      </c>
      <c r="E63" s="6">
        <v>9.1300000000000008</v>
      </c>
      <c r="F63" s="6">
        <v>10.029999999999999</v>
      </c>
      <c r="G63" s="6">
        <v>79.97</v>
      </c>
      <c r="H63" s="6">
        <v>51.34</v>
      </c>
      <c r="I63" s="6">
        <v>4.63</v>
      </c>
      <c r="J63" s="6">
        <v>0.22</v>
      </c>
      <c r="K63" s="6">
        <v>59.13</v>
      </c>
      <c r="L63" s="6">
        <v>27.42</v>
      </c>
      <c r="M63" s="6">
        <v>42.07</v>
      </c>
      <c r="N63" s="6">
        <v>350.8</v>
      </c>
      <c r="O63" s="6">
        <v>0</v>
      </c>
      <c r="P63" s="6">
        <v>0.62</v>
      </c>
      <c r="Q63" s="6">
        <v>4.78</v>
      </c>
    </row>
    <row r="64" spans="1:17" customFormat="1">
      <c r="A64" s="6" t="s">
        <v>390</v>
      </c>
      <c r="B64" s="6">
        <v>2.23</v>
      </c>
      <c r="C64" s="6">
        <v>17.670000000000002</v>
      </c>
      <c r="D64" s="6">
        <v>12.37</v>
      </c>
      <c r="E64" s="6">
        <v>9.48</v>
      </c>
      <c r="F64" s="6">
        <v>10.63</v>
      </c>
      <c r="G64" s="6">
        <v>79.39</v>
      </c>
      <c r="H64" s="6">
        <v>51.34</v>
      </c>
      <c r="I64" s="6">
        <v>4.47</v>
      </c>
      <c r="J64" s="6">
        <v>0.19</v>
      </c>
      <c r="K64" s="6">
        <v>137.85</v>
      </c>
      <c r="L64" s="6">
        <v>27.54</v>
      </c>
      <c r="M64" s="6">
        <v>41.58</v>
      </c>
      <c r="N64" s="6">
        <v>319.7</v>
      </c>
      <c r="O64" s="6">
        <v>0</v>
      </c>
      <c r="P64" s="6">
        <v>0.61</v>
      </c>
      <c r="Q64" s="6">
        <v>4.78</v>
      </c>
    </row>
    <row r="65" spans="1:17" customFormat="1">
      <c r="A65" s="6" t="s">
        <v>391</v>
      </c>
      <c r="B65" s="6">
        <v>2.23</v>
      </c>
      <c r="C65" s="6">
        <v>18.64</v>
      </c>
      <c r="D65" s="6">
        <v>12.88</v>
      </c>
      <c r="E65" s="6">
        <v>8.65</v>
      </c>
      <c r="F65" s="6">
        <v>7.73</v>
      </c>
      <c r="G65" s="6">
        <v>79.39</v>
      </c>
      <c r="H65" s="6">
        <v>51.34</v>
      </c>
      <c r="I65" s="6">
        <v>4.41</v>
      </c>
      <c r="J65" s="6">
        <v>0.3</v>
      </c>
      <c r="K65" s="6">
        <v>123.05</v>
      </c>
      <c r="L65" s="6">
        <v>27.41</v>
      </c>
      <c r="M65" s="6">
        <v>41.84</v>
      </c>
      <c r="N65" s="6">
        <v>223.1</v>
      </c>
      <c r="O65" s="6">
        <v>0</v>
      </c>
      <c r="P65" s="6">
        <v>0.56999999999999995</v>
      </c>
      <c r="Q65" s="6">
        <v>4.78</v>
      </c>
    </row>
    <row r="66" spans="1:17" customFormat="1">
      <c r="A66" s="6" t="s">
        <v>392</v>
      </c>
      <c r="B66" s="6">
        <v>2.31</v>
      </c>
      <c r="C66" s="6">
        <v>19.329999999999998</v>
      </c>
      <c r="D66" s="6">
        <v>13.31</v>
      </c>
      <c r="E66" s="6">
        <v>8.6199999999999992</v>
      </c>
      <c r="F66" s="6">
        <v>6.37</v>
      </c>
      <c r="G66" s="6">
        <v>79.39</v>
      </c>
      <c r="H66" s="6">
        <v>51.34</v>
      </c>
      <c r="I66" s="6">
        <v>4.68</v>
      </c>
      <c r="J66" s="6">
        <v>0.35</v>
      </c>
      <c r="K66" s="6">
        <v>60.53</v>
      </c>
      <c r="L66" s="6">
        <v>26.96</v>
      </c>
      <c r="M66" s="6">
        <v>42.44</v>
      </c>
      <c r="N66" s="6">
        <v>143.19999999999999</v>
      </c>
      <c r="O66" s="6">
        <v>0</v>
      </c>
      <c r="P66" s="6">
        <v>0.59</v>
      </c>
      <c r="Q66" s="6">
        <v>4.7699999999999996</v>
      </c>
    </row>
    <row r="67" spans="1:17" customFormat="1">
      <c r="A67" s="6" t="s">
        <v>393</v>
      </c>
      <c r="B67" s="6">
        <v>2.59</v>
      </c>
      <c r="C67" s="6">
        <v>19.87</v>
      </c>
      <c r="D67" s="6">
        <v>13.81</v>
      </c>
      <c r="E67" s="6">
        <v>8.3800000000000008</v>
      </c>
      <c r="F67" s="6">
        <v>5.77</v>
      </c>
      <c r="G67" s="6">
        <v>75.56</v>
      </c>
      <c r="H67" s="6">
        <v>48.47</v>
      </c>
      <c r="I67" s="6">
        <v>4.88</v>
      </c>
      <c r="J67" s="6">
        <v>0.1</v>
      </c>
      <c r="K67" s="6">
        <v>83.42</v>
      </c>
      <c r="L67" s="6">
        <v>26.69</v>
      </c>
      <c r="M67" s="6">
        <v>42.51</v>
      </c>
      <c r="N67" s="6">
        <v>129</v>
      </c>
      <c r="O67" s="6">
        <v>0</v>
      </c>
      <c r="P67" s="6">
        <v>0.59</v>
      </c>
      <c r="Q67" s="6">
        <v>4.75</v>
      </c>
    </row>
    <row r="68" spans="1:17" customFormat="1">
      <c r="A68" s="6" t="s">
        <v>394</v>
      </c>
      <c r="B68" s="6">
        <v>2.78</v>
      </c>
      <c r="C68" s="6">
        <v>20.16</v>
      </c>
      <c r="D68" s="6">
        <v>14.12</v>
      </c>
      <c r="E68" s="6">
        <v>9.15</v>
      </c>
      <c r="F68" s="6">
        <v>5.59</v>
      </c>
      <c r="G68" s="6">
        <v>75.03</v>
      </c>
      <c r="H68" s="6">
        <v>48.47</v>
      </c>
      <c r="I68" s="6">
        <v>4.8600000000000003</v>
      </c>
      <c r="J68" s="6">
        <v>0.39</v>
      </c>
      <c r="K68" s="6">
        <v>63.25</v>
      </c>
      <c r="L68" s="6">
        <v>26.65</v>
      </c>
      <c r="M68" s="6">
        <v>42.64</v>
      </c>
      <c r="N68" s="6">
        <v>106.6</v>
      </c>
      <c r="O68" s="6">
        <v>0</v>
      </c>
      <c r="P68" s="6">
        <v>0.59</v>
      </c>
      <c r="Q68" s="6">
        <v>4.75</v>
      </c>
    </row>
    <row r="69" spans="1:17" customFormat="1">
      <c r="A69" s="6" t="s">
        <v>395</v>
      </c>
      <c r="B69" s="6">
        <v>2.92</v>
      </c>
      <c r="C69" s="6">
        <v>20.65</v>
      </c>
      <c r="D69" s="6">
        <v>14.48</v>
      </c>
      <c r="E69" s="6">
        <v>9.1300000000000008</v>
      </c>
      <c r="F69" s="6">
        <v>5.53</v>
      </c>
      <c r="G69" s="6">
        <v>75.03</v>
      </c>
      <c r="H69" s="6">
        <v>48.47</v>
      </c>
      <c r="I69" s="6">
        <v>4.8499999999999996</v>
      </c>
      <c r="J69" s="6">
        <v>0.39</v>
      </c>
      <c r="K69" s="6">
        <v>56.83</v>
      </c>
      <c r="L69" s="6">
        <v>26.39</v>
      </c>
      <c r="M69" s="6">
        <v>42.1</v>
      </c>
      <c r="N69" s="6">
        <v>90.8</v>
      </c>
      <c r="O69" s="6">
        <v>0</v>
      </c>
      <c r="P69" s="6">
        <v>0.59</v>
      </c>
      <c r="Q69" s="6">
        <v>4.7300000000000004</v>
      </c>
    </row>
    <row r="70" spans="1:17" customFormat="1">
      <c r="A70" s="6" t="s">
        <v>396</v>
      </c>
      <c r="B70" s="6">
        <v>3.19</v>
      </c>
      <c r="C70" s="6">
        <v>20.74</v>
      </c>
      <c r="D70" s="6">
        <v>14.75</v>
      </c>
      <c r="E70" s="6">
        <v>8.9499999999999993</v>
      </c>
      <c r="F70" s="6">
        <v>5.71</v>
      </c>
      <c r="G70" s="6">
        <v>75.03</v>
      </c>
      <c r="H70" s="6">
        <v>48.47</v>
      </c>
      <c r="I70" s="6">
        <v>4.88</v>
      </c>
      <c r="J70" s="6">
        <v>0.37</v>
      </c>
      <c r="K70" s="6">
        <v>63.32</v>
      </c>
      <c r="L70" s="6">
        <v>26.24</v>
      </c>
      <c r="M70" s="6">
        <v>41.92</v>
      </c>
      <c r="N70" s="6">
        <v>74</v>
      </c>
      <c r="O70" s="6">
        <v>0</v>
      </c>
      <c r="P70" s="6">
        <v>0.57999999999999996</v>
      </c>
      <c r="Q70" s="6">
        <v>4.74</v>
      </c>
    </row>
    <row r="71" spans="1:17" customFormat="1">
      <c r="A71" s="6" t="s">
        <v>397</v>
      </c>
      <c r="B71" s="6">
        <v>3.41</v>
      </c>
      <c r="C71" s="6">
        <v>21.02</v>
      </c>
      <c r="D71" s="6">
        <v>15.07</v>
      </c>
      <c r="E71" s="6">
        <v>8.81</v>
      </c>
      <c r="F71" s="6">
        <v>5.34</v>
      </c>
      <c r="G71" s="6">
        <v>74.67</v>
      </c>
      <c r="H71" s="6">
        <v>43.34</v>
      </c>
      <c r="I71" s="6">
        <v>4.88</v>
      </c>
      <c r="J71" s="6">
        <v>0.24</v>
      </c>
      <c r="K71" s="6">
        <v>157.94</v>
      </c>
      <c r="L71" s="6">
        <v>26.18</v>
      </c>
      <c r="M71" s="6">
        <v>43.91</v>
      </c>
      <c r="N71" s="6">
        <v>62.4</v>
      </c>
      <c r="O71" s="6">
        <v>0</v>
      </c>
      <c r="P71" s="6">
        <v>0.59</v>
      </c>
      <c r="Q71" s="6">
        <v>4.75</v>
      </c>
    </row>
    <row r="72" spans="1:17" customFormat="1">
      <c r="A72" s="6" t="s">
        <v>398</v>
      </c>
      <c r="B72" s="6">
        <v>3.41</v>
      </c>
      <c r="C72" s="6">
        <v>21.28</v>
      </c>
      <c r="D72" s="6">
        <v>15.2</v>
      </c>
      <c r="E72" s="6">
        <v>8.68</v>
      </c>
      <c r="F72" s="6">
        <v>5.17</v>
      </c>
      <c r="G72" s="6">
        <v>74.62</v>
      </c>
      <c r="H72" s="6">
        <v>43.34</v>
      </c>
      <c r="I72" s="6">
        <v>4.8600000000000003</v>
      </c>
      <c r="J72" s="6">
        <v>0.27</v>
      </c>
      <c r="K72" s="6">
        <v>142.69999999999999</v>
      </c>
      <c r="L72" s="6">
        <v>26.01</v>
      </c>
      <c r="M72" s="6">
        <v>42.88</v>
      </c>
      <c r="N72" s="6">
        <v>51.9</v>
      </c>
      <c r="O72" s="6">
        <v>0</v>
      </c>
      <c r="P72" s="6">
        <v>0.59</v>
      </c>
      <c r="Q72" s="6">
        <v>4.72</v>
      </c>
    </row>
    <row r="73" spans="1:17" customFormat="1">
      <c r="A73" s="6" t="s">
        <v>399</v>
      </c>
      <c r="B73" s="6">
        <v>3.53</v>
      </c>
      <c r="C73" s="6">
        <v>21.13</v>
      </c>
      <c r="D73" s="6">
        <v>15.22</v>
      </c>
      <c r="E73" s="6">
        <v>8.61</v>
      </c>
      <c r="F73" s="6">
        <v>5.14</v>
      </c>
      <c r="G73" s="6">
        <v>74.62</v>
      </c>
      <c r="H73" s="6">
        <v>43.34</v>
      </c>
      <c r="I73" s="6">
        <v>4.84</v>
      </c>
      <c r="J73" s="6">
        <v>0.22</v>
      </c>
      <c r="K73" s="6">
        <v>178.14</v>
      </c>
      <c r="L73" s="6">
        <v>25.75</v>
      </c>
      <c r="M73" s="6">
        <v>46.11</v>
      </c>
      <c r="N73" s="6">
        <v>40.200000000000003</v>
      </c>
      <c r="O73" s="6">
        <v>0</v>
      </c>
      <c r="P73" s="6">
        <v>0.57999999999999996</v>
      </c>
      <c r="Q73" s="6">
        <v>4.7300000000000004</v>
      </c>
    </row>
    <row r="74" spans="1:17" customFormat="1">
      <c r="A74" s="6" t="s">
        <v>400</v>
      </c>
      <c r="B74" s="6">
        <v>3.54</v>
      </c>
      <c r="C74" s="6">
        <v>21.18</v>
      </c>
      <c r="D74" s="6">
        <v>15.25</v>
      </c>
      <c r="E74" s="6">
        <v>8.61</v>
      </c>
      <c r="F74" s="6">
        <v>5.13</v>
      </c>
      <c r="G74" s="6">
        <v>74.62</v>
      </c>
      <c r="H74" s="6">
        <v>43.34</v>
      </c>
      <c r="I74" s="6">
        <v>4.84</v>
      </c>
      <c r="J74" s="6">
        <v>0.17</v>
      </c>
      <c r="K74" s="6">
        <v>147.44999999999999</v>
      </c>
      <c r="L74" s="6">
        <v>25.26</v>
      </c>
      <c r="M74" s="6">
        <v>47.53</v>
      </c>
      <c r="N74" s="6">
        <v>30.6</v>
      </c>
      <c r="O74" s="6">
        <v>0</v>
      </c>
      <c r="P74" s="6">
        <v>0.57999999999999996</v>
      </c>
      <c r="Q74" s="6">
        <v>4.7300000000000004</v>
      </c>
    </row>
    <row r="75" spans="1:17" customFormat="1">
      <c r="A75" s="6" t="s">
        <v>401</v>
      </c>
      <c r="B75" s="6">
        <v>3.65</v>
      </c>
      <c r="C75" s="6">
        <v>21.26</v>
      </c>
      <c r="D75" s="6">
        <v>15.38</v>
      </c>
      <c r="E75" s="6">
        <v>9.1</v>
      </c>
      <c r="F75" s="6">
        <v>4.7300000000000004</v>
      </c>
      <c r="G75" s="6">
        <v>72.38</v>
      </c>
      <c r="H75" s="6">
        <v>42</v>
      </c>
      <c r="I75" s="6">
        <v>4.82</v>
      </c>
      <c r="J75" s="6">
        <v>0.21</v>
      </c>
      <c r="K75" s="6">
        <v>160.07</v>
      </c>
      <c r="L75" s="6">
        <v>25.01</v>
      </c>
      <c r="M75" s="6">
        <v>47.02</v>
      </c>
      <c r="N75" s="6">
        <v>18.399999999999999</v>
      </c>
      <c r="O75" s="6">
        <v>0</v>
      </c>
      <c r="P75" s="6">
        <v>0.56999999999999995</v>
      </c>
      <c r="Q75" s="6">
        <v>4.7300000000000004</v>
      </c>
    </row>
    <row r="76" spans="1:17" customFormat="1">
      <c r="A76" s="6" t="s">
        <v>402</v>
      </c>
      <c r="B76" s="6">
        <v>3.79</v>
      </c>
      <c r="C76" s="6">
        <v>21.27</v>
      </c>
      <c r="D76" s="6">
        <v>15.5</v>
      </c>
      <c r="E76" s="6">
        <v>9.19</v>
      </c>
      <c r="F76" s="6">
        <v>4.57</v>
      </c>
      <c r="G76" s="6">
        <v>72.069999999999993</v>
      </c>
      <c r="H76" s="6">
        <v>42</v>
      </c>
      <c r="I76" s="6">
        <v>4.7699999999999996</v>
      </c>
      <c r="J76" s="6">
        <v>0.19</v>
      </c>
      <c r="K76" s="6">
        <v>167.8</v>
      </c>
      <c r="L76" s="6">
        <v>24.45</v>
      </c>
      <c r="M76" s="6">
        <v>50.16</v>
      </c>
      <c r="N76" s="6">
        <v>6.7</v>
      </c>
      <c r="O76" s="6">
        <v>0</v>
      </c>
      <c r="P76" s="6">
        <v>0.56999999999999995</v>
      </c>
      <c r="Q76" s="6">
        <v>4.7300000000000004</v>
      </c>
    </row>
    <row r="77" spans="1:17" customFormat="1">
      <c r="A77" s="6" t="s">
        <v>403</v>
      </c>
      <c r="B77" s="6">
        <v>3.99</v>
      </c>
      <c r="C77" s="6">
        <v>21.1</v>
      </c>
      <c r="D77" s="6">
        <v>15.57</v>
      </c>
      <c r="E77" s="6">
        <v>9.27</v>
      </c>
      <c r="F77" s="6">
        <v>4.6500000000000004</v>
      </c>
      <c r="G77" s="6">
        <v>72.069999999999993</v>
      </c>
      <c r="H77" s="6">
        <v>42</v>
      </c>
      <c r="I77" s="6">
        <v>4.75</v>
      </c>
      <c r="J77" s="6">
        <v>0.22</v>
      </c>
      <c r="K77" s="6">
        <v>162.77000000000001</v>
      </c>
      <c r="L77" s="6">
        <v>23.78</v>
      </c>
      <c r="M77" s="6">
        <v>53.53</v>
      </c>
      <c r="N77" s="6">
        <v>0.3</v>
      </c>
      <c r="O77" s="6">
        <v>0</v>
      </c>
      <c r="P77" s="6">
        <v>0.56999999999999995</v>
      </c>
      <c r="Q77" s="6">
        <v>4.72</v>
      </c>
    </row>
    <row r="78" spans="1:17" customFormat="1">
      <c r="A78" s="6" t="s">
        <v>404</v>
      </c>
      <c r="B78" s="6">
        <v>4.05</v>
      </c>
      <c r="C78" s="6">
        <v>21.17</v>
      </c>
      <c r="D78" s="6">
        <v>15.66</v>
      </c>
      <c r="E78" s="6">
        <v>9.0500000000000007</v>
      </c>
      <c r="F78" s="6">
        <v>4.46</v>
      </c>
      <c r="G78" s="6">
        <v>72.069999999999993</v>
      </c>
      <c r="H78" s="6">
        <v>42</v>
      </c>
      <c r="I78" s="6">
        <v>4.75</v>
      </c>
      <c r="J78" s="6">
        <v>0.24</v>
      </c>
      <c r="K78" s="6">
        <v>161.84</v>
      </c>
      <c r="L78" s="6">
        <v>22.94</v>
      </c>
      <c r="M78" s="6">
        <v>56.79</v>
      </c>
      <c r="N78" s="6">
        <v>0</v>
      </c>
      <c r="O78" s="6">
        <v>0</v>
      </c>
      <c r="P78" s="6">
        <v>0.56999999999999995</v>
      </c>
      <c r="Q78" s="6">
        <v>4.71</v>
      </c>
    </row>
    <row r="79" spans="1:17" customFormat="1">
      <c r="A79" s="6" t="s">
        <v>405</v>
      </c>
      <c r="B79" s="6">
        <v>4.13</v>
      </c>
      <c r="C79" s="6">
        <v>21.59</v>
      </c>
      <c r="D79" s="6">
        <v>15.94</v>
      </c>
      <c r="E79" s="6">
        <v>8.85</v>
      </c>
      <c r="F79" s="6">
        <v>4.16</v>
      </c>
      <c r="G79" s="6">
        <v>72.819999999999993</v>
      </c>
      <c r="H79" s="6">
        <v>43.53</v>
      </c>
      <c r="I79" s="6">
        <v>4.74</v>
      </c>
      <c r="J79" s="6">
        <v>0.24</v>
      </c>
      <c r="K79" s="6">
        <v>161.51</v>
      </c>
      <c r="L79" s="6">
        <v>22.24</v>
      </c>
      <c r="M79" s="6">
        <v>60.91</v>
      </c>
      <c r="N79" s="6">
        <v>0</v>
      </c>
      <c r="O79" s="6">
        <v>0</v>
      </c>
      <c r="P79" s="6">
        <v>0.56999999999999995</v>
      </c>
      <c r="Q79" s="6">
        <v>4.72</v>
      </c>
    </row>
    <row r="80" spans="1:17" customFormat="1">
      <c r="A80" s="6" t="s">
        <v>406</v>
      </c>
      <c r="B80" s="6">
        <v>4.32</v>
      </c>
      <c r="C80" s="6">
        <v>23.12</v>
      </c>
      <c r="D80" s="6">
        <v>16.89</v>
      </c>
      <c r="E80" s="6">
        <v>8.69</v>
      </c>
      <c r="F80" s="6">
        <v>3.49</v>
      </c>
      <c r="G80" s="6">
        <v>72.930000000000007</v>
      </c>
      <c r="H80" s="6">
        <v>43.53</v>
      </c>
      <c r="I80" s="6">
        <v>4.75</v>
      </c>
      <c r="J80" s="6">
        <v>0.19</v>
      </c>
      <c r="K80" s="6">
        <v>150.55000000000001</v>
      </c>
      <c r="L80" s="6">
        <v>21.82</v>
      </c>
      <c r="M80" s="6">
        <v>62.86</v>
      </c>
      <c r="N80" s="6">
        <v>0</v>
      </c>
      <c r="O80" s="6">
        <v>0</v>
      </c>
      <c r="P80" s="6">
        <v>0.59</v>
      </c>
      <c r="Q80" s="6">
        <v>4.7300000000000004</v>
      </c>
    </row>
    <row r="81" spans="1:17" customFormat="1">
      <c r="A81" s="6" t="s">
        <v>407</v>
      </c>
      <c r="B81" s="6">
        <v>4.84</v>
      </c>
      <c r="C81" s="6">
        <v>21.39</v>
      </c>
      <c r="D81" s="6">
        <v>16.41</v>
      </c>
      <c r="E81" s="6">
        <v>5.47</v>
      </c>
      <c r="F81" s="6">
        <v>3.27</v>
      </c>
      <c r="G81" s="6">
        <v>72.930000000000007</v>
      </c>
      <c r="H81" s="6">
        <v>43.53</v>
      </c>
      <c r="I81" s="6">
        <v>4.82</v>
      </c>
      <c r="J81" s="6">
        <v>0.17</v>
      </c>
      <c r="K81" s="6">
        <v>152.94</v>
      </c>
      <c r="L81" s="6">
        <v>21.07</v>
      </c>
      <c r="M81" s="6">
        <v>73.010000000000005</v>
      </c>
      <c r="N81" s="6">
        <v>0</v>
      </c>
      <c r="O81" s="6">
        <v>0</v>
      </c>
      <c r="P81" s="6">
        <v>0.61</v>
      </c>
      <c r="Q81" s="6">
        <v>4.72</v>
      </c>
    </row>
    <row r="82" spans="1:17" customFormat="1">
      <c r="A82" s="6" t="s">
        <v>408</v>
      </c>
      <c r="B82" s="6">
        <v>5.45</v>
      </c>
      <c r="C82" s="6">
        <v>19.82</v>
      </c>
      <c r="D82" s="6">
        <v>16.079999999999998</v>
      </c>
      <c r="E82" s="6">
        <v>5.78</v>
      </c>
      <c r="F82" s="6">
        <v>3.07</v>
      </c>
      <c r="G82" s="6">
        <v>72.930000000000007</v>
      </c>
      <c r="H82" s="6">
        <v>43.53</v>
      </c>
      <c r="I82" s="6">
        <v>4.97</v>
      </c>
      <c r="J82" s="6">
        <v>0.19</v>
      </c>
      <c r="K82" s="6">
        <v>168.3</v>
      </c>
      <c r="L82" s="6">
        <v>20.93</v>
      </c>
      <c r="M82" s="6">
        <v>72.23</v>
      </c>
      <c r="N82" s="6">
        <v>0</v>
      </c>
      <c r="O82" s="6">
        <v>0</v>
      </c>
      <c r="P82" s="6">
        <v>0.64</v>
      </c>
      <c r="Q82" s="6">
        <v>4.7300000000000004</v>
      </c>
    </row>
    <row r="83" spans="1:17" customFormat="1">
      <c r="A83" s="6" t="s">
        <v>409</v>
      </c>
      <c r="B83" s="6">
        <v>6</v>
      </c>
      <c r="C83" s="6">
        <v>19.16</v>
      </c>
      <c r="D83" s="6">
        <v>16.170000000000002</v>
      </c>
      <c r="E83" s="6">
        <v>5.47</v>
      </c>
      <c r="F83" s="6">
        <v>2.87</v>
      </c>
      <c r="G83" s="6">
        <v>152.47</v>
      </c>
      <c r="H83" s="6">
        <v>51.39</v>
      </c>
      <c r="I83" s="6">
        <v>5.13</v>
      </c>
      <c r="J83" s="6">
        <v>0.18</v>
      </c>
      <c r="K83" s="6">
        <v>166.23</v>
      </c>
      <c r="L83" s="6">
        <v>20.58</v>
      </c>
      <c r="M83" s="6">
        <v>77.489999999999995</v>
      </c>
      <c r="N83" s="6">
        <v>0</v>
      </c>
      <c r="O83" s="6">
        <v>0</v>
      </c>
      <c r="P83" s="6">
        <v>0.65</v>
      </c>
      <c r="Q83" s="6">
        <v>4.75</v>
      </c>
    </row>
    <row r="84" spans="1:17" customFormat="1">
      <c r="A84" s="6" t="s">
        <v>410</v>
      </c>
      <c r="B84" s="6">
        <v>6.37</v>
      </c>
      <c r="C84" s="6">
        <v>19.72</v>
      </c>
      <c r="D84" s="6">
        <v>16.760000000000002</v>
      </c>
      <c r="E84" s="6">
        <v>5.27</v>
      </c>
      <c r="F84" s="6">
        <v>2.66</v>
      </c>
      <c r="G84" s="6">
        <v>163.55000000000001</v>
      </c>
      <c r="H84" s="6">
        <v>51.39</v>
      </c>
      <c r="I84" s="6">
        <v>5.37</v>
      </c>
      <c r="J84" s="6">
        <v>0.14000000000000001</v>
      </c>
      <c r="K84" s="6">
        <v>158.16999999999999</v>
      </c>
      <c r="L84" s="6">
        <v>20.2</v>
      </c>
      <c r="M84" s="6">
        <v>78.62</v>
      </c>
      <c r="N84" s="6">
        <v>0</v>
      </c>
      <c r="O84" s="6">
        <v>0</v>
      </c>
      <c r="P84" s="6">
        <v>0.68</v>
      </c>
      <c r="Q84" s="6">
        <v>4.76</v>
      </c>
    </row>
    <row r="85" spans="1:17" customFormat="1">
      <c r="A85" s="6" t="s">
        <v>411</v>
      </c>
      <c r="B85" s="6">
        <v>6.77</v>
      </c>
      <c r="C85" s="6">
        <v>22.03</v>
      </c>
      <c r="D85" s="6">
        <v>18.29</v>
      </c>
      <c r="E85" s="6">
        <v>5.67</v>
      </c>
      <c r="F85" s="6">
        <v>2.4700000000000002</v>
      </c>
      <c r="G85" s="6">
        <v>163.55000000000001</v>
      </c>
      <c r="H85" s="6">
        <v>51.39</v>
      </c>
      <c r="I85" s="6">
        <v>5.59</v>
      </c>
      <c r="J85" s="6">
        <v>0.17</v>
      </c>
      <c r="K85" s="6">
        <v>167.73</v>
      </c>
      <c r="L85" s="6">
        <v>20</v>
      </c>
      <c r="M85" s="6">
        <v>78.06</v>
      </c>
      <c r="N85" s="6">
        <v>0</v>
      </c>
      <c r="O85" s="6">
        <v>0</v>
      </c>
      <c r="P85" s="6">
        <v>0.73</v>
      </c>
      <c r="Q85" s="6">
        <v>4.79</v>
      </c>
    </row>
    <row r="86" spans="1:17" customFormat="1">
      <c r="A86" s="6" t="s">
        <v>412</v>
      </c>
      <c r="B86" s="6">
        <v>7.33</v>
      </c>
      <c r="C86" s="6">
        <v>23.43</v>
      </c>
      <c r="D86" s="6">
        <v>19.48</v>
      </c>
      <c r="E86" s="6">
        <v>5.24</v>
      </c>
      <c r="F86" s="6">
        <v>2.4900000000000002</v>
      </c>
      <c r="G86" s="6">
        <v>163.55000000000001</v>
      </c>
      <c r="H86" s="6">
        <v>51.39</v>
      </c>
      <c r="I86" s="6">
        <v>5.87</v>
      </c>
      <c r="J86" s="6">
        <v>0.16</v>
      </c>
      <c r="K86" s="6">
        <v>179.73</v>
      </c>
      <c r="L86" s="6">
        <v>19.760000000000002</v>
      </c>
      <c r="M86" s="6">
        <v>81.739999999999995</v>
      </c>
      <c r="N86" s="6">
        <v>0</v>
      </c>
      <c r="O86" s="6">
        <v>0</v>
      </c>
      <c r="P86" s="6">
        <v>0.78</v>
      </c>
      <c r="Q86" s="6">
        <v>4.8099999999999996</v>
      </c>
    </row>
    <row r="87" spans="1:17" customFormat="1">
      <c r="A87" s="6" t="s">
        <v>413</v>
      </c>
      <c r="B87" s="6">
        <v>7.68</v>
      </c>
      <c r="C87" s="6">
        <v>23.82</v>
      </c>
      <c r="D87" s="6">
        <v>19.96</v>
      </c>
      <c r="E87" s="6">
        <v>5.9</v>
      </c>
      <c r="F87" s="6">
        <v>2.5499999999999998</v>
      </c>
      <c r="G87" s="6">
        <v>134.71</v>
      </c>
      <c r="H87" s="6">
        <v>52.48</v>
      </c>
      <c r="I87" s="6">
        <v>6.22</v>
      </c>
      <c r="J87" s="6">
        <v>0.15</v>
      </c>
      <c r="K87" s="6">
        <v>180.15</v>
      </c>
      <c r="L87" s="6">
        <v>19.3</v>
      </c>
      <c r="M87" s="6">
        <v>81.900000000000006</v>
      </c>
      <c r="N87" s="6">
        <v>0</v>
      </c>
      <c r="O87" s="6">
        <v>0</v>
      </c>
      <c r="P87" s="6">
        <v>0.81</v>
      </c>
      <c r="Q87" s="6">
        <v>4.8099999999999996</v>
      </c>
    </row>
    <row r="88" spans="1:17" customFormat="1">
      <c r="A88" s="6" t="s">
        <v>414</v>
      </c>
      <c r="B88" s="6">
        <v>7.96</v>
      </c>
      <c r="C88" s="6">
        <v>23.97</v>
      </c>
      <c r="D88" s="6">
        <v>20.260000000000002</v>
      </c>
      <c r="E88" s="6">
        <v>6.12</v>
      </c>
      <c r="F88" s="6">
        <v>2.61</v>
      </c>
      <c r="G88" s="6">
        <v>130.69999999999999</v>
      </c>
      <c r="H88" s="6">
        <v>52.48</v>
      </c>
      <c r="I88" s="6">
        <v>6.59</v>
      </c>
      <c r="J88" s="6">
        <v>0.1</v>
      </c>
      <c r="K88" s="6">
        <v>203.63</v>
      </c>
      <c r="L88" s="6">
        <v>19.04</v>
      </c>
      <c r="M88" s="6">
        <v>81.38</v>
      </c>
      <c r="N88" s="6">
        <v>0</v>
      </c>
      <c r="O88" s="6">
        <v>0</v>
      </c>
      <c r="P88" s="6">
        <v>0.84</v>
      </c>
      <c r="Q88" s="6">
        <v>4.82</v>
      </c>
    </row>
    <row r="89" spans="1:17" customFormat="1">
      <c r="A89" s="6" t="s">
        <v>415</v>
      </c>
      <c r="B89" s="6">
        <v>7.99</v>
      </c>
      <c r="C89" s="6">
        <v>23.68</v>
      </c>
      <c r="D89" s="6">
        <v>20.14</v>
      </c>
      <c r="E89" s="6">
        <v>5.99</v>
      </c>
      <c r="F89" s="6">
        <v>2.63</v>
      </c>
      <c r="G89" s="6">
        <v>130.69999999999999</v>
      </c>
      <c r="H89" s="6">
        <v>52.48</v>
      </c>
      <c r="I89" s="6">
        <v>6.9</v>
      </c>
      <c r="J89" s="6">
        <v>0.14000000000000001</v>
      </c>
      <c r="K89" s="6">
        <v>197.07</v>
      </c>
      <c r="L89" s="6">
        <v>18.940000000000001</v>
      </c>
      <c r="M89" s="6">
        <v>82.41</v>
      </c>
      <c r="N89" s="6">
        <v>0</v>
      </c>
      <c r="O89" s="6">
        <v>0</v>
      </c>
      <c r="P89" s="6">
        <v>0.87</v>
      </c>
      <c r="Q89" s="6">
        <v>4.83</v>
      </c>
    </row>
    <row r="90" spans="1:17" customFormat="1">
      <c r="A90" s="6" t="s">
        <v>416</v>
      </c>
      <c r="B90" s="6">
        <v>8.08</v>
      </c>
      <c r="C90" s="6">
        <v>21.76</v>
      </c>
      <c r="D90" s="6">
        <v>19.2</v>
      </c>
      <c r="E90" s="6">
        <v>5.46</v>
      </c>
      <c r="F90" s="6">
        <v>2.92</v>
      </c>
      <c r="G90" s="6">
        <v>130.69999999999999</v>
      </c>
      <c r="H90" s="6">
        <v>52.48</v>
      </c>
      <c r="I90" s="6">
        <v>7.17</v>
      </c>
      <c r="J90" s="6">
        <v>0.1</v>
      </c>
      <c r="K90" s="6">
        <v>200.44</v>
      </c>
      <c r="L90" s="6">
        <v>18.82</v>
      </c>
      <c r="M90" s="6">
        <v>81.239999999999995</v>
      </c>
      <c r="N90" s="6">
        <v>0</v>
      </c>
      <c r="O90" s="6">
        <v>0</v>
      </c>
      <c r="P90" s="6">
        <v>0.87</v>
      </c>
      <c r="Q90" s="6">
        <v>4.8499999999999996</v>
      </c>
    </row>
    <row r="91" spans="1:17" customFormat="1">
      <c r="A91" s="6" t="s">
        <v>417</v>
      </c>
      <c r="B91" s="6">
        <v>8.0500000000000007</v>
      </c>
      <c r="C91" s="6">
        <v>21.47</v>
      </c>
      <c r="D91" s="6">
        <v>19.03</v>
      </c>
      <c r="E91" s="6">
        <v>5.41</v>
      </c>
      <c r="F91" s="6">
        <v>2.97</v>
      </c>
      <c r="G91" s="6">
        <v>112.5</v>
      </c>
      <c r="H91" s="6">
        <v>50.56</v>
      </c>
      <c r="I91" s="6">
        <v>7.38</v>
      </c>
      <c r="J91" s="6">
        <v>0.09</v>
      </c>
      <c r="K91" s="6">
        <v>165.68</v>
      </c>
      <c r="L91" s="6">
        <v>18.670000000000002</v>
      </c>
      <c r="M91" s="6">
        <v>82.34</v>
      </c>
      <c r="N91" s="6">
        <v>0</v>
      </c>
      <c r="O91" s="6">
        <v>0</v>
      </c>
      <c r="P91" s="6">
        <v>0.87</v>
      </c>
      <c r="Q91" s="6">
        <v>4.87</v>
      </c>
    </row>
    <row r="92" spans="1:17" customFormat="1">
      <c r="A92" s="6" t="s">
        <v>418</v>
      </c>
      <c r="B92" s="6">
        <v>7.99</v>
      </c>
      <c r="C92" s="6">
        <v>22.14</v>
      </c>
      <c r="D92" s="6">
        <v>19.32</v>
      </c>
      <c r="E92" s="6">
        <v>5.65</v>
      </c>
      <c r="F92" s="6">
        <v>2.77</v>
      </c>
      <c r="G92" s="6">
        <v>109.97</v>
      </c>
      <c r="H92" s="6">
        <v>50.56</v>
      </c>
      <c r="I92" s="6">
        <v>7.5</v>
      </c>
      <c r="J92" s="6">
        <v>0.09</v>
      </c>
      <c r="K92" s="6">
        <v>140.30000000000001</v>
      </c>
      <c r="L92" s="6">
        <v>18.47</v>
      </c>
      <c r="M92" s="6">
        <v>79.98</v>
      </c>
      <c r="N92" s="6">
        <v>0</v>
      </c>
      <c r="O92" s="6">
        <v>0</v>
      </c>
      <c r="P92" s="6">
        <v>0.87</v>
      </c>
      <c r="Q92" s="6">
        <v>4.8899999999999997</v>
      </c>
    </row>
    <row r="93" spans="1:17" customFormat="1">
      <c r="A93" s="6" t="s">
        <v>419</v>
      </c>
      <c r="B93" s="6">
        <v>8.2200000000000006</v>
      </c>
      <c r="C93" s="6">
        <v>21.73</v>
      </c>
      <c r="D93" s="6">
        <v>19.29</v>
      </c>
      <c r="E93" s="6">
        <v>5.48</v>
      </c>
      <c r="F93" s="6">
        <v>2.71</v>
      </c>
      <c r="G93" s="6">
        <v>109.97</v>
      </c>
      <c r="H93" s="6">
        <v>50.56</v>
      </c>
      <c r="I93" s="6">
        <v>7.6</v>
      </c>
      <c r="J93" s="6">
        <v>0.11</v>
      </c>
      <c r="K93" s="6">
        <v>152.88</v>
      </c>
      <c r="L93" s="6">
        <v>18.48</v>
      </c>
      <c r="M93" s="6">
        <v>78.81</v>
      </c>
      <c r="N93" s="6">
        <v>0</v>
      </c>
      <c r="O93" s="6">
        <v>0</v>
      </c>
      <c r="P93" s="6">
        <v>0.88</v>
      </c>
      <c r="Q93" s="6">
        <v>4.87</v>
      </c>
    </row>
    <row r="94" spans="1:17" customFormat="1">
      <c r="A94" s="6" t="s">
        <v>420</v>
      </c>
      <c r="B94" s="6">
        <v>8.98</v>
      </c>
      <c r="C94" s="6">
        <v>23.73</v>
      </c>
      <c r="D94" s="6">
        <v>20.95</v>
      </c>
      <c r="E94" s="6">
        <v>5.53</v>
      </c>
      <c r="F94" s="6">
        <v>2.5499999999999998</v>
      </c>
      <c r="G94" s="6">
        <v>109.97</v>
      </c>
      <c r="H94" s="6">
        <v>50.56</v>
      </c>
      <c r="I94" s="6">
        <v>7.68</v>
      </c>
      <c r="J94" s="6">
        <v>0.13</v>
      </c>
      <c r="K94" s="6">
        <v>167.44</v>
      </c>
      <c r="L94" s="6">
        <v>18.47</v>
      </c>
      <c r="M94" s="6">
        <v>79.66</v>
      </c>
      <c r="N94" s="6">
        <v>0</v>
      </c>
      <c r="O94" s="6">
        <v>0</v>
      </c>
      <c r="P94" s="6">
        <v>0.89</v>
      </c>
      <c r="Q94" s="6">
        <v>4.8899999999999997</v>
      </c>
    </row>
    <row r="95" spans="1:17" customFormat="1">
      <c r="A95" s="6" t="s">
        <v>421</v>
      </c>
      <c r="B95" s="6">
        <v>9.15</v>
      </c>
      <c r="C95" s="6">
        <v>23.77</v>
      </c>
      <c r="D95" s="6">
        <v>21.11</v>
      </c>
      <c r="E95" s="6">
        <v>5.9</v>
      </c>
      <c r="F95" s="6">
        <v>2.65</v>
      </c>
      <c r="G95" s="6">
        <v>128.26</v>
      </c>
      <c r="H95" s="6">
        <v>57.48</v>
      </c>
      <c r="I95" s="6">
        <v>7.77</v>
      </c>
      <c r="J95" s="6">
        <v>0.12</v>
      </c>
      <c r="K95" s="6">
        <v>177.21</v>
      </c>
      <c r="L95" s="6">
        <v>18.36</v>
      </c>
      <c r="M95" s="6">
        <v>84.7</v>
      </c>
      <c r="N95" s="6">
        <v>0</v>
      </c>
      <c r="O95" s="6">
        <v>0</v>
      </c>
      <c r="P95" s="6">
        <v>0.89</v>
      </c>
      <c r="Q95" s="6">
        <v>4.9000000000000004</v>
      </c>
    </row>
    <row r="96" spans="1:17" customFormat="1">
      <c r="A96" s="6" t="s">
        <v>422</v>
      </c>
      <c r="B96" s="6">
        <v>9.14</v>
      </c>
      <c r="C96" s="6">
        <v>24.08</v>
      </c>
      <c r="D96" s="6">
        <v>21.26</v>
      </c>
      <c r="E96" s="6">
        <v>5.66</v>
      </c>
      <c r="F96" s="6">
        <v>2.56</v>
      </c>
      <c r="G96" s="6">
        <v>130.81</v>
      </c>
      <c r="H96" s="6">
        <v>57.48</v>
      </c>
      <c r="I96" s="6">
        <v>7.85</v>
      </c>
      <c r="J96" s="6">
        <v>0.1</v>
      </c>
      <c r="K96" s="6">
        <v>93.83</v>
      </c>
      <c r="L96" s="6">
        <v>17.95</v>
      </c>
      <c r="M96" s="6">
        <v>85.2</v>
      </c>
      <c r="N96" s="6">
        <v>0</v>
      </c>
      <c r="O96" s="6">
        <v>0</v>
      </c>
      <c r="P96" s="6">
        <v>0.9</v>
      </c>
      <c r="Q96" s="6">
        <v>4.9000000000000004</v>
      </c>
    </row>
    <row r="97" spans="1:22" customFormat="1">
      <c r="A97" s="6" t="s">
        <v>423</v>
      </c>
      <c r="B97" s="6">
        <v>9.0500000000000007</v>
      </c>
      <c r="C97" s="6">
        <v>23.27</v>
      </c>
      <c r="D97" s="6">
        <v>20.77</v>
      </c>
      <c r="E97" s="6">
        <v>4.9800000000000004</v>
      </c>
      <c r="F97" s="6">
        <v>2.77</v>
      </c>
      <c r="G97" s="6">
        <v>130.81</v>
      </c>
      <c r="H97" s="6">
        <v>57.48</v>
      </c>
      <c r="I97" s="6">
        <v>7.91</v>
      </c>
      <c r="J97" s="6">
        <v>0.11</v>
      </c>
      <c r="K97" s="6">
        <v>173.84</v>
      </c>
      <c r="L97" s="6">
        <v>18.02</v>
      </c>
      <c r="M97" s="6">
        <v>80.89</v>
      </c>
      <c r="N97" s="6">
        <v>0</v>
      </c>
      <c r="O97" s="6">
        <v>0</v>
      </c>
      <c r="P97" s="6">
        <v>0.9</v>
      </c>
      <c r="Q97" s="6">
        <v>4.88</v>
      </c>
    </row>
    <row r="98" spans="1:22" customFormat="1">
      <c r="A98" s="6" t="s">
        <v>424</v>
      </c>
      <c r="B98" s="6">
        <v>8.74</v>
      </c>
      <c r="C98" s="6">
        <v>22.94</v>
      </c>
      <c r="D98" s="6">
        <v>20.350000000000001</v>
      </c>
      <c r="E98" s="6">
        <v>4.91</v>
      </c>
      <c r="F98" s="6">
        <v>2.97</v>
      </c>
      <c r="G98" s="6">
        <v>130.81</v>
      </c>
      <c r="H98" s="6">
        <v>57.48</v>
      </c>
      <c r="I98" s="6">
        <v>7.95</v>
      </c>
      <c r="J98" s="6">
        <v>0.06</v>
      </c>
      <c r="K98" s="6">
        <v>112.28</v>
      </c>
      <c r="L98" s="6">
        <v>18</v>
      </c>
      <c r="M98" s="6">
        <v>80.989999999999995</v>
      </c>
      <c r="N98" s="6">
        <v>0</v>
      </c>
      <c r="O98" s="6">
        <v>0</v>
      </c>
      <c r="P98" s="6">
        <v>0.9</v>
      </c>
      <c r="Q98" s="6">
        <v>4.8899999999999997</v>
      </c>
    </row>
    <row r="99" spans="1:22" customFormat="1">
      <c r="A99" s="6" t="s">
        <v>425</v>
      </c>
      <c r="B99" s="6">
        <v>8.2899999999999991</v>
      </c>
      <c r="C99" s="6">
        <v>21.75</v>
      </c>
      <c r="D99" s="6">
        <v>19.36</v>
      </c>
      <c r="E99" s="6">
        <v>5.84</v>
      </c>
      <c r="F99" s="6">
        <v>3.21</v>
      </c>
      <c r="G99" s="6">
        <v>103.18</v>
      </c>
      <c r="H99" s="6">
        <v>57.77</v>
      </c>
      <c r="I99" s="6">
        <v>7.95</v>
      </c>
      <c r="J99" s="6">
        <v>0.13</v>
      </c>
      <c r="K99" s="6">
        <v>143.53</v>
      </c>
      <c r="L99" s="6">
        <v>17.87</v>
      </c>
      <c r="M99" s="6">
        <v>79.760000000000005</v>
      </c>
      <c r="N99" s="6">
        <v>0</v>
      </c>
      <c r="O99" s="6">
        <v>0</v>
      </c>
      <c r="P99" s="6">
        <v>0.89</v>
      </c>
      <c r="Q99" s="6">
        <v>4.88</v>
      </c>
    </row>
    <row r="100" spans="1:22" customFormat="1">
      <c r="A100" s="6" t="s">
        <v>426</v>
      </c>
      <c r="B100" s="6">
        <v>7.62</v>
      </c>
      <c r="C100" s="6">
        <v>21.62</v>
      </c>
      <c r="D100" s="6">
        <v>18.760000000000002</v>
      </c>
      <c r="E100" s="6">
        <v>5.38</v>
      </c>
      <c r="F100" s="6">
        <v>3.37</v>
      </c>
      <c r="G100" s="6">
        <v>99.33</v>
      </c>
      <c r="H100" s="6">
        <v>57.77</v>
      </c>
      <c r="I100" s="6">
        <v>7.92</v>
      </c>
      <c r="J100" s="6">
        <v>0.13</v>
      </c>
      <c r="K100" s="6">
        <v>144.65</v>
      </c>
      <c r="L100" s="6">
        <v>17.87</v>
      </c>
      <c r="M100" s="6">
        <v>79.44</v>
      </c>
      <c r="N100" s="6">
        <v>0</v>
      </c>
      <c r="O100" s="6">
        <v>0</v>
      </c>
      <c r="P100" s="6">
        <v>0.89</v>
      </c>
      <c r="Q100" s="6">
        <v>4.8899999999999997</v>
      </c>
    </row>
    <row r="101" spans="1:22" customFormat="1">
      <c r="A101" s="6" t="s">
        <v>427</v>
      </c>
      <c r="B101" s="6">
        <v>6.88</v>
      </c>
      <c r="C101" s="6">
        <v>21.79</v>
      </c>
      <c r="D101" s="6">
        <v>18.25</v>
      </c>
      <c r="E101" s="6">
        <v>5.76</v>
      </c>
      <c r="F101" s="6">
        <v>3.46</v>
      </c>
      <c r="G101" s="6">
        <v>99.33</v>
      </c>
      <c r="H101" s="6">
        <v>57.77</v>
      </c>
      <c r="I101" s="6">
        <v>7.88</v>
      </c>
      <c r="J101" s="6">
        <v>0.12</v>
      </c>
      <c r="K101" s="6">
        <v>127.86</v>
      </c>
      <c r="L101" s="6">
        <v>17.739999999999998</v>
      </c>
      <c r="M101" s="6">
        <v>79.97</v>
      </c>
      <c r="N101" s="6">
        <v>0</v>
      </c>
      <c r="O101" s="6">
        <v>0</v>
      </c>
      <c r="P101" s="6">
        <v>0.87</v>
      </c>
      <c r="Q101" s="6">
        <v>4.8499999999999996</v>
      </c>
    </row>
    <row r="102" spans="1:22" customFormat="1">
      <c r="A102" s="6" t="s">
        <v>428</v>
      </c>
      <c r="B102" s="6">
        <v>6.33</v>
      </c>
      <c r="C102" s="6">
        <v>21.63</v>
      </c>
      <c r="D102" s="6">
        <v>17.73</v>
      </c>
      <c r="E102" s="6">
        <v>5.53</v>
      </c>
      <c r="F102" s="6">
        <v>3.53</v>
      </c>
      <c r="G102" s="6">
        <v>99.33</v>
      </c>
      <c r="H102" s="6">
        <v>57.77</v>
      </c>
      <c r="I102" s="6">
        <v>7.83</v>
      </c>
      <c r="J102" s="6">
        <v>0.14000000000000001</v>
      </c>
      <c r="K102" s="6">
        <v>101.38</v>
      </c>
      <c r="L102" s="6">
        <v>17.59</v>
      </c>
      <c r="M102" s="6">
        <v>80.12</v>
      </c>
      <c r="N102" s="6">
        <v>0</v>
      </c>
      <c r="O102" s="6">
        <v>0</v>
      </c>
      <c r="P102" s="6">
        <v>0.86</v>
      </c>
      <c r="Q102" s="6">
        <v>4.8600000000000003</v>
      </c>
    </row>
    <row r="103" spans="1:22" customFormat="1">
      <c r="A103" s="6" t="s">
        <v>429</v>
      </c>
      <c r="B103" s="6">
        <v>5.97</v>
      </c>
      <c r="C103" s="6">
        <v>21.57</v>
      </c>
      <c r="D103" s="6">
        <v>17.41</v>
      </c>
      <c r="E103" s="6">
        <v>6.02</v>
      </c>
      <c r="F103" s="6">
        <v>3.52</v>
      </c>
      <c r="G103" s="6">
        <v>72.77</v>
      </c>
      <c r="H103" s="6">
        <v>53.29</v>
      </c>
      <c r="I103" s="6">
        <v>7.72</v>
      </c>
      <c r="J103" s="6">
        <v>0.08</v>
      </c>
      <c r="K103" s="6">
        <v>115.28</v>
      </c>
      <c r="L103" s="6">
        <v>17.47</v>
      </c>
      <c r="M103" s="6">
        <v>80.790000000000006</v>
      </c>
      <c r="N103" s="6">
        <v>0</v>
      </c>
      <c r="O103" s="6">
        <v>0</v>
      </c>
      <c r="P103" s="6">
        <v>0.84</v>
      </c>
      <c r="Q103" s="6">
        <v>4.84</v>
      </c>
    </row>
    <row r="104" spans="1:22" customFormat="1">
      <c r="A104" s="6" t="s">
        <v>430</v>
      </c>
      <c r="B104" s="6">
        <v>5.7</v>
      </c>
      <c r="C104" s="6">
        <v>21.45</v>
      </c>
      <c r="D104" s="6">
        <v>17.13</v>
      </c>
      <c r="E104" s="6">
        <v>5.65</v>
      </c>
      <c r="F104" s="6">
        <v>3.59</v>
      </c>
      <c r="G104" s="6">
        <v>69.069999999999993</v>
      </c>
      <c r="H104" s="6">
        <v>53.29</v>
      </c>
      <c r="I104" s="6">
        <v>7.56</v>
      </c>
      <c r="J104" s="6">
        <v>0.06</v>
      </c>
      <c r="K104" s="6">
        <v>147.94999999999999</v>
      </c>
      <c r="L104" s="6">
        <v>17.43</v>
      </c>
      <c r="M104" s="6">
        <v>81.73</v>
      </c>
      <c r="N104" s="6">
        <v>0</v>
      </c>
      <c r="O104" s="6">
        <v>0</v>
      </c>
      <c r="P104" s="6">
        <v>0.82</v>
      </c>
      <c r="Q104" s="6">
        <v>4.82</v>
      </c>
    </row>
    <row r="106" spans="1:22">
      <c r="A106" s="156" t="s">
        <v>48</v>
      </c>
      <c r="B106" s="157">
        <f>MIN(B9:B104)</f>
        <v>2.19</v>
      </c>
      <c r="C106" s="157">
        <f>MIN(C9:C104)</f>
        <v>13.43</v>
      </c>
      <c r="D106" s="157">
        <f t="shared" ref="D106:Q106" si="0">MIN(D9:D104)</f>
        <v>10.26</v>
      </c>
      <c r="E106" s="157">
        <f t="shared" si="0"/>
        <v>4.91</v>
      </c>
      <c r="F106" s="157">
        <f t="shared" si="0"/>
        <v>2.39</v>
      </c>
      <c r="G106" s="157">
        <f t="shared" si="0"/>
        <v>69.069999999999993</v>
      </c>
      <c r="H106" s="157">
        <f t="shared" si="0"/>
        <v>42</v>
      </c>
      <c r="I106" s="157">
        <f t="shared" si="0"/>
        <v>4.41</v>
      </c>
      <c r="J106" s="157">
        <f t="shared" si="0"/>
        <v>0.02</v>
      </c>
      <c r="K106" s="157">
        <f t="shared" si="0"/>
        <v>45.16</v>
      </c>
      <c r="L106" s="157">
        <f t="shared" si="0"/>
        <v>14.78</v>
      </c>
      <c r="M106" s="157">
        <f t="shared" si="0"/>
        <v>41.58</v>
      </c>
      <c r="N106" s="157">
        <f t="shared" si="0"/>
        <v>0</v>
      </c>
      <c r="O106" s="157">
        <f t="shared" si="0"/>
        <v>0</v>
      </c>
      <c r="P106" s="157">
        <f t="shared" si="0"/>
        <v>0.56999999999999995</v>
      </c>
      <c r="Q106" s="157">
        <f t="shared" si="0"/>
        <v>4.71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17.18</v>
      </c>
      <c r="C107" s="156">
        <f t="shared" ref="C107:Q107" si="1">MAX(C9:C104)</f>
        <v>25.7</v>
      </c>
      <c r="D107" s="156">
        <f t="shared" si="1"/>
        <v>28.12</v>
      </c>
      <c r="E107" s="156">
        <f t="shared" si="1"/>
        <v>12.56</v>
      </c>
      <c r="F107" s="156">
        <f t="shared" si="1"/>
        <v>16.649999999999999</v>
      </c>
      <c r="G107" s="156">
        <f t="shared" si="1"/>
        <v>163.55000000000001</v>
      </c>
      <c r="H107" s="156">
        <f t="shared" si="1"/>
        <v>57.77</v>
      </c>
      <c r="I107" s="156">
        <f t="shared" si="1"/>
        <v>9.7100000000000009</v>
      </c>
      <c r="J107" s="156">
        <f t="shared" si="1"/>
        <v>0.39</v>
      </c>
      <c r="K107" s="156">
        <f t="shared" si="1"/>
        <v>278.62</v>
      </c>
      <c r="L107" s="156">
        <f t="shared" si="1"/>
        <v>27.54</v>
      </c>
      <c r="M107" s="156">
        <f t="shared" si="1"/>
        <v>96.07</v>
      </c>
      <c r="N107" s="156">
        <f t="shared" si="1"/>
        <v>399.5</v>
      </c>
      <c r="O107" s="156">
        <f t="shared" si="1"/>
        <v>0</v>
      </c>
      <c r="P107" s="156">
        <f t="shared" si="1"/>
        <v>0.96</v>
      </c>
      <c r="Q107" s="156">
        <f t="shared" si="1"/>
        <v>4.96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8.0733333333333359</v>
      </c>
      <c r="C108" s="157">
        <f t="shared" ref="C108:Q108" si="2">AVERAGE(C9:C104)</f>
        <v>21.430625000000003</v>
      </c>
      <c r="D108" s="157">
        <f t="shared" si="2"/>
        <v>19.022291666666664</v>
      </c>
      <c r="E108" s="157">
        <f t="shared" si="2"/>
        <v>7.0377083333333319</v>
      </c>
      <c r="F108" s="157">
        <f t="shared" si="2"/>
        <v>4.4335416666666649</v>
      </c>
      <c r="G108" s="157">
        <f t="shared" si="2"/>
        <v>94.379375000000039</v>
      </c>
      <c r="H108" s="157">
        <f t="shared" si="2"/>
        <v>52.137708333333357</v>
      </c>
      <c r="I108" s="157">
        <f t="shared" si="2"/>
        <v>7.5445833333333363</v>
      </c>
      <c r="J108" s="157">
        <f t="shared" si="2"/>
        <v>0.16231578947368422</v>
      </c>
      <c r="K108" s="157">
        <f t="shared" si="2"/>
        <v>162.90599999999995</v>
      </c>
      <c r="L108" s="157">
        <f t="shared" si="2"/>
        <v>20.154062500000002</v>
      </c>
      <c r="M108" s="157">
        <f t="shared" si="2"/>
        <v>73.722083333333316</v>
      </c>
      <c r="N108" s="157">
        <f t="shared" si="2"/>
        <v>82.066666666666677</v>
      </c>
      <c r="O108" s="157">
        <f t="shared" si="2"/>
        <v>0</v>
      </c>
      <c r="P108" s="157">
        <f t="shared" si="2"/>
        <v>0.80770833333333381</v>
      </c>
      <c r="Q108" s="157">
        <f t="shared" si="2"/>
        <v>4.8407291666666667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4.3166504233251226</v>
      </c>
      <c r="C109" s="157">
        <f t="shared" ref="C109:Q109" si="3">STDEV(C9:C104)</f>
        <v>2.6729706763902552</v>
      </c>
      <c r="D109" s="157">
        <f t="shared" si="3"/>
        <v>4.6011992668197434</v>
      </c>
      <c r="E109" s="157">
        <f t="shared" si="3"/>
        <v>1.725519588668067</v>
      </c>
      <c r="F109" s="157">
        <f t="shared" si="3"/>
        <v>3.3271020990034263</v>
      </c>
      <c r="G109" s="157">
        <f t="shared" si="3"/>
        <v>20.795825583768455</v>
      </c>
      <c r="H109" s="157">
        <f t="shared" si="3"/>
        <v>4.2248454295404425</v>
      </c>
      <c r="I109" s="157">
        <f t="shared" si="3"/>
        <v>1.8202156706608277</v>
      </c>
      <c r="J109" s="157">
        <f t="shared" si="3"/>
        <v>8.1989265405035344E-2</v>
      </c>
      <c r="K109" s="157">
        <f t="shared" si="3"/>
        <v>49.356576905512796</v>
      </c>
      <c r="L109" s="157">
        <f t="shared" si="3"/>
        <v>4.2821334029036491</v>
      </c>
      <c r="M109" s="157">
        <f t="shared" si="3"/>
        <v>19.33394402090569</v>
      </c>
      <c r="N109" s="157">
        <f t="shared" si="3"/>
        <v>132.3566900595084</v>
      </c>
      <c r="O109" s="157">
        <f t="shared" si="3"/>
        <v>0</v>
      </c>
      <c r="P109" s="157">
        <f t="shared" si="3"/>
        <v>0.13989077819699436</v>
      </c>
      <c r="Q109" s="157">
        <f t="shared" si="3"/>
        <v>7.0952093425095689E-2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95</v>
      </c>
      <c r="K110" s="156">
        <f t="shared" si="4"/>
        <v>95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431</v>
      </c>
      <c r="B9" s="6">
        <v>4.76</v>
      </c>
      <c r="C9" s="6">
        <v>19.78</v>
      </c>
      <c r="D9" s="6">
        <v>15.5</v>
      </c>
      <c r="E9" s="6">
        <v>5.18</v>
      </c>
      <c r="F9" s="6">
        <v>3.54</v>
      </c>
      <c r="G9" s="6">
        <v>69.069999999999993</v>
      </c>
      <c r="H9" s="6">
        <v>53.29</v>
      </c>
      <c r="I9" s="6">
        <v>7.41</v>
      </c>
      <c r="J9" s="6">
        <v>0.2</v>
      </c>
      <c r="K9" s="6">
        <v>272.36</v>
      </c>
      <c r="L9" s="6">
        <v>17.02</v>
      </c>
      <c r="M9" s="6">
        <v>84.83</v>
      </c>
      <c r="N9" s="6">
        <v>0</v>
      </c>
      <c r="O9" s="6">
        <v>0</v>
      </c>
      <c r="P9" s="6">
        <v>0.81</v>
      </c>
      <c r="Q9" s="6">
        <v>4.82</v>
      </c>
    </row>
    <row r="10" spans="1:21" customFormat="1">
      <c r="A10" s="6" t="s">
        <v>432</v>
      </c>
      <c r="B10" s="6">
        <v>4.5599999999999996</v>
      </c>
      <c r="C10" s="6">
        <v>20.71</v>
      </c>
      <c r="D10" s="6">
        <v>15.83</v>
      </c>
      <c r="E10" s="6">
        <v>5.05</v>
      </c>
      <c r="F10" s="6">
        <v>3.36</v>
      </c>
      <c r="G10" s="6">
        <v>69.069999999999993</v>
      </c>
      <c r="H10" s="6">
        <v>53.29</v>
      </c>
      <c r="I10" s="6">
        <v>7.25</v>
      </c>
      <c r="J10" s="6">
        <v>0.21</v>
      </c>
      <c r="K10" s="6">
        <v>266.27999999999997</v>
      </c>
      <c r="L10" s="6">
        <v>16.690000000000001</v>
      </c>
      <c r="M10" s="6">
        <v>86.32</v>
      </c>
      <c r="N10" s="6">
        <v>0</v>
      </c>
      <c r="O10" s="6">
        <v>0</v>
      </c>
      <c r="P10" s="6">
        <v>0.79</v>
      </c>
      <c r="Q10" s="6">
        <v>4.8099999999999996</v>
      </c>
    </row>
    <row r="11" spans="1:21" customFormat="1">
      <c r="A11" s="6" t="s">
        <v>433</v>
      </c>
      <c r="B11" s="6">
        <v>4.55</v>
      </c>
      <c r="C11" s="6">
        <v>20.63</v>
      </c>
      <c r="D11" s="6">
        <v>15.78</v>
      </c>
      <c r="E11" s="6">
        <v>5.2</v>
      </c>
      <c r="F11" s="6">
        <v>3.24</v>
      </c>
      <c r="G11" s="6">
        <v>70.790000000000006</v>
      </c>
      <c r="H11" s="6">
        <v>48.57</v>
      </c>
      <c r="I11" s="6">
        <v>7.1</v>
      </c>
      <c r="J11" s="6">
        <v>0.11</v>
      </c>
      <c r="K11" s="6">
        <v>243.56</v>
      </c>
      <c r="L11" s="6">
        <v>16.53</v>
      </c>
      <c r="M11" s="6">
        <v>87.07</v>
      </c>
      <c r="N11" s="6">
        <v>0</v>
      </c>
      <c r="O11" s="6">
        <v>0</v>
      </c>
      <c r="P11" s="6">
        <v>0.76</v>
      </c>
      <c r="Q11" s="6">
        <v>4.8</v>
      </c>
    </row>
    <row r="12" spans="1:21" customFormat="1">
      <c r="A12" s="6" t="s">
        <v>434</v>
      </c>
      <c r="B12" s="6">
        <v>4.66</v>
      </c>
      <c r="C12" s="6">
        <v>20.3</v>
      </c>
      <c r="D12" s="6">
        <v>15.69</v>
      </c>
      <c r="E12" s="6">
        <v>5.45</v>
      </c>
      <c r="F12" s="6">
        <v>3.18</v>
      </c>
      <c r="G12" s="6">
        <v>71.03</v>
      </c>
      <c r="H12" s="6">
        <v>48.57</v>
      </c>
      <c r="I12" s="6">
        <v>6.97</v>
      </c>
      <c r="J12" s="6">
        <v>0.12</v>
      </c>
      <c r="K12" s="6">
        <v>230.43</v>
      </c>
      <c r="L12" s="6">
        <v>16.5</v>
      </c>
      <c r="M12" s="6">
        <v>87.26</v>
      </c>
      <c r="N12" s="6">
        <v>0</v>
      </c>
      <c r="O12" s="6">
        <v>0</v>
      </c>
      <c r="P12" s="6">
        <v>0.76</v>
      </c>
      <c r="Q12" s="6">
        <v>4.8</v>
      </c>
    </row>
    <row r="13" spans="1:21" customFormat="1">
      <c r="A13" s="6" t="s">
        <v>435</v>
      </c>
      <c r="B13" s="6">
        <v>4.63</v>
      </c>
      <c r="C13" s="6">
        <v>20.12</v>
      </c>
      <c r="D13" s="6">
        <v>15.58</v>
      </c>
      <c r="E13" s="6">
        <v>5.56</v>
      </c>
      <c r="F13" s="6">
        <v>3.37</v>
      </c>
      <c r="G13" s="6">
        <v>71.03</v>
      </c>
      <c r="H13" s="6">
        <v>48.57</v>
      </c>
      <c r="I13" s="6">
        <v>6.85</v>
      </c>
      <c r="J13" s="6">
        <v>0.08</v>
      </c>
      <c r="K13" s="6">
        <v>201.21</v>
      </c>
      <c r="L13" s="6">
        <v>16.440000000000001</v>
      </c>
      <c r="M13" s="6">
        <v>87.84</v>
      </c>
      <c r="N13" s="6">
        <v>0</v>
      </c>
      <c r="O13" s="6">
        <v>0</v>
      </c>
      <c r="P13" s="6">
        <v>0.74</v>
      </c>
      <c r="Q13" s="6">
        <v>4.8</v>
      </c>
    </row>
    <row r="14" spans="1:21" customFormat="1">
      <c r="A14" s="6" t="s">
        <v>436</v>
      </c>
      <c r="B14" s="6">
        <v>4.66</v>
      </c>
      <c r="C14" s="6">
        <v>20.04</v>
      </c>
      <c r="D14" s="6">
        <v>15.56</v>
      </c>
      <c r="E14" s="6">
        <v>5.2</v>
      </c>
      <c r="F14" s="6">
        <v>3.27</v>
      </c>
      <c r="G14" s="6">
        <v>71.03</v>
      </c>
      <c r="H14" s="6">
        <v>48.57</v>
      </c>
      <c r="I14" s="6">
        <v>6.75</v>
      </c>
      <c r="J14" s="6">
        <v>0.04</v>
      </c>
      <c r="K14" s="6">
        <v>223.3</v>
      </c>
      <c r="L14" s="6">
        <v>16.170000000000002</v>
      </c>
      <c r="M14" s="6">
        <v>89.88</v>
      </c>
      <c r="N14" s="6">
        <v>0</v>
      </c>
      <c r="O14" s="6">
        <v>0</v>
      </c>
      <c r="P14" s="6">
        <v>0.72</v>
      </c>
      <c r="Q14" s="6">
        <v>4.8</v>
      </c>
    </row>
    <row r="15" spans="1:21" customFormat="1">
      <c r="A15" s="6" t="s">
        <v>437</v>
      </c>
      <c r="B15" s="6">
        <v>4.82</v>
      </c>
      <c r="C15" s="6">
        <v>20.21</v>
      </c>
      <c r="D15" s="6">
        <v>15.78</v>
      </c>
      <c r="E15" s="6">
        <v>5.86</v>
      </c>
      <c r="F15" s="6">
        <v>3</v>
      </c>
      <c r="G15" s="6">
        <v>51.17</v>
      </c>
      <c r="H15" s="6">
        <v>44.42</v>
      </c>
      <c r="I15" s="6">
        <v>6.64</v>
      </c>
      <c r="J15" s="6">
        <v>0.12</v>
      </c>
      <c r="K15" s="6">
        <v>232.51</v>
      </c>
      <c r="L15" s="6">
        <v>16.100000000000001</v>
      </c>
      <c r="M15" s="6">
        <v>90.44</v>
      </c>
      <c r="N15" s="6">
        <v>0</v>
      </c>
      <c r="O15" s="6">
        <v>0</v>
      </c>
      <c r="P15" s="6">
        <v>0.71</v>
      </c>
      <c r="Q15" s="6">
        <v>4.8</v>
      </c>
    </row>
    <row r="16" spans="1:21" customFormat="1">
      <c r="A16" s="6" t="s">
        <v>438</v>
      </c>
      <c r="B16" s="6">
        <v>4.93</v>
      </c>
      <c r="C16" s="6">
        <v>19.920000000000002</v>
      </c>
      <c r="D16" s="6">
        <v>15.71</v>
      </c>
      <c r="E16" s="6">
        <v>5.22</v>
      </c>
      <c r="F16" s="6">
        <v>2.92</v>
      </c>
      <c r="G16" s="6">
        <v>48.4</v>
      </c>
      <c r="H16" s="6">
        <v>44.42</v>
      </c>
      <c r="I16" s="6">
        <v>6.55</v>
      </c>
      <c r="J16" s="6">
        <v>0.11</v>
      </c>
      <c r="K16" s="6">
        <v>234.68</v>
      </c>
      <c r="L16" s="6">
        <v>16.02</v>
      </c>
      <c r="M16" s="6">
        <v>91.24</v>
      </c>
      <c r="N16" s="6">
        <v>0</v>
      </c>
      <c r="O16" s="6">
        <v>0</v>
      </c>
      <c r="P16" s="6">
        <v>0.7</v>
      </c>
      <c r="Q16" s="6">
        <v>4.78</v>
      </c>
    </row>
    <row r="17" spans="1:17" customFormat="1">
      <c r="A17" s="6" t="s">
        <v>439</v>
      </c>
      <c r="B17" s="6">
        <v>4.9000000000000004</v>
      </c>
      <c r="C17" s="6">
        <v>19.96</v>
      </c>
      <c r="D17" s="6">
        <v>15.71</v>
      </c>
      <c r="E17" s="6">
        <v>5.26</v>
      </c>
      <c r="F17" s="6">
        <v>2.94</v>
      </c>
      <c r="G17" s="6">
        <v>48.4</v>
      </c>
      <c r="H17" s="6">
        <v>44.42</v>
      </c>
      <c r="I17" s="6">
        <v>6.45</v>
      </c>
      <c r="J17" s="6">
        <v>0.1</v>
      </c>
      <c r="K17" s="6">
        <v>246.66</v>
      </c>
      <c r="L17" s="6">
        <v>15.87</v>
      </c>
      <c r="M17" s="6">
        <v>91.32</v>
      </c>
      <c r="N17" s="6">
        <v>0</v>
      </c>
      <c r="O17" s="6">
        <v>0</v>
      </c>
      <c r="P17" s="6">
        <v>0.69</v>
      </c>
      <c r="Q17" s="6">
        <v>4.8</v>
      </c>
    </row>
    <row r="18" spans="1:17" customFormat="1">
      <c r="A18" s="6" t="s">
        <v>440</v>
      </c>
      <c r="B18" s="6">
        <v>5.0599999999999996</v>
      </c>
      <c r="C18" s="6">
        <v>19.89</v>
      </c>
      <c r="D18" s="6">
        <v>15.8</v>
      </c>
      <c r="E18" s="6">
        <v>5.98</v>
      </c>
      <c r="F18" s="6">
        <v>2.91</v>
      </c>
      <c r="G18" s="6">
        <v>48.4</v>
      </c>
      <c r="H18" s="6">
        <v>44.42</v>
      </c>
      <c r="I18" s="6">
        <v>6.34</v>
      </c>
      <c r="J18" s="6">
        <v>0.12</v>
      </c>
      <c r="K18" s="6">
        <v>151.11000000000001</v>
      </c>
      <c r="L18" s="6">
        <v>15.95</v>
      </c>
      <c r="M18" s="6">
        <v>90.53</v>
      </c>
      <c r="N18" s="6">
        <v>0</v>
      </c>
      <c r="O18" s="6">
        <v>0</v>
      </c>
      <c r="P18" s="6">
        <v>0.68</v>
      </c>
      <c r="Q18" s="6">
        <v>4.78</v>
      </c>
    </row>
    <row r="19" spans="1:17" customFormat="1">
      <c r="A19" s="6" t="s">
        <v>441</v>
      </c>
      <c r="B19" s="6">
        <v>5.24</v>
      </c>
      <c r="C19" s="6">
        <v>19.739999999999998</v>
      </c>
      <c r="D19" s="6">
        <v>15.87</v>
      </c>
      <c r="E19" s="6">
        <v>6.34</v>
      </c>
      <c r="F19" s="6">
        <v>2.95</v>
      </c>
      <c r="G19" s="6">
        <v>42.17</v>
      </c>
      <c r="H19" s="6">
        <v>40.51</v>
      </c>
      <c r="I19" s="6">
        <v>6.24</v>
      </c>
      <c r="J19" s="6">
        <v>0.12</v>
      </c>
      <c r="K19" s="6">
        <v>154.83000000000001</v>
      </c>
      <c r="L19" s="6">
        <v>15.8</v>
      </c>
      <c r="M19" s="6">
        <v>92.02</v>
      </c>
      <c r="N19" s="6">
        <v>0</v>
      </c>
      <c r="O19" s="6">
        <v>0</v>
      </c>
      <c r="P19" s="6">
        <v>0.67</v>
      </c>
      <c r="Q19" s="6">
        <v>4.76</v>
      </c>
    </row>
    <row r="20" spans="1:17" customFormat="1">
      <c r="A20" s="6" t="s">
        <v>442</v>
      </c>
      <c r="B20" s="6">
        <v>5.33</v>
      </c>
      <c r="C20" s="6">
        <v>19.52</v>
      </c>
      <c r="D20" s="6">
        <v>15.83</v>
      </c>
      <c r="E20" s="6">
        <v>6.38</v>
      </c>
      <c r="F20" s="6">
        <v>2.81</v>
      </c>
      <c r="G20" s="6">
        <v>41.3</v>
      </c>
      <c r="H20" s="6">
        <v>40.51</v>
      </c>
      <c r="I20" s="6">
        <v>6.15</v>
      </c>
      <c r="J20" s="6">
        <v>0.17</v>
      </c>
      <c r="K20" s="6">
        <v>229.59</v>
      </c>
      <c r="L20" s="6">
        <v>15.69</v>
      </c>
      <c r="M20" s="6">
        <v>94.09</v>
      </c>
      <c r="N20" s="6">
        <v>0</v>
      </c>
      <c r="O20" s="6">
        <v>0</v>
      </c>
      <c r="P20" s="6">
        <v>0.66</v>
      </c>
      <c r="Q20" s="6">
        <v>4.76</v>
      </c>
    </row>
    <row r="21" spans="1:17" customFormat="1">
      <c r="A21" s="6" t="s">
        <v>443</v>
      </c>
      <c r="B21" s="6">
        <v>5.46</v>
      </c>
      <c r="C21" s="6">
        <v>19.239999999999998</v>
      </c>
      <c r="D21" s="6">
        <v>15.78</v>
      </c>
      <c r="E21" s="6">
        <v>5.62</v>
      </c>
      <c r="F21" s="6">
        <v>2.83</v>
      </c>
      <c r="G21" s="6">
        <v>41.3</v>
      </c>
      <c r="H21" s="6">
        <v>40.51</v>
      </c>
      <c r="I21" s="6">
        <v>6.07</v>
      </c>
      <c r="J21" s="6">
        <v>7.0000000000000007E-2</v>
      </c>
      <c r="K21" s="6">
        <v>176.76</v>
      </c>
      <c r="L21" s="6">
        <v>15.46</v>
      </c>
      <c r="M21" s="6">
        <v>94.73</v>
      </c>
      <c r="N21" s="6">
        <v>0</v>
      </c>
      <c r="O21" s="6">
        <v>0</v>
      </c>
      <c r="P21" s="6">
        <v>0.64</v>
      </c>
      <c r="Q21" s="6">
        <v>4.7699999999999996</v>
      </c>
    </row>
    <row r="22" spans="1:17" customFormat="1">
      <c r="A22" s="6" t="s">
        <v>444</v>
      </c>
      <c r="B22" s="6">
        <v>5.53</v>
      </c>
      <c r="C22" s="6">
        <v>19.29</v>
      </c>
      <c r="D22" s="6">
        <v>15.87</v>
      </c>
      <c r="E22" s="6">
        <v>6.17</v>
      </c>
      <c r="F22" s="6">
        <v>2.79</v>
      </c>
      <c r="G22" s="6">
        <v>41.3</v>
      </c>
      <c r="H22" s="6">
        <v>40.51</v>
      </c>
      <c r="I22" s="6">
        <v>5.98</v>
      </c>
      <c r="J22" s="6">
        <v>0.1</v>
      </c>
      <c r="K22" s="6">
        <v>191.96</v>
      </c>
      <c r="L22" s="6">
        <v>15.26</v>
      </c>
      <c r="M22" s="6">
        <v>94.1</v>
      </c>
      <c r="N22" s="6">
        <v>0</v>
      </c>
      <c r="O22" s="6">
        <v>0</v>
      </c>
      <c r="P22" s="6">
        <v>0.63</v>
      </c>
      <c r="Q22" s="6">
        <v>4.79</v>
      </c>
    </row>
    <row r="23" spans="1:17" customFormat="1">
      <c r="A23" s="6" t="s">
        <v>445</v>
      </c>
      <c r="B23" s="6">
        <v>5.7</v>
      </c>
      <c r="C23" s="6">
        <v>19.48</v>
      </c>
      <c r="D23" s="6">
        <v>16.100000000000001</v>
      </c>
      <c r="E23" s="6">
        <v>6.34</v>
      </c>
      <c r="F23" s="6">
        <v>2.74</v>
      </c>
      <c r="G23" s="6">
        <v>48.63</v>
      </c>
      <c r="H23" s="6">
        <v>37.86</v>
      </c>
      <c r="I23" s="6">
        <v>5.88</v>
      </c>
      <c r="J23" s="6">
        <v>0.04</v>
      </c>
      <c r="K23" s="6">
        <v>205.8</v>
      </c>
      <c r="L23" s="6">
        <v>15.17</v>
      </c>
      <c r="M23" s="6">
        <v>94.68</v>
      </c>
      <c r="N23" s="6">
        <v>0</v>
      </c>
      <c r="O23" s="6">
        <v>0</v>
      </c>
      <c r="P23" s="6">
        <v>0.63</v>
      </c>
      <c r="Q23" s="6">
        <v>4.76</v>
      </c>
    </row>
    <row r="24" spans="1:17" customFormat="1">
      <c r="A24" s="6" t="s">
        <v>446</v>
      </c>
      <c r="B24" s="6">
        <v>6.01</v>
      </c>
      <c r="C24" s="6">
        <v>18.600000000000001</v>
      </c>
      <c r="D24" s="6">
        <v>15.89</v>
      </c>
      <c r="E24" s="6">
        <v>5.98</v>
      </c>
      <c r="F24" s="6">
        <v>3.01</v>
      </c>
      <c r="G24" s="6">
        <v>49.65</v>
      </c>
      <c r="H24" s="6">
        <v>37.86</v>
      </c>
      <c r="I24" s="6">
        <v>5.81</v>
      </c>
      <c r="J24" s="6">
        <v>7.0000000000000007E-2</v>
      </c>
      <c r="K24" s="6">
        <v>159.46</v>
      </c>
      <c r="L24" s="6">
        <v>15</v>
      </c>
      <c r="M24" s="6">
        <v>94.89</v>
      </c>
      <c r="N24" s="6">
        <v>0</v>
      </c>
      <c r="O24" s="6">
        <v>0</v>
      </c>
      <c r="P24" s="6">
        <v>0.62</v>
      </c>
      <c r="Q24" s="6">
        <v>4.76</v>
      </c>
    </row>
    <row r="25" spans="1:17" customFormat="1">
      <c r="A25" s="6" t="s">
        <v>447</v>
      </c>
      <c r="B25" s="6">
        <v>6.18</v>
      </c>
      <c r="C25" s="6">
        <v>16.23</v>
      </c>
      <c r="D25" s="6">
        <v>14.79</v>
      </c>
      <c r="E25" s="6">
        <v>6.11</v>
      </c>
      <c r="F25" s="6">
        <v>3.12</v>
      </c>
      <c r="G25" s="6">
        <v>49.65</v>
      </c>
      <c r="H25" s="6">
        <v>37.86</v>
      </c>
      <c r="I25" s="6">
        <v>5.75</v>
      </c>
      <c r="J25" s="6">
        <v>0.05</v>
      </c>
      <c r="K25" s="6">
        <v>217.75</v>
      </c>
      <c r="L25" s="6">
        <v>14.95</v>
      </c>
      <c r="M25" s="6">
        <v>95.21</v>
      </c>
      <c r="N25" s="6">
        <v>0</v>
      </c>
      <c r="O25" s="6">
        <v>0</v>
      </c>
      <c r="P25" s="6">
        <v>0.6</v>
      </c>
      <c r="Q25" s="6">
        <v>4.7699999999999996</v>
      </c>
    </row>
    <row r="26" spans="1:17" customFormat="1">
      <c r="A26" s="6" t="s">
        <v>448</v>
      </c>
      <c r="B26" s="6">
        <v>6.25</v>
      </c>
      <c r="C26" s="6">
        <v>16.760000000000002</v>
      </c>
      <c r="D26" s="6">
        <v>15.12</v>
      </c>
      <c r="E26" s="6">
        <v>5.74</v>
      </c>
      <c r="F26" s="6">
        <v>2.79</v>
      </c>
      <c r="G26" s="6">
        <v>49.65</v>
      </c>
      <c r="H26" s="6">
        <v>37.86</v>
      </c>
      <c r="I26" s="6">
        <v>5.67</v>
      </c>
      <c r="J26" s="6">
        <v>0.09</v>
      </c>
      <c r="K26" s="6">
        <v>231.56</v>
      </c>
      <c r="L26" s="6">
        <v>14.89</v>
      </c>
      <c r="M26" s="6">
        <v>95.72</v>
      </c>
      <c r="N26" s="6">
        <v>0</v>
      </c>
      <c r="O26" s="6">
        <v>0</v>
      </c>
      <c r="P26" s="6">
        <v>0.59</v>
      </c>
      <c r="Q26" s="6">
        <v>4.7699999999999996</v>
      </c>
    </row>
    <row r="27" spans="1:17" customFormat="1">
      <c r="A27" s="6" t="s">
        <v>449</v>
      </c>
      <c r="B27" s="6">
        <v>6.35</v>
      </c>
      <c r="C27" s="6">
        <v>17.239999999999998</v>
      </c>
      <c r="D27" s="6">
        <v>15.45</v>
      </c>
      <c r="E27" s="6">
        <v>5.56</v>
      </c>
      <c r="F27" s="6">
        <v>2.66</v>
      </c>
      <c r="G27" s="6">
        <v>43.16</v>
      </c>
      <c r="H27" s="6">
        <v>38.53</v>
      </c>
      <c r="I27" s="6">
        <v>5.6</v>
      </c>
      <c r="J27" s="6">
        <v>0.09</v>
      </c>
      <c r="K27" s="6">
        <v>175.55</v>
      </c>
      <c r="L27" s="6">
        <v>14.85</v>
      </c>
      <c r="M27" s="6">
        <v>95.92</v>
      </c>
      <c r="N27" s="6">
        <v>0</v>
      </c>
      <c r="O27" s="6">
        <v>0</v>
      </c>
      <c r="P27" s="6">
        <v>0.59</v>
      </c>
      <c r="Q27" s="6">
        <v>4.75</v>
      </c>
    </row>
    <row r="28" spans="1:17" customFormat="1">
      <c r="A28" s="6" t="s">
        <v>450</v>
      </c>
      <c r="B28" s="6">
        <v>6.42</v>
      </c>
      <c r="C28" s="6">
        <v>17.739999999999998</v>
      </c>
      <c r="D28" s="6">
        <v>15.77</v>
      </c>
      <c r="E28" s="6">
        <v>5.81</v>
      </c>
      <c r="F28" s="6">
        <v>2.69</v>
      </c>
      <c r="G28" s="6">
        <v>42.16</v>
      </c>
      <c r="H28" s="6">
        <v>38.53</v>
      </c>
      <c r="I28" s="6">
        <v>5.57</v>
      </c>
      <c r="J28" s="6">
        <v>0.1</v>
      </c>
      <c r="K28" s="6">
        <v>91.85</v>
      </c>
      <c r="L28" s="6">
        <v>14.75</v>
      </c>
      <c r="M28" s="6">
        <v>95.84</v>
      </c>
      <c r="N28" s="6">
        <v>0</v>
      </c>
      <c r="O28" s="6">
        <v>0</v>
      </c>
      <c r="P28" s="6">
        <v>0.56999999999999995</v>
      </c>
      <c r="Q28" s="6">
        <v>4.8</v>
      </c>
    </row>
    <row r="29" spans="1:17" customFormat="1">
      <c r="A29" s="6" t="s">
        <v>451</v>
      </c>
      <c r="B29" s="6">
        <v>7.63</v>
      </c>
      <c r="C29" s="6">
        <v>18.420000000000002</v>
      </c>
      <c r="D29" s="6">
        <v>17.09</v>
      </c>
      <c r="E29" s="6">
        <v>5.95</v>
      </c>
      <c r="F29" s="6">
        <v>2.65</v>
      </c>
      <c r="G29" s="6">
        <v>42.16</v>
      </c>
      <c r="H29" s="6">
        <v>38.53</v>
      </c>
      <c r="I29" s="6">
        <v>5.55</v>
      </c>
      <c r="J29" s="6">
        <v>0.1</v>
      </c>
      <c r="K29" s="6">
        <v>142.46</v>
      </c>
      <c r="L29" s="6">
        <v>14.8</v>
      </c>
      <c r="M29" s="6">
        <v>95.8</v>
      </c>
      <c r="N29" s="6">
        <v>0</v>
      </c>
      <c r="O29" s="6">
        <v>0</v>
      </c>
      <c r="P29" s="6">
        <v>0.56999999999999995</v>
      </c>
      <c r="Q29" s="6">
        <v>4.79</v>
      </c>
    </row>
    <row r="30" spans="1:17" customFormat="1">
      <c r="A30" s="6" t="s">
        <v>452</v>
      </c>
      <c r="B30" s="6">
        <v>9.81</v>
      </c>
      <c r="C30" s="6">
        <v>19.25</v>
      </c>
      <c r="D30" s="6">
        <v>19.27</v>
      </c>
      <c r="E30" s="6">
        <v>5.88</v>
      </c>
      <c r="F30" s="6">
        <v>2.72</v>
      </c>
      <c r="G30" s="6">
        <v>42.16</v>
      </c>
      <c r="H30" s="6">
        <v>38.53</v>
      </c>
      <c r="I30" s="6">
        <v>5.51</v>
      </c>
      <c r="J30" s="6">
        <v>0.09</v>
      </c>
      <c r="K30" s="6">
        <v>99.78</v>
      </c>
      <c r="L30" s="6">
        <v>14.82</v>
      </c>
      <c r="M30" s="6">
        <v>95.29</v>
      </c>
      <c r="N30" s="6">
        <v>0</v>
      </c>
      <c r="O30" s="6">
        <v>0</v>
      </c>
      <c r="P30" s="6">
        <v>0.57999999999999996</v>
      </c>
      <c r="Q30" s="6">
        <v>4.8499999999999996</v>
      </c>
    </row>
    <row r="31" spans="1:17" customFormat="1">
      <c r="A31" s="6" t="s">
        <v>453</v>
      </c>
      <c r="B31" s="6">
        <v>12.55</v>
      </c>
      <c r="C31" s="6">
        <v>21.23</v>
      </c>
      <c r="D31" s="6">
        <v>22.5</v>
      </c>
      <c r="E31" s="6">
        <v>6.31</v>
      </c>
      <c r="F31" s="6">
        <v>2.42</v>
      </c>
      <c r="G31" s="6">
        <v>65.290000000000006</v>
      </c>
      <c r="H31" s="6">
        <v>37.5</v>
      </c>
      <c r="I31" s="6">
        <v>5.55</v>
      </c>
      <c r="J31" s="6">
        <v>0.08</v>
      </c>
      <c r="K31" s="6">
        <v>140.86000000000001</v>
      </c>
      <c r="L31" s="6">
        <v>14.87</v>
      </c>
      <c r="M31" s="6">
        <v>95.14</v>
      </c>
      <c r="N31" s="6">
        <v>0</v>
      </c>
      <c r="O31" s="6">
        <v>0</v>
      </c>
      <c r="P31" s="6">
        <v>0.59</v>
      </c>
      <c r="Q31" s="6">
        <v>4.87</v>
      </c>
    </row>
    <row r="32" spans="1:17" customFormat="1">
      <c r="A32" s="6" t="s">
        <v>454</v>
      </c>
      <c r="B32" s="6">
        <v>14.59</v>
      </c>
      <c r="C32" s="6">
        <v>22.05</v>
      </c>
      <c r="D32" s="6">
        <v>24.57</v>
      </c>
      <c r="E32" s="6">
        <v>6.03</v>
      </c>
      <c r="F32" s="6">
        <v>2.54</v>
      </c>
      <c r="G32" s="6">
        <v>68.510000000000005</v>
      </c>
      <c r="H32" s="6">
        <v>37.5</v>
      </c>
      <c r="I32" s="6">
        <v>5.59</v>
      </c>
      <c r="J32" s="6">
        <v>0.11</v>
      </c>
      <c r="K32" s="6">
        <v>87.27</v>
      </c>
      <c r="L32" s="6">
        <v>14.88</v>
      </c>
      <c r="M32" s="6">
        <v>95.08</v>
      </c>
      <c r="N32" s="6">
        <v>0</v>
      </c>
      <c r="O32" s="6">
        <v>0</v>
      </c>
      <c r="P32" s="6">
        <v>0.6</v>
      </c>
      <c r="Q32" s="6">
        <v>4.9000000000000004</v>
      </c>
    </row>
    <row r="33" spans="1:17" customFormat="1">
      <c r="A33" s="6" t="s">
        <v>455</v>
      </c>
      <c r="B33" s="6">
        <v>16.649999999999999</v>
      </c>
      <c r="C33" s="6">
        <v>22.05</v>
      </c>
      <c r="D33" s="6">
        <v>26.23</v>
      </c>
      <c r="E33" s="6">
        <v>5.97</v>
      </c>
      <c r="F33" s="6">
        <v>2.5</v>
      </c>
      <c r="G33" s="6">
        <v>68.510000000000005</v>
      </c>
      <c r="H33" s="6">
        <v>37.5</v>
      </c>
      <c r="I33" s="6">
        <v>5.66</v>
      </c>
      <c r="J33" s="6">
        <v>7.0000000000000007E-2</v>
      </c>
      <c r="K33" s="6">
        <v>34.880000000000003</v>
      </c>
      <c r="L33" s="6">
        <v>14.91</v>
      </c>
      <c r="M33" s="6">
        <v>95.64</v>
      </c>
      <c r="N33" s="6">
        <v>0</v>
      </c>
      <c r="O33" s="6">
        <v>0</v>
      </c>
      <c r="P33" s="6">
        <v>0.61</v>
      </c>
      <c r="Q33" s="6">
        <v>4.9400000000000004</v>
      </c>
    </row>
    <row r="34" spans="1:17" customFormat="1">
      <c r="A34" s="6" t="s">
        <v>456</v>
      </c>
      <c r="B34" s="6">
        <v>18.22</v>
      </c>
      <c r="C34" s="6">
        <v>23.02</v>
      </c>
      <c r="D34" s="6">
        <v>27.99</v>
      </c>
      <c r="E34" s="6">
        <v>6.01</v>
      </c>
      <c r="F34" s="6">
        <v>2.62</v>
      </c>
      <c r="G34" s="6">
        <v>68.510000000000005</v>
      </c>
      <c r="H34" s="6">
        <v>37.5</v>
      </c>
      <c r="I34" s="6">
        <v>5.76</v>
      </c>
      <c r="J34" s="6">
        <v>0.12</v>
      </c>
      <c r="K34" s="6">
        <v>102.02</v>
      </c>
      <c r="L34" s="6">
        <v>14.96</v>
      </c>
      <c r="M34" s="6">
        <v>95.75</v>
      </c>
      <c r="N34" s="6">
        <v>0</v>
      </c>
      <c r="O34" s="6">
        <v>0</v>
      </c>
      <c r="P34" s="6">
        <v>0.63</v>
      </c>
      <c r="Q34" s="6">
        <v>4.97</v>
      </c>
    </row>
    <row r="35" spans="1:17" customFormat="1">
      <c r="A35" s="6" t="s">
        <v>457</v>
      </c>
      <c r="B35" s="6">
        <v>18.989999999999998</v>
      </c>
      <c r="C35" s="6">
        <v>23</v>
      </c>
      <c r="D35" s="6">
        <v>28.6</v>
      </c>
      <c r="E35" s="6">
        <v>6.52</v>
      </c>
      <c r="F35" s="6">
        <v>2.57</v>
      </c>
      <c r="G35" s="6">
        <v>76.95</v>
      </c>
      <c r="H35" s="6">
        <v>41.14</v>
      </c>
      <c r="I35" s="6">
        <v>5.94</v>
      </c>
      <c r="J35" s="6">
        <v>0.14000000000000001</v>
      </c>
      <c r="K35" s="6">
        <v>136.05000000000001</v>
      </c>
      <c r="L35" s="6">
        <v>14.98</v>
      </c>
      <c r="M35" s="6">
        <v>95.04</v>
      </c>
      <c r="N35" s="6">
        <v>0</v>
      </c>
      <c r="O35" s="6">
        <v>0</v>
      </c>
      <c r="P35" s="6">
        <v>0.65</v>
      </c>
      <c r="Q35" s="6">
        <v>4.9800000000000004</v>
      </c>
    </row>
    <row r="36" spans="1:17" customFormat="1">
      <c r="A36" s="6" t="s">
        <v>458</v>
      </c>
      <c r="B36" s="6">
        <v>19.2</v>
      </c>
      <c r="C36" s="6">
        <v>23.27</v>
      </c>
      <c r="D36" s="6">
        <v>28.91</v>
      </c>
      <c r="E36" s="6">
        <v>6.49</v>
      </c>
      <c r="F36" s="6">
        <v>2.42</v>
      </c>
      <c r="G36" s="6">
        <v>78.13</v>
      </c>
      <c r="H36" s="6">
        <v>41.14</v>
      </c>
      <c r="I36" s="6">
        <v>6.24</v>
      </c>
      <c r="J36" s="6">
        <v>0.13</v>
      </c>
      <c r="K36" s="6">
        <v>157.05000000000001</v>
      </c>
      <c r="L36" s="6">
        <v>15.14</v>
      </c>
      <c r="M36" s="6">
        <v>94.69</v>
      </c>
      <c r="N36" s="6">
        <v>2.5</v>
      </c>
      <c r="O36" s="6">
        <v>0</v>
      </c>
      <c r="P36" s="6">
        <v>0.68</v>
      </c>
      <c r="Q36" s="6">
        <v>4.99</v>
      </c>
    </row>
    <row r="37" spans="1:17" customFormat="1">
      <c r="A37" s="6" t="s">
        <v>459</v>
      </c>
      <c r="B37" s="6">
        <v>19.309999999999999</v>
      </c>
      <c r="C37" s="6">
        <v>23.46</v>
      </c>
      <c r="D37" s="6">
        <v>29.09</v>
      </c>
      <c r="E37" s="6">
        <v>6.13</v>
      </c>
      <c r="F37" s="6">
        <v>2.44</v>
      </c>
      <c r="G37" s="6">
        <v>78.13</v>
      </c>
      <c r="H37" s="6">
        <v>41.14</v>
      </c>
      <c r="I37" s="6">
        <v>6.61</v>
      </c>
      <c r="J37" s="6">
        <v>0.11</v>
      </c>
      <c r="K37" s="6">
        <v>133.94</v>
      </c>
      <c r="L37" s="6">
        <v>15.21</v>
      </c>
      <c r="M37" s="6">
        <v>94.54</v>
      </c>
      <c r="N37" s="6">
        <v>11.8</v>
      </c>
      <c r="O37" s="6">
        <v>0</v>
      </c>
      <c r="P37" s="6">
        <v>0.69</v>
      </c>
      <c r="Q37" s="6">
        <v>5</v>
      </c>
    </row>
    <row r="38" spans="1:17" customFormat="1">
      <c r="A38" s="6" t="s">
        <v>460</v>
      </c>
      <c r="B38" s="6">
        <v>19.75</v>
      </c>
      <c r="C38" s="6">
        <v>23.06</v>
      </c>
      <c r="D38" s="6">
        <v>29.24</v>
      </c>
      <c r="E38" s="6">
        <v>6.13</v>
      </c>
      <c r="F38" s="6">
        <v>2.64</v>
      </c>
      <c r="G38" s="6">
        <v>78.13</v>
      </c>
      <c r="H38" s="6">
        <v>41.14</v>
      </c>
      <c r="I38" s="6">
        <v>6.94</v>
      </c>
      <c r="J38" s="6">
        <v>0.17</v>
      </c>
      <c r="K38" s="6">
        <v>148.94</v>
      </c>
      <c r="L38" s="6">
        <v>15.61</v>
      </c>
      <c r="M38" s="6">
        <v>93.59</v>
      </c>
      <c r="N38" s="6">
        <v>23.2</v>
      </c>
      <c r="O38" s="6">
        <v>0</v>
      </c>
      <c r="P38" s="6">
        <v>0.72</v>
      </c>
      <c r="Q38" s="6">
        <v>5</v>
      </c>
    </row>
    <row r="39" spans="1:17" customFormat="1">
      <c r="A39" s="6" t="s">
        <v>461</v>
      </c>
      <c r="B39" s="6">
        <v>20.02</v>
      </c>
      <c r="C39" s="6">
        <v>23.6</v>
      </c>
      <c r="D39" s="6">
        <v>29.73</v>
      </c>
      <c r="E39" s="6">
        <v>5.92</v>
      </c>
      <c r="F39" s="6">
        <v>2.71</v>
      </c>
      <c r="G39" s="6">
        <v>102.67</v>
      </c>
      <c r="H39" s="6">
        <v>50.35</v>
      </c>
      <c r="I39" s="6">
        <v>7.28</v>
      </c>
      <c r="J39" s="6">
        <v>0.13</v>
      </c>
      <c r="K39" s="6">
        <v>100.18</v>
      </c>
      <c r="L39" s="6">
        <v>15.99</v>
      </c>
      <c r="M39" s="6">
        <v>91.8</v>
      </c>
      <c r="N39" s="6">
        <v>36</v>
      </c>
      <c r="O39" s="6">
        <v>0</v>
      </c>
      <c r="P39" s="6">
        <v>0.75</v>
      </c>
      <c r="Q39" s="6">
        <v>5.01</v>
      </c>
    </row>
    <row r="40" spans="1:17" customFormat="1">
      <c r="A40" s="6" t="s">
        <v>462</v>
      </c>
      <c r="B40" s="6">
        <v>20.25</v>
      </c>
      <c r="C40" s="6">
        <v>24.95</v>
      </c>
      <c r="D40" s="6">
        <v>30.63</v>
      </c>
      <c r="E40" s="6">
        <v>6.26</v>
      </c>
      <c r="F40" s="6">
        <v>2.63</v>
      </c>
      <c r="G40" s="6">
        <v>106.09</v>
      </c>
      <c r="H40" s="6">
        <v>50.35</v>
      </c>
      <c r="I40" s="6">
        <v>7.69</v>
      </c>
      <c r="J40" s="6">
        <v>0.2</v>
      </c>
      <c r="K40" s="6">
        <v>74.09</v>
      </c>
      <c r="L40" s="6">
        <v>16.600000000000001</v>
      </c>
      <c r="M40" s="6">
        <v>89.4</v>
      </c>
      <c r="N40" s="6">
        <v>48.8</v>
      </c>
      <c r="O40" s="6">
        <v>0</v>
      </c>
      <c r="P40" s="6">
        <v>0.79</v>
      </c>
      <c r="Q40" s="6">
        <v>5.03</v>
      </c>
    </row>
    <row r="41" spans="1:17" customFormat="1">
      <c r="A41" s="6" t="s">
        <v>463</v>
      </c>
      <c r="B41" s="6">
        <v>20.21</v>
      </c>
      <c r="C41" s="6">
        <v>25.89</v>
      </c>
      <c r="D41" s="6">
        <v>31.09</v>
      </c>
      <c r="E41" s="6">
        <v>6.37</v>
      </c>
      <c r="F41" s="6">
        <v>2.63</v>
      </c>
      <c r="G41" s="6">
        <v>106.09</v>
      </c>
      <c r="H41" s="6">
        <v>50.35</v>
      </c>
      <c r="I41" s="6">
        <v>8.06</v>
      </c>
      <c r="J41" s="6">
        <v>0.19</v>
      </c>
      <c r="K41" s="6">
        <v>79.58</v>
      </c>
      <c r="L41" s="6">
        <v>17.37</v>
      </c>
      <c r="M41" s="6">
        <v>86.19</v>
      </c>
      <c r="N41" s="6">
        <v>93.9</v>
      </c>
      <c r="O41" s="6">
        <v>0</v>
      </c>
      <c r="P41" s="6">
        <v>0.82</v>
      </c>
      <c r="Q41" s="6">
        <v>5.03</v>
      </c>
    </row>
    <row r="42" spans="1:17" customFormat="1">
      <c r="A42" s="6" t="s">
        <v>464</v>
      </c>
      <c r="B42" s="6">
        <v>19.68</v>
      </c>
      <c r="C42" s="6">
        <v>27.3</v>
      </c>
      <c r="D42" s="6">
        <v>31.4</v>
      </c>
      <c r="E42" s="6">
        <v>6.4</v>
      </c>
      <c r="F42" s="6">
        <v>2.75</v>
      </c>
      <c r="G42" s="6">
        <v>106.09</v>
      </c>
      <c r="H42" s="6">
        <v>50.35</v>
      </c>
      <c r="I42" s="6">
        <v>8.35</v>
      </c>
      <c r="J42" s="6">
        <v>0.22</v>
      </c>
      <c r="K42" s="6">
        <v>130.21</v>
      </c>
      <c r="L42" s="6">
        <v>18.329999999999998</v>
      </c>
      <c r="M42" s="6">
        <v>81.849999999999994</v>
      </c>
      <c r="N42" s="6">
        <v>127.6</v>
      </c>
      <c r="O42" s="6">
        <v>0</v>
      </c>
      <c r="P42" s="6">
        <v>0.84</v>
      </c>
      <c r="Q42" s="6">
        <v>5</v>
      </c>
    </row>
    <row r="43" spans="1:17" customFormat="1">
      <c r="A43" s="6" t="s">
        <v>465</v>
      </c>
      <c r="B43" s="6">
        <v>18.77</v>
      </c>
      <c r="C43" s="6">
        <v>26.14</v>
      </c>
      <c r="D43" s="6">
        <v>30.06</v>
      </c>
      <c r="E43" s="6">
        <v>6.53</v>
      </c>
      <c r="F43" s="6">
        <v>2.77</v>
      </c>
      <c r="G43" s="6">
        <v>122.83</v>
      </c>
      <c r="H43" s="6">
        <v>52.98</v>
      </c>
      <c r="I43" s="6">
        <v>8.5500000000000007</v>
      </c>
      <c r="J43" s="6">
        <v>0.28999999999999998</v>
      </c>
      <c r="K43" s="6">
        <v>108.36</v>
      </c>
      <c r="L43" s="6">
        <v>19.29</v>
      </c>
      <c r="M43" s="6">
        <v>77.92</v>
      </c>
      <c r="N43" s="6">
        <v>155.19999999999999</v>
      </c>
      <c r="O43" s="6">
        <v>0</v>
      </c>
      <c r="P43" s="6">
        <v>0.85</v>
      </c>
      <c r="Q43" s="6">
        <v>5.01</v>
      </c>
    </row>
    <row r="44" spans="1:17" customFormat="1">
      <c r="A44" s="6" t="s">
        <v>466</v>
      </c>
      <c r="B44" s="6">
        <v>17.68</v>
      </c>
      <c r="C44" s="6">
        <v>26.49</v>
      </c>
      <c r="D44" s="6">
        <v>29.37</v>
      </c>
      <c r="E44" s="6">
        <v>6.09</v>
      </c>
      <c r="F44" s="6">
        <v>2.74</v>
      </c>
      <c r="G44" s="6">
        <v>125.16</v>
      </c>
      <c r="H44" s="6">
        <v>52.98</v>
      </c>
      <c r="I44" s="6">
        <v>8.7200000000000006</v>
      </c>
      <c r="J44" s="6">
        <v>0.3</v>
      </c>
      <c r="K44" s="6">
        <v>55.67</v>
      </c>
      <c r="L44" s="6">
        <v>19.850000000000001</v>
      </c>
      <c r="M44" s="6">
        <v>75.8</v>
      </c>
      <c r="N44" s="6">
        <v>179.9</v>
      </c>
      <c r="O44" s="6">
        <v>0</v>
      </c>
      <c r="P44" s="6">
        <v>0.87</v>
      </c>
      <c r="Q44" s="6">
        <v>4.99</v>
      </c>
    </row>
    <row r="45" spans="1:17" customFormat="1">
      <c r="A45" s="6" t="s">
        <v>467</v>
      </c>
      <c r="B45" s="6">
        <v>16.489999999999998</v>
      </c>
      <c r="C45" s="6">
        <v>26.49</v>
      </c>
      <c r="D45" s="6">
        <v>28.42</v>
      </c>
      <c r="E45" s="6">
        <v>6.5</v>
      </c>
      <c r="F45" s="6">
        <v>2.8</v>
      </c>
      <c r="G45" s="6">
        <v>125.16</v>
      </c>
      <c r="H45" s="6">
        <v>52.98</v>
      </c>
      <c r="I45" s="6">
        <v>8.8800000000000008</v>
      </c>
      <c r="J45" s="6">
        <v>0.35</v>
      </c>
      <c r="K45" s="6">
        <v>68.14</v>
      </c>
      <c r="L45" s="6">
        <v>20.93</v>
      </c>
      <c r="M45" s="6">
        <v>71.430000000000007</v>
      </c>
      <c r="N45" s="6">
        <v>148.5</v>
      </c>
      <c r="O45" s="6">
        <v>0</v>
      </c>
      <c r="P45" s="6">
        <v>0.89</v>
      </c>
      <c r="Q45" s="6">
        <v>5</v>
      </c>
    </row>
    <row r="46" spans="1:17" customFormat="1">
      <c r="A46" s="6" t="s">
        <v>468</v>
      </c>
      <c r="B46" s="6">
        <v>15.2</v>
      </c>
      <c r="C46" s="6">
        <v>26.18</v>
      </c>
      <c r="D46" s="6">
        <v>27.22</v>
      </c>
      <c r="E46" s="6">
        <v>6.82</v>
      </c>
      <c r="F46" s="6">
        <v>2.91</v>
      </c>
      <c r="G46" s="6">
        <v>125.16</v>
      </c>
      <c r="H46" s="6">
        <v>52.98</v>
      </c>
      <c r="I46" s="6">
        <v>8.94</v>
      </c>
      <c r="J46" s="6">
        <v>0.14000000000000001</v>
      </c>
      <c r="K46" s="6">
        <v>118.83</v>
      </c>
      <c r="L46" s="6">
        <v>22.11</v>
      </c>
      <c r="M46" s="6">
        <v>65.400000000000006</v>
      </c>
      <c r="N46" s="6">
        <v>125.9</v>
      </c>
      <c r="O46" s="6">
        <v>0</v>
      </c>
      <c r="P46" s="6">
        <v>0.88</v>
      </c>
      <c r="Q46" s="6">
        <v>4.99</v>
      </c>
    </row>
    <row r="47" spans="1:17" customFormat="1">
      <c r="A47" s="6" t="s">
        <v>469</v>
      </c>
      <c r="B47" s="6">
        <v>13.76</v>
      </c>
      <c r="C47" s="6">
        <v>26.4</v>
      </c>
      <c r="D47" s="6">
        <v>26.18</v>
      </c>
      <c r="E47" s="6">
        <v>6.64</v>
      </c>
      <c r="F47" s="6">
        <v>3.01</v>
      </c>
      <c r="G47" s="6">
        <v>115.71</v>
      </c>
      <c r="H47" s="6">
        <v>57.15</v>
      </c>
      <c r="I47" s="6">
        <v>8.93</v>
      </c>
      <c r="J47" s="6">
        <v>0.23</v>
      </c>
      <c r="K47" s="6">
        <v>223.03</v>
      </c>
      <c r="L47" s="6">
        <v>22.6</v>
      </c>
      <c r="M47" s="6">
        <v>62.82</v>
      </c>
      <c r="N47" s="6">
        <v>137.80000000000001</v>
      </c>
      <c r="O47" s="6">
        <v>0</v>
      </c>
      <c r="P47" s="6">
        <v>0.87</v>
      </c>
      <c r="Q47" s="6">
        <v>4.97</v>
      </c>
    </row>
    <row r="48" spans="1:17" customFormat="1">
      <c r="A48" s="6" t="s">
        <v>470</v>
      </c>
      <c r="B48" s="6">
        <v>12.06</v>
      </c>
      <c r="C48" s="6">
        <v>26.47</v>
      </c>
      <c r="D48" s="6">
        <v>24.85</v>
      </c>
      <c r="E48" s="6">
        <v>6.4</v>
      </c>
      <c r="F48" s="6">
        <v>3.12</v>
      </c>
      <c r="G48" s="6">
        <v>114.39</v>
      </c>
      <c r="H48" s="6">
        <v>57.15</v>
      </c>
      <c r="I48" s="6">
        <v>8.84</v>
      </c>
      <c r="J48" s="6">
        <v>0.37</v>
      </c>
      <c r="K48" s="6">
        <v>166.4</v>
      </c>
      <c r="L48" s="6">
        <v>23.38</v>
      </c>
      <c r="M48" s="6">
        <v>58.8</v>
      </c>
      <c r="N48" s="6">
        <v>184.1</v>
      </c>
      <c r="O48" s="6">
        <v>0</v>
      </c>
      <c r="P48" s="6">
        <v>0.87</v>
      </c>
      <c r="Q48" s="6">
        <v>4.95</v>
      </c>
    </row>
    <row r="49" spans="1:17" customFormat="1">
      <c r="A49" s="6" t="s">
        <v>471</v>
      </c>
      <c r="B49" s="6">
        <v>10.35</v>
      </c>
      <c r="C49" s="6">
        <v>26.45</v>
      </c>
      <c r="D49" s="6">
        <v>23.47</v>
      </c>
      <c r="E49" s="6">
        <v>6.32</v>
      </c>
      <c r="F49" s="6">
        <v>3.31</v>
      </c>
      <c r="G49" s="6">
        <v>114.39</v>
      </c>
      <c r="H49" s="6">
        <v>57.15</v>
      </c>
      <c r="I49" s="6">
        <v>8.73</v>
      </c>
      <c r="J49" s="6">
        <v>0.37</v>
      </c>
      <c r="K49" s="6">
        <v>77.55</v>
      </c>
      <c r="L49" s="6">
        <v>23.92</v>
      </c>
      <c r="M49" s="6">
        <v>57.87</v>
      </c>
      <c r="N49" s="6">
        <v>308.60000000000002</v>
      </c>
      <c r="O49" s="6">
        <v>0</v>
      </c>
      <c r="P49" s="6">
        <v>0.85</v>
      </c>
      <c r="Q49" s="6">
        <v>4.92</v>
      </c>
    </row>
    <row r="50" spans="1:17" customFormat="1">
      <c r="A50" s="6" t="s">
        <v>472</v>
      </c>
      <c r="B50" s="6">
        <v>8.83</v>
      </c>
      <c r="C50" s="6">
        <v>26.29</v>
      </c>
      <c r="D50" s="6">
        <v>22.17</v>
      </c>
      <c r="E50" s="6">
        <v>7.49</v>
      </c>
      <c r="F50" s="6">
        <v>3.52</v>
      </c>
      <c r="G50" s="6">
        <v>114.39</v>
      </c>
      <c r="H50" s="6">
        <v>57.15</v>
      </c>
      <c r="I50" s="6">
        <v>8.58</v>
      </c>
      <c r="J50" s="6">
        <v>0.32</v>
      </c>
      <c r="K50" s="6">
        <v>72.97</v>
      </c>
      <c r="L50" s="6">
        <v>24.5</v>
      </c>
      <c r="M50" s="6">
        <v>55.66</v>
      </c>
      <c r="N50" s="6">
        <v>344.8</v>
      </c>
      <c r="O50" s="6">
        <v>0</v>
      </c>
      <c r="P50" s="6">
        <v>0.85</v>
      </c>
      <c r="Q50" s="6">
        <v>4.9000000000000004</v>
      </c>
    </row>
    <row r="51" spans="1:17" customFormat="1">
      <c r="A51" s="6" t="s">
        <v>473</v>
      </c>
      <c r="B51" s="6">
        <v>7.54</v>
      </c>
      <c r="C51" s="6">
        <v>26.19</v>
      </c>
      <c r="D51" s="6">
        <v>21.08</v>
      </c>
      <c r="E51" s="6">
        <v>7.48</v>
      </c>
      <c r="F51" s="6">
        <v>3.75</v>
      </c>
      <c r="G51" s="6">
        <v>97.92</v>
      </c>
      <c r="H51" s="6">
        <v>54.34</v>
      </c>
      <c r="I51" s="6">
        <v>8.41</v>
      </c>
      <c r="J51" s="6">
        <v>0.21</v>
      </c>
      <c r="K51" s="6">
        <v>115.3</v>
      </c>
      <c r="L51" s="6">
        <v>25.14</v>
      </c>
      <c r="M51" s="6">
        <v>53.42</v>
      </c>
      <c r="N51" s="6">
        <v>363.8</v>
      </c>
      <c r="O51" s="6">
        <v>0</v>
      </c>
      <c r="P51" s="6">
        <v>0.83</v>
      </c>
      <c r="Q51" s="6">
        <v>4.8499999999999996</v>
      </c>
    </row>
    <row r="52" spans="1:17" customFormat="1">
      <c r="A52" s="6" t="s">
        <v>474</v>
      </c>
      <c r="B52" s="6">
        <v>6.53</v>
      </c>
      <c r="C52" s="6">
        <v>25.61</v>
      </c>
      <c r="D52" s="6">
        <v>19.97</v>
      </c>
      <c r="E52" s="6">
        <v>7.76</v>
      </c>
      <c r="F52" s="6">
        <v>3.78</v>
      </c>
      <c r="G52" s="6">
        <v>95.62</v>
      </c>
      <c r="H52" s="6">
        <v>54.34</v>
      </c>
      <c r="I52" s="6">
        <v>8.24</v>
      </c>
      <c r="J52" s="6">
        <v>0.24</v>
      </c>
      <c r="K52" s="6">
        <v>125.39</v>
      </c>
      <c r="L52" s="6">
        <v>25.72</v>
      </c>
      <c r="M52" s="6">
        <v>50.96</v>
      </c>
      <c r="N52" s="6">
        <v>390.4</v>
      </c>
      <c r="O52" s="6">
        <v>0</v>
      </c>
      <c r="P52" s="6">
        <v>0.82</v>
      </c>
      <c r="Q52" s="6">
        <v>4.83</v>
      </c>
    </row>
    <row r="53" spans="1:17" customFormat="1">
      <c r="A53" s="6" t="s">
        <v>475</v>
      </c>
      <c r="B53" s="6">
        <v>5.78</v>
      </c>
      <c r="C53" s="6">
        <v>24.96</v>
      </c>
      <c r="D53" s="6">
        <v>19.02</v>
      </c>
      <c r="E53" s="6">
        <v>7.92</v>
      </c>
      <c r="F53" s="6">
        <v>4.3099999999999996</v>
      </c>
      <c r="G53" s="6">
        <v>95.62</v>
      </c>
      <c r="H53" s="6">
        <v>54.34</v>
      </c>
      <c r="I53" s="6">
        <v>8.0500000000000007</v>
      </c>
      <c r="J53" s="6">
        <v>0.17</v>
      </c>
      <c r="K53" s="6">
        <v>155.07</v>
      </c>
      <c r="L53" s="6">
        <v>25.86</v>
      </c>
      <c r="M53" s="6">
        <v>50.36</v>
      </c>
      <c r="N53" s="6">
        <v>384.3</v>
      </c>
      <c r="O53" s="6">
        <v>0</v>
      </c>
      <c r="P53" s="6">
        <v>0.8</v>
      </c>
      <c r="Q53" s="6">
        <v>4.79</v>
      </c>
    </row>
    <row r="54" spans="1:17" customFormat="1">
      <c r="A54" s="6" t="s">
        <v>476</v>
      </c>
      <c r="B54" s="6">
        <v>5.13</v>
      </c>
      <c r="C54" s="6">
        <v>24.58</v>
      </c>
      <c r="D54" s="6">
        <v>18.309999999999999</v>
      </c>
      <c r="E54" s="6">
        <v>7.47</v>
      </c>
      <c r="F54" s="6">
        <v>4.29</v>
      </c>
      <c r="G54" s="6">
        <v>95.62</v>
      </c>
      <c r="H54" s="6">
        <v>54.34</v>
      </c>
      <c r="I54" s="6">
        <v>7.88</v>
      </c>
      <c r="J54" s="6">
        <v>0.36</v>
      </c>
      <c r="K54" s="6">
        <v>78.87</v>
      </c>
      <c r="L54" s="6">
        <v>26.26</v>
      </c>
      <c r="M54" s="6">
        <v>47.94</v>
      </c>
      <c r="N54" s="6">
        <v>414.6</v>
      </c>
      <c r="O54" s="6">
        <v>0</v>
      </c>
      <c r="P54" s="6">
        <v>0.78</v>
      </c>
      <c r="Q54" s="6">
        <v>4.7699999999999996</v>
      </c>
    </row>
    <row r="55" spans="1:17" customFormat="1">
      <c r="A55" s="6" t="s">
        <v>477</v>
      </c>
      <c r="B55" s="6">
        <v>4.82</v>
      </c>
      <c r="C55" s="6">
        <v>24.05</v>
      </c>
      <c r="D55" s="6">
        <v>17.78</v>
      </c>
      <c r="E55" s="6">
        <v>7.48</v>
      </c>
      <c r="F55" s="6">
        <v>4.42</v>
      </c>
      <c r="G55" s="6">
        <v>87.9</v>
      </c>
      <c r="H55" s="6">
        <v>50.81</v>
      </c>
      <c r="I55" s="6">
        <v>7.69</v>
      </c>
      <c r="J55" s="6">
        <v>0.21</v>
      </c>
      <c r="K55" s="6">
        <v>80.58</v>
      </c>
      <c r="L55" s="6">
        <v>26.34</v>
      </c>
      <c r="M55" s="6">
        <v>46.91</v>
      </c>
      <c r="N55" s="6">
        <v>431.8</v>
      </c>
      <c r="O55" s="6">
        <v>0</v>
      </c>
      <c r="P55" s="6">
        <v>0.77</v>
      </c>
      <c r="Q55" s="6">
        <v>4.76</v>
      </c>
    </row>
    <row r="56" spans="1:17" customFormat="1">
      <c r="A56" s="6" t="s">
        <v>478</v>
      </c>
      <c r="B56" s="6">
        <v>4.66</v>
      </c>
      <c r="C56" s="6">
        <v>23.49</v>
      </c>
      <c r="D56" s="6">
        <v>17.36</v>
      </c>
      <c r="E56" s="6">
        <v>7.24</v>
      </c>
      <c r="F56" s="6">
        <v>4.5599999999999996</v>
      </c>
      <c r="G56" s="6">
        <v>86.82</v>
      </c>
      <c r="H56" s="6">
        <v>50.81</v>
      </c>
      <c r="I56" s="6">
        <v>7.5</v>
      </c>
      <c r="J56" s="6">
        <v>0.34</v>
      </c>
      <c r="K56" s="6">
        <v>156.75</v>
      </c>
      <c r="L56" s="6">
        <v>26.93</v>
      </c>
      <c r="M56" s="6">
        <v>47</v>
      </c>
      <c r="N56" s="6">
        <v>430.3</v>
      </c>
      <c r="O56" s="6">
        <v>0</v>
      </c>
      <c r="P56" s="6">
        <v>0.76</v>
      </c>
      <c r="Q56" s="6">
        <v>4.75</v>
      </c>
    </row>
    <row r="57" spans="1:17" customFormat="1">
      <c r="A57" s="6" t="s">
        <v>479</v>
      </c>
      <c r="B57" s="6">
        <v>4.43</v>
      </c>
      <c r="C57" s="6">
        <v>22.78</v>
      </c>
      <c r="D57" s="6">
        <v>16.809999999999999</v>
      </c>
      <c r="E57" s="6">
        <v>7.07</v>
      </c>
      <c r="F57" s="6">
        <v>4.88</v>
      </c>
      <c r="G57" s="6">
        <v>86.82</v>
      </c>
      <c r="H57" s="6">
        <v>50.81</v>
      </c>
      <c r="I57" s="6">
        <v>7.35</v>
      </c>
      <c r="J57" s="6">
        <v>0.25</v>
      </c>
      <c r="K57" s="6">
        <v>96.71</v>
      </c>
      <c r="L57" s="6">
        <v>27.25</v>
      </c>
      <c r="M57" s="6">
        <v>45.12</v>
      </c>
      <c r="N57" s="6">
        <v>421.4</v>
      </c>
      <c r="O57" s="6">
        <v>0</v>
      </c>
      <c r="P57" s="6">
        <v>0.74</v>
      </c>
      <c r="Q57" s="6">
        <v>4.74</v>
      </c>
    </row>
    <row r="58" spans="1:17" customFormat="1">
      <c r="A58" s="6" t="s">
        <v>480</v>
      </c>
      <c r="B58" s="6">
        <v>4.3099999999999996</v>
      </c>
      <c r="C58" s="6">
        <v>22.49</v>
      </c>
      <c r="D58" s="6">
        <v>16.559999999999999</v>
      </c>
      <c r="E58" s="6">
        <v>7.22</v>
      </c>
      <c r="F58" s="6">
        <v>4.7699999999999996</v>
      </c>
      <c r="G58" s="6">
        <v>86.82</v>
      </c>
      <c r="H58" s="6">
        <v>50.81</v>
      </c>
      <c r="I58" s="6">
        <v>7.19</v>
      </c>
      <c r="J58" s="6">
        <v>0.34</v>
      </c>
      <c r="K58" s="6">
        <v>111.47</v>
      </c>
      <c r="L58" s="6">
        <v>27.61</v>
      </c>
      <c r="M58" s="6">
        <v>42.01</v>
      </c>
      <c r="N58" s="6">
        <v>419.5</v>
      </c>
      <c r="O58" s="6">
        <v>0</v>
      </c>
      <c r="P58" s="6">
        <v>0.72</v>
      </c>
      <c r="Q58" s="6">
        <v>4.74</v>
      </c>
    </row>
    <row r="59" spans="1:17" customFormat="1">
      <c r="A59" s="6" t="s">
        <v>481</v>
      </c>
      <c r="B59" s="6">
        <v>4.28</v>
      </c>
      <c r="C59" s="6">
        <v>22.14</v>
      </c>
      <c r="D59" s="6">
        <v>16.350000000000001</v>
      </c>
      <c r="E59" s="6">
        <v>7.45</v>
      </c>
      <c r="F59" s="6">
        <v>4.92</v>
      </c>
      <c r="G59" s="6">
        <v>74.709999999999994</v>
      </c>
      <c r="H59" s="6">
        <v>45.87</v>
      </c>
      <c r="I59" s="6">
        <v>7.01</v>
      </c>
      <c r="J59" s="6">
        <v>0.23</v>
      </c>
      <c r="K59" s="6">
        <v>99.09</v>
      </c>
      <c r="L59" s="6">
        <v>27.96</v>
      </c>
      <c r="M59" s="6">
        <v>40.29</v>
      </c>
      <c r="N59" s="6">
        <v>420.4</v>
      </c>
      <c r="O59" s="6">
        <v>0</v>
      </c>
      <c r="P59" s="6">
        <v>0.71</v>
      </c>
      <c r="Q59" s="6">
        <v>4.74</v>
      </c>
    </row>
    <row r="60" spans="1:17" customFormat="1">
      <c r="A60" s="6" t="s">
        <v>482</v>
      </c>
      <c r="B60" s="6">
        <v>4.3</v>
      </c>
      <c r="C60" s="6">
        <v>21.61</v>
      </c>
      <c r="D60" s="6">
        <v>16.09</v>
      </c>
      <c r="E60" s="6">
        <v>7.73</v>
      </c>
      <c r="F60" s="6">
        <v>5.04</v>
      </c>
      <c r="G60" s="6">
        <v>73.03</v>
      </c>
      <c r="H60" s="6">
        <v>45.87</v>
      </c>
      <c r="I60" s="6">
        <v>6.82</v>
      </c>
      <c r="J60" s="6">
        <v>0.37</v>
      </c>
      <c r="K60" s="6">
        <v>152.35</v>
      </c>
      <c r="L60" s="6">
        <v>28.15</v>
      </c>
      <c r="M60" s="6">
        <v>39.090000000000003</v>
      </c>
      <c r="N60" s="6">
        <v>413.7</v>
      </c>
      <c r="O60" s="6">
        <v>0</v>
      </c>
      <c r="P60" s="6">
        <v>0.69</v>
      </c>
      <c r="Q60" s="6">
        <v>4.74</v>
      </c>
    </row>
    <row r="61" spans="1:17" customFormat="1">
      <c r="A61" s="6" t="s">
        <v>483</v>
      </c>
      <c r="B61" s="6">
        <v>4.21</v>
      </c>
      <c r="C61" s="6">
        <v>21.32</v>
      </c>
      <c r="D61" s="6">
        <v>15.87</v>
      </c>
      <c r="E61" s="6">
        <v>7.81</v>
      </c>
      <c r="F61" s="6">
        <v>5.77</v>
      </c>
      <c r="G61" s="6">
        <v>73.03</v>
      </c>
      <c r="H61" s="6">
        <v>45.87</v>
      </c>
      <c r="I61" s="6">
        <v>6.65</v>
      </c>
      <c r="J61" s="6">
        <v>0.42</v>
      </c>
      <c r="K61" s="6">
        <v>144.87</v>
      </c>
      <c r="L61" s="6">
        <v>28.01</v>
      </c>
      <c r="M61" s="6">
        <v>38.96</v>
      </c>
      <c r="N61" s="6">
        <v>397.9</v>
      </c>
      <c r="O61" s="6">
        <v>0</v>
      </c>
      <c r="P61" s="6">
        <v>0.67</v>
      </c>
      <c r="Q61" s="6">
        <v>4.75</v>
      </c>
    </row>
    <row r="62" spans="1:17" customFormat="1">
      <c r="A62" s="6" t="s">
        <v>484</v>
      </c>
      <c r="B62" s="6">
        <v>4.21</v>
      </c>
      <c r="C62" s="6">
        <v>21.08</v>
      </c>
      <c r="D62" s="6">
        <v>15.74</v>
      </c>
      <c r="E62" s="6">
        <v>7.71</v>
      </c>
      <c r="F62" s="6">
        <v>5.76</v>
      </c>
      <c r="G62" s="6">
        <v>73.03</v>
      </c>
      <c r="H62" s="6">
        <v>45.87</v>
      </c>
      <c r="I62" s="6">
        <v>6.51</v>
      </c>
      <c r="J62" s="6">
        <v>0.2</v>
      </c>
      <c r="K62" s="6">
        <v>126.84</v>
      </c>
      <c r="L62" s="6">
        <v>28.15</v>
      </c>
      <c r="M62" s="6">
        <v>38.47</v>
      </c>
      <c r="N62" s="6">
        <v>382.2</v>
      </c>
      <c r="O62" s="6">
        <v>0</v>
      </c>
      <c r="P62" s="6">
        <v>0.65</v>
      </c>
      <c r="Q62" s="6">
        <v>4.72</v>
      </c>
    </row>
    <row r="63" spans="1:17" customFormat="1">
      <c r="A63" s="6" t="s">
        <v>485</v>
      </c>
      <c r="B63" s="6">
        <v>4.3499999999999996</v>
      </c>
      <c r="C63" s="6">
        <v>20.56</v>
      </c>
      <c r="D63" s="6">
        <v>15.58</v>
      </c>
      <c r="E63" s="6">
        <v>7.52</v>
      </c>
      <c r="F63" s="6">
        <v>4.9000000000000004</v>
      </c>
      <c r="G63" s="6">
        <v>56.01</v>
      </c>
      <c r="H63" s="6">
        <v>38.94</v>
      </c>
      <c r="I63" s="6">
        <v>6.34</v>
      </c>
      <c r="J63" s="6">
        <v>0.31</v>
      </c>
      <c r="K63" s="6">
        <v>75.569999999999993</v>
      </c>
      <c r="L63" s="6">
        <v>28.03</v>
      </c>
      <c r="M63" s="6">
        <v>37.82</v>
      </c>
      <c r="N63" s="6">
        <v>361.1</v>
      </c>
      <c r="O63" s="6">
        <v>0</v>
      </c>
      <c r="P63" s="6">
        <v>0.65</v>
      </c>
      <c r="Q63" s="6">
        <v>4.7</v>
      </c>
    </row>
    <row r="64" spans="1:17" customFormat="1">
      <c r="A64" s="6" t="s">
        <v>486</v>
      </c>
      <c r="B64" s="6">
        <v>4.53</v>
      </c>
      <c r="C64" s="6">
        <v>19.55</v>
      </c>
      <c r="D64" s="6">
        <v>15.2</v>
      </c>
      <c r="E64" s="6">
        <v>7.41</v>
      </c>
      <c r="F64" s="6">
        <v>4.26</v>
      </c>
      <c r="G64" s="6">
        <v>53.64</v>
      </c>
      <c r="H64" s="6">
        <v>38.94</v>
      </c>
      <c r="I64" s="6">
        <v>6.19</v>
      </c>
      <c r="J64" s="6">
        <v>0.08</v>
      </c>
      <c r="K64" s="6">
        <v>100.48</v>
      </c>
      <c r="L64" s="6">
        <v>27.57</v>
      </c>
      <c r="M64" s="6">
        <v>37.54</v>
      </c>
      <c r="N64" s="6">
        <v>324.10000000000002</v>
      </c>
      <c r="O64" s="6">
        <v>0</v>
      </c>
      <c r="P64" s="6">
        <v>0.64</v>
      </c>
      <c r="Q64" s="6">
        <v>4.71</v>
      </c>
    </row>
    <row r="65" spans="1:17" customFormat="1">
      <c r="A65" s="6" t="s">
        <v>487</v>
      </c>
      <c r="B65" s="6">
        <v>4.4800000000000004</v>
      </c>
      <c r="C65" s="6">
        <v>18.170000000000002</v>
      </c>
      <c r="D65" s="6">
        <v>14.44</v>
      </c>
      <c r="E65" s="6">
        <v>7.31</v>
      </c>
      <c r="F65" s="6">
        <v>4.87</v>
      </c>
      <c r="G65" s="6">
        <v>53.64</v>
      </c>
      <c r="H65" s="6">
        <v>38.94</v>
      </c>
      <c r="I65" s="6">
        <v>6.11</v>
      </c>
      <c r="J65" s="6">
        <v>0.14000000000000001</v>
      </c>
      <c r="K65" s="6">
        <v>105.42</v>
      </c>
      <c r="L65" s="6">
        <v>27.2</v>
      </c>
      <c r="M65" s="6">
        <v>39.21</v>
      </c>
      <c r="N65" s="6">
        <v>247.3</v>
      </c>
      <c r="O65" s="6">
        <v>0</v>
      </c>
      <c r="P65" s="6">
        <v>0.55000000000000004</v>
      </c>
      <c r="Q65" s="6">
        <v>4.7</v>
      </c>
    </row>
    <row r="66" spans="1:17" customFormat="1">
      <c r="A66" s="6" t="s">
        <v>488</v>
      </c>
      <c r="B66" s="6">
        <v>4.63</v>
      </c>
      <c r="C66" s="6">
        <v>16.95</v>
      </c>
      <c r="D66" s="6">
        <v>13.92</v>
      </c>
      <c r="E66" s="6">
        <v>6.6</v>
      </c>
      <c r="F66" s="6">
        <v>4.21</v>
      </c>
      <c r="G66" s="6">
        <v>53.64</v>
      </c>
      <c r="H66" s="6">
        <v>38.94</v>
      </c>
      <c r="I66" s="6">
        <v>6.04</v>
      </c>
      <c r="J66" s="6">
        <v>0.48</v>
      </c>
      <c r="K66" s="6">
        <v>57.71</v>
      </c>
      <c r="L66" s="6">
        <v>27.07</v>
      </c>
      <c r="M66" s="6">
        <v>37.47</v>
      </c>
      <c r="N66" s="6">
        <v>141.80000000000001</v>
      </c>
      <c r="O66" s="6">
        <v>0</v>
      </c>
      <c r="P66" s="6">
        <v>0.57999999999999996</v>
      </c>
      <c r="Q66" s="6">
        <v>4.6900000000000004</v>
      </c>
    </row>
    <row r="67" spans="1:17" customFormat="1">
      <c r="A67" s="6" t="s">
        <v>489</v>
      </c>
      <c r="B67" s="6">
        <v>4.6900000000000004</v>
      </c>
      <c r="C67" s="6">
        <v>16.27</v>
      </c>
      <c r="D67" s="6">
        <v>13.62</v>
      </c>
      <c r="E67" s="6">
        <v>6.74</v>
      </c>
      <c r="F67" s="6">
        <v>3.87</v>
      </c>
      <c r="G67" s="6">
        <v>57.24</v>
      </c>
      <c r="H67" s="6">
        <v>38.97</v>
      </c>
      <c r="I67" s="6">
        <v>5.98</v>
      </c>
      <c r="J67" s="6">
        <v>0.34</v>
      </c>
      <c r="K67" s="6">
        <v>52.48</v>
      </c>
      <c r="L67" s="6">
        <v>26.85</v>
      </c>
      <c r="M67" s="6">
        <v>37.15</v>
      </c>
      <c r="N67" s="6">
        <v>122.2</v>
      </c>
      <c r="O67" s="6">
        <v>0</v>
      </c>
      <c r="P67" s="6">
        <v>0.56999999999999995</v>
      </c>
      <c r="Q67" s="6">
        <v>4.72</v>
      </c>
    </row>
    <row r="68" spans="1:17" customFormat="1">
      <c r="A68" s="6" t="s">
        <v>490</v>
      </c>
      <c r="B68" s="6">
        <v>4.75</v>
      </c>
      <c r="C68" s="6">
        <v>15.54</v>
      </c>
      <c r="D68" s="6">
        <v>13.28</v>
      </c>
      <c r="E68" s="6">
        <v>6.6</v>
      </c>
      <c r="F68" s="6">
        <v>3.68</v>
      </c>
      <c r="G68" s="6">
        <v>57.74</v>
      </c>
      <c r="H68" s="6">
        <v>38.97</v>
      </c>
      <c r="I68" s="6">
        <v>5.92</v>
      </c>
      <c r="J68" s="6">
        <v>0.22</v>
      </c>
      <c r="K68" s="6">
        <v>155.41</v>
      </c>
      <c r="L68" s="6">
        <v>26.79</v>
      </c>
      <c r="M68" s="6">
        <v>38</v>
      </c>
      <c r="N68" s="6">
        <v>98.8</v>
      </c>
      <c r="O68" s="6">
        <v>0</v>
      </c>
      <c r="P68" s="6">
        <v>0.56000000000000005</v>
      </c>
      <c r="Q68" s="6">
        <v>4.74</v>
      </c>
    </row>
    <row r="69" spans="1:17" customFormat="1">
      <c r="A69" s="6" t="s">
        <v>491</v>
      </c>
      <c r="B69" s="6">
        <v>4.78</v>
      </c>
      <c r="C69" s="6">
        <v>15.34</v>
      </c>
      <c r="D69" s="6">
        <v>13.19</v>
      </c>
      <c r="E69" s="6">
        <v>6.64</v>
      </c>
      <c r="F69" s="6">
        <v>3.82</v>
      </c>
      <c r="G69" s="6">
        <v>57.74</v>
      </c>
      <c r="H69" s="6">
        <v>38.97</v>
      </c>
      <c r="I69" s="6">
        <v>5.86</v>
      </c>
      <c r="J69" s="6">
        <v>0.28999999999999998</v>
      </c>
      <c r="K69" s="6">
        <v>66.11</v>
      </c>
      <c r="L69" s="6">
        <v>26.53</v>
      </c>
      <c r="M69" s="6">
        <v>37.6</v>
      </c>
      <c r="N69" s="6">
        <v>81.2</v>
      </c>
      <c r="O69" s="6">
        <v>0</v>
      </c>
      <c r="P69" s="6">
        <v>0.55000000000000004</v>
      </c>
      <c r="Q69" s="6">
        <v>4.7300000000000004</v>
      </c>
    </row>
    <row r="70" spans="1:17" customFormat="1">
      <c r="A70" s="6" t="s">
        <v>492</v>
      </c>
      <c r="B70" s="6">
        <v>4.83</v>
      </c>
      <c r="C70" s="6">
        <v>15.21</v>
      </c>
      <c r="D70" s="6">
        <v>13.17</v>
      </c>
      <c r="E70" s="6">
        <v>6.26</v>
      </c>
      <c r="F70" s="6">
        <v>3.87</v>
      </c>
      <c r="G70" s="6">
        <v>57.74</v>
      </c>
      <c r="H70" s="6">
        <v>38.97</v>
      </c>
      <c r="I70" s="6">
        <v>5.81</v>
      </c>
      <c r="J70" s="6">
        <v>0.43</v>
      </c>
      <c r="K70" s="6">
        <v>38.22</v>
      </c>
      <c r="L70" s="6">
        <v>26.35</v>
      </c>
      <c r="M70" s="6">
        <v>36.880000000000003</v>
      </c>
      <c r="N70" s="6">
        <v>70.8</v>
      </c>
      <c r="O70" s="6">
        <v>0</v>
      </c>
      <c r="P70" s="6">
        <v>0.55000000000000004</v>
      </c>
      <c r="Q70" s="6">
        <v>4.75</v>
      </c>
    </row>
    <row r="71" spans="1:17" customFormat="1">
      <c r="A71" s="6" t="s">
        <v>493</v>
      </c>
      <c r="B71" s="6">
        <v>4.9400000000000004</v>
      </c>
      <c r="C71" s="6">
        <v>15.34</v>
      </c>
      <c r="D71" s="6">
        <v>13.33</v>
      </c>
      <c r="E71" s="6">
        <v>6.54</v>
      </c>
      <c r="F71" s="6">
        <v>3.84</v>
      </c>
      <c r="G71" s="6">
        <v>54.55</v>
      </c>
      <c r="H71" s="6">
        <v>36.619999999999997</v>
      </c>
      <c r="I71" s="6">
        <v>5.75</v>
      </c>
      <c r="J71" s="6">
        <v>0.19</v>
      </c>
      <c r="K71" s="6">
        <v>103.07</v>
      </c>
      <c r="L71" s="6">
        <v>26.35</v>
      </c>
      <c r="M71" s="6">
        <v>37.28</v>
      </c>
      <c r="N71" s="6">
        <v>63.1</v>
      </c>
      <c r="O71" s="6">
        <v>0</v>
      </c>
      <c r="P71" s="6">
        <v>0.55000000000000004</v>
      </c>
      <c r="Q71" s="6">
        <v>4.8099999999999996</v>
      </c>
    </row>
    <row r="72" spans="1:17" customFormat="1">
      <c r="A72" s="6" t="s">
        <v>494</v>
      </c>
      <c r="B72" s="6">
        <v>4.97</v>
      </c>
      <c r="C72" s="6">
        <v>15.2</v>
      </c>
      <c r="D72" s="6">
        <v>13.28</v>
      </c>
      <c r="E72" s="6">
        <v>6.65</v>
      </c>
      <c r="F72" s="6">
        <v>3.67</v>
      </c>
      <c r="G72" s="6">
        <v>54.11</v>
      </c>
      <c r="H72" s="6">
        <v>36.619999999999997</v>
      </c>
      <c r="I72" s="6">
        <v>5.69</v>
      </c>
      <c r="J72" s="6">
        <v>0.06</v>
      </c>
      <c r="K72" s="6">
        <v>116.27</v>
      </c>
      <c r="L72" s="6">
        <v>26.17</v>
      </c>
      <c r="M72" s="6">
        <v>39.43</v>
      </c>
      <c r="N72" s="6">
        <v>54.3</v>
      </c>
      <c r="O72" s="6">
        <v>0</v>
      </c>
      <c r="P72" s="6">
        <v>0.54</v>
      </c>
      <c r="Q72" s="6">
        <v>4.8600000000000003</v>
      </c>
    </row>
    <row r="73" spans="1:17" customFormat="1">
      <c r="A73" s="6" t="s">
        <v>495</v>
      </c>
      <c r="B73" s="6">
        <v>5.04</v>
      </c>
      <c r="C73" s="6">
        <v>14.91</v>
      </c>
      <c r="D73" s="6">
        <v>13.18</v>
      </c>
      <c r="E73" s="6">
        <v>6.66</v>
      </c>
      <c r="F73" s="6">
        <v>3.62</v>
      </c>
      <c r="G73" s="6">
        <v>54.11</v>
      </c>
      <c r="H73" s="6">
        <v>36.619999999999997</v>
      </c>
      <c r="I73" s="6">
        <v>5.67</v>
      </c>
      <c r="J73" s="6">
        <v>0.17</v>
      </c>
      <c r="K73" s="6">
        <v>156.07</v>
      </c>
      <c r="L73" s="6">
        <v>25.86</v>
      </c>
      <c r="M73" s="6">
        <v>41.63</v>
      </c>
      <c r="N73" s="6">
        <v>44.1</v>
      </c>
      <c r="O73" s="6">
        <v>0</v>
      </c>
      <c r="P73" s="6">
        <v>0.53</v>
      </c>
      <c r="Q73" s="6">
        <v>4.8600000000000003</v>
      </c>
    </row>
    <row r="74" spans="1:17" customFormat="1">
      <c r="A74" s="6" t="s">
        <v>496</v>
      </c>
      <c r="B74" s="6">
        <v>5</v>
      </c>
      <c r="C74" s="6">
        <v>14.62</v>
      </c>
      <c r="D74" s="6">
        <v>13</v>
      </c>
      <c r="E74" s="6">
        <v>7.01</v>
      </c>
      <c r="F74" s="6">
        <v>3.53</v>
      </c>
      <c r="G74" s="6">
        <v>54.11</v>
      </c>
      <c r="H74" s="6">
        <v>36.619999999999997</v>
      </c>
      <c r="I74" s="6">
        <v>5.65</v>
      </c>
      <c r="J74" s="6">
        <v>0.23</v>
      </c>
      <c r="K74" s="6">
        <v>155.21</v>
      </c>
      <c r="L74" s="6">
        <v>25.49</v>
      </c>
      <c r="M74" s="6">
        <v>43.13</v>
      </c>
      <c r="N74" s="6">
        <v>32.700000000000003</v>
      </c>
      <c r="O74" s="6">
        <v>0</v>
      </c>
      <c r="P74" s="6">
        <v>0.52</v>
      </c>
      <c r="Q74" s="6">
        <v>4.87</v>
      </c>
    </row>
    <row r="75" spans="1:17" customFormat="1">
      <c r="A75" s="6" t="s">
        <v>497</v>
      </c>
      <c r="B75" s="6">
        <v>5.0599999999999996</v>
      </c>
      <c r="C75" s="6">
        <v>15.64</v>
      </c>
      <c r="D75" s="6">
        <v>13.58</v>
      </c>
      <c r="E75" s="6">
        <v>6.76</v>
      </c>
      <c r="F75" s="6">
        <v>3.28</v>
      </c>
      <c r="G75" s="6">
        <v>56.79</v>
      </c>
      <c r="H75" s="6">
        <v>35.61</v>
      </c>
      <c r="I75" s="6">
        <v>5.59</v>
      </c>
      <c r="J75" s="6">
        <v>0.17</v>
      </c>
      <c r="K75" s="6">
        <v>118.09</v>
      </c>
      <c r="L75" s="6">
        <v>25.15</v>
      </c>
      <c r="M75" s="6">
        <v>43.83</v>
      </c>
      <c r="N75" s="6">
        <v>20.100000000000001</v>
      </c>
      <c r="O75" s="6">
        <v>0</v>
      </c>
      <c r="P75" s="6">
        <v>0.52</v>
      </c>
      <c r="Q75" s="6">
        <v>4.8600000000000003</v>
      </c>
    </row>
    <row r="76" spans="1:17" customFormat="1">
      <c r="A76" s="6" t="s">
        <v>498</v>
      </c>
      <c r="B76" s="6">
        <v>5.23</v>
      </c>
      <c r="C76" s="6">
        <v>16.39</v>
      </c>
      <c r="D76" s="6">
        <v>14.11</v>
      </c>
      <c r="E76" s="6">
        <v>6.66</v>
      </c>
      <c r="F76" s="6">
        <v>3.2</v>
      </c>
      <c r="G76" s="6">
        <v>57.16</v>
      </c>
      <c r="H76" s="6">
        <v>35.61</v>
      </c>
      <c r="I76" s="6">
        <v>5.53</v>
      </c>
      <c r="J76" s="6">
        <v>0.22</v>
      </c>
      <c r="K76" s="6">
        <v>161.13</v>
      </c>
      <c r="L76" s="6">
        <v>24.76</v>
      </c>
      <c r="M76" s="6">
        <v>46.28</v>
      </c>
      <c r="N76" s="6">
        <v>8.6</v>
      </c>
      <c r="O76" s="6">
        <v>0</v>
      </c>
      <c r="P76" s="6">
        <v>0.52</v>
      </c>
      <c r="Q76" s="6">
        <v>4.8600000000000003</v>
      </c>
    </row>
    <row r="77" spans="1:17" customFormat="1">
      <c r="A77" s="6" t="s">
        <v>499</v>
      </c>
      <c r="B77" s="6">
        <v>5.3</v>
      </c>
      <c r="C77" s="6">
        <v>15.67</v>
      </c>
      <c r="D77" s="6">
        <v>13.78</v>
      </c>
      <c r="E77" s="6">
        <v>7.34</v>
      </c>
      <c r="F77" s="6">
        <v>3.29</v>
      </c>
      <c r="G77" s="6">
        <v>57.16</v>
      </c>
      <c r="H77" s="6">
        <v>35.61</v>
      </c>
      <c r="I77" s="6">
        <v>5.55</v>
      </c>
      <c r="J77" s="6">
        <v>0.17</v>
      </c>
      <c r="K77" s="6">
        <v>155</v>
      </c>
      <c r="L77" s="6">
        <v>23.99</v>
      </c>
      <c r="M77" s="6">
        <v>50.08</v>
      </c>
      <c r="N77" s="6">
        <v>0.5</v>
      </c>
      <c r="O77" s="6">
        <v>0</v>
      </c>
      <c r="P77" s="6">
        <v>0.53</v>
      </c>
      <c r="Q77" s="6">
        <v>4.8600000000000003</v>
      </c>
    </row>
    <row r="78" spans="1:17" customFormat="1">
      <c r="A78" s="6" t="s">
        <v>500</v>
      </c>
      <c r="B78" s="6">
        <v>5.42</v>
      </c>
      <c r="C78" s="6">
        <v>16.21</v>
      </c>
      <c r="D78" s="6">
        <v>14.16</v>
      </c>
      <c r="E78" s="6">
        <v>6.67</v>
      </c>
      <c r="F78" s="6">
        <v>3.06</v>
      </c>
      <c r="G78" s="6">
        <v>57.16</v>
      </c>
      <c r="H78" s="6">
        <v>35.61</v>
      </c>
      <c r="I78" s="6">
        <v>5.57</v>
      </c>
      <c r="J78" s="6">
        <v>0.22</v>
      </c>
      <c r="K78" s="6">
        <v>165.24</v>
      </c>
      <c r="L78" s="6">
        <v>23</v>
      </c>
      <c r="M78" s="6">
        <v>58.46</v>
      </c>
      <c r="N78" s="6">
        <v>0</v>
      </c>
      <c r="O78" s="6">
        <v>0</v>
      </c>
      <c r="P78" s="6">
        <v>0.53</v>
      </c>
      <c r="Q78" s="6">
        <v>4.8600000000000003</v>
      </c>
    </row>
    <row r="79" spans="1:17" customFormat="1">
      <c r="A79" s="6" t="s">
        <v>501</v>
      </c>
      <c r="B79" s="6">
        <v>5.46</v>
      </c>
      <c r="C79" s="6">
        <v>17.510000000000002</v>
      </c>
      <c r="D79" s="6">
        <v>14.88</v>
      </c>
      <c r="E79" s="6">
        <v>6.66</v>
      </c>
      <c r="F79" s="6">
        <v>2.96</v>
      </c>
      <c r="G79" s="6">
        <v>72.38</v>
      </c>
      <c r="H79" s="6">
        <v>40.590000000000003</v>
      </c>
      <c r="I79" s="6">
        <v>5.61</v>
      </c>
      <c r="J79" s="6">
        <v>0.22</v>
      </c>
      <c r="K79" s="6">
        <v>168.83</v>
      </c>
      <c r="L79" s="6">
        <v>22.19</v>
      </c>
      <c r="M79" s="6">
        <v>64.69</v>
      </c>
      <c r="N79" s="6">
        <v>0</v>
      </c>
      <c r="O79" s="6">
        <v>0</v>
      </c>
      <c r="P79" s="6">
        <v>0.55000000000000004</v>
      </c>
      <c r="Q79" s="6">
        <v>4.87</v>
      </c>
    </row>
    <row r="80" spans="1:17" customFormat="1">
      <c r="A80" s="6" t="s">
        <v>502</v>
      </c>
      <c r="B80" s="6">
        <v>5.62</v>
      </c>
      <c r="C80" s="6">
        <v>18.899999999999999</v>
      </c>
      <c r="D80" s="6">
        <v>15.73</v>
      </c>
      <c r="E80" s="6">
        <v>6.98</v>
      </c>
      <c r="F80" s="6">
        <v>2.96</v>
      </c>
      <c r="G80" s="6">
        <v>74.5</v>
      </c>
      <c r="H80" s="6">
        <v>40.590000000000003</v>
      </c>
      <c r="I80" s="6">
        <v>5.65</v>
      </c>
      <c r="J80" s="6">
        <v>0.22</v>
      </c>
      <c r="K80" s="6">
        <v>167.74</v>
      </c>
      <c r="L80" s="6">
        <v>21.52</v>
      </c>
      <c r="M80" s="6">
        <v>65.569999999999993</v>
      </c>
      <c r="N80" s="6">
        <v>0</v>
      </c>
      <c r="O80" s="6">
        <v>0</v>
      </c>
      <c r="P80" s="6">
        <v>0.56000000000000005</v>
      </c>
      <c r="Q80" s="6">
        <v>4.8499999999999996</v>
      </c>
    </row>
    <row r="81" spans="1:17" customFormat="1">
      <c r="A81" s="6" t="s">
        <v>503</v>
      </c>
      <c r="B81" s="6">
        <v>5.7</v>
      </c>
      <c r="C81" s="6">
        <v>20.23</v>
      </c>
      <c r="D81" s="6">
        <v>16.489999999999998</v>
      </c>
      <c r="E81" s="6">
        <v>6.22</v>
      </c>
      <c r="F81" s="6">
        <v>2.75</v>
      </c>
      <c r="G81" s="6">
        <v>74.5</v>
      </c>
      <c r="H81" s="6">
        <v>40.590000000000003</v>
      </c>
      <c r="I81" s="6">
        <v>5.69</v>
      </c>
      <c r="J81" s="6">
        <v>0.21</v>
      </c>
      <c r="K81" s="6">
        <v>172.44</v>
      </c>
      <c r="L81" s="6">
        <v>21.13</v>
      </c>
      <c r="M81" s="6">
        <v>66.87</v>
      </c>
      <c r="N81" s="6">
        <v>0</v>
      </c>
      <c r="O81" s="6">
        <v>0</v>
      </c>
      <c r="P81" s="6">
        <v>0.56999999999999995</v>
      </c>
      <c r="Q81" s="6">
        <v>4.87</v>
      </c>
    </row>
    <row r="82" spans="1:17" customFormat="1">
      <c r="A82" s="6" t="s">
        <v>504</v>
      </c>
      <c r="B82" s="6">
        <v>5.84</v>
      </c>
      <c r="C82" s="6">
        <v>20.34</v>
      </c>
      <c r="D82" s="6">
        <v>16.66</v>
      </c>
      <c r="E82" s="6">
        <v>6.39</v>
      </c>
      <c r="F82" s="6">
        <v>2.94</v>
      </c>
      <c r="G82" s="6">
        <v>74.5</v>
      </c>
      <c r="H82" s="6">
        <v>40.590000000000003</v>
      </c>
      <c r="I82" s="6">
        <v>5.76</v>
      </c>
      <c r="J82" s="6">
        <v>0.14000000000000001</v>
      </c>
      <c r="K82" s="6">
        <v>178.2</v>
      </c>
      <c r="L82" s="6">
        <v>20.69</v>
      </c>
      <c r="M82" s="6">
        <v>75.02</v>
      </c>
      <c r="N82" s="6">
        <v>0</v>
      </c>
      <c r="O82" s="6">
        <v>0</v>
      </c>
      <c r="P82" s="6">
        <v>0.57999999999999996</v>
      </c>
      <c r="Q82" s="6">
        <v>4.8899999999999997</v>
      </c>
    </row>
    <row r="83" spans="1:17" customFormat="1">
      <c r="A83" s="6" t="s">
        <v>505</v>
      </c>
      <c r="B83" s="6">
        <v>5.93</v>
      </c>
      <c r="C83" s="6">
        <v>20.83</v>
      </c>
      <c r="D83" s="6">
        <v>16.989999999999998</v>
      </c>
      <c r="E83" s="6">
        <v>7.02</v>
      </c>
      <c r="F83" s="6">
        <v>2.8</v>
      </c>
      <c r="G83" s="6">
        <v>104.16</v>
      </c>
      <c r="H83" s="6">
        <v>40.46</v>
      </c>
      <c r="I83" s="6">
        <v>5.83</v>
      </c>
      <c r="J83" s="6">
        <v>0.15</v>
      </c>
      <c r="K83" s="6">
        <v>169.73</v>
      </c>
      <c r="L83" s="6">
        <v>20.399999999999999</v>
      </c>
      <c r="M83" s="6">
        <v>75.19</v>
      </c>
      <c r="N83" s="6">
        <v>0</v>
      </c>
      <c r="O83" s="6">
        <v>0</v>
      </c>
      <c r="P83" s="6">
        <v>0.6</v>
      </c>
      <c r="Q83" s="6">
        <v>4.9000000000000004</v>
      </c>
    </row>
    <row r="84" spans="1:17" customFormat="1">
      <c r="A84" s="6" t="s">
        <v>506</v>
      </c>
      <c r="B84" s="6">
        <v>5.99</v>
      </c>
      <c r="C84" s="6">
        <v>21.34</v>
      </c>
      <c r="D84" s="6">
        <v>17.3</v>
      </c>
      <c r="E84" s="6">
        <v>6.82</v>
      </c>
      <c r="F84" s="6">
        <v>2.92</v>
      </c>
      <c r="G84" s="6">
        <v>108.29</v>
      </c>
      <c r="H84" s="6">
        <v>40.46</v>
      </c>
      <c r="I84" s="6">
        <v>5.94</v>
      </c>
      <c r="J84" s="6">
        <v>0.19</v>
      </c>
      <c r="K84" s="6">
        <v>162.11000000000001</v>
      </c>
      <c r="L84" s="6">
        <v>20.2</v>
      </c>
      <c r="M84" s="6">
        <v>74.05</v>
      </c>
      <c r="N84" s="6">
        <v>0</v>
      </c>
      <c r="O84" s="6">
        <v>0</v>
      </c>
      <c r="P84" s="6">
        <v>0.62</v>
      </c>
      <c r="Q84" s="6">
        <v>4.9000000000000004</v>
      </c>
    </row>
    <row r="85" spans="1:17" customFormat="1">
      <c r="A85" s="6" t="s">
        <v>507</v>
      </c>
      <c r="B85" s="6">
        <v>6</v>
      </c>
      <c r="C85" s="6">
        <v>21.77</v>
      </c>
      <c r="D85" s="6">
        <v>17.54</v>
      </c>
      <c r="E85" s="6">
        <v>6.65</v>
      </c>
      <c r="F85" s="6">
        <v>3.06</v>
      </c>
      <c r="G85" s="6">
        <v>108.29</v>
      </c>
      <c r="H85" s="6">
        <v>40.46</v>
      </c>
      <c r="I85" s="6">
        <v>6.04</v>
      </c>
      <c r="J85" s="6">
        <v>0.23</v>
      </c>
      <c r="K85" s="6">
        <v>169.29</v>
      </c>
      <c r="L85" s="6">
        <v>20.23</v>
      </c>
      <c r="M85" s="6">
        <v>70.38</v>
      </c>
      <c r="N85" s="6">
        <v>0</v>
      </c>
      <c r="O85" s="6">
        <v>0</v>
      </c>
      <c r="P85" s="6">
        <v>0.64</v>
      </c>
      <c r="Q85" s="6">
        <v>4.92</v>
      </c>
    </row>
    <row r="86" spans="1:17" customFormat="1">
      <c r="A86" s="6" t="s">
        <v>508</v>
      </c>
      <c r="B86" s="6">
        <v>5.8</v>
      </c>
      <c r="C86" s="6">
        <v>22.51</v>
      </c>
      <c r="D86" s="6">
        <v>17.77</v>
      </c>
      <c r="E86" s="6">
        <v>6.86</v>
      </c>
      <c r="F86" s="6">
        <v>2.93</v>
      </c>
      <c r="G86" s="6">
        <v>108.29</v>
      </c>
      <c r="H86" s="6">
        <v>40.46</v>
      </c>
      <c r="I86" s="6">
        <v>6.14</v>
      </c>
      <c r="J86" s="6">
        <v>0.14000000000000001</v>
      </c>
      <c r="K86" s="6">
        <v>189.19</v>
      </c>
      <c r="L86" s="6">
        <v>20</v>
      </c>
      <c r="M86" s="6">
        <v>75.16</v>
      </c>
      <c r="N86" s="6">
        <v>0</v>
      </c>
      <c r="O86" s="6">
        <v>0</v>
      </c>
      <c r="P86" s="6">
        <v>0.65</v>
      </c>
      <c r="Q86" s="6">
        <v>4.91</v>
      </c>
    </row>
    <row r="87" spans="1:17" customFormat="1">
      <c r="A87" s="6" t="s">
        <v>509</v>
      </c>
      <c r="B87" s="6">
        <v>5.84</v>
      </c>
      <c r="C87" s="6">
        <v>22.9</v>
      </c>
      <c r="D87" s="6">
        <v>18</v>
      </c>
      <c r="E87" s="6">
        <v>6.7</v>
      </c>
      <c r="F87" s="6">
        <v>2.86</v>
      </c>
      <c r="G87" s="6">
        <v>101.45</v>
      </c>
      <c r="H87" s="6">
        <v>41.19</v>
      </c>
      <c r="I87" s="6">
        <v>6.25</v>
      </c>
      <c r="J87" s="6">
        <v>0.14000000000000001</v>
      </c>
      <c r="K87" s="6">
        <v>120.16</v>
      </c>
      <c r="L87" s="6">
        <v>19.72</v>
      </c>
      <c r="M87" s="6">
        <v>73.08</v>
      </c>
      <c r="N87" s="6">
        <v>0</v>
      </c>
      <c r="O87" s="6">
        <v>0</v>
      </c>
      <c r="P87" s="6">
        <v>0.66</v>
      </c>
      <c r="Q87" s="6">
        <v>4.8899999999999997</v>
      </c>
    </row>
    <row r="88" spans="1:17" customFormat="1">
      <c r="A88" s="6" t="s">
        <v>510</v>
      </c>
      <c r="B88" s="6">
        <v>6.04</v>
      </c>
      <c r="C88" s="6">
        <v>23.05</v>
      </c>
      <c r="D88" s="6">
        <v>18.239999999999998</v>
      </c>
      <c r="E88" s="6">
        <v>6.53</v>
      </c>
      <c r="F88" s="6">
        <v>2.88</v>
      </c>
      <c r="G88" s="6">
        <v>100.5</v>
      </c>
      <c r="H88" s="6">
        <v>41.19</v>
      </c>
      <c r="I88" s="6">
        <v>6.36</v>
      </c>
      <c r="J88" s="6">
        <v>0.11</v>
      </c>
      <c r="K88" s="6">
        <v>188.41</v>
      </c>
      <c r="L88" s="6">
        <v>19.98</v>
      </c>
      <c r="M88" s="6">
        <v>68.5</v>
      </c>
      <c r="N88" s="6">
        <v>0</v>
      </c>
      <c r="O88" s="6">
        <v>0</v>
      </c>
      <c r="P88" s="6">
        <v>0.68</v>
      </c>
      <c r="Q88" s="6">
        <v>4.8899999999999997</v>
      </c>
    </row>
    <row r="89" spans="1:17" customFormat="1">
      <c r="A89" s="6" t="s">
        <v>511</v>
      </c>
      <c r="B89" s="6">
        <v>6.16</v>
      </c>
      <c r="C89" s="6">
        <v>22.95</v>
      </c>
      <c r="D89" s="6">
        <v>18.28</v>
      </c>
      <c r="E89" s="6">
        <v>6.62</v>
      </c>
      <c r="F89" s="6">
        <v>2.88</v>
      </c>
      <c r="G89" s="6">
        <v>100.5</v>
      </c>
      <c r="H89" s="6">
        <v>41.19</v>
      </c>
      <c r="I89" s="6">
        <v>6.49</v>
      </c>
      <c r="J89" s="6">
        <v>0.08</v>
      </c>
      <c r="K89" s="6">
        <v>139.44999999999999</v>
      </c>
      <c r="L89" s="6">
        <v>19.46</v>
      </c>
      <c r="M89" s="6">
        <v>71.19</v>
      </c>
      <c r="N89" s="6">
        <v>0</v>
      </c>
      <c r="O89" s="6">
        <v>0</v>
      </c>
      <c r="P89" s="6">
        <v>0.68</v>
      </c>
      <c r="Q89" s="6">
        <v>4.8899999999999997</v>
      </c>
    </row>
    <row r="90" spans="1:17" customFormat="1">
      <c r="A90" s="6" t="s">
        <v>512</v>
      </c>
      <c r="B90" s="6">
        <v>6.05</v>
      </c>
      <c r="C90" s="6">
        <v>23.19</v>
      </c>
      <c r="D90" s="6">
        <v>18.32</v>
      </c>
      <c r="E90" s="6">
        <v>6.92</v>
      </c>
      <c r="F90" s="6">
        <v>2.93</v>
      </c>
      <c r="G90" s="6">
        <v>100.5</v>
      </c>
      <c r="H90" s="6">
        <v>41.19</v>
      </c>
      <c r="I90" s="6">
        <v>6.58</v>
      </c>
      <c r="J90" s="6">
        <v>0.14000000000000001</v>
      </c>
      <c r="K90" s="6">
        <v>164.6</v>
      </c>
      <c r="L90" s="6">
        <v>19.2</v>
      </c>
      <c r="M90" s="6">
        <v>76.069999999999993</v>
      </c>
      <c r="N90" s="6">
        <v>0</v>
      </c>
      <c r="O90" s="6">
        <v>0</v>
      </c>
      <c r="P90" s="6">
        <v>0.68</v>
      </c>
      <c r="Q90" s="6">
        <v>4.88</v>
      </c>
    </row>
    <row r="91" spans="1:17" customFormat="1">
      <c r="A91" s="6" t="s">
        <v>513</v>
      </c>
      <c r="B91" s="6">
        <v>5.98</v>
      </c>
      <c r="C91" s="6">
        <v>23.22</v>
      </c>
      <c r="D91" s="6">
        <v>18.28</v>
      </c>
      <c r="E91" s="6">
        <v>6.43</v>
      </c>
      <c r="F91" s="6">
        <v>2.96</v>
      </c>
      <c r="G91" s="6">
        <v>95.42</v>
      </c>
      <c r="H91" s="6">
        <v>39.43</v>
      </c>
      <c r="I91" s="6">
        <v>6.77</v>
      </c>
      <c r="J91" s="6">
        <v>0.17</v>
      </c>
      <c r="K91" s="6">
        <v>193.35</v>
      </c>
      <c r="L91" s="6">
        <v>18.989999999999998</v>
      </c>
      <c r="M91" s="6">
        <v>79.040000000000006</v>
      </c>
      <c r="N91" s="6">
        <v>0</v>
      </c>
      <c r="O91" s="6">
        <v>0</v>
      </c>
      <c r="P91" s="6">
        <v>0.69</v>
      </c>
      <c r="Q91" s="6">
        <v>4.8600000000000003</v>
      </c>
    </row>
    <row r="92" spans="1:17" customFormat="1">
      <c r="A92" s="6" t="s">
        <v>514</v>
      </c>
      <c r="B92" s="6">
        <v>6</v>
      </c>
      <c r="C92" s="6">
        <v>22.8</v>
      </c>
      <c r="D92" s="6">
        <v>18.07</v>
      </c>
      <c r="E92" s="6">
        <v>6.7</v>
      </c>
      <c r="F92" s="6">
        <v>3.02</v>
      </c>
      <c r="G92" s="6">
        <v>94.71</v>
      </c>
      <c r="H92" s="6">
        <v>39.43</v>
      </c>
      <c r="I92" s="6">
        <v>6.94</v>
      </c>
      <c r="J92" s="6">
        <v>0.1</v>
      </c>
      <c r="K92" s="6">
        <v>190.96</v>
      </c>
      <c r="L92" s="6">
        <v>18.82</v>
      </c>
      <c r="M92" s="6">
        <v>77.069999999999993</v>
      </c>
      <c r="N92" s="6">
        <v>0</v>
      </c>
      <c r="O92" s="6">
        <v>0</v>
      </c>
      <c r="P92" s="6">
        <v>0.69</v>
      </c>
      <c r="Q92" s="6">
        <v>4.87</v>
      </c>
    </row>
    <row r="93" spans="1:17" customFormat="1">
      <c r="A93" s="6" t="s">
        <v>515</v>
      </c>
      <c r="B93" s="6">
        <v>5.81</v>
      </c>
      <c r="C93" s="6">
        <v>23.15</v>
      </c>
      <c r="D93" s="6">
        <v>18.100000000000001</v>
      </c>
      <c r="E93" s="6">
        <v>7.35</v>
      </c>
      <c r="F93" s="6">
        <v>3.05</v>
      </c>
      <c r="G93" s="6">
        <v>94.71</v>
      </c>
      <c r="H93" s="6">
        <v>39.43</v>
      </c>
      <c r="I93" s="6">
        <v>7</v>
      </c>
      <c r="J93" s="6">
        <v>0.11</v>
      </c>
      <c r="K93" s="6">
        <v>158.97</v>
      </c>
      <c r="L93" s="6">
        <v>18.670000000000002</v>
      </c>
      <c r="M93" s="6">
        <v>76.319999999999993</v>
      </c>
      <c r="N93" s="6">
        <v>0</v>
      </c>
      <c r="O93" s="6">
        <v>0</v>
      </c>
      <c r="P93" s="6">
        <v>0.69</v>
      </c>
      <c r="Q93" s="6">
        <v>4.8499999999999996</v>
      </c>
    </row>
    <row r="94" spans="1:17" customFormat="1">
      <c r="A94" s="6" t="s">
        <v>516</v>
      </c>
      <c r="B94" s="6">
        <v>5.7</v>
      </c>
      <c r="C94" s="6">
        <v>22.98</v>
      </c>
      <c r="D94" s="6">
        <v>17.93</v>
      </c>
      <c r="E94" s="6">
        <v>6.76</v>
      </c>
      <c r="F94" s="6">
        <v>2.99</v>
      </c>
      <c r="G94" s="6">
        <v>94.71</v>
      </c>
      <c r="H94" s="6">
        <v>39.43</v>
      </c>
      <c r="I94" s="6">
        <v>7.07</v>
      </c>
      <c r="J94" s="6">
        <v>0.11</v>
      </c>
      <c r="K94" s="6">
        <v>154.47</v>
      </c>
      <c r="L94" s="6">
        <v>18.88</v>
      </c>
      <c r="M94" s="6">
        <v>74.239999999999995</v>
      </c>
      <c r="N94" s="6">
        <v>0</v>
      </c>
      <c r="O94" s="6">
        <v>0</v>
      </c>
      <c r="P94" s="6">
        <v>0.69</v>
      </c>
      <c r="Q94" s="6">
        <v>4.83</v>
      </c>
    </row>
    <row r="95" spans="1:17" customFormat="1">
      <c r="A95" s="6" t="s">
        <v>517</v>
      </c>
      <c r="B95" s="6">
        <v>5.63</v>
      </c>
      <c r="C95" s="6">
        <v>22.98</v>
      </c>
      <c r="D95" s="6">
        <v>17.87</v>
      </c>
      <c r="E95" s="6">
        <v>6.55</v>
      </c>
      <c r="F95" s="6">
        <v>3.02</v>
      </c>
      <c r="G95" s="6">
        <v>85.89</v>
      </c>
      <c r="H95" s="6">
        <v>41.54</v>
      </c>
      <c r="I95" s="6">
        <v>7.13</v>
      </c>
      <c r="J95" s="6">
        <v>0.15</v>
      </c>
      <c r="K95" s="6">
        <v>153.91999999999999</v>
      </c>
      <c r="L95" s="6">
        <v>19.100000000000001</v>
      </c>
      <c r="M95" s="6">
        <v>71.430000000000007</v>
      </c>
      <c r="N95" s="6">
        <v>0</v>
      </c>
      <c r="O95" s="6">
        <v>0</v>
      </c>
      <c r="P95" s="6">
        <v>0.69</v>
      </c>
      <c r="Q95" s="6">
        <v>4.83</v>
      </c>
    </row>
    <row r="96" spans="1:17" customFormat="1">
      <c r="A96" s="6" t="s">
        <v>518</v>
      </c>
      <c r="B96" s="6">
        <v>5.58</v>
      </c>
      <c r="C96" s="6">
        <v>22.85</v>
      </c>
      <c r="D96" s="6">
        <v>17.760000000000002</v>
      </c>
      <c r="E96" s="6">
        <v>6.67</v>
      </c>
      <c r="F96" s="6">
        <v>3.08</v>
      </c>
      <c r="G96" s="6">
        <v>84.66</v>
      </c>
      <c r="H96" s="6">
        <v>41.54</v>
      </c>
      <c r="I96" s="6">
        <v>7.15</v>
      </c>
      <c r="J96" s="6">
        <v>0.03</v>
      </c>
      <c r="K96" s="6">
        <v>292.33</v>
      </c>
      <c r="L96" s="6">
        <v>18.71</v>
      </c>
      <c r="M96" s="6">
        <v>75.510000000000005</v>
      </c>
      <c r="N96" s="6">
        <v>0</v>
      </c>
      <c r="O96" s="6">
        <v>0</v>
      </c>
      <c r="P96" s="6">
        <v>0.68</v>
      </c>
      <c r="Q96" s="6">
        <v>4.82</v>
      </c>
    </row>
    <row r="97" spans="1:22" customFormat="1">
      <c r="A97" s="6" t="s">
        <v>519</v>
      </c>
      <c r="B97" s="6">
        <v>5.46</v>
      </c>
      <c r="C97" s="6">
        <v>22.46</v>
      </c>
      <c r="D97" s="6">
        <v>17.47</v>
      </c>
      <c r="E97" s="6">
        <v>6.98</v>
      </c>
      <c r="F97" s="6">
        <v>3.26</v>
      </c>
      <c r="G97" s="6">
        <v>84.66</v>
      </c>
      <c r="H97" s="6">
        <v>41.54</v>
      </c>
      <c r="I97" s="6">
        <v>7.14</v>
      </c>
      <c r="J97" s="6">
        <v>0.04</v>
      </c>
      <c r="K97" s="6">
        <v>304.32</v>
      </c>
      <c r="L97" s="6">
        <v>18.3</v>
      </c>
      <c r="M97" s="6">
        <v>77.14</v>
      </c>
      <c r="N97" s="6">
        <v>0</v>
      </c>
      <c r="O97" s="6">
        <v>0</v>
      </c>
      <c r="P97" s="6">
        <v>0.69</v>
      </c>
      <c r="Q97" s="6">
        <v>4.82</v>
      </c>
    </row>
    <row r="98" spans="1:22" customFormat="1">
      <c r="A98" s="6" t="s">
        <v>520</v>
      </c>
      <c r="B98" s="6">
        <v>5.35</v>
      </c>
      <c r="C98" s="6">
        <v>22.37</v>
      </c>
      <c r="D98" s="6">
        <v>17.329999999999998</v>
      </c>
      <c r="E98" s="6">
        <v>6.72</v>
      </c>
      <c r="F98" s="6">
        <v>3.1</v>
      </c>
      <c r="G98" s="6">
        <v>84.66</v>
      </c>
      <c r="H98" s="6">
        <v>41.54</v>
      </c>
      <c r="I98" s="6">
        <v>7.12</v>
      </c>
      <c r="J98" s="6">
        <v>0.08</v>
      </c>
      <c r="K98" s="6">
        <v>171.55</v>
      </c>
      <c r="L98" s="6">
        <v>18.18</v>
      </c>
      <c r="M98" s="6">
        <v>76.900000000000006</v>
      </c>
      <c r="N98" s="6">
        <v>0</v>
      </c>
      <c r="O98" s="6">
        <v>0</v>
      </c>
      <c r="P98" s="6">
        <v>0.68</v>
      </c>
      <c r="Q98" s="6">
        <v>4.8099999999999996</v>
      </c>
    </row>
    <row r="99" spans="1:22" customFormat="1">
      <c r="A99" s="6" t="s">
        <v>521</v>
      </c>
      <c r="B99" s="6">
        <v>5.36</v>
      </c>
      <c r="C99" s="6">
        <v>22.06</v>
      </c>
      <c r="D99" s="6">
        <v>17.18</v>
      </c>
      <c r="E99" s="6">
        <v>6.7</v>
      </c>
      <c r="F99" s="6">
        <v>3.12</v>
      </c>
      <c r="G99" s="6">
        <v>85.27</v>
      </c>
      <c r="H99" s="6">
        <v>40.909999999999997</v>
      </c>
      <c r="I99" s="6">
        <v>7.12</v>
      </c>
      <c r="J99" s="6">
        <v>0.08</v>
      </c>
      <c r="K99" s="6">
        <v>222.36</v>
      </c>
      <c r="L99" s="6">
        <v>17.91</v>
      </c>
      <c r="M99" s="6">
        <v>80.989999999999995</v>
      </c>
      <c r="N99" s="6">
        <v>0</v>
      </c>
      <c r="O99" s="6">
        <v>0</v>
      </c>
      <c r="P99" s="6">
        <v>0.68</v>
      </c>
      <c r="Q99" s="6">
        <v>4.79</v>
      </c>
    </row>
    <row r="100" spans="1:22" customFormat="1">
      <c r="A100" s="6" t="s">
        <v>522</v>
      </c>
      <c r="B100" s="6">
        <v>5.39</v>
      </c>
      <c r="C100" s="6">
        <v>21.63</v>
      </c>
      <c r="D100" s="6">
        <v>16.98</v>
      </c>
      <c r="E100" s="6">
        <v>6.77</v>
      </c>
      <c r="F100" s="6">
        <v>3.18</v>
      </c>
      <c r="G100" s="6">
        <v>85.35</v>
      </c>
      <c r="H100" s="6">
        <v>40.909999999999997</v>
      </c>
      <c r="I100" s="6">
        <v>7.09</v>
      </c>
      <c r="J100" s="6">
        <v>7.0000000000000007E-2</v>
      </c>
      <c r="K100" s="6">
        <v>202.26</v>
      </c>
      <c r="L100" s="6">
        <v>17.7</v>
      </c>
      <c r="M100" s="6">
        <v>82.72</v>
      </c>
      <c r="N100" s="6">
        <v>0</v>
      </c>
      <c r="O100" s="6">
        <v>0</v>
      </c>
      <c r="P100" s="6">
        <v>0.67</v>
      </c>
      <c r="Q100" s="6">
        <v>4.78</v>
      </c>
    </row>
    <row r="101" spans="1:22" customFormat="1">
      <c r="A101" s="6" t="s">
        <v>523</v>
      </c>
      <c r="B101" s="6">
        <v>5.35</v>
      </c>
      <c r="C101" s="6">
        <v>21.67</v>
      </c>
      <c r="D101" s="6">
        <v>16.96</v>
      </c>
      <c r="E101" s="6">
        <v>7.3</v>
      </c>
      <c r="F101" s="6">
        <v>3.07</v>
      </c>
      <c r="G101" s="6">
        <v>85.35</v>
      </c>
      <c r="H101" s="6">
        <v>40.909999999999997</v>
      </c>
      <c r="I101" s="6">
        <v>7.06</v>
      </c>
      <c r="J101" s="6">
        <v>0.16</v>
      </c>
      <c r="K101" s="6">
        <v>184.65</v>
      </c>
      <c r="L101" s="6">
        <v>17.47</v>
      </c>
      <c r="M101" s="6">
        <v>83.21</v>
      </c>
      <c r="N101" s="6">
        <v>0</v>
      </c>
      <c r="O101" s="6">
        <v>0</v>
      </c>
      <c r="P101" s="6">
        <v>0.66</v>
      </c>
      <c r="Q101" s="6">
        <v>4.76</v>
      </c>
    </row>
    <row r="102" spans="1:22" customFormat="1">
      <c r="A102" s="6" t="s">
        <v>524</v>
      </c>
      <c r="B102" s="6">
        <v>5.29</v>
      </c>
      <c r="C102" s="6">
        <v>21.67</v>
      </c>
      <c r="D102" s="6">
        <v>16.920000000000002</v>
      </c>
      <c r="E102" s="6">
        <v>6.91</v>
      </c>
      <c r="F102" s="6">
        <v>3.14</v>
      </c>
      <c r="G102" s="6">
        <v>85.35</v>
      </c>
      <c r="H102" s="6">
        <v>40.909999999999997</v>
      </c>
      <c r="I102" s="6">
        <v>7.02</v>
      </c>
      <c r="J102" s="6">
        <v>0.21</v>
      </c>
      <c r="K102" s="6">
        <v>167.94</v>
      </c>
      <c r="L102" s="6">
        <v>17.37</v>
      </c>
      <c r="M102" s="6">
        <v>80.959999999999994</v>
      </c>
      <c r="N102" s="6">
        <v>0</v>
      </c>
      <c r="O102" s="6">
        <v>0</v>
      </c>
      <c r="P102" s="6">
        <v>0.65</v>
      </c>
      <c r="Q102" s="6">
        <v>4.79</v>
      </c>
    </row>
    <row r="103" spans="1:22" customFormat="1">
      <c r="A103" s="6" t="s">
        <v>525</v>
      </c>
      <c r="B103" s="6">
        <v>5.29</v>
      </c>
      <c r="C103" s="6">
        <v>21.71</v>
      </c>
      <c r="D103" s="6">
        <v>16.93</v>
      </c>
      <c r="E103" s="6">
        <v>6.85</v>
      </c>
      <c r="F103" s="6">
        <v>3.19</v>
      </c>
      <c r="G103" s="6">
        <v>73.42</v>
      </c>
      <c r="H103" s="6">
        <v>39.590000000000003</v>
      </c>
      <c r="I103" s="6">
        <v>6.95</v>
      </c>
      <c r="J103" s="6">
        <v>0.34</v>
      </c>
      <c r="K103" s="6">
        <v>171.6</v>
      </c>
      <c r="L103" s="6">
        <v>17.510000000000002</v>
      </c>
      <c r="M103" s="6">
        <v>80.77</v>
      </c>
      <c r="N103" s="6">
        <v>0</v>
      </c>
      <c r="O103" s="6">
        <v>0</v>
      </c>
      <c r="P103" s="6">
        <v>0.64</v>
      </c>
      <c r="Q103" s="6">
        <v>4.7699999999999996</v>
      </c>
    </row>
    <row r="104" spans="1:22" customFormat="1">
      <c r="A104" s="6" t="s">
        <v>526</v>
      </c>
      <c r="B104" s="6">
        <v>5.39</v>
      </c>
      <c r="C104" s="6">
        <v>19.309999999999999</v>
      </c>
      <c r="D104" s="6">
        <v>15.76</v>
      </c>
      <c r="E104" s="6">
        <v>6.26</v>
      </c>
      <c r="F104" s="6">
        <v>3.46</v>
      </c>
      <c r="G104" s="6">
        <v>71.760000000000005</v>
      </c>
      <c r="H104" s="6">
        <v>39.590000000000003</v>
      </c>
      <c r="I104" s="6">
        <v>6.91</v>
      </c>
      <c r="J104" s="6">
        <v>0.3</v>
      </c>
      <c r="K104" s="6">
        <v>170.82</v>
      </c>
      <c r="L104" s="6">
        <v>17.399999999999999</v>
      </c>
      <c r="M104" s="6">
        <v>81.19</v>
      </c>
      <c r="N104" s="6">
        <v>0</v>
      </c>
      <c r="O104" s="6">
        <v>0</v>
      </c>
      <c r="P104" s="6">
        <v>0.62</v>
      </c>
      <c r="Q104" s="6">
        <v>4.75</v>
      </c>
    </row>
    <row r="106" spans="1:22">
      <c r="A106" s="156" t="s">
        <v>48</v>
      </c>
      <c r="B106" s="157">
        <f>MIN(B9:B104)</f>
        <v>4.21</v>
      </c>
      <c r="C106" s="157">
        <f>MIN(C9:C104)</f>
        <v>14.62</v>
      </c>
      <c r="D106" s="157">
        <f t="shared" ref="D106:Q106" si="0">MIN(D9:D104)</f>
        <v>13</v>
      </c>
      <c r="E106" s="157">
        <f t="shared" si="0"/>
        <v>5.05</v>
      </c>
      <c r="F106" s="157">
        <f t="shared" si="0"/>
        <v>2.42</v>
      </c>
      <c r="G106" s="157">
        <f t="shared" si="0"/>
        <v>41.3</v>
      </c>
      <c r="H106" s="157">
        <f t="shared" si="0"/>
        <v>35.61</v>
      </c>
      <c r="I106" s="157">
        <f t="shared" si="0"/>
        <v>5.51</v>
      </c>
      <c r="J106" s="157">
        <f t="shared" si="0"/>
        <v>0.03</v>
      </c>
      <c r="K106" s="157">
        <f t="shared" si="0"/>
        <v>34.880000000000003</v>
      </c>
      <c r="L106" s="157">
        <f t="shared" si="0"/>
        <v>14.75</v>
      </c>
      <c r="M106" s="157">
        <f t="shared" si="0"/>
        <v>36.880000000000003</v>
      </c>
      <c r="N106" s="157">
        <f t="shared" si="0"/>
        <v>0</v>
      </c>
      <c r="O106" s="157">
        <f t="shared" si="0"/>
        <v>0</v>
      </c>
      <c r="P106" s="157">
        <f t="shared" si="0"/>
        <v>0.52</v>
      </c>
      <c r="Q106" s="157">
        <f t="shared" si="0"/>
        <v>4.6900000000000004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20.25</v>
      </c>
      <c r="C107" s="156">
        <f t="shared" ref="C107:Q107" si="1">MAX(C9:C104)</f>
        <v>27.3</v>
      </c>
      <c r="D107" s="156">
        <f t="shared" si="1"/>
        <v>31.4</v>
      </c>
      <c r="E107" s="156">
        <f t="shared" si="1"/>
        <v>7.92</v>
      </c>
      <c r="F107" s="156">
        <f t="shared" si="1"/>
        <v>5.77</v>
      </c>
      <c r="G107" s="156">
        <f t="shared" si="1"/>
        <v>125.16</v>
      </c>
      <c r="H107" s="156">
        <f t="shared" si="1"/>
        <v>57.15</v>
      </c>
      <c r="I107" s="156">
        <f t="shared" si="1"/>
        <v>8.94</v>
      </c>
      <c r="J107" s="156">
        <f t="shared" si="1"/>
        <v>0.48</v>
      </c>
      <c r="K107" s="156">
        <f t="shared" si="1"/>
        <v>304.32</v>
      </c>
      <c r="L107" s="156">
        <f t="shared" si="1"/>
        <v>28.15</v>
      </c>
      <c r="M107" s="156">
        <f t="shared" si="1"/>
        <v>95.92</v>
      </c>
      <c r="N107" s="156">
        <f t="shared" si="1"/>
        <v>431.8</v>
      </c>
      <c r="O107" s="156">
        <f t="shared" si="1"/>
        <v>0</v>
      </c>
      <c r="P107" s="156">
        <f t="shared" si="1"/>
        <v>0.89</v>
      </c>
      <c r="Q107" s="156">
        <f t="shared" si="1"/>
        <v>5.03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7.7313541666666659</v>
      </c>
      <c r="C108" s="157">
        <f t="shared" ref="C108:Q108" si="2">AVERAGE(C9:C104)</f>
        <v>21.094895833333336</v>
      </c>
      <c r="D108" s="157">
        <f t="shared" si="2"/>
        <v>18.572812499999994</v>
      </c>
      <c r="E108" s="157">
        <f t="shared" si="2"/>
        <v>6.5437500000000002</v>
      </c>
      <c r="F108" s="157">
        <f t="shared" si="2"/>
        <v>3.2944791666666657</v>
      </c>
      <c r="G108" s="157">
        <f t="shared" si="2"/>
        <v>76.721145833333338</v>
      </c>
      <c r="H108" s="157">
        <f t="shared" si="2"/>
        <v>43.363749999999989</v>
      </c>
      <c r="I108" s="157">
        <f t="shared" si="2"/>
        <v>6.6801041666666672</v>
      </c>
      <c r="J108" s="157">
        <f t="shared" si="2"/>
        <v>0.1804166666666667</v>
      </c>
      <c r="K108" s="157">
        <f t="shared" si="2"/>
        <v>151.56135416666666</v>
      </c>
      <c r="L108" s="157">
        <f t="shared" si="2"/>
        <v>20.31697916666667</v>
      </c>
      <c r="M108" s="157">
        <f t="shared" si="2"/>
        <v>70.989687499999988</v>
      </c>
      <c r="N108" s="157">
        <f t="shared" si="2"/>
        <v>88.225000000000009</v>
      </c>
      <c r="O108" s="157">
        <f t="shared" si="2"/>
        <v>0</v>
      </c>
      <c r="P108" s="157">
        <f t="shared" si="2"/>
        <v>0.67427083333333304</v>
      </c>
      <c r="Q108" s="157">
        <f t="shared" si="2"/>
        <v>4.838750000000001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4.9127622458014324</v>
      </c>
      <c r="C109" s="157">
        <f t="shared" ref="C109:Q109" si="3">STDEV(C9:C104)</f>
        <v>3.2473004155813689</v>
      </c>
      <c r="D109" s="157">
        <f t="shared" si="3"/>
        <v>5.0546107566573326</v>
      </c>
      <c r="E109" s="157">
        <f t="shared" si="3"/>
        <v>0.65118555848463622</v>
      </c>
      <c r="F109" s="157">
        <f t="shared" si="3"/>
        <v>0.72668659688185289</v>
      </c>
      <c r="G109" s="157">
        <f t="shared" si="3"/>
        <v>23.298979551622626</v>
      </c>
      <c r="H109" s="157">
        <f t="shared" si="3"/>
        <v>6.1196059814682116</v>
      </c>
      <c r="I109" s="157">
        <f t="shared" si="3"/>
        <v>0.97044048033723818</v>
      </c>
      <c r="J109" s="157">
        <f t="shared" si="3"/>
        <v>0.10023043625005924</v>
      </c>
      <c r="K109" s="157">
        <f t="shared" si="3"/>
        <v>57.195102709378851</v>
      </c>
      <c r="L109" s="157">
        <f t="shared" si="3"/>
        <v>4.5582404545686979</v>
      </c>
      <c r="M109" s="157">
        <f t="shared" si="3"/>
        <v>20.651259243018792</v>
      </c>
      <c r="N109" s="157">
        <f t="shared" si="3"/>
        <v>144.68850971001555</v>
      </c>
      <c r="O109" s="157">
        <f t="shared" si="3"/>
        <v>0</v>
      </c>
      <c r="P109" s="157">
        <f t="shared" si="3"/>
        <v>9.7912364593812057E-2</v>
      </c>
      <c r="Q109" s="157">
        <f t="shared" si="3"/>
        <v>8.8153574128216464E-2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527</v>
      </c>
      <c r="B9" s="6">
        <v>5.18</v>
      </c>
      <c r="C9" s="6">
        <v>17.46</v>
      </c>
      <c r="D9" s="6">
        <v>14.62</v>
      </c>
      <c r="E9" s="6">
        <v>6.37</v>
      </c>
      <c r="F9" s="6">
        <v>3.32</v>
      </c>
      <c r="G9" s="6">
        <v>71.760000000000005</v>
      </c>
      <c r="H9" s="6">
        <v>39.590000000000003</v>
      </c>
      <c r="I9" s="6">
        <v>6.93</v>
      </c>
      <c r="J9" s="6">
        <v>0.11</v>
      </c>
      <c r="K9" s="6">
        <v>237.97</v>
      </c>
      <c r="L9" s="6">
        <v>17.18</v>
      </c>
      <c r="M9" s="6">
        <v>83.31</v>
      </c>
      <c r="N9" s="6">
        <v>0</v>
      </c>
      <c r="O9" s="6">
        <v>0</v>
      </c>
      <c r="P9" s="6">
        <v>0.61</v>
      </c>
      <c r="Q9" s="6">
        <v>4.76</v>
      </c>
    </row>
    <row r="10" spans="1:21" customFormat="1">
      <c r="A10" s="6" t="s">
        <v>528</v>
      </c>
      <c r="B10" s="6">
        <v>5.37</v>
      </c>
      <c r="C10" s="6">
        <v>18.75</v>
      </c>
      <c r="D10" s="6">
        <v>15.45</v>
      </c>
      <c r="E10" s="6">
        <v>6.26</v>
      </c>
      <c r="F10" s="6">
        <v>3.13</v>
      </c>
      <c r="G10" s="6">
        <v>71.760000000000005</v>
      </c>
      <c r="H10" s="6">
        <v>39.590000000000003</v>
      </c>
      <c r="I10" s="6">
        <v>6.99</v>
      </c>
      <c r="J10" s="6">
        <v>0.19</v>
      </c>
      <c r="K10" s="6">
        <v>268.19</v>
      </c>
      <c r="L10" s="6">
        <v>16.77</v>
      </c>
      <c r="M10" s="6">
        <v>85.9</v>
      </c>
      <c r="N10" s="6">
        <v>0</v>
      </c>
      <c r="O10" s="6">
        <v>0</v>
      </c>
      <c r="P10" s="6">
        <v>0.61</v>
      </c>
      <c r="Q10" s="6">
        <v>4.78</v>
      </c>
    </row>
    <row r="11" spans="1:21" customFormat="1">
      <c r="A11" s="6" t="s">
        <v>529</v>
      </c>
      <c r="B11" s="6">
        <v>5.52</v>
      </c>
      <c r="C11" s="6">
        <v>19.079999999999998</v>
      </c>
      <c r="D11" s="6">
        <v>15.75</v>
      </c>
      <c r="E11" s="6">
        <v>6.46</v>
      </c>
      <c r="F11" s="6">
        <v>2.86</v>
      </c>
      <c r="G11" s="6">
        <v>69.39</v>
      </c>
      <c r="H11" s="6">
        <v>41.59</v>
      </c>
      <c r="I11" s="6">
        <v>7.11</v>
      </c>
      <c r="J11" s="6">
        <v>0.23</v>
      </c>
      <c r="K11" s="6">
        <v>273.33</v>
      </c>
      <c r="L11" s="6">
        <v>16.48</v>
      </c>
      <c r="M11" s="6">
        <v>87.2</v>
      </c>
      <c r="N11" s="6">
        <v>0</v>
      </c>
      <c r="O11" s="6">
        <v>0</v>
      </c>
      <c r="P11" s="6">
        <v>0.61</v>
      </c>
      <c r="Q11" s="6">
        <v>4.79</v>
      </c>
    </row>
    <row r="12" spans="1:21" customFormat="1">
      <c r="A12" s="6" t="s">
        <v>530</v>
      </c>
      <c r="B12" s="6">
        <v>5.75</v>
      </c>
      <c r="C12" s="6">
        <v>18.190000000000001</v>
      </c>
      <c r="D12" s="6">
        <v>15.47</v>
      </c>
      <c r="E12" s="6">
        <v>5.98</v>
      </c>
      <c r="F12" s="6">
        <v>2.94</v>
      </c>
      <c r="G12" s="6">
        <v>69.06</v>
      </c>
      <c r="H12" s="6">
        <v>41.59</v>
      </c>
      <c r="I12" s="6">
        <v>7.22</v>
      </c>
      <c r="J12" s="6">
        <v>0.19</v>
      </c>
      <c r="K12" s="6">
        <v>264.42</v>
      </c>
      <c r="L12" s="6">
        <v>16.28</v>
      </c>
      <c r="M12" s="6">
        <v>88.41</v>
      </c>
      <c r="N12" s="6">
        <v>0</v>
      </c>
      <c r="O12" s="6">
        <v>0</v>
      </c>
      <c r="P12" s="6">
        <v>0.6</v>
      </c>
      <c r="Q12" s="6">
        <v>4.8</v>
      </c>
    </row>
    <row r="13" spans="1:21" customFormat="1">
      <c r="A13" s="6" t="s">
        <v>531</v>
      </c>
      <c r="B13" s="6">
        <v>5.92</v>
      </c>
      <c r="C13" s="6">
        <v>18.68</v>
      </c>
      <c r="D13" s="6">
        <v>15.86</v>
      </c>
      <c r="E13" s="6">
        <v>6.03</v>
      </c>
      <c r="F13" s="6">
        <v>2.69</v>
      </c>
      <c r="G13" s="6">
        <v>69.06</v>
      </c>
      <c r="H13" s="6">
        <v>41.59</v>
      </c>
      <c r="I13" s="6">
        <v>7.27</v>
      </c>
      <c r="J13" s="6">
        <v>0.02</v>
      </c>
      <c r="K13" s="6">
        <v>113.96</v>
      </c>
      <c r="L13" s="6">
        <v>16.23</v>
      </c>
      <c r="M13" s="6">
        <v>89.12</v>
      </c>
      <c r="N13" s="6">
        <v>0</v>
      </c>
      <c r="O13" s="6">
        <v>0</v>
      </c>
      <c r="P13" s="6">
        <v>0.6</v>
      </c>
      <c r="Q13" s="6">
        <v>4.8099999999999996</v>
      </c>
    </row>
    <row r="14" spans="1:21" customFormat="1">
      <c r="A14" s="6" t="s">
        <v>532</v>
      </c>
      <c r="B14" s="6">
        <v>6.21</v>
      </c>
      <c r="C14" s="6">
        <v>18.100000000000001</v>
      </c>
      <c r="D14" s="6">
        <v>15.79</v>
      </c>
      <c r="E14" s="6">
        <v>6.3</v>
      </c>
      <c r="F14" s="6">
        <v>2.68</v>
      </c>
      <c r="G14" s="6">
        <v>69.06</v>
      </c>
      <c r="H14" s="6">
        <v>41.59</v>
      </c>
      <c r="I14" s="6">
        <v>7.27</v>
      </c>
      <c r="J14" s="6">
        <v>0.12</v>
      </c>
      <c r="K14" s="6">
        <v>148.78</v>
      </c>
      <c r="L14" s="6">
        <v>16.309999999999999</v>
      </c>
      <c r="M14" s="6">
        <v>88.15</v>
      </c>
      <c r="N14" s="6">
        <v>0</v>
      </c>
      <c r="O14" s="6">
        <v>0</v>
      </c>
      <c r="P14" s="6">
        <v>0.59</v>
      </c>
      <c r="Q14" s="6">
        <v>4.82</v>
      </c>
    </row>
    <row r="15" spans="1:21" customFormat="1">
      <c r="A15" s="6" t="s">
        <v>533</v>
      </c>
      <c r="B15" s="6">
        <v>7.18</v>
      </c>
      <c r="C15" s="6">
        <v>19.7</v>
      </c>
      <c r="D15" s="6">
        <v>17.399999999999999</v>
      </c>
      <c r="E15" s="6">
        <v>7.15</v>
      </c>
      <c r="F15" s="6">
        <v>2.56</v>
      </c>
      <c r="G15" s="6">
        <v>64.27</v>
      </c>
      <c r="H15" s="6">
        <v>38.54</v>
      </c>
      <c r="I15" s="6">
        <v>7.19</v>
      </c>
      <c r="J15" s="6">
        <v>7.0000000000000007E-2</v>
      </c>
      <c r="K15" s="6">
        <v>227.92</v>
      </c>
      <c r="L15" s="6">
        <v>16.38</v>
      </c>
      <c r="M15" s="6">
        <v>87.66</v>
      </c>
      <c r="N15" s="6">
        <v>0</v>
      </c>
      <c r="O15" s="6">
        <v>0</v>
      </c>
      <c r="P15" s="6">
        <v>0.59</v>
      </c>
      <c r="Q15" s="6">
        <v>4.83</v>
      </c>
    </row>
    <row r="16" spans="1:21" customFormat="1">
      <c r="A16" s="6" t="s">
        <v>534</v>
      </c>
      <c r="B16" s="6">
        <v>7.72</v>
      </c>
      <c r="C16" s="6">
        <v>20.68</v>
      </c>
      <c r="D16" s="6">
        <v>18.350000000000001</v>
      </c>
      <c r="E16" s="6">
        <v>6.2</v>
      </c>
      <c r="F16" s="6">
        <v>2.57</v>
      </c>
      <c r="G16" s="6">
        <v>63.6</v>
      </c>
      <c r="H16" s="6">
        <v>38.54</v>
      </c>
      <c r="I16" s="6">
        <v>7.13</v>
      </c>
      <c r="J16" s="6">
        <v>0.09</v>
      </c>
      <c r="K16" s="6">
        <v>148.80000000000001</v>
      </c>
      <c r="L16" s="6">
        <v>16.29</v>
      </c>
      <c r="M16" s="6">
        <v>88.69</v>
      </c>
      <c r="N16" s="6">
        <v>0</v>
      </c>
      <c r="O16" s="6">
        <v>0</v>
      </c>
      <c r="P16" s="6">
        <v>0.59</v>
      </c>
      <c r="Q16" s="6">
        <v>4.8099999999999996</v>
      </c>
    </row>
    <row r="17" spans="1:17" customFormat="1">
      <c r="A17" s="6" t="s">
        <v>535</v>
      </c>
      <c r="B17" s="6">
        <v>8.17</v>
      </c>
      <c r="C17" s="6">
        <v>19.66</v>
      </c>
      <c r="D17" s="6">
        <v>18.18</v>
      </c>
      <c r="E17" s="6">
        <v>6.19</v>
      </c>
      <c r="F17" s="6">
        <v>2.67</v>
      </c>
      <c r="G17" s="6">
        <v>63.6</v>
      </c>
      <c r="H17" s="6">
        <v>38.54</v>
      </c>
      <c r="I17" s="6">
        <v>7.07</v>
      </c>
      <c r="J17" s="6">
        <v>0.08</v>
      </c>
      <c r="K17" s="6">
        <v>95.53</v>
      </c>
      <c r="L17" s="6">
        <v>16.170000000000002</v>
      </c>
      <c r="M17" s="6">
        <v>88.17</v>
      </c>
      <c r="N17" s="6">
        <v>0</v>
      </c>
      <c r="O17" s="6">
        <v>0</v>
      </c>
      <c r="P17" s="6">
        <v>0.56999999999999995</v>
      </c>
      <c r="Q17" s="6">
        <v>4.84</v>
      </c>
    </row>
    <row r="18" spans="1:17" customFormat="1">
      <c r="A18" s="6" t="s">
        <v>536</v>
      </c>
      <c r="B18" s="6">
        <v>9.19</v>
      </c>
      <c r="C18" s="6">
        <v>21.26</v>
      </c>
      <c r="D18" s="6">
        <v>19.829999999999998</v>
      </c>
      <c r="E18" s="6">
        <v>6.42</v>
      </c>
      <c r="F18" s="6">
        <v>2.44</v>
      </c>
      <c r="G18" s="6">
        <v>63.6</v>
      </c>
      <c r="H18" s="6">
        <v>38.54</v>
      </c>
      <c r="I18" s="6">
        <v>6.96</v>
      </c>
      <c r="J18" s="6">
        <v>0.13</v>
      </c>
      <c r="K18" s="6">
        <v>230.06</v>
      </c>
      <c r="L18" s="6">
        <v>16.100000000000001</v>
      </c>
      <c r="M18" s="6">
        <v>88.79</v>
      </c>
      <c r="N18" s="6">
        <v>0</v>
      </c>
      <c r="O18" s="6">
        <v>0</v>
      </c>
      <c r="P18" s="6">
        <v>0.57999999999999996</v>
      </c>
      <c r="Q18" s="6">
        <v>4.83</v>
      </c>
    </row>
    <row r="19" spans="1:17" customFormat="1">
      <c r="A19" s="6" t="s">
        <v>537</v>
      </c>
      <c r="B19" s="6">
        <v>10.31</v>
      </c>
      <c r="C19" s="6">
        <v>21.45</v>
      </c>
      <c r="D19" s="6">
        <v>20.83</v>
      </c>
      <c r="E19" s="6">
        <v>7.05</v>
      </c>
      <c r="F19" s="6">
        <v>2.57</v>
      </c>
      <c r="G19" s="6">
        <v>59.54</v>
      </c>
      <c r="H19" s="6">
        <v>37.020000000000003</v>
      </c>
      <c r="I19" s="6">
        <v>6.88</v>
      </c>
      <c r="J19" s="6">
        <v>0.16</v>
      </c>
      <c r="K19" s="6">
        <v>242.86</v>
      </c>
      <c r="L19" s="6">
        <v>15.83</v>
      </c>
      <c r="M19" s="6">
        <v>91.45</v>
      </c>
      <c r="N19" s="6">
        <v>0</v>
      </c>
      <c r="O19" s="6">
        <v>0</v>
      </c>
      <c r="P19" s="6">
        <v>0.56999999999999995</v>
      </c>
      <c r="Q19" s="6">
        <v>4.8499999999999996</v>
      </c>
    </row>
    <row r="20" spans="1:17" customFormat="1">
      <c r="A20" s="6" t="s">
        <v>538</v>
      </c>
      <c r="B20" s="6">
        <v>10.59</v>
      </c>
      <c r="C20" s="6">
        <v>21.96</v>
      </c>
      <c r="D20" s="6">
        <v>21.31</v>
      </c>
      <c r="E20" s="6">
        <v>6.92</v>
      </c>
      <c r="F20" s="6">
        <v>2.5499999999999998</v>
      </c>
      <c r="G20" s="6">
        <v>58.97</v>
      </c>
      <c r="H20" s="6">
        <v>37.020000000000003</v>
      </c>
      <c r="I20" s="6">
        <v>6.81</v>
      </c>
      <c r="J20" s="6">
        <v>0.1</v>
      </c>
      <c r="K20" s="6">
        <v>179.97</v>
      </c>
      <c r="L20" s="6">
        <v>15.61</v>
      </c>
      <c r="M20" s="6">
        <v>92.55</v>
      </c>
      <c r="N20" s="6">
        <v>0</v>
      </c>
      <c r="O20" s="6">
        <v>0</v>
      </c>
      <c r="P20" s="6">
        <v>0.56999999999999995</v>
      </c>
      <c r="Q20" s="6">
        <v>4.87</v>
      </c>
    </row>
    <row r="21" spans="1:17" customFormat="1">
      <c r="A21" s="6" t="s">
        <v>539</v>
      </c>
      <c r="B21" s="6">
        <v>10.62</v>
      </c>
      <c r="C21" s="6">
        <v>21.76</v>
      </c>
      <c r="D21" s="6">
        <v>21.24</v>
      </c>
      <c r="E21" s="6">
        <v>7.11</v>
      </c>
      <c r="F21" s="6">
        <v>2.58</v>
      </c>
      <c r="G21" s="6">
        <v>58.97</v>
      </c>
      <c r="H21" s="6">
        <v>37.020000000000003</v>
      </c>
      <c r="I21" s="6">
        <v>6.73</v>
      </c>
      <c r="J21" s="6">
        <v>0.03</v>
      </c>
      <c r="K21" s="6">
        <v>186.25</v>
      </c>
      <c r="L21" s="6">
        <v>15.49</v>
      </c>
      <c r="M21" s="6">
        <v>92.77</v>
      </c>
      <c r="N21" s="6">
        <v>0</v>
      </c>
      <c r="O21" s="6">
        <v>0</v>
      </c>
      <c r="P21" s="6">
        <v>0.56000000000000005</v>
      </c>
      <c r="Q21" s="6">
        <v>4.8899999999999997</v>
      </c>
    </row>
    <row r="22" spans="1:17" customFormat="1">
      <c r="A22" s="6" t="s">
        <v>540</v>
      </c>
      <c r="B22" s="6">
        <v>10.88</v>
      </c>
      <c r="C22" s="6">
        <v>21.19</v>
      </c>
      <c r="D22" s="6">
        <v>21.15</v>
      </c>
      <c r="E22" s="6">
        <v>6.77</v>
      </c>
      <c r="F22" s="6">
        <v>2.5499999999999998</v>
      </c>
      <c r="G22" s="6">
        <v>58.97</v>
      </c>
      <c r="H22" s="6">
        <v>37.020000000000003</v>
      </c>
      <c r="I22" s="6">
        <v>6.65</v>
      </c>
      <c r="J22" s="6">
        <v>0.16</v>
      </c>
      <c r="K22" s="6">
        <v>147.31</v>
      </c>
      <c r="L22" s="6">
        <v>15.52</v>
      </c>
      <c r="M22" s="6">
        <v>91.88</v>
      </c>
      <c r="N22" s="6">
        <v>0</v>
      </c>
      <c r="O22" s="6">
        <v>0</v>
      </c>
      <c r="P22" s="6">
        <v>0.56000000000000005</v>
      </c>
      <c r="Q22" s="6">
        <v>4.8899999999999997</v>
      </c>
    </row>
    <row r="23" spans="1:17" customFormat="1">
      <c r="A23" s="6" t="s">
        <v>541</v>
      </c>
      <c r="B23" s="6">
        <v>11.34</v>
      </c>
      <c r="C23" s="6">
        <v>21.97</v>
      </c>
      <c r="D23" s="6">
        <v>21.93</v>
      </c>
      <c r="E23" s="6">
        <v>6.56</v>
      </c>
      <c r="F23" s="6">
        <v>2.52</v>
      </c>
      <c r="G23" s="6">
        <v>59.57</v>
      </c>
      <c r="H23" s="6">
        <v>37.799999999999997</v>
      </c>
      <c r="I23" s="6">
        <v>6.58</v>
      </c>
      <c r="J23" s="6">
        <v>0.14000000000000001</v>
      </c>
      <c r="K23" s="6">
        <v>83.46</v>
      </c>
      <c r="L23" s="6">
        <v>15.31</v>
      </c>
      <c r="M23" s="6">
        <v>91.9</v>
      </c>
      <c r="N23" s="6">
        <v>0</v>
      </c>
      <c r="O23" s="6">
        <v>0</v>
      </c>
      <c r="P23" s="6">
        <v>0.56000000000000005</v>
      </c>
      <c r="Q23" s="6">
        <v>4.87</v>
      </c>
    </row>
    <row r="24" spans="1:17" customFormat="1">
      <c r="A24" s="6" t="s">
        <v>542</v>
      </c>
      <c r="B24" s="6">
        <v>12.94</v>
      </c>
      <c r="C24" s="6">
        <v>22.09</v>
      </c>
      <c r="D24" s="6">
        <v>23.27</v>
      </c>
      <c r="E24" s="6">
        <v>6.74</v>
      </c>
      <c r="F24" s="6">
        <v>2.56</v>
      </c>
      <c r="G24" s="6">
        <v>59.67</v>
      </c>
      <c r="H24" s="6">
        <v>37.799999999999997</v>
      </c>
      <c r="I24" s="6">
        <v>6.55</v>
      </c>
      <c r="J24" s="6">
        <v>7.0000000000000007E-2</v>
      </c>
      <c r="K24" s="6">
        <v>87.27</v>
      </c>
      <c r="L24" s="6">
        <v>15.32</v>
      </c>
      <c r="M24" s="6">
        <v>92.22</v>
      </c>
      <c r="N24" s="6">
        <v>0</v>
      </c>
      <c r="O24" s="6">
        <v>0</v>
      </c>
      <c r="P24" s="6">
        <v>0.56000000000000005</v>
      </c>
      <c r="Q24" s="6">
        <v>4.8899999999999997</v>
      </c>
    </row>
    <row r="25" spans="1:17" customFormat="1">
      <c r="A25" s="6" t="s">
        <v>543</v>
      </c>
      <c r="B25" s="6">
        <v>14.08</v>
      </c>
      <c r="C25" s="6">
        <v>22.23</v>
      </c>
      <c r="D25" s="6">
        <v>24.26</v>
      </c>
      <c r="E25" s="6">
        <v>6.95</v>
      </c>
      <c r="F25" s="6">
        <v>2.5299999999999998</v>
      </c>
      <c r="G25" s="6">
        <v>59.67</v>
      </c>
      <c r="H25" s="6">
        <v>37.799999999999997</v>
      </c>
      <c r="I25" s="6">
        <v>6.51</v>
      </c>
      <c r="J25" s="6">
        <v>0.08</v>
      </c>
      <c r="K25" s="6">
        <v>151.74</v>
      </c>
      <c r="L25" s="6">
        <v>15.38</v>
      </c>
      <c r="M25" s="6">
        <v>91.87</v>
      </c>
      <c r="N25" s="6">
        <v>0</v>
      </c>
      <c r="O25" s="6">
        <v>0</v>
      </c>
      <c r="P25" s="6">
        <v>0.56000000000000005</v>
      </c>
      <c r="Q25" s="6">
        <v>4.92</v>
      </c>
    </row>
    <row r="26" spans="1:17" customFormat="1">
      <c r="A26" s="6" t="s">
        <v>544</v>
      </c>
      <c r="B26" s="6">
        <v>14.88</v>
      </c>
      <c r="C26" s="6">
        <v>23.54</v>
      </c>
      <c r="D26" s="6">
        <v>25.58</v>
      </c>
      <c r="E26" s="6">
        <v>7.08</v>
      </c>
      <c r="F26" s="6">
        <v>2.4500000000000002</v>
      </c>
      <c r="G26" s="6">
        <v>59.67</v>
      </c>
      <c r="H26" s="6">
        <v>37.799999999999997</v>
      </c>
      <c r="I26" s="6">
        <v>6.44</v>
      </c>
      <c r="J26" s="6">
        <v>0.13</v>
      </c>
      <c r="K26" s="6">
        <v>217.57</v>
      </c>
      <c r="L26" s="6">
        <v>15.43</v>
      </c>
      <c r="M26" s="6">
        <v>92.13</v>
      </c>
      <c r="N26" s="6">
        <v>0</v>
      </c>
      <c r="O26" s="6">
        <v>0</v>
      </c>
      <c r="P26" s="6">
        <v>0.56999999999999995</v>
      </c>
      <c r="Q26" s="6">
        <v>4.93</v>
      </c>
    </row>
    <row r="27" spans="1:17" customFormat="1">
      <c r="A27" s="6" t="s">
        <v>545</v>
      </c>
      <c r="B27" s="6">
        <v>15.24</v>
      </c>
      <c r="C27" s="6">
        <v>24</v>
      </c>
      <c r="D27" s="6">
        <v>26.11</v>
      </c>
      <c r="E27" s="6">
        <v>6.99</v>
      </c>
      <c r="F27" s="6">
        <v>2.52</v>
      </c>
      <c r="G27" s="6">
        <v>58.47</v>
      </c>
      <c r="H27" s="6">
        <v>36.28</v>
      </c>
      <c r="I27" s="6">
        <v>6.42</v>
      </c>
      <c r="J27" s="6">
        <v>0.12</v>
      </c>
      <c r="K27" s="6">
        <v>225.53</v>
      </c>
      <c r="L27" s="6">
        <v>15.17</v>
      </c>
      <c r="M27" s="6">
        <v>94.03</v>
      </c>
      <c r="N27" s="6">
        <v>0</v>
      </c>
      <c r="O27" s="6">
        <v>0</v>
      </c>
      <c r="P27" s="6">
        <v>0.56999999999999995</v>
      </c>
      <c r="Q27" s="6">
        <v>4.96</v>
      </c>
    </row>
    <row r="28" spans="1:17" customFormat="1">
      <c r="A28" s="6" t="s">
        <v>546</v>
      </c>
      <c r="B28" s="6">
        <v>15.27</v>
      </c>
      <c r="C28" s="6">
        <v>23.88</v>
      </c>
      <c r="D28" s="6">
        <v>26.07</v>
      </c>
      <c r="E28" s="6">
        <v>6.85</v>
      </c>
      <c r="F28" s="6">
        <v>2.62</v>
      </c>
      <c r="G28" s="6">
        <v>58.3</v>
      </c>
      <c r="H28" s="6">
        <v>36.28</v>
      </c>
      <c r="I28" s="6">
        <v>6.39</v>
      </c>
      <c r="J28" s="6">
        <v>0.19</v>
      </c>
      <c r="K28" s="6">
        <v>191.58</v>
      </c>
      <c r="L28" s="6">
        <v>15.04</v>
      </c>
      <c r="M28" s="6">
        <v>94.49</v>
      </c>
      <c r="N28" s="6">
        <v>0</v>
      </c>
      <c r="O28" s="6">
        <v>0</v>
      </c>
      <c r="P28" s="6">
        <v>0.56000000000000005</v>
      </c>
      <c r="Q28" s="6">
        <v>4.95</v>
      </c>
    </row>
    <row r="29" spans="1:17" customFormat="1">
      <c r="A29" s="6" t="s">
        <v>547</v>
      </c>
      <c r="B29" s="6">
        <v>15</v>
      </c>
      <c r="C29" s="6">
        <v>23.85</v>
      </c>
      <c r="D29" s="6">
        <v>25.84</v>
      </c>
      <c r="E29" s="6">
        <v>7.37</v>
      </c>
      <c r="F29" s="6">
        <v>2.6</v>
      </c>
      <c r="G29" s="6">
        <v>58.3</v>
      </c>
      <c r="H29" s="6">
        <v>36.28</v>
      </c>
      <c r="I29" s="6">
        <v>6.33</v>
      </c>
      <c r="J29" s="6">
        <v>0.17</v>
      </c>
      <c r="K29" s="6">
        <v>176.56</v>
      </c>
      <c r="L29" s="6">
        <v>15.08</v>
      </c>
      <c r="M29" s="6">
        <v>92.44</v>
      </c>
      <c r="N29" s="6">
        <v>0</v>
      </c>
      <c r="O29" s="6">
        <v>0</v>
      </c>
      <c r="P29" s="6">
        <v>0.55000000000000004</v>
      </c>
      <c r="Q29" s="6">
        <v>4.9400000000000004</v>
      </c>
    </row>
    <row r="30" spans="1:17" customFormat="1">
      <c r="A30" s="6" t="s">
        <v>548</v>
      </c>
      <c r="B30" s="6">
        <v>14.66</v>
      </c>
      <c r="C30" s="6">
        <v>23.46</v>
      </c>
      <c r="D30" s="6">
        <v>25.36</v>
      </c>
      <c r="E30" s="6">
        <v>7.35</v>
      </c>
      <c r="F30" s="6">
        <v>2.67</v>
      </c>
      <c r="G30" s="6">
        <v>58.3</v>
      </c>
      <c r="H30" s="6">
        <v>36.28</v>
      </c>
      <c r="I30" s="6">
        <v>6.27</v>
      </c>
      <c r="J30" s="6">
        <v>0.08</v>
      </c>
      <c r="K30" s="6">
        <v>108.66</v>
      </c>
      <c r="L30" s="6">
        <v>14.71</v>
      </c>
      <c r="M30" s="6">
        <v>93.32</v>
      </c>
      <c r="N30" s="6">
        <v>0</v>
      </c>
      <c r="O30" s="6">
        <v>0</v>
      </c>
      <c r="P30" s="6">
        <v>0.55000000000000004</v>
      </c>
      <c r="Q30" s="6">
        <v>4.9400000000000004</v>
      </c>
    </row>
    <row r="31" spans="1:17" customFormat="1">
      <c r="A31" s="6" t="s">
        <v>549</v>
      </c>
      <c r="B31" s="6">
        <v>15.5</v>
      </c>
      <c r="C31" s="6">
        <v>23.42</v>
      </c>
      <c r="D31" s="6">
        <v>26.02</v>
      </c>
      <c r="E31" s="6">
        <v>7.5</v>
      </c>
      <c r="F31" s="6">
        <v>2.62</v>
      </c>
      <c r="G31" s="6">
        <v>53.71</v>
      </c>
      <c r="H31" s="6">
        <v>35.450000000000003</v>
      </c>
      <c r="I31" s="6">
        <v>6.23</v>
      </c>
      <c r="J31" s="6">
        <v>0.16</v>
      </c>
      <c r="K31" s="6">
        <v>154.53</v>
      </c>
      <c r="L31" s="6">
        <v>14.76</v>
      </c>
      <c r="M31" s="6">
        <v>93.11</v>
      </c>
      <c r="N31" s="6">
        <v>0</v>
      </c>
      <c r="O31" s="6">
        <v>0</v>
      </c>
      <c r="P31" s="6">
        <v>0.54</v>
      </c>
      <c r="Q31" s="6">
        <v>4.96</v>
      </c>
    </row>
    <row r="32" spans="1:17" customFormat="1">
      <c r="A32" s="6" t="s">
        <v>550</v>
      </c>
      <c r="B32" s="6">
        <v>17.87</v>
      </c>
      <c r="C32" s="6">
        <v>23.75</v>
      </c>
      <c r="D32" s="6">
        <v>28.09</v>
      </c>
      <c r="E32" s="6">
        <v>7.29</v>
      </c>
      <c r="F32" s="6">
        <v>2.4500000000000002</v>
      </c>
      <c r="G32" s="6">
        <v>53.01</v>
      </c>
      <c r="H32" s="6">
        <v>35.450000000000003</v>
      </c>
      <c r="I32" s="6">
        <v>6.18</v>
      </c>
      <c r="J32" s="6">
        <v>0.17</v>
      </c>
      <c r="K32" s="6">
        <v>153.07</v>
      </c>
      <c r="L32" s="6">
        <v>14.8</v>
      </c>
      <c r="M32" s="6">
        <v>93.89</v>
      </c>
      <c r="N32" s="6">
        <v>0</v>
      </c>
      <c r="O32" s="6">
        <v>0</v>
      </c>
      <c r="P32" s="6">
        <v>0.55000000000000004</v>
      </c>
      <c r="Q32" s="6">
        <v>4.97</v>
      </c>
    </row>
    <row r="33" spans="1:17" customFormat="1">
      <c r="A33" s="6" t="s">
        <v>551</v>
      </c>
      <c r="B33" s="6">
        <v>18.579999999999998</v>
      </c>
      <c r="C33" s="6">
        <v>23.78</v>
      </c>
      <c r="D33" s="6">
        <v>28.68</v>
      </c>
      <c r="E33" s="6">
        <v>7.51</v>
      </c>
      <c r="F33" s="6">
        <v>2.5</v>
      </c>
      <c r="G33" s="6">
        <v>53.01</v>
      </c>
      <c r="H33" s="6">
        <v>35.450000000000003</v>
      </c>
      <c r="I33" s="6">
        <v>6.16</v>
      </c>
      <c r="J33" s="6">
        <v>0.12</v>
      </c>
      <c r="K33" s="6">
        <v>118.09</v>
      </c>
      <c r="L33" s="6">
        <v>14.83</v>
      </c>
      <c r="M33" s="6">
        <v>93.09</v>
      </c>
      <c r="N33" s="6">
        <v>0</v>
      </c>
      <c r="O33" s="6">
        <v>0</v>
      </c>
      <c r="P33" s="6">
        <v>0.55000000000000004</v>
      </c>
      <c r="Q33" s="6">
        <v>4.96</v>
      </c>
    </row>
    <row r="34" spans="1:17" customFormat="1">
      <c r="A34" s="6" t="s">
        <v>552</v>
      </c>
      <c r="B34" s="6">
        <v>19.739999999999998</v>
      </c>
      <c r="C34" s="6">
        <v>24.23</v>
      </c>
      <c r="D34" s="6">
        <v>29.84</v>
      </c>
      <c r="E34" s="6">
        <v>6.99</v>
      </c>
      <c r="F34" s="6">
        <v>2.56</v>
      </c>
      <c r="G34" s="6">
        <v>53.01</v>
      </c>
      <c r="H34" s="6">
        <v>35.450000000000003</v>
      </c>
      <c r="I34" s="6">
        <v>6.16</v>
      </c>
      <c r="J34" s="6">
        <v>7.0000000000000007E-2</v>
      </c>
      <c r="K34" s="6">
        <v>115.19</v>
      </c>
      <c r="L34" s="6">
        <v>14.73</v>
      </c>
      <c r="M34" s="6">
        <v>93.21</v>
      </c>
      <c r="N34" s="6">
        <v>0</v>
      </c>
      <c r="O34" s="6">
        <v>0</v>
      </c>
      <c r="P34" s="6">
        <v>0.55000000000000004</v>
      </c>
      <c r="Q34" s="6">
        <v>4.9800000000000004</v>
      </c>
    </row>
    <row r="35" spans="1:17" customFormat="1">
      <c r="A35" s="6" t="s">
        <v>553</v>
      </c>
      <c r="B35" s="6">
        <v>23.87</v>
      </c>
      <c r="C35" s="6">
        <v>25.18</v>
      </c>
      <c r="D35" s="6">
        <v>33.65</v>
      </c>
      <c r="E35" s="6">
        <v>6.89</v>
      </c>
      <c r="F35" s="6">
        <v>2.6</v>
      </c>
      <c r="G35" s="6">
        <v>57.38</v>
      </c>
      <c r="H35" s="6">
        <v>33.97</v>
      </c>
      <c r="I35" s="6">
        <v>6.16</v>
      </c>
      <c r="J35" s="6">
        <v>0.04</v>
      </c>
      <c r="K35" s="6">
        <v>84.63</v>
      </c>
      <c r="L35" s="6">
        <v>14.76</v>
      </c>
      <c r="M35" s="6">
        <v>93.65</v>
      </c>
      <c r="N35" s="6">
        <v>0</v>
      </c>
      <c r="O35" s="6">
        <v>0</v>
      </c>
      <c r="P35" s="6">
        <v>0.56999999999999995</v>
      </c>
      <c r="Q35" s="6">
        <v>5.03</v>
      </c>
    </row>
    <row r="36" spans="1:17" customFormat="1">
      <c r="A36" s="6" t="s">
        <v>554</v>
      </c>
      <c r="B36" s="6">
        <v>28.18</v>
      </c>
      <c r="C36" s="6">
        <v>25.89</v>
      </c>
      <c r="D36" s="6">
        <v>37.479999999999997</v>
      </c>
      <c r="E36" s="6">
        <v>7.23</v>
      </c>
      <c r="F36" s="6">
        <v>2.5</v>
      </c>
      <c r="G36" s="6">
        <v>57.99</v>
      </c>
      <c r="H36" s="6">
        <v>33.97</v>
      </c>
      <c r="I36" s="6">
        <v>6.18</v>
      </c>
      <c r="J36" s="6">
        <v>0.28000000000000003</v>
      </c>
      <c r="K36" s="6">
        <v>38.96</v>
      </c>
      <c r="L36" s="6">
        <v>14.9</v>
      </c>
      <c r="M36" s="6">
        <v>93.69</v>
      </c>
      <c r="N36" s="6">
        <v>1.8</v>
      </c>
      <c r="O36" s="6">
        <v>0</v>
      </c>
      <c r="P36" s="6">
        <v>0.6</v>
      </c>
      <c r="Q36" s="6">
        <v>5.08</v>
      </c>
    </row>
    <row r="37" spans="1:17" customFormat="1">
      <c r="A37" s="6" t="s">
        <v>555</v>
      </c>
      <c r="B37" s="6">
        <v>30.66</v>
      </c>
      <c r="C37" s="6">
        <v>26.53</v>
      </c>
      <c r="D37" s="6">
        <v>39.799999999999997</v>
      </c>
      <c r="E37" s="6">
        <v>7.59</v>
      </c>
      <c r="F37" s="6">
        <v>2.61</v>
      </c>
      <c r="G37" s="6">
        <v>57.99</v>
      </c>
      <c r="H37" s="6">
        <v>33.97</v>
      </c>
      <c r="I37" s="6">
        <v>6.33</v>
      </c>
      <c r="J37" s="6">
        <v>0.21</v>
      </c>
      <c r="K37" s="6">
        <v>39.35</v>
      </c>
      <c r="L37" s="6">
        <v>15.26</v>
      </c>
      <c r="M37" s="6">
        <v>92.78</v>
      </c>
      <c r="N37" s="6">
        <v>10</v>
      </c>
      <c r="O37" s="6">
        <v>0</v>
      </c>
      <c r="P37" s="6">
        <v>0.63</v>
      </c>
      <c r="Q37" s="6">
        <v>5.13</v>
      </c>
    </row>
    <row r="38" spans="1:17" customFormat="1">
      <c r="A38" s="6" t="s">
        <v>556</v>
      </c>
      <c r="B38" s="6">
        <v>33.33</v>
      </c>
      <c r="C38" s="6">
        <v>27.14</v>
      </c>
      <c r="D38" s="6">
        <v>42.26</v>
      </c>
      <c r="E38" s="6">
        <v>7.86</v>
      </c>
      <c r="F38" s="6">
        <v>2.6</v>
      </c>
      <c r="G38" s="6">
        <v>57.99</v>
      </c>
      <c r="H38" s="6">
        <v>33.97</v>
      </c>
      <c r="I38" s="6">
        <v>6.63</v>
      </c>
      <c r="J38" s="6">
        <v>0.38</v>
      </c>
      <c r="K38" s="6">
        <v>50.78</v>
      </c>
      <c r="L38" s="6">
        <v>15.62</v>
      </c>
      <c r="M38" s="6">
        <v>91.11</v>
      </c>
      <c r="N38" s="6">
        <v>21.1</v>
      </c>
      <c r="O38" s="6">
        <v>0</v>
      </c>
      <c r="P38" s="6">
        <v>0.69</v>
      </c>
      <c r="Q38" s="6">
        <v>5.13</v>
      </c>
    </row>
    <row r="39" spans="1:17" customFormat="1">
      <c r="A39" s="6" t="s">
        <v>557</v>
      </c>
      <c r="B39" s="6">
        <v>35.06</v>
      </c>
      <c r="C39" s="6">
        <v>28.3</v>
      </c>
      <c r="D39" s="6">
        <v>44.25</v>
      </c>
      <c r="E39" s="6">
        <v>7.49</v>
      </c>
      <c r="F39" s="6">
        <v>2.61</v>
      </c>
      <c r="G39" s="6">
        <v>82.78</v>
      </c>
      <c r="H39" s="6">
        <v>44.15</v>
      </c>
      <c r="I39" s="6">
        <v>7.17</v>
      </c>
      <c r="J39" s="6">
        <v>0.43</v>
      </c>
      <c r="K39" s="6">
        <v>51.08</v>
      </c>
      <c r="L39" s="6">
        <v>15.92</v>
      </c>
      <c r="M39" s="6">
        <v>88.94</v>
      </c>
      <c r="N39" s="6">
        <v>34.1</v>
      </c>
      <c r="O39" s="6">
        <v>0</v>
      </c>
      <c r="P39" s="6">
        <v>0.75</v>
      </c>
      <c r="Q39" s="6">
        <v>5.16</v>
      </c>
    </row>
    <row r="40" spans="1:17" customFormat="1">
      <c r="A40" s="6" t="s">
        <v>558</v>
      </c>
      <c r="B40" s="6">
        <v>35.909999999999997</v>
      </c>
      <c r="C40" s="6">
        <v>29.15</v>
      </c>
      <c r="D40" s="6">
        <v>45.38</v>
      </c>
      <c r="E40" s="6">
        <v>7.72</v>
      </c>
      <c r="F40" s="6">
        <v>2.5499999999999998</v>
      </c>
      <c r="G40" s="6">
        <v>86.23</v>
      </c>
      <c r="H40" s="6">
        <v>44.15</v>
      </c>
      <c r="I40" s="6">
        <v>7.92</v>
      </c>
      <c r="J40" s="6">
        <v>0.28999999999999998</v>
      </c>
      <c r="K40" s="6">
        <v>52.19</v>
      </c>
      <c r="L40" s="6">
        <v>16.34</v>
      </c>
      <c r="M40" s="6">
        <v>87.7</v>
      </c>
      <c r="N40" s="6">
        <v>47.7</v>
      </c>
      <c r="O40" s="6">
        <v>0</v>
      </c>
      <c r="P40" s="6">
        <v>0.79</v>
      </c>
      <c r="Q40" s="6">
        <v>5.21</v>
      </c>
    </row>
    <row r="41" spans="1:17" customFormat="1">
      <c r="A41" s="6" t="s">
        <v>559</v>
      </c>
      <c r="B41" s="6">
        <v>36.119999999999997</v>
      </c>
      <c r="C41" s="6">
        <v>29.87</v>
      </c>
      <c r="D41" s="6">
        <v>45.92</v>
      </c>
      <c r="E41" s="6">
        <v>8.07</v>
      </c>
      <c r="F41" s="6">
        <v>2.5</v>
      </c>
      <c r="G41" s="6">
        <v>86.23</v>
      </c>
      <c r="H41" s="6">
        <v>44.15</v>
      </c>
      <c r="I41" s="6">
        <v>8.58</v>
      </c>
      <c r="J41" s="6">
        <v>0.39</v>
      </c>
      <c r="K41" s="6">
        <v>54.62</v>
      </c>
      <c r="L41" s="6">
        <v>17.010000000000002</v>
      </c>
      <c r="M41" s="6">
        <v>85.34</v>
      </c>
      <c r="N41" s="6">
        <v>99.9</v>
      </c>
      <c r="O41" s="6">
        <v>0</v>
      </c>
      <c r="P41" s="6">
        <v>0.83</v>
      </c>
      <c r="Q41" s="6">
        <v>5.22</v>
      </c>
    </row>
    <row r="42" spans="1:17" customFormat="1">
      <c r="A42" s="6" t="s">
        <v>560</v>
      </c>
      <c r="B42" s="6">
        <v>35.25</v>
      </c>
      <c r="C42" s="6">
        <v>31.31</v>
      </c>
      <c r="D42" s="6">
        <v>45.97</v>
      </c>
      <c r="E42" s="6">
        <v>7.85</v>
      </c>
      <c r="F42" s="6">
        <v>2.5499999999999998</v>
      </c>
      <c r="G42" s="6">
        <v>86.23</v>
      </c>
      <c r="H42" s="6">
        <v>44.15</v>
      </c>
      <c r="I42" s="6">
        <v>9.06</v>
      </c>
      <c r="J42" s="6">
        <v>0.42</v>
      </c>
      <c r="K42" s="6">
        <v>57.31</v>
      </c>
      <c r="L42" s="6">
        <v>17.95</v>
      </c>
      <c r="M42" s="6">
        <v>82.04</v>
      </c>
      <c r="N42" s="6">
        <v>137.69999999999999</v>
      </c>
      <c r="O42" s="6">
        <v>0</v>
      </c>
      <c r="P42" s="6">
        <v>0.84</v>
      </c>
      <c r="Q42" s="6">
        <v>5.2</v>
      </c>
    </row>
    <row r="43" spans="1:17" customFormat="1">
      <c r="A43" s="6" t="s">
        <v>561</v>
      </c>
      <c r="B43" s="6">
        <v>34.229999999999997</v>
      </c>
      <c r="C43" s="6">
        <v>31.84</v>
      </c>
      <c r="D43" s="6">
        <v>45.44</v>
      </c>
      <c r="E43" s="6">
        <v>7.85</v>
      </c>
      <c r="F43" s="6">
        <v>2.63</v>
      </c>
      <c r="G43" s="6">
        <v>110.05</v>
      </c>
      <c r="H43" s="6">
        <v>53.81</v>
      </c>
      <c r="I43" s="6">
        <v>9.33</v>
      </c>
      <c r="J43" s="6">
        <v>0.35</v>
      </c>
      <c r="K43" s="6">
        <v>79.31</v>
      </c>
      <c r="L43" s="6">
        <v>18.940000000000001</v>
      </c>
      <c r="M43" s="6">
        <v>78.150000000000006</v>
      </c>
      <c r="N43" s="6">
        <v>165.4</v>
      </c>
      <c r="O43" s="6">
        <v>0</v>
      </c>
      <c r="P43" s="6">
        <v>0.86</v>
      </c>
      <c r="Q43" s="6">
        <v>5.21</v>
      </c>
    </row>
    <row r="44" spans="1:17" customFormat="1">
      <c r="A44" s="6" t="s">
        <v>562</v>
      </c>
      <c r="B44" s="6">
        <v>32.520000000000003</v>
      </c>
      <c r="C44" s="6">
        <v>31.08</v>
      </c>
      <c r="D44" s="6">
        <v>43.67</v>
      </c>
      <c r="E44" s="6">
        <v>7.8</v>
      </c>
      <c r="F44" s="6">
        <v>2.61</v>
      </c>
      <c r="G44" s="6">
        <v>113.71</v>
      </c>
      <c r="H44" s="6">
        <v>53.81</v>
      </c>
      <c r="I44" s="6">
        <v>9.43</v>
      </c>
      <c r="J44" s="6">
        <v>0.24</v>
      </c>
      <c r="K44" s="6">
        <v>113.38</v>
      </c>
      <c r="L44" s="6">
        <v>19.96</v>
      </c>
      <c r="M44" s="6">
        <v>73.81</v>
      </c>
      <c r="N44" s="6">
        <v>189.1</v>
      </c>
      <c r="O44" s="6">
        <v>0</v>
      </c>
      <c r="P44" s="6">
        <v>0.87</v>
      </c>
      <c r="Q44" s="6">
        <v>5.18</v>
      </c>
    </row>
    <row r="45" spans="1:17" customFormat="1">
      <c r="A45" s="6" t="s">
        <v>563</v>
      </c>
      <c r="B45" s="6">
        <v>30.01</v>
      </c>
      <c r="C45" s="6">
        <v>30.8</v>
      </c>
      <c r="D45" s="6">
        <v>41.52</v>
      </c>
      <c r="E45" s="6">
        <v>7.39</v>
      </c>
      <c r="F45" s="6">
        <v>2.68</v>
      </c>
      <c r="G45" s="6">
        <v>113.71</v>
      </c>
      <c r="H45" s="6">
        <v>53.81</v>
      </c>
      <c r="I45" s="6">
        <v>9.52</v>
      </c>
      <c r="J45" s="6">
        <v>0.25</v>
      </c>
      <c r="K45" s="6">
        <v>133.30000000000001</v>
      </c>
      <c r="L45" s="6">
        <v>21.24</v>
      </c>
      <c r="M45" s="6">
        <v>68.59</v>
      </c>
      <c r="N45" s="6">
        <v>150.9</v>
      </c>
      <c r="O45" s="6">
        <v>0</v>
      </c>
      <c r="P45" s="6">
        <v>0.87</v>
      </c>
      <c r="Q45" s="6">
        <v>5.15</v>
      </c>
    </row>
    <row r="46" spans="1:17" customFormat="1">
      <c r="A46" s="6" t="s">
        <v>564</v>
      </c>
      <c r="B46" s="6">
        <v>27.75</v>
      </c>
      <c r="C46" s="6">
        <v>30.93</v>
      </c>
      <c r="D46" s="6">
        <v>39.76</v>
      </c>
      <c r="E46" s="6">
        <v>6.96</v>
      </c>
      <c r="F46" s="6">
        <v>2.7</v>
      </c>
      <c r="G46" s="6">
        <v>113.71</v>
      </c>
      <c r="H46" s="6">
        <v>53.81</v>
      </c>
      <c r="I46" s="6">
        <v>9.61</v>
      </c>
      <c r="J46" s="6">
        <v>0.16</v>
      </c>
      <c r="K46" s="6">
        <v>156.75</v>
      </c>
      <c r="L46" s="6">
        <v>22.24</v>
      </c>
      <c r="M46" s="6">
        <v>64.77</v>
      </c>
      <c r="N46" s="6">
        <v>120.3</v>
      </c>
      <c r="O46" s="6">
        <v>0</v>
      </c>
      <c r="P46" s="6">
        <v>0.87</v>
      </c>
      <c r="Q46" s="6">
        <v>5.0999999999999996</v>
      </c>
    </row>
    <row r="47" spans="1:17" customFormat="1">
      <c r="A47" s="6" t="s">
        <v>565</v>
      </c>
      <c r="B47" s="6">
        <v>26.38</v>
      </c>
      <c r="C47" s="6">
        <v>28.27</v>
      </c>
      <c r="D47" s="6">
        <v>37.28</v>
      </c>
      <c r="E47" s="6">
        <v>7.57</v>
      </c>
      <c r="F47" s="6">
        <v>2.94</v>
      </c>
      <c r="G47" s="6">
        <v>124.41</v>
      </c>
      <c r="H47" s="6">
        <v>55.61</v>
      </c>
      <c r="I47" s="6">
        <v>9.74</v>
      </c>
      <c r="J47" s="6">
        <v>0.24</v>
      </c>
      <c r="K47" s="6">
        <v>135.24</v>
      </c>
      <c r="L47" s="6">
        <v>22.81</v>
      </c>
      <c r="M47" s="6">
        <v>62.23</v>
      </c>
      <c r="N47" s="6">
        <v>131.5</v>
      </c>
      <c r="O47" s="6">
        <v>0</v>
      </c>
      <c r="P47" s="6">
        <v>0.87</v>
      </c>
      <c r="Q47" s="6">
        <v>5.08</v>
      </c>
    </row>
    <row r="48" spans="1:17" customFormat="1">
      <c r="A48" s="6" t="s">
        <v>566</v>
      </c>
      <c r="B48" s="6">
        <v>25.12</v>
      </c>
      <c r="C48" s="6">
        <v>25.56</v>
      </c>
      <c r="D48" s="6">
        <v>34.85</v>
      </c>
      <c r="E48" s="6">
        <v>7.51</v>
      </c>
      <c r="F48" s="6">
        <v>2.95</v>
      </c>
      <c r="G48" s="6">
        <v>125.9</v>
      </c>
      <c r="H48" s="6">
        <v>55.61</v>
      </c>
      <c r="I48" s="6">
        <v>9.74</v>
      </c>
      <c r="J48" s="6">
        <v>0.28000000000000003</v>
      </c>
      <c r="K48" s="6">
        <v>302.61</v>
      </c>
      <c r="L48" s="6">
        <v>23.23</v>
      </c>
      <c r="M48" s="6">
        <v>60.36</v>
      </c>
      <c r="N48" s="6">
        <v>184.3</v>
      </c>
      <c r="O48" s="6">
        <v>0</v>
      </c>
      <c r="P48" s="6">
        <v>0.84</v>
      </c>
      <c r="Q48" s="6">
        <v>5.08</v>
      </c>
    </row>
    <row r="49" spans="1:17" customFormat="1">
      <c r="A49" s="6" t="s">
        <v>567</v>
      </c>
      <c r="B49" s="6">
        <v>23.96</v>
      </c>
      <c r="C49" s="6">
        <v>24.4</v>
      </c>
      <c r="D49" s="6">
        <v>33.32</v>
      </c>
      <c r="E49" s="6">
        <v>6.78</v>
      </c>
      <c r="F49" s="6">
        <v>2.9</v>
      </c>
      <c r="G49" s="6">
        <v>125.9</v>
      </c>
      <c r="H49" s="6">
        <v>55.61</v>
      </c>
      <c r="I49" s="6">
        <v>9.6199999999999992</v>
      </c>
      <c r="J49" s="6">
        <v>0.06</v>
      </c>
      <c r="K49" s="6">
        <v>232.71</v>
      </c>
      <c r="L49" s="6">
        <v>23.74</v>
      </c>
      <c r="M49" s="6">
        <v>57.1</v>
      </c>
      <c r="N49" s="6">
        <v>308.60000000000002</v>
      </c>
      <c r="O49" s="6">
        <v>0</v>
      </c>
      <c r="P49" s="6">
        <v>0.82</v>
      </c>
      <c r="Q49" s="6">
        <v>5.07</v>
      </c>
    </row>
    <row r="50" spans="1:17" customFormat="1">
      <c r="A50" s="6" t="s">
        <v>568</v>
      </c>
      <c r="B50" s="6">
        <v>22.65</v>
      </c>
      <c r="C50" s="6">
        <v>24.63</v>
      </c>
      <c r="D50" s="6">
        <v>32.380000000000003</v>
      </c>
      <c r="E50" s="6">
        <v>7.38</v>
      </c>
      <c r="F50" s="6">
        <v>2.98</v>
      </c>
      <c r="G50" s="6">
        <v>125.9</v>
      </c>
      <c r="H50" s="6">
        <v>55.61</v>
      </c>
      <c r="I50" s="6">
        <v>9.49</v>
      </c>
      <c r="J50" s="6">
        <v>0.22</v>
      </c>
      <c r="K50" s="6">
        <v>35.880000000000003</v>
      </c>
      <c r="L50" s="6">
        <v>24.07</v>
      </c>
      <c r="M50" s="6">
        <v>56.04</v>
      </c>
      <c r="N50" s="6">
        <v>333.6</v>
      </c>
      <c r="O50" s="6">
        <v>0</v>
      </c>
      <c r="P50" s="6">
        <v>0.82</v>
      </c>
      <c r="Q50" s="6">
        <v>5.0599999999999996</v>
      </c>
    </row>
    <row r="51" spans="1:17" customFormat="1">
      <c r="A51" s="6" t="s">
        <v>569</v>
      </c>
      <c r="B51" s="6">
        <v>21.6</v>
      </c>
      <c r="C51" s="6">
        <v>24.05</v>
      </c>
      <c r="D51" s="6">
        <v>31.24</v>
      </c>
      <c r="E51" s="6">
        <v>7.42</v>
      </c>
      <c r="F51" s="6">
        <v>2.91</v>
      </c>
      <c r="G51" s="6">
        <v>105.56</v>
      </c>
      <c r="H51" s="6">
        <v>50.01</v>
      </c>
      <c r="I51" s="6">
        <v>9.35</v>
      </c>
      <c r="J51" s="6">
        <v>0.34</v>
      </c>
      <c r="K51" s="6">
        <v>10.119999999999999</v>
      </c>
      <c r="L51" s="6">
        <v>24.46</v>
      </c>
      <c r="M51" s="6">
        <v>54.92</v>
      </c>
      <c r="N51" s="6">
        <v>351.2</v>
      </c>
      <c r="O51" s="6">
        <v>0</v>
      </c>
      <c r="P51" s="6">
        <v>0.82</v>
      </c>
      <c r="Q51" s="6">
        <v>5.07</v>
      </c>
    </row>
    <row r="52" spans="1:17" customFormat="1">
      <c r="A52" s="6" t="s">
        <v>570</v>
      </c>
      <c r="B52" s="6">
        <v>20.77</v>
      </c>
      <c r="C52" s="6">
        <v>23.53</v>
      </c>
      <c r="D52" s="6">
        <v>30.3</v>
      </c>
      <c r="E52" s="6">
        <v>7.62</v>
      </c>
      <c r="F52" s="6">
        <v>2.93</v>
      </c>
      <c r="G52" s="6">
        <v>102.73</v>
      </c>
      <c r="H52" s="6">
        <v>50.01</v>
      </c>
      <c r="I52" s="6">
        <v>9.2200000000000006</v>
      </c>
      <c r="J52" s="6">
        <v>0.41</v>
      </c>
      <c r="K52" s="6">
        <v>22.16</v>
      </c>
      <c r="L52" s="6">
        <v>24.88</v>
      </c>
      <c r="M52" s="6">
        <v>54.87</v>
      </c>
      <c r="N52" s="6">
        <v>359.4</v>
      </c>
      <c r="O52" s="6">
        <v>0</v>
      </c>
      <c r="P52" s="6">
        <v>0.82</v>
      </c>
      <c r="Q52" s="6">
        <v>5.08</v>
      </c>
    </row>
    <row r="53" spans="1:17" customFormat="1">
      <c r="A53" s="6" t="s">
        <v>571</v>
      </c>
      <c r="B53" s="6">
        <v>19.940000000000001</v>
      </c>
      <c r="C53" s="6">
        <v>23.28</v>
      </c>
      <c r="D53" s="6">
        <v>29.5</v>
      </c>
      <c r="E53" s="6">
        <v>7.02</v>
      </c>
      <c r="F53" s="6">
        <v>2.98</v>
      </c>
      <c r="G53" s="6">
        <v>102.73</v>
      </c>
      <c r="H53" s="6">
        <v>50.01</v>
      </c>
      <c r="I53" s="6">
        <v>9.1300000000000008</v>
      </c>
      <c r="J53" s="6">
        <v>0.46</v>
      </c>
      <c r="K53" s="6">
        <v>15.05</v>
      </c>
      <c r="L53" s="6">
        <v>25.05</v>
      </c>
      <c r="M53" s="6">
        <v>53.51</v>
      </c>
      <c r="N53" s="6">
        <v>353.3</v>
      </c>
      <c r="O53" s="6">
        <v>0</v>
      </c>
      <c r="P53" s="6">
        <v>0.81</v>
      </c>
      <c r="Q53" s="6">
        <v>5.05</v>
      </c>
    </row>
    <row r="54" spans="1:17" customFormat="1">
      <c r="A54" s="6" t="s">
        <v>572</v>
      </c>
      <c r="B54" s="6">
        <v>18.72</v>
      </c>
      <c r="C54" s="6">
        <v>23.21</v>
      </c>
      <c r="D54" s="6">
        <v>28.48</v>
      </c>
      <c r="E54" s="6">
        <v>7.14</v>
      </c>
      <c r="F54" s="6">
        <v>2.98</v>
      </c>
      <c r="G54" s="6">
        <v>102.73</v>
      </c>
      <c r="H54" s="6">
        <v>50.01</v>
      </c>
      <c r="I54" s="6">
        <v>9.06</v>
      </c>
      <c r="J54" s="6">
        <v>0.46</v>
      </c>
      <c r="K54" s="6">
        <v>19.07</v>
      </c>
      <c r="L54" s="6">
        <v>25.57</v>
      </c>
      <c r="M54" s="6">
        <v>50.24</v>
      </c>
      <c r="N54" s="6">
        <v>395.6</v>
      </c>
      <c r="O54" s="6">
        <v>0</v>
      </c>
      <c r="P54" s="6">
        <v>0.8</v>
      </c>
      <c r="Q54" s="6">
        <v>5.01</v>
      </c>
    </row>
    <row r="55" spans="1:17" customFormat="1">
      <c r="A55" s="6" t="s">
        <v>573</v>
      </c>
      <c r="B55" s="6">
        <v>17.45</v>
      </c>
      <c r="C55" s="6">
        <v>24.7</v>
      </c>
      <c r="D55" s="6">
        <v>28.25</v>
      </c>
      <c r="E55" s="6">
        <v>7.83</v>
      </c>
      <c r="F55" s="6">
        <v>2.99</v>
      </c>
      <c r="G55" s="6">
        <v>107.64</v>
      </c>
      <c r="H55" s="6">
        <v>47.03</v>
      </c>
      <c r="I55" s="6">
        <v>8.99</v>
      </c>
      <c r="J55" s="6">
        <v>0.35</v>
      </c>
      <c r="K55" s="6">
        <v>8.2100000000000009</v>
      </c>
      <c r="L55" s="6">
        <v>26.01</v>
      </c>
      <c r="M55" s="6">
        <v>49.39</v>
      </c>
      <c r="N55" s="6">
        <v>389.6</v>
      </c>
      <c r="O55" s="6">
        <v>0</v>
      </c>
      <c r="P55" s="6">
        <v>0.8</v>
      </c>
      <c r="Q55" s="6">
        <v>5</v>
      </c>
    </row>
    <row r="56" spans="1:17" customFormat="1">
      <c r="A56" s="6" t="s">
        <v>574</v>
      </c>
      <c r="B56" s="6">
        <v>16.36</v>
      </c>
      <c r="C56" s="6">
        <v>24.84</v>
      </c>
      <c r="D56" s="6">
        <v>27.45</v>
      </c>
      <c r="E56" s="6">
        <v>7.56</v>
      </c>
      <c r="F56" s="6">
        <v>3.05</v>
      </c>
      <c r="G56" s="6">
        <v>108.33</v>
      </c>
      <c r="H56" s="6">
        <v>47.03</v>
      </c>
      <c r="I56" s="6">
        <v>8.91</v>
      </c>
      <c r="J56" s="6">
        <v>0.28000000000000003</v>
      </c>
      <c r="K56" s="6">
        <v>44.74</v>
      </c>
      <c r="L56" s="6">
        <v>26.08</v>
      </c>
      <c r="M56" s="6">
        <v>48.43</v>
      </c>
      <c r="N56" s="6">
        <v>385.6</v>
      </c>
      <c r="O56" s="6">
        <v>0</v>
      </c>
      <c r="P56" s="6">
        <v>0.8</v>
      </c>
      <c r="Q56" s="6">
        <v>5</v>
      </c>
    </row>
    <row r="57" spans="1:17" customFormat="1">
      <c r="A57" s="6" t="s">
        <v>575</v>
      </c>
      <c r="B57" s="6">
        <v>15.35</v>
      </c>
      <c r="C57" s="6">
        <v>23.66</v>
      </c>
      <c r="D57" s="6">
        <v>26.02</v>
      </c>
      <c r="E57" s="6">
        <v>7.06</v>
      </c>
      <c r="F57" s="6">
        <v>2.98</v>
      </c>
      <c r="G57" s="6">
        <v>108.33</v>
      </c>
      <c r="H57" s="6">
        <v>47.03</v>
      </c>
      <c r="I57" s="6">
        <v>8.84</v>
      </c>
      <c r="J57" s="6">
        <v>0.36</v>
      </c>
      <c r="K57" s="6">
        <v>105.26</v>
      </c>
      <c r="L57" s="6">
        <v>26.67</v>
      </c>
      <c r="M57" s="6">
        <v>41.85</v>
      </c>
      <c r="N57" s="6">
        <v>412.9</v>
      </c>
      <c r="O57" s="6">
        <v>0</v>
      </c>
      <c r="P57" s="6">
        <v>0.78</v>
      </c>
      <c r="Q57" s="6">
        <v>4.9800000000000004</v>
      </c>
    </row>
    <row r="58" spans="1:17" customFormat="1">
      <c r="A58" s="6" t="s">
        <v>576</v>
      </c>
      <c r="B58" s="6">
        <v>14.22</v>
      </c>
      <c r="C58" s="6">
        <v>22.69</v>
      </c>
      <c r="D58" s="6">
        <v>24.61</v>
      </c>
      <c r="E58" s="6">
        <v>7.33</v>
      </c>
      <c r="F58" s="6">
        <v>3.01</v>
      </c>
      <c r="G58" s="6">
        <v>108.33</v>
      </c>
      <c r="H58" s="6">
        <v>47.03</v>
      </c>
      <c r="I58" s="6">
        <v>8.7200000000000006</v>
      </c>
      <c r="J58" s="6">
        <v>0.13</v>
      </c>
      <c r="K58" s="6">
        <v>54.96</v>
      </c>
      <c r="L58" s="6">
        <v>27.12</v>
      </c>
      <c r="M58" s="6">
        <v>37.86</v>
      </c>
      <c r="N58" s="6">
        <v>413.3</v>
      </c>
      <c r="O58" s="6">
        <v>0</v>
      </c>
      <c r="P58" s="6">
        <v>0.77</v>
      </c>
      <c r="Q58" s="6">
        <v>4.97</v>
      </c>
    </row>
    <row r="59" spans="1:17" customFormat="1">
      <c r="A59" s="6" t="s">
        <v>577</v>
      </c>
      <c r="B59" s="6">
        <v>13.19</v>
      </c>
      <c r="C59" s="6">
        <v>22.11</v>
      </c>
      <c r="D59" s="6">
        <v>23.48</v>
      </c>
      <c r="E59" s="6">
        <v>7.03</v>
      </c>
      <c r="F59" s="6">
        <v>3.05</v>
      </c>
      <c r="G59" s="6">
        <v>89.98</v>
      </c>
      <c r="H59" s="6">
        <v>44.82</v>
      </c>
      <c r="I59" s="6">
        <v>8.57</v>
      </c>
      <c r="J59" s="6">
        <v>0.1</v>
      </c>
      <c r="K59" s="6">
        <v>356.11</v>
      </c>
      <c r="L59" s="6">
        <v>27.06</v>
      </c>
      <c r="M59" s="6">
        <v>38.01</v>
      </c>
      <c r="N59" s="6">
        <v>410.5</v>
      </c>
      <c r="O59" s="6">
        <v>0</v>
      </c>
      <c r="P59" s="6">
        <v>0.76</v>
      </c>
      <c r="Q59" s="6">
        <v>4.96</v>
      </c>
    </row>
    <row r="60" spans="1:17" customFormat="1">
      <c r="A60" s="6" t="s">
        <v>578</v>
      </c>
      <c r="B60" s="6">
        <v>12.43</v>
      </c>
      <c r="C60" s="6">
        <v>21.53</v>
      </c>
      <c r="D60" s="6">
        <v>22.57</v>
      </c>
      <c r="E60" s="6">
        <v>7.4</v>
      </c>
      <c r="F60" s="6">
        <v>3</v>
      </c>
      <c r="G60" s="6">
        <v>87.43</v>
      </c>
      <c r="H60" s="6">
        <v>44.82</v>
      </c>
      <c r="I60" s="6">
        <v>8.41</v>
      </c>
      <c r="J60" s="6">
        <v>0.19</v>
      </c>
      <c r="K60" s="6">
        <v>57.04</v>
      </c>
      <c r="L60" s="6">
        <v>27.36</v>
      </c>
      <c r="M60" s="6">
        <v>38.229999999999997</v>
      </c>
      <c r="N60" s="6">
        <v>390.4</v>
      </c>
      <c r="O60" s="6">
        <v>0</v>
      </c>
      <c r="P60" s="6">
        <v>0.74</v>
      </c>
      <c r="Q60" s="6">
        <v>4.95</v>
      </c>
    </row>
    <row r="61" spans="1:17" customFormat="1">
      <c r="A61" s="6" t="s">
        <v>579</v>
      </c>
      <c r="B61" s="6">
        <v>11.39</v>
      </c>
      <c r="C61" s="6">
        <v>21.15</v>
      </c>
      <c r="D61" s="6">
        <v>21.53</v>
      </c>
      <c r="E61" s="6">
        <v>7.09</v>
      </c>
      <c r="F61" s="6">
        <v>3.35</v>
      </c>
      <c r="G61" s="6">
        <v>87.43</v>
      </c>
      <c r="H61" s="6">
        <v>44.82</v>
      </c>
      <c r="I61" s="6">
        <v>8.25</v>
      </c>
      <c r="J61" s="6">
        <v>0.37</v>
      </c>
      <c r="K61" s="6">
        <v>21.45</v>
      </c>
      <c r="L61" s="6">
        <v>27.53</v>
      </c>
      <c r="M61" s="6">
        <v>39.15</v>
      </c>
      <c r="N61" s="6">
        <v>356.9</v>
      </c>
      <c r="O61" s="6">
        <v>0</v>
      </c>
      <c r="P61" s="6">
        <v>0.73</v>
      </c>
      <c r="Q61" s="6">
        <v>4.9000000000000004</v>
      </c>
    </row>
    <row r="62" spans="1:17" customFormat="1">
      <c r="A62" s="6" t="s">
        <v>580</v>
      </c>
      <c r="B62" s="6">
        <v>10.44</v>
      </c>
      <c r="C62" s="6">
        <v>21.06</v>
      </c>
      <c r="D62" s="6">
        <v>20.72</v>
      </c>
      <c r="E62" s="6">
        <v>7.3</v>
      </c>
      <c r="F62" s="6">
        <v>3.36</v>
      </c>
      <c r="G62" s="6">
        <v>87.43</v>
      </c>
      <c r="H62" s="6">
        <v>44.82</v>
      </c>
      <c r="I62" s="6">
        <v>8.1</v>
      </c>
      <c r="J62" s="6">
        <v>0.36</v>
      </c>
      <c r="K62" s="6">
        <v>29.62</v>
      </c>
      <c r="L62" s="6">
        <v>27.17</v>
      </c>
      <c r="M62" s="6">
        <v>39.99</v>
      </c>
      <c r="N62" s="6">
        <v>333.7</v>
      </c>
      <c r="O62" s="6">
        <v>0</v>
      </c>
      <c r="P62" s="6">
        <v>0.73</v>
      </c>
      <c r="Q62" s="6">
        <v>4.9000000000000004</v>
      </c>
    </row>
    <row r="63" spans="1:17" customFormat="1">
      <c r="A63" s="6" t="s">
        <v>581</v>
      </c>
      <c r="B63" s="6">
        <v>9.75</v>
      </c>
      <c r="C63" s="6">
        <v>20.81</v>
      </c>
      <c r="D63" s="6">
        <v>20.04</v>
      </c>
      <c r="E63" s="6">
        <v>7.3</v>
      </c>
      <c r="F63" s="6">
        <v>3.43</v>
      </c>
      <c r="G63" s="6">
        <v>76.78</v>
      </c>
      <c r="H63" s="6">
        <v>41.56</v>
      </c>
      <c r="I63" s="6">
        <v>7.94</v>
      </c>
      <c r="J63" s="6">
        <v>0.48</v>
      </c>
      <c r="K63" s="6">
        <v>35.01</v>
      </c>
      <c r="L63" s="6">
        <v>27.39</v>
      </c>
      <c r="M63" s="6">
        <v>39.76</v>
      </c>
      <c r="N63" s="6">
        <v>329.6</v>
      </c>
      <c r="O63" s="6">
        <v>0</v>
      </c>
      <c r="P63" s="6">
        <v>0.72</v>
      </c>
      <c r="Q63" s="6">
        <v>4.9000000000000004</v>
      </c>
    </row>
    <row r="64" spans="1:17" customFormat="1">
      <c r="A64" s="6" t="s">
        <v>582</v>
      </c>
      <c r="B64" s="6">
        <v>9.3000000000000007</v>
      </c>
      <c r="C64" s="6">
        <v>20.55</v>
      </c>
      <c r="D64" s="6">
        <v>19.55</v>
      </c>
      <c r="E64" s="6">
        <v>7.6</v>
      </c>
      <c r="F64" s="6">
        <v>3.49</v>
      </c>
      <c r="G64" s="6">
        <v>75.150000000000006</v>
      </c>
      <c r="H64" s="6">
        <v>41.56</v>
      </c>
      <c r="I64" s="6">
        <v>7.81</v>
      </c>
      <c r="J64" s="6">
        <v>0.33</v>
      </c>
      <c r="K64" s="6">
        <v>30.28</v>
      </c>
      <c r="L64" s="6">
        <v>27.24</v>
      </c>
      <c r="M64" s="6">
        <v>39.409999999999997</v>
      </c>
      <c r="N64" s="6">
        <v>289.5</v>
      </c>
      <c r="O64" s="6">
        <v>0</v>
      </c>
      <c r="P64" s="6">
        <v>0.71</v>
      </c>
      <c r="Q64" s="6">
        <v>4.8899999999999997</v>
      </c>
    </row>
    <row r="65" spans="1:17" customFormat="1">
      <c r="A65" s="6" t="s">
        <v>583</v>
      </c>
      <c r="B65" s="6">
        <v>8.5500000000000007</v>
      </c>
      <c r="C65" s="6">
        <v>20.89</v>
      </c>
      <c r="D65" s="6">
        <v>19.12</v>
      </c>
      <c r="E65" s="6">
        <v>7.23</v>
      </c>
      <c r="F65" s="6">
        <v>4.13</v>
      </c>
      <c r="G65" s="6">
        <v>75.150000000000006</v>
      </c>
      <c r="H65" s="6">
        <v>41.56</v>
      </c>
      <c r="I65" s="6">
        <v>7.69</v>
      </c>
      <c r="J65" s="6">
        <v>0.31</v>
      </c>
      <c r="K65" s="6">
        <v>38.4</v>
      </c>
      <c r="L65" s="6">
        <v>27.17</v>
      </c>
      <c r="M65" s="6">
        <v>39.69</v>
      </c>
      <c r="N65" s="6">
        <v>220.5</v>
      </c>
      <c r="O65" s="6">
        <v>0</v>
      </c>
      <c r="P65" s="6">
        <v>0.68</v>
      </c>
      <c r="Q65" s="6">
        <v>4.8899999999999997</v>
      </c>
    </row>
    <row r="66" spans="1:17" customFormat="1">
      <c r="A66" s="6" t="s">
        <v>584</v>
      </c>
      <c r="B66" s="6">
        <v>7.43</v>
      </c>
      <c r="C66" s="6">
        <v>21.75</v>
      </c>
      <c r="D66" s="6">
        <v>18.68</v>
      </c>
      <c r="E66" s="6">
        <v>8.1300000000000008</v>
      </c>
      <c r="F66" s="6">
        <v>5.12</v>
      </c>
      <c r="G66" s="6">
        <v>75.150000000000006</v>
      </c>
      <c r="H66" s="6">
        <v>41.56</v>
      </c>
      <c r="I66" s="6">
        <v>7.59</v>
      </c>
      <c r="J66" s="6">
        <v>0.43</v>
      </c>
      <c r="K66" s="6">
        <v>31.49</v>
      </c>
      <c r="L66" s="6">
        <v>27.09</v>
      </c>
      <c r="M66" s="6">
        <v>39.65</v>
      </c>
      <c r="N66" s="6">
        <v>143.80000000000001</v>
      </c>
      <c r="O66" s="6">
        <v>0</v>
      </c>
      <c r="P66" s="6">
        <v>0.69</v>
      </c>
      <c r="Q66" s="6">
        <v>4.88</v>
      </c>
    </row>
    <row r="67" spans="1:17" customFormat="1">
      <c r="A67" s="6" t="s">
        <v>585</v>
      </c>
      <c r="B67" s="6">
        <v>6.48</v>
      </c>
      <c r="C67" s="6">
        <v>22.56</v>
      </c>
      <c r="D67" s="6">
        <v>18.34</v>
      </c>
      <c r="E67" s="6">
        <v>7.41</v>
      </c>
      <c r="F67" s="6">
        <v>5.67</v>
      </c>
      <c r="G67" s="6">
        <v>83.38</v>
      </c>
      <c r="H67" s="6">
        <v>40.28</v>
      </c>
      <c r="I67" s="6">
        <v>7.44</v>
      </c>
      <c r="J67" s="6">
        <v>0.52</v>
      </c>
      <c r="K67" s="6">
        <v>42.15</v>
      </c>
      <c r="L67" s="6">
        <v>26.84</v>
      </c>
      <c r="M67" s="6">
        <v>40.18</v>
      </c>
      <c r="N67" s="6">
        <v>121</v>
      </c>
      <c r="O67" s="6">
        <v>0</v>
      </c>
      <c r="P67" s="6">
        <v>0.7</v>
      </c>
      <c r="Q67" s="6">
        <v>4.88</v>
      </c>
    </row>
    <row r="68" spans="1:17" customFormat="1">
      <c r="A68" s="6" t="s">
        <v>586</v>
      </c>
      <c r="B68" s="6">
        <v>5.75</v>
      </c>
      <c r="C68" s="6">
        <v>23.09</v>
      </c>
      <c r="D68" s="6">
        <v>18.02</v>
      </c>
      <c r="E68" s="6">
        <v>7.31</v>
      </c>
      <c r="F68" s="6">
        <v>5.61</v>
      </c>
      <c r="G68" s="6">
        <v>84.52</v>
      </c>
      <c r="H68" s="6">
        <v>40.28</v>
      </c>
      <c r="I68" s="6">
        <v>7.28</v>
      </c>
      <c r="J68" s="6">
        <v>0.24</v>
      </c>
      <c r="K68" s="6">
        <v>43.05</v>
      </c>
      <c r="L68" s="6">
        <v>26.68</v>
      </c>
      <c r="M68" s="6">
        <v>41.1</v>
      </c>
      <c r="N68" s="6">
        <v>99.7</v>
      </c>
      <c r="O68" s="6">
        <v>0</v>
      </c>
      <c r="P68" s="6">
        <v>0.69</v>
      </c>
      <c r="Q68" s="6">
        <v>4.8600000000000003</v>
      </c>
    </row>
    <row r="69" spans="1:17" customFormat="1">
      <c r="A69" s="6" t="s">
        <v>587</v>
      </c>
      <c r="B69" s="6">
        <v>5.31</v>
      </c>
      <c r="C69" s="6">
        <v>23.32</v>
      </c>
      <c r="D69" s="6">
        <v>17.8</v>
      </c>
      <c r="E69" s="6">
        <v>7.87</v>
      </c>
      <c r="F69" s="6">
        <v>5.45</v>
      </c>
      <c r="G69" s="6">
        <v>84.52</v>
      </c>
      <c r="H69" s="6">
        <v>40.28</v>
      </c>
      <c r="I69" s="6">
        <v>7.16</v>
      </c>
      <c r="J69" s="6">
        <v>0.32</v>
      </c>
      <c r="K69" s="6">
        <v>89.82</v>
      </c>
      <c r="L69" s="6">
        <v>26.78</v>
      </c>
      <c r="M69" s="6">
        <v>40.54</v>
      </c>
      <c r="N69" s="6">
        <v>86</v>
      </c>
      <c r="O69" s="6">
        <v>0</v>
      </c>
      <c r="P69" s="6">
        <v>0.68</v>
      </c>
      <c r="Q69" s="6">
        <v>4.84</v>
      </c>
    </row>
    <row r="70" spans="1:17" customFormat="1">
      <c r="A70" s="6" t="s">
        <v>588</v>
      </c>
      <c r="B70" s="6">
        <v>5.19</v>
      </c>
      <c r="C70" s="6">
        <v>23.45</v>
      </c>
      <c r="D70" s="6">
        <v>17.760000000000002</v>
      </c>
      <c r="E70" s="6">
        <v>8.09</v>
      </c>
      <c r="F70" s="6">
        <v>5.07</v>
      </c>
      <c r="G70" s="6">
        <v>84.52</v>
      </c>
      <c r="H70" s="6">
        <v>40.28</v>
      </c>
      <c r="I70" s="6">
        <v>7.02</v>
      </c>
      <c r="J70" s="6">
        <v>0.37</v>
      </c>
      <c r="K70" s="6">
        <v>59.9</v>
      </c>
      <c r="L70" s="6">
        <v>26.66</v>
      </c>
      <c r="M70" s="6">
        <v>40.270000000000003</v>
      </c>
      <c r="N70" s="6">
        <v>73.400000000000006</v>
      </c>
      <c r="O70" s="6">
        <v>0</v>
      </c>
      <c r="P70" s="6">
        <v>0.67</v>
      </c>
      <c r="Q70" s="6">
        <v>4.84</v>
      </c>
    </row>
    <row r="71" spans="1:17" customFormat="1">
      <c r="A71" s="6" t="s">
        <v>589</v>
      </c>
      <c r="B71" s="6">
        <v>5.0599999999999996</v>
      </c>
      <c r="C71" s="6">
        <v>23.97</v>
      </c>
      <c r="D71" s="6">
        <v>17.93</v>
      </c>
      <c r="E71" s="6">
        <v>7.66</v>
      </c>
      <c r="F71" s="6">
        <v>4.5</v>
      </c>
      <c r="G71" s="6">
        <v>80.2</v>
      </c>
      <c r="H71" s="6">
        <v>39.380000000000003</v>
      </c>
      <c r="I71" s="6">
        <v>6.86</v>
      </c>
      <c r="J71" s="6">
        <v>0.41</v>
      </c>
      <c r="K71" s="6">
        <v>52.67</v>
      </c>
      <c r="L71" s="6">
        <v>26.52</v>
      </c>
      <c r="M71" s="6">
        <v>40.9</v>
      </c>
      <c r="N71" s="6">
        <v>63.3</v>
      </c>
      <c r="O71" s="6">
        <v>0</v>
      </c>
      <c r="P71" s="6">
        <v>0.67</v>
      </c>
      <c r="Q71" s="6">
        <v>4.8499999999999996</v>
      </c>
    </row>
    <row r="72" spans="1:17" customFormat="1">
      <c r="A72" s="6" t="s">
        <v>590</v>
      </c>
      <c r="B72" s="6">
        <v>5.09</v>
      </c>
      <c r="C72" s="6">
        <v>24.46</v>
      </c>
      <c r="D72" s="6">
        <v>18.21</v>
      </c>
      <c r="E72" s="6">
        <v>7.84</v>
      </c>
      <c r="F72" s="6">
        <v>5.43</v>
      </c>
      <c r="G72" s="6">
        <v>79.599999999999994</v>
      </c>
      <c r="H72" s="6">
        <v>39.380000000000003</v>
      </c>
      <c r="I72" s="6">
        <v>6.73</v>
      </c>
      <c r="J72" s="6">
        <v>0.43</v>
      </c>
      <c r="K72" s="6">
        <v>45.5</v>
      </c>
      <c r="L72" s="6">
        <v>26.31</v>
      </c>
      <c r="M72" s="6">
        <v>42.08</v>
      </c>
      <c r="N72" s="6">
        <v>51.6</v>
      </c>
      <c r="O72" s="6">
        <v>0</v>
      </c>
      <c r="P72" s="6">
        <v>0.67</v>
      </c>
      <c r="Q72" s="6">
        <v>4.84</v>
      </c>
    </row>
    <row r="73" spans="1:17" customFormat="1">
      <c r="A73" s="6" t="s">
        <v>591</v>
      </c>
      <c r="B73" s="6">
        <v>5.1100000000000003</v>
      </c>
      <c r="C73" s="6">
        <v>25.06</v>
      </c>
      <c r="D73" s="6">
        <v>18.54</v>
      </c>
      <c r="E73" s="6">
        <v>7.23</v>
      </c>
      <c r="F73" s="6">
        <v>4.6100000000000003</v>
      </c>
      <c r="G73" s="6">
        <v>79.599999999999994</v>
      </c>
      <c r="H73" s="6">
        <v>39.380000000000003</v>
      </c>
      <c r="I73" s="6">
        <v>6.64</v>
      </c>
      <c r="J73" s="6">
        <v>0.3</v>
      </c>
      <c r="K73" s="6">
        <v>58.67</v>
      </c>
      <c r="L73" s="6">
        <v>26.12</v>
      </c>
      <c r="M73" s="6">
        <v>42.81</v>
      </c>
      <c r="N73" s="6">
        <v>39.5</v>
      </c>
      <c r="O73" s="6">
        <v>0</v>
      </c>
      <c r="P73" s="6">
        <v>0.67</v>
      </c>
      <c r="Q73" s="6">
        <v>4.84</v>
      </c>
    </row>
    <row r="74" spans="1:17" customFormat="1">
      <c r="A74" s="6" t="s">
        <v>592</v>
      </c>
      <c r="B74" s="6">
        <v>5.08</v>
      </c>
      <c r="C74" s="6">
        <v>25.32</v>
      </c>
      <c r="D74" s="6">
        <v>18.66</v>
      </c>
      <c r="E74" s="6">
        <v>7.28</v>
      </c>
      <c r="F74" s="6">
        <v>4.58</v>
      </c>
      <c r="G74" s="6">
        <v>79.599999999999994</v>
      </c>
      <c r="H74" s="6">
        <v>39.380000000000003</v>
      </c>
      <c r="I74" s="6">
        <v>6.55</v>
      </c>
      <c r="J74" s="6">
        <v>0.27</v>
      </c>
      <c r="K74" s="6">
        <v>66.239999999999995</v>
      </c>
      <c r="L74" s="6">
        <v>25.8</v>
      </c>
      <c r="M74" s="6">
        <v>43.4</v>
      </c>
      <c r="N74" s="6">
        <v>28.1</v>
      </c>
      <c r="O74" s="6">
        <v>0</v>
      </c>
      <c r="P74" s="6">
        <v>0.67</v>
      </c>
      <c r="Q74" s="6">
        <v>4.84</v>
      </c>
    </row>
    <row r="75" spans="1:17" customFormat="1">
      <c r="A75" s="6" t="s">
        <v>593</v>
      </c>
      <c r="B75" s="6">
        <v>5.15</v>
      </c>
      <c r="C75" s="6">
        <v>25.75</v>
      </c>
      <c r="D75" s="6">
        <v>18.940000000000001</v>
      </c>
      <c r="E75" s="6">
        <v>7.29</v>
      </c>
      <c r="F75" s="6">
        <v>4.1100000000000003</v>
      </c>
      <c r="G75" s="6">
        <v>88.01</v>
      </c>
      <c r="H75" s="6">
        <v>40.799999999999997</v>
      </c>
      <c r="I75" s="6">
        <v>6.48</v>
      </c>
      <c r="J75" s="6">
        <v>0.32</v>
      </c>
      <c r="K75" s="6">
        <v>53.28</v>
      </c>
      <c r="L75" s="6">
        <v>25.35</v>
      </c>
      <c r="M75" s="6">
        <v>44.92</v>
      </c>
      <c r="N75" s="6">
        <v>16.899999999999999</v>
      </c>
      <c r="O75" s="6">
        <v>0</v>
      </c>
      <c r="P75" s="6">
        <v>0.68</v>
      </c>
      <c r="Q75" s="6">
        <v>4.8499999999999996</v>
      </c>
    </row>
    <row r="76" spans="1:17" customFormat="1">
      <c r="A76" s="6" t="s">
        <v>594</v>
      </c>
      <c r="B76" s="6">
        <v>5.24</v>
      </c>
      <c r="C76" s="6">
        <v>26.31</v>
      </c>
      <c r="D76" s="6">
        <v>19.3</v>
      </c>
      <c r="E76" s="6">
        <v>7.02</v>
      </c>
      <c r="F76" s="6">
        <v>3.76</v>
      </c>
      <c r="G76" s="6">
        <v>89.18</v>
      </c>
      <c r="H76" s="6">
        <v>40.799999999999997</v>
      </c>
      <c r="I76" s="6">
        <v>6.44</v>
      </c>
      <c r="J76" s="6">
        <v>0.2</v>
      </c>
      <c r="K76" s="6">
        <v>63.97</v>
      </c>
      <c r="L76" s="6">
        <v>24.95</v>
      </c>
      <c r="M76" s="6">
        <v>47.09</v>
      </c>
      <c r="N76" s="6">
        <v>6.5</v>
      </c>
      <c r="O76" s="6">
        <v>0</v>
      </c>
      <c r="P76" s="6">
        <v>0.69</v>
      </c>
      <c r="Q76" s="6">
        <v>4.84</v>
      </c>
    </row>
    <row r="77" spans="1:17" customFormat="1">
      <c r="A77" s="6" t="s">
        <v>595</v>
      </c>
      <c r="B77" s="6">
        <v>5.53</v>
      </c>
      <c r="C77" s="6">
        <v>27.06</v>
      </c>
      <c r="D77" s="6">
        <v>19.920000000000002</v>
      </c>
      <c r="E77" s="6">
        <v>7.28</v>
      </c>
      <c r="F77" s="6">
        <v>3.21</v>
      </c>
      <c r="G77" s="6">
        <v>89.18</v>
      </c>
      <c r="H77" s="6">
        <v>40.799999999999997</v>
      </c>
      <c r="I77" s="6">
        <v>6.43</v>
      </c>
      <c r="J77" s="6">
        <v>0.18</v>
      </c>
      <c r="K77" s="6">
        <v>57.61</v>
      </c>
      <c r="L77" s="6">
        <v>24.4</v>
      </c>
      <c r="M77" s="6">
        <v>48.47</v>
      </c>
      <c r="N77" s="6">
        <v>0.3</v>
      </c>
      <c r="O77" s="6">
        <v>0</v>
      </c>
      <c r="P77" s="6">
        <v>0.71</v>
      </c>
      <c r="Q77" s="6">
        <v>4.88</v>
      </c>
    </row>
    <row r="78" spans="1:17" customFormat="1">
      <c r="A78" s="6" t="s">
        <v>596</v>
      </c>
      <c r="B78" s="6">
        <v>6.08</v>
      </c>
      <c r="C78" s="6">
        <v>28.28</v>
      </c>
      <c r="D78" s="6">
        <v>21</v>
      </c>
      <c r="E78" s="6">
        <v>7.76</v>
      </c>
      <c r="F78" s="6">
        <v>2.96</v>
      </c>
      <c r="G78" s="6">
        <v>89.18</v>
      </c>
      <c r="H78" s="6">
        <v>40.799999999999997</v>
      </c>
      <c r="I78" s="6">
        <v>6.43</v>
      </c>
      <c r="J78" s="6">
        <v>0.17</v>
      </c>
      <c r="K78" s="6">
        <v>70.349999999999994</v>
      </c>
      <c r="L78" s="6">
        <v>23.89</v>
      </c>
      <c r="M78" s="6">
        <v>49.83</v>
      </c>
      <c r="N78" s="6">
        <v>0</v>
      </c>
      <c r="O78" s="6">
        <v>0</v>
      </c>
      <c r="P78" s="6">
        <v>0.73</v>
      </c>
      <c r="Q78" s="6">
        <v>4.88</v>
      </c>
    </row>
    <row r="79" spans="1:17" customFormat="1">
      <c r="A79" s="6" t="s">
        <v>597</v>
      </c>
      <c r="B79" s="6">
        <v>6.42</v>
      </c>
      <c r="C79" s="6">
        <v>29.16</v>
      </c>
      <c r="D79" s="6">
        <v>21.73</v>
      </c>
      <c r="E79" s="6">
        <v>7.43</v>
      </c>
      <c r="F79" s="6">
        <v>2.85</v>
      </c>
      <c r="G79" s="6">
        <v>105.6</v>
      </c>
      <c r="H79" s="6">
        <v>42.59</v>
      </c>
      <c r="I79" s="6">
        <v>6.49</v>
      </c>
      <c r="J79" s="6">
        <v>0.23</v>
      </c>
      <c r="K79" s="6">
        <v>153.47</v>
      </c>
      <c r="L79" s="6">
        <v>23.13</v>
      </c>
      <c r="M79" s="6">
        <v>55.59</v>
      </c>
      <c r="N79" s="6">
        <v>0</v>
      </c>
      <c r="O79" s="6">
        <v>0</v>
      </c>
      <c r="P79" s="6">
        <v>0.73</v>
      </c>
      <c r="Q79" s="6">
        <v>4.87</v>
      </c>
    </row>
    <row r="80" spans="1:17" customFormat="1">
      <c r="A80" s="6" t="s">
        <v>598</v>
      </c>
      <c r="B80" s="6">
        <v>6.54</v>
      </c>
      <c r="C80" s="6">
        <v>29.72</v>
      </c>
      <c r="D80" s="6">
        <v>22.12</v>
      </c>
      <c r="E80" s="6">
        <v>7.08</v>
      </c>
      <c r="F80" s="6">
        <v>2.79</v>
      </c>
      <c r="G80" s="6">
        <v>107.89</v>
      </c>
      <c r="H80" s="6">
        <v>42.59</v>
      </c>
      <c r="I80" s="6">
        <v>6.57</v>
      </c>
      <c r="J80" s="6">
        <v>0.14000000000000001</v>
      </c>
      <c r="K80" s="6">
        <v>130.66999999999999</v>
      </c>
      <c r="L80" s="6">
        <v>22.16</v>
      </c>
      <c r="M80" s="6">
        <v>59.12</v>
      </c>
      <c r="N80" s="6">
        <v>0</v>
      </c>
      <c r="O80" s="6">
        <v>0</v>
      </c>
      <c r="P80" s="6">
        <v>0.75</v>
      </c>
      <c r="Q80" s="6">
        <v>4.8499999999999996</v>
      </c>
    </row>
    <row r="81" spans="1:17" customFormat="1">
      <c r="A81" s="6" t="s">
        <v>599</v>
      </c>
      <c r="B81" s="6">
        <v>7.22</v>
      </c>
      <c r="C81" s="6">
        <v>30.63</v>
      </c>
      <c r="D81" s="6">
        <v>23.14</v>
      </c>
      <c r="E81" s="6">
        <v>5.36</v>
      </c>
      <c r="F81" s="6">
        <v>2.69</v>
      </c>
      <c r="G81" s="6">
        <v>107.89</v>
      </c>
      <c r="H81" s="6">
        <v>42.59</v>
      </c>
      <c r="I81" s="6">
        <v>6.66</v>
      </c>
      <c r="J81" s="6">
        <v>0.23</v>
      </c>
      <c r="K81" s="6">
        <v>163.57</v>
      </c>
      <c r="L81" s="6">
        <v>21.64</v>
      </c>
      <c r="M81" s="6">
        <v>60.78</v>
      </c>
      <c r="N81" s="6">
        <v>0</v>
      </c>
      <c r="O81" s="6">
        <v>0</v>
      </c>
      <c r="P81" s="6">
        <v>0.77</v>
      </c>
      <c r="Q81" s="6">
        <v>4.8600000000000003</v>
      </c>
    </row>
    <row r="82" spans="1:17" customFormat="1">
      <c r="A82" s="6" t="s">
        <v>600</v>
      </c>
      <c r="B82" s="6">
        <v>8.16</v>
      </c>
      <c r="C82" s="6">
        <v>31.65</v>
      </c>
      <c r="D82" s="6">
        <v>24.43</v>
      </c>
      <c r="E82" s="6">
        <v>5.81</v>
      </c>
      <c r="F82" s="6">
        <v>2.58</v>
      </c>
      <c r="G82" s="6">
        <v>107.89</v>
      </c>
      <c r="H82" s="6">
        <v>42.59</v>
      </c>
      <c r="I82" s="6">
        <v>6.76</v>
      </c>
      <c r="J82" s="6">
        <v>0.21</v>
      </c>
      <c r="K82" s="6">
        <v>160.5</v>
      </c>
      <c r="L82" s="6">
        <v>21.39</v>
      </c>
      <c r="M82" s="6">
        <v>62.29</v>
      </c>
      <c r="N82" s="6">
        <v>0</v>
      </c>
      <c r="O82" s="6">
        <v>0</v>
      </c>
      <c r="P82" s="6">
        <v>0.8</v>
      </c>
      <c r="Q82" s="6">
        <v>4.87</v>
      </c>
    </row>
    <row r="83" spans="1:17" customFormat="1">
      <c r="A83" s="6" t="s">
        <v>601</v>
      </c>
      <c r="B83" s="6">
        <v>9</v>
      </c>
      <c r="C83" s="6">
        <v>32.44</v>
      </c>
      <c r="D83" s="6">
        <v>25.52</v>
      </c>
      <c r="E83" s="6">
        <v>5.57</v>
      </c>
      <c r="F83" s="6">
        <v>2.5299999999999998</v>
      </c>
      <c r="G83" s="6">
        <v>120.26</v>
      </c>
      <c r="H83" s="6">
        <v>46.36</v>
      </c>
      <c r="I83" s="6">
        <v>6.94</v>
      </c>
      <c r="J83" s="6">
        <v>0.13</v>
      </c>
      <c r="K83" s="6">
        <v>167.98</v>
      </c>
      <c r="L83" s="6">
        <v>20.95</v>
      </c>
      <c r="M83" s="6">
        <v>64.63</v>
      </c>
      <c r="N83" s="6">
        <v>0</v>
      </c>
      <c r="O83" s="6">
        <v>0</v>
      </c>
      <c r="P83" s="6">
        <v>0.82</v>
      </c>
      <c r="Q83" s="6">
        <v>4.9000000000000004</v>
      </c>
    </row>
    <row r="84" spans="1:17" customFormat="1">
      <c r="A84" s="6" t="s">
        <v>602</v>
      </c>
      <c r="B84" s="6">
        <v>10.6</v>
      </c>
      <c r="C84" s="6">
        <v>33.630000000000003</v>
      </c>
      <c r="D84" s="6">
        <v>27.43</v>
      </c>
      <c r="E84" s="6">
        <v>5.71</v>
      </c>
      <c r="F84" s="6">
        <v>2.58</v>
      </c>
      <c r="G84" s="6">
        <v>121.98</v>
      </c>
      <c r="H84" s="6">
        <v>46.36</v>
      </c>
      <c r="I84" s="6">
        <v>7.14</v>
      </c>
      <c r="J84" s="6">
        <v>0.17</v>
      </c>
      <c r="K84" s="6">
        <v>173.05</v>
      </c>
      <c r="L84" s="6">
        <v>20.73</v>
      </c>
      <c r="M84" s="6">
        <v>65</v>
      </c>
      <c r="N84" s="6">
        <v>0</v>
      </c>
      <c r="O84" s="6">
        <v>0</v>
      </c>
      <c r="P84" s="6">
        <v>0.86</v>
      </c>
      <c r="Q84" s="6">
        <v>4.92</v>
      </c>
    </row>
    <row r="85" spans="1:17" customFormat="1">
      <c r="A85" s="6" t="s">
        <v>603</v>
      </c>
      <c r="B85" s="6">
        <v>12.98</v>
      </c>
      <c r="C85" s="6">
        <v>35.33</v>
      </c>
      <c r="D85" s="6">
        <v>30.22</v>
      </c>
      <c r="E85" s="6">
        <v>5.82</v>
      </c>
      <c r="F85" s="6">
        <v>2.42</v>
      </c>
      <c r="G85" s="6">
        <v>121.98</v>
      </c>
      <c r="H85" s="6">
        <v>46.36</v>
      </c>
      <c r="I85" s="6">
        <v>7.4</v>
      </c>
      <c r="J85" s="6">
        <v>0.12</v>
      </c>
      <c r="K85" s="6">
        <v>182.36</v>
      </c>
      <c r="L85" s="6">
        <v>20.12</v>
      </c>
      <c r="M85" s="6">
        <v>70.510000000000005</v>
      </c>
      <c r="N85" s="6">
        <v>0</v>
      </c>
      <c r="O85" s="6">
        <v>0</v>
      </c>
      <c r="P85" s="6">
        <v>0.92</v>
      </c>
      <c r="Q85" s="6">
        <v>4.9400000000000004</v>
      </c>
    </row>
    <row r="86" spans="1:17" customFormat="1">
      <c r="A86" s="6" t="s">
        <v>604</v>
      </c>
      <c r="B86" s="6">
        <v>15.4</v>
      </c>
      <c r="C86" s="6">
        <v>35.869999999999997</v>
      </c>
      <c r="D86" s="6">
        <v>32.44</v>
      </c>
      <c r="E86" s="6">
        <v>5.82</v>
      </c>
      <c r="F86" s="6">
        <v>2.46</v>
      </c>
      <c r="G86" s="6">
        <v>121.98</v>
      </c>
      <c r="H86" s="6">
        <v>46.36</v>
      </c>
      <c r="I86" s="6">
        <v>7.79</v>
      </c>
      <c r="J86" s="6">
        <v>0.2</v>
      </c>
      <c r="K86" s="6">
        <v>175.02</v>
      </c>
      <c r="L86" s="6">
        <v>19.88</v>
      </c>
      <c r="M86" s="6">
        <v>73.209999999999994</v>
      </c>
      <c r="N86" s="6">
        <v>0</v>
      </c>
      <c r="O86" s="6">
        <v>0</v>
      </c>
      <c r="P86" s="6">
        <v>0.95</v>
      </c>
      <c r="Q86" s="6">
        <v>4.9400000000000004</v>
      </c>
    </row>
    <row r="87" spans="1:17" customFormat="1">
      <c r="A87" s="6" t="s">
        <v>605</v>
      </c>
      <c r="B87" s="6">
        <v>17.02</v>
      </c>
      <c r="C87" s="6">
        <v>32.79</v>
      </c>
      <c r="D87" s="6">
        <v>32.14</v>
      </c>
      <c r="E87" s="6">
        <v>5.54</v>
      </c>
      <c r="F87" s="6">
        <v>2.82</v>
      </c>
      <c r="G87" s="6">
        <v>141.96</v>
      </c>
      <c r="H87" s="6">
        <v>52.98</v>
      </c>
      <c r="I87" s="6">
        <v>8.1199999999999992</v>
      </c>
      <c r="J87" s="6">
        <v>0.19</v>
      </c>
      <c r="K87" s="6">
        <v>158.65</v>
      </c>
      <c r="L87" s="6">
        <v>19.32</v>
      </c>
      <c r="M87" s="6">
        <v>77.84</v>
      </c>
      <c r="N87" s="6">
        <v>0</v>
      </c>
      <c r="O87" s="6">
        <v>0</v>
      </c>
      <c r="P87" s="6">
        <v>0.96</v>
      </c>
      <c r="Q87" s="6">
        <v>4.97</v>
      </c>
    </row>
    <row r="88" spans="1:17" customFormat="1">
      <c r="A88" s="6" t="s">
        <v>606</v>
      </c>
      <c r="B88" s="6">
        <v>17.46</v>
      </c>
      <c r="C88" s="6">
        <v>30.57</v>
      </c>
      <c r="D88" s="6">
        <v>31.33</v>
      </c>
      <c r="E88" s="6">
        <v>4.97</v>
      </c>
      <c r="F88" s="6">
        <v>2.81</v>
      </c>
      <c r="G88" s="6">
        <v>144.74</v>
      </c>
      <c r="H88" s="6">
        <v>52.98</v>
      </c>
      <c r="I88" s="6">
        <v>8.34</v>
      </c>
      <c r="J88" s="6">
        <v>0.16</v>
      </c>
      <c r="K88" s="6">
        <v>163.37</v>
      </c>
      <c r="L88" s="6">
        <v>18.989999999999998</v>
      </c>
      <c r="M88" s="6">
        <v>80.64</v>
      </c>
      <c r="N88" s="6">
        <v>0</v>
      </c>
      <c r="O88" s="6">
        <v>0</v>
      </c>
      <c r="P88" s="6">
        <v>0.94</v>
      </c>
      <c r="Q88" s="6">
        <v>4.99</v>
      </c>
    </row>
    <row r="89" spans="1:17" customFormat="1">
      <c r="A89" s="6" t="s">
        <v>607</v>
      </c>
      <c r="B89" s="6">
        <v>17.84</v>
      </c>
      <c r="C89" s="6">
        <v>31.11</v>
      </c>
      <c r="D89" s="6">
        <v>31.91</v>
      </c>
      <c r="E89" s="6">
        <v>4.96</v>
      </c>
      <c r="F89" s="6">
        <v>2.5299999999999998</v>
      </c>
      <c r="G89" s="6">
        <v>144.74</v>
      </c>
      <c r="H89" s="6">
        <v>52.98</v>
      </c>
      <c r="I89" s="6">
        <v>8.51</v>
      </c>
      <c r="J89" s="6">
        <v>0.14000000000000001</v>
      </c>
      <c r="K89" s="6">
        <v>167.73</v>
      </c>
      <c r="L89" s="6">
        <v>18.82</v>
      </c>
      <c r="M89" s="6">
        <v>77.53</v>
      </c>
      <c r="N89" s="6">
        <v>0</v>
      </c>
      <c r="O89" s="6">
        <v>0</v>
      </c>
      <c r="P89" s="6">
        <v>0.97</v>
      </c>
      <c r="Q89" s="6">
        <v>5.01</v>
      </c>
    </row>
    <row r="90" spans="1:17" customFormat="1">
      <c r="A90" s="6" t="s">
        <v>608</v>
      </c>
      <c r="B90" s="6">
        <v>19.34</v>
      </c>
      <c r="C90" s="6">
        <v>30.55</v>
      </c>
      <c r="D90" s="6">
        <v>32.83</v>
      </c>
      <c r="E90" s="6">
        <v>5.24</v>
      </c>
      <c r="F90" s="6">
        <v>2.6</v>
      </c>
      <c r="G90" s="6">
        <v>144.74</v>
      </c>
      <c r="H90" s="6">
        <v>52.98</v>
      </c>
      <c r="I90" s="6">
        <v>8.65</v>
      </c>
      <c r="J90" s="6">
        <v>0.2</v>
      </c>
      <c r="K90" s="6">
        <v>164.01</v>
      </c>
      <c r="L90" s="6">
        <v>18.739999999999998</v>
      </c>
      <c r="M90" s="6">
        <v>79.38</v>
      </c>
      <c r="N90" s="6">
        <v>0</v>
      </c>
      <c r="O90" s="6">
        <v>0</v>
      </c>
      <c r="P90" s="6">
        <v>0.98</v>
      </c>
      <c r="Q90" s="6">
        <v>5.03</v>
      </c>
    </row>
    <row r="91" spans="1:17" customFormat="1">
      <c r="A91" s="6" t="s">
        <v>609</v>
      </c>
      <c r="B91" s="6">
        <v>21.83</v>
      </c>
      <c r="C91" s="6">
        <v>30.92</v>
      </c>
      <c r="D91" s="6">
        <v>35.01</v>
      </c>
      <c r="E91" s="6">
        <v>5.48</v>
      </c>
      <c r="F91" s="6">
        <v>2.54</v>
      </c>
      <c r="G91" s="6">
        <v>139.51</v>
      </c>
      <c r="H91" s="6">
        <v>54.39</v>
      </c>
      <c r="I91" s="6">
        <v>8.84</v>
      </c>
      <c r="J91" s="6">
        <v>0.14000000000000001</v>
      </c>
      <c r="K91" s="6">
        <v>171.45</v>
      </c>
      <c r="L91" s="6">
        <v>18.66</v>
      </c>
      <c r="M91" s="6">
        <v>81.41</v>
      </c>
      <c r="N91" s="6">
        <v>0</v>
      </c>
      <c r="O91" s="6">
        <v>0</v>
      </c>
      <c r="P91" s="6">
        <v>1.02</v>
      </c>
      <c r="Q91" s="6">
        <v>5.0599999999999996</v>
      </c>
    </row>
    <row r="92" spans="1:17" customFormat="1">
      <c r="A92" s="6" t="s">
        <v>610</v>
      </c>
      <c r="B92" s="6">
        <v>24.03</v>
      </c>
      <c r="C92" s="6">
        <v>31.6</v>
      </c>
      <c r="D92" s="6">
        <v>37.130000000000003</v>
      </c>
      <c r="E92" s="6">
        <v>5.64</v>
      </c>
      <c r="F92" s="6">
        <v>2.5</v>
      </c>
      <c r="G92" s="6">
        <v>138.78</v>
      </c>
      <c r="H92" s="6">
        <v>54.39</v>
      </c>
      <c r="I92" s="6">
        <v>9.1</v>
      </c>
      <c r="J92" s="6">
        <v>0.16</v>
      </c>
      <c r="K92" s="6">
        <v>164.06</v>
      </c>
      <c r="L92" s="6">
        <v>18.55</v>
      </c>
      <c r="M92" s="6">
        <v>83.74</v>
      </c>
      <c r="N92" s="6">
        <v>0</v>
      </c>
      <c r="O92" s="6">
        <v>0</v>
      </c>
      <c r="P92" s="6">
        <v>1.04</v>
      </c>
      <c r="Q92" s="6">
        <v>5.07</v>
      </c>
    </row>
    <row r="93" spans="1:17" customFormat="1">
      <c r="A93" s="6" t="s">
        <v>611</v>
      </c>
      <c r="B93" s="6">
        <v>26.78</v>
      </c>
      <c r="C93" s="6">
        <v>30.43</v>
      </c>
      <c r="D93" s="6">
        <v>38.72</v>
      </c>
      <c r="E93" s="6">
        <v>5.63</v>
      </c>
      <c r="F93" s="6">
        <v>2.5</v>
      </c>
      <c r="G93" s="6">
        <v>138.78</v>
      </c>
      <c r="H93" s="6">
        <v>54.39</v>
      </c>
      <c r="I93" s="6">
        <v>9.35</v>
      </c>
      <c r="J93" s="6">
        <v>0.14000000000000001</v>
      </c>
      <c r="K93" s="6">
        <v>173.82</v>
      </c>
      <c r="L93" s="6">
        <v>18.28</v>
      </c>
      <c r="M93" s="6">
        <v>84.03</v>
      </c>
      <c r="N93" s="6">
        <v>0</v>
      </c>
      <c r="O93" s="6">
        <v>0</v>
      </c>
      <c r="P93" s="6">
        <v>1.07</v>
      </c>
      <c r="Q93" s="6">
        <v>5.12</v>
      </c>
    </row>
    <row r="94" spans="1:17" customFormat="1">
      <c r="A94" s="6" t="s">
        <v>612</v>
      </c>
      <c r="B94" s="6">
        <v>29.85</v>
      </c>
      <c r="C94" s="6">
        <v>30.96</v>
      </c>
      <c r="D94" s="6">
        <v>41.46</v>
      </c>
      <c r="E94" s="6">
        <v>5.37</v>
      </c>
      <c r="F94" s="6">
        <v>2.48</v>
      </c>
      <c r="G94" s="6">
        <v>138.78</v>
      </c>
      <c r="H94" s="6">
        <v>54.39</v>
      </c>
      <c r="I94" s="6">
        <v>9.58</v>
      </c>
      <c r="J94" s="6">
        <v>0.11</v>
      </c>
      <c r="K94" s="6">
        <v>179.99</v>
      </c>
      <c r="L94" s="6">
        <v>18.190000000000001</v>
      </c>
      <c r="M94" s="6">
        <v>84.63</v>
      </c>
      <c r="N94" s="6">
        <v>0</v>
      </c>
      <c r="O94" s="6">
        <v>0</v>
      </c>
      <c r="P94" s="6">
        <v>1.1000000000000001</v>
      </c>
      <c r="Q94" s="6">
        <v>5.14</v>
      </c>
    </row>
    <row r="95" spans="1:17" customFormat="1">
      <c r="A95" s="6" t="s">
        <v>613</v>
      </c>
      <c r="B95" s="6">
        <v>33.47</v>
      </c>
      <c r="C95" s="6">
        <v>30.28</v>
      </c>
      <c r="D95" s="6">
        <v>44.02</v>
      </c>
      <c r="E95" s="6">
        <v>5.62</v>
      </c>
      <c r="F95" s="6">
        <v>2.58</v>
      </c>
      <c r="G95" s="6">
        <v>146.83000000000001</v>
      </c>
      <c r="H95" s="6">
        <v>56.52</v>
      </c>
      <c r="I95" s="6">
        <v>9.8000000000000007</v>
      </c>
      <c r="J95" s="6">
        <v>0.17</v>
      </c>
      <c r="K95" s="6">
        <v>156.34</v>
      </c>
      <c r="L95" s="6">
        <v>18.100000000000001</v>
      </c>
      <c r="M95" s="6">
        <v>84.21</v>
      </c>
      <c r="N95" s="6">
        <v>0</v>
      </c>
      <c r="O95" s="6">
        <v>0</v>
      </c>
      <c r="P95" s="6">
        <v>1.1399999999999999</v>
      </c>
      <c r="Q95" s="6">
        <v>5.21</v>
      </c>
    </row>
    <row r="96" spans="1:17" customFormat="1">
      <c r="A96" s="6" t="s">
        <v>614</v>
      </c>
      <c r="B96" s="6">
        <v>37.26</v>
      </c>
      <c r="C96" s="6">
        <v>30.99</v>
      </c>
      <c r="D96" s="6">
        <v>47.42</v>
      </c>
      <c r="E96" s="6">
        <v>5.57</v>
      </c>
      <c r="F96" s="6">
        <v>2.52</v>
      </c>
      <c r="G96" s="6">
        <v>147.96</v>
      </c>
      <c r="H96" s="6">
        <v>56.52</v>
      </c>
      <c r="I96" s="6">
        <v>10.050000000000001</v>
      </c>
      <c r="J96" s="6">
        <v>0.16</v>
      </c>
      <c r="K96" s="6">
        <v>196.98</v>
      </c>
      <c r="L96" s="6">
        <v>17.93</v>
      </c>
      <c r="M96" s="6">
        <v>84.95</v>
      </c>
      <c r="N96" s="6">
        <v>0</v>
      </c>
      <c r="O96" s="6">
        <v>0</v>
      </c>
      <c r="P96" s="6">
        <v>1.17</v>
      </c>
      <c r="Q96" s="6">
        <v>5.24</v>
      </c>
    </row>
    <row r="97" spans="1:22" customFormat="1">
      <c r="A97" s="6" t="s">
        <v>615</v>
      </c>
      <c r="B97" s="6">
        <v>40.590000000000003</v>
      </c>
      <c r="C97" s="6">
        <v>30.81</v>
      </c>
      <c r="D97" s="6">
        <v>50</v>
      </c>
      <c r="E97" s="6">
        <v>5.73</v>
      </c>
      <c r="F97" s="6">
        <v>2.65</v>
      </c>
      <c r="G97" s="6">
        <v>147.96</v>
      </c>
      <c r="H97" s="6">
        <v>56.52</v>
      </c>
      <c r="I97" s="6">
        <v>10.3</v>
      </c>
      <c r="J97" s="6">
        <v>0.13</v>
      </c>
      <c r="K97" s="6">
        <v>191.47</v>
      </c>
      <c r="L97" s="6">
        <v>17.75</v>
      </c>
      <c r="M97" s="6">
        <v>86.28</v>
      </c>
      <c r="N97" s="6">
        <v>0</v>
      </c>
      <c r="O97" s="6">
        <v>0</v>
      </c>
      <c r="P97" s="6">
        <v>1.2</v>
      </c>
      <c r="Q97" s="6">
        <v>5.29</v>
      </c>
    </row>
    <row r="98" spans="1:22" customFormat="1">
      <c r="A98" s="6" t="s">
        <v>616</v>
      </c>
      <c r="B98" s="6">
        <v>42.51</v>
      </c>
      <c r="C98" s="6">
        <v>31.36</v>
      </c>
      <c r="D98" s="6">
        <v>51.83</v>
      </c>
      <c r="E98" s="6">
        <v>5.59</v>
      </c>
      <c r="F98" s="6">
        <v>2.59</v>
      </c>
      <c r="G98" s="6">
        <v>147.96</v>
      </c>
      <c r="H98" s="6">
        <v>56.52</v>
      </c>
      <c r="I98" s="6">
        <v>10.59</v>
      </c>
      <c r="J98" s="6">
        <v>0.13</v>
      </c>
      <c r="K98" s="6">
        <v>182.69</v>
      </c>
      <c r="L98" s="6">
        <v>17.53</v>
      </c>
      <c r="M98" s="6">
        <v>86.91</v>
      </c>
      <c r="N98" s="6">
        <v>0</v>
      </c>
      <c r="O98" s="6">
        <v>0</v>
      </c>
      <c r="P98" s="6">
        <v>1.23</v>
      </c>
      <c r="Q98" s="6">
        <v>5.33</v>
      </c>
    </row>
    <row r="99" spans="1:22" customFormat="1">
      <c r="A99" s="6" t="s">
        <v>617</v>
      </c>
      <c r="B99" s="6">
        <v>43.38</v>
      </c>
      <c r="C99" s="6">
        <v>30.55</v>
      </c>
      <c r="D99" s="6">
        <v>52.1</v>
      </c>
      <c r="E99" s="6">
        <v>6.05</v>
      </c>
      <c r="F99" s="6">
        <v>2.68</v>
      </c>
      <c r="G99" s="6">
        <v>149.44999999999999</v>
      </c>
      <c r="H99" s="6">
        <v>57.67</v>
      </c>
      <c r="I99" s="6">
        <v>10.86</v>
      </c>
      <c r="J99" s="6">
        <v>0.15</v>
      </c>
      <c r="K99" s="6">
        <v>197.02</v>
      </c>
      <c r="L99" s="6">
        <v>17.350000000000001</v>
      </c>
      <c r="M99" s="6">
        <v>87.31</v>
      </c>
      <c r="N99" s="6">
        <v>0</v>
      </c>
      <c r="O99" s="6">
        <v>0</v>
      </c>
      <c r="P99" s="6">
        <v>1.24</v>
      </c>
      <c r="Q99" s="6">
        <v>5.35</v>
      </c>
    </row>
    <row r="100" spans="1:22" customFormat="1">
      <c r="A100" s="6" t="s">
        <v>618</v>
      </c>
      <c r="B100" s="6">
        <v>43.32</v>
      </c>
      <c r="C100" s="6">
        <v>30.55</v>
      </c>
      <c r="D100" s="6">
        <v>52.05</v>
      </c>
      <c r="E100" s="6">
        <v>5.71</v>
      </c>
      <c r="F100" s="6">
        <v>2.57</v>
      </c>
      <c r="G100" s="6">
        <v>149.66</v>
      </c>
      <c r="H100" s="6">
        <v>57.67</v>
      </c>
      <c r="I100" s="6">
        <v>11.07</v>
      </c>
      <c r="J100" s="6">
        <v>0.12</v>
      </c>
      <c r="K100" s="6">
        <v>204.16</v>
      </c>
      <c r="L100" s="6">
        <v>17.11</v>
      </c>
      <c r="M100" s="6">
        <v>87.56</v>
      </c>
      <c r="N100" s="6">
        <v>0</v>
      </c>
      <c r="O100" s="6">
        <v>0</v>
      </c>
      <c r="P100" s="6">
        <v>1.24</v>
      </c>
      <c r="Q100" s="6">
        <v>5.36</v>
      </c>
    </row>
    <row r="101" spans="1:22" customFormat="1">
      <c r="A101" s="6" t="s">
        <v>619</v>
      </c>
      <c r="B101" s="6">
        <v>42.84</v>
      </c>
      <c r="C101" s="6">
        <v>29.28</v>
      </c>
      <c r="D101" s="6">
        <v>51</v>
      </c>
      <c r="E101" s="6">
        <v>5.59</v>
      </c>
      <c r="F101" s="6">
        <v>2.5499999999999998</v>
      </c>
      <c r="G101" s="6">
        <v>149.66</v>
      </c>
      <c r="H101" s="6">
        <v>57.67</v>
      </c>
      <c r="I101" s="6">
        <v>11.19</v>
      </c>
      <c r="J101" s="6">
        <v>0.06</v>
      </c>
      <c r="K101" s="6">
        <v>217.44</v>
      </c>
      <c r="L101" s="6">
        <v>16.96</v>
      </c>
      <c r="M101" s="6">
        <v>85.96</v>
      </c>
      <c r="N101" s="6">
        <v>0</v>
      </c>
      <c r="O101" s="6">
        <v>0</v>
      </c>
      <c r="P101" s="6">
        <v>1.23</v>
      </c>
      <c r="Q101" s="6">
        <v>5.36</v>
      </c>
    </row>
    <row r="102" spans="1:22" customFormat="1">
      <c r="A102" s="6" t="s">
        <v>620</v>
      </c>
      <c r="B102" s="6">
        <v>41.53</v>
      </c>
      <c r="C102" s="6">
        <v>29.29</v>
      </c>
      <c r="D102" s="6">
        <v>49.96</v>
      </c>
      <c r="E102" s="6">
        <v>5.41</v>
      </c>
      <c r="F102" s="6">
        <v>2.69</v>
      </c>
      <c r="G102" s="6">
        <v>149.66</v>
      </c>
      <c r="H102" s="6">
        <v>57.67</v>
      </c>
      <c r="I102" s="6">
        <v>11.24</v>
      </c>
      <c r="J102" s="6">
        <v>0.09</v>
      </c>
      <c r="K102" s="6">
        <v>174.29</v>
      </c>
      <c r="L102" s="6">
        <v>16.98</v>
      </c>
      <c r="M102" s="6">
        <v>83.71</v>
      </c>
      <c r="N102" s="6">
        <v>0</v>
      </c>
      <c r="O102" s="6">
        <v>0</v>
      </c>
      <c r="P102" s="6">
        <v>1.22</v>
      </c>
      <c r="Q102" s="6">
        <v>5.32</v>
      </c>
    </row>
    <row r="103" spans="1:22" customFormat="1">
      <c r="A103" s="6" t="s">
        <v>621</v>
      </c>
      <c r="B103" s="6">
        <v>39.880000000000003</v>
      </c>
      <c r="C103" s="6">
        <v>30.29</v>
      </c>
      <c r="D103" s="6">
        <v>49.16</v>
      </c>
      <c r="E103" s="6">
        <v>5.99</v>
      </c>
      <c r="F103" s="6">
        <v>2.5</v>
      </c>
      <c r="G103" s="6">
        <v>135.93</v>
      </c>
      <c r="H103" s="6">
        <v>56.4</v>
      </c>
      <c r="I103" s="6">
        <v>11.25</v>
      </c>
      <c r="J103" s="6">
        <v>0.08</v>
      </c>
      <c r="K103" s="6">
        <v>166.51</v>
      </c>
      <c r="L103" s="6">
        <v>16.95</v>
      </c>
      <c r="M103" s="6">
        <v>82.76</v>
      </c>
      <c r="N103" s="6">
        <v>0</v>
      </c>
      <c r="O103" s="6">
        <v>0</v>
      </c>
      <c r="P103" s="6">
        <v>1.21</v>
      </c>
      <c r="Q103" s="6">
        <v>5.32</v>
      </c>
    </row>
    <row r="104" spans="1:22" customFormat="1">
      <c r="A104" s="6" t="s">
        <v>622</v>
      </c>
      <c r="B104" s="6">
        <v>38.18</v>
      </c>
      <c r="C104" s="6">
        <v>29.85</v>
      </c>
      <c r="D104" s="6">
        <v>47.57</v>
      </c>
      <c r="E104" s="6">
        <v>5.67</v>
      </c>
      <c r="F104" s="6">
        <v>2.6</v>
      </c>
      <c r="G104" s="6">
        <v>134.02000000000001</v>
      </c>
      <c r="H104" s="6">
        <v>56.4</v>
      </c>
      <c r="I104" s="6">
        <v>11.2</v>
      </c>
      <c r="J104" s="6">
        <v>0.1</v>
      </c>
      <c r="K104" s="6">
        <v>185.12</v>
      </c>
      <c r="L104" s="6">
        <v>16.98</v>
      </c>
      <c r="M104" s="6">
        <v>84.49</v>
      </c>
      <c r="N104" s="6">
        <v>0</v>
      </c>
      <c r="O104" s="6">
        <v>0</v>
      </c>
      <c r="P104" s="6">
        <v>1.18</v>
      </c>
      <c r="Q104" s="6">
        <v>5.31</v>
      </c>
    </row>
    <row r="106" spans="1:22">
      <c r="A106" s="156" t="s">
        <v>48</v>
      </c>
      <c r="B106" s="157">
        <f>MIN(B9:B104)</f>
        <v>5.0599999999999996</v>
      </c>
      <c r="C106" s="157">
        <f>MIN(C9:C104)</f>
        <v>17.46</v>
      </c>
      <c r="D106" s="157">
        <f t="shared" ref="D106:Q106" si="0">MIN(D9:D104)</f>
        <v>14.62</v>
      </c>
      <c r="E106" s="157">
        <f t="shared" si="0"/>
        <v>4.96</v>
      </c>
      <c r="F106" s="157">
        <f t="shared" si="0"/>
        <v>2.42</v>
      </c>
      <c r="G106" s="157">
        <f t="shared" si="0"/>
        <v>53.01</v>
      </c>
      <c r="H106" s="157">
        <f t="shared" si="0"/>
        <v>33.97</v>
      </c>
      <c r="I106" s="157">
        <f t="shared" si="0"/>
        <v>6.16</v>
      </c>
      <c r="J106" s="157">
        <f t="shared" si="0"/>
        <v>0.02</v>
      </c>
      <c r="K106" s="157">
        <f t="shared" si="0"/>
        <v>8.2100000000000009</v>
      </c>
      <c r="L106" s="157">
        <f t="shared" si="0"/>
        <v>14.71</v>
      </c>
      <c r="M106" s="157">
        <f t="shared" si="0"/>
        <v>37.86</v>
      </c>
      <c r="N106" s="157">
        <f t="shared" si="0"/>
        <v>0</v>
      </c>
      <c r="O106" s="157">
        <f t="shared" si="0"/>
        <v>0</v>
      </c>
      <c r="P106" s="157">
        <f t="shared" si="0"/>
        <v>0.54</v>
      </c>
      <c r="Q106" s="157">
        <f t="shared" si="0"/>
        <v>4.76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43.38</v>
      </c>
      <c r="C107" s="156">
        <f t="shared" ref="C107:Q107" si="1">MAX(C9:C104)</f>
        <v>35.869999999999997</v>
      </c>
      <c r="D107" s="156">
        <f t="shared" si="1"/>
        <v>52.1</v>
      </c>
      <c r="E107" s="156">
        <f t="shared" si="1"/>
        <v>8.1300000000000008</v>
      </c>
      <c r="F107" s="156">
        <f t="shared" si="1"/>
        <v>5.67</v>
      </c>
      <c r="G107" s="156">
        <f t="shared" si="1"/>
        <v>149.66</v>
      </c>
      <c r="H107" s="156">
        <f t="shared" si="1"/>
        <v>57.67</v>
      </c>
      <c r="I107" s="156">
        <f t="shared" si="1"/>
        <v>11.25</v>
      </c>
      <c r="J107" s="156">
        <f t="shared" si="1"/>
        <v>0.52</v>
      </c>
      <c r="K107" s="156">
        <f t="shared" si="1"/>
        <v>356.11</v>
      </c>
      <c r="L107" s="156">
        <f t="shared" si="1"/>
        <v>27.53</v>
      </c>
      <c r="M107" s="156">
        <f t="shared" si="1"/>
        <v>94.49</v>
      </c>
      <c r="N107" s="156">
        <f t="shared" si="1"/>
        <v>413.3</v>
      </c>
      <c r="O107" s="156">
        <f t="shared" si="1"/>
        <v>0</v>
      </c>
      <c r="P107" s="156">
        <f t="shared" si="1"/>
        <v>1.24</v>
      </c>
      <c r="Q107" s="156">
        <f t="shared" si="1"/>
        <v>5.36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17.91770833333333</v>
      </c>
      <c r="C108" s="157">
        <f t="shared" ref="C108:Q108" si="2">AVERAGE(C9:C104)</f>
        <v>25.813020833333329</v>
      </c>
      <c r="D108" s="157">
        <f t="shared" si="2"/>
        <v>29.206666666666663</v>
      </c>
      <c r="E108" s="157">
        <f t="shared" si="2"/>
        <v>6.7998958333333341</v>
      </c>
      <c r="F108" s="157">
        <f t="shared" si="2"/>
        <v>2.9890625000000006</v>
      </c>
      <c r="G108" s="157">
        <f t="shared" si="2"/>
        <v>95.222604166666699</v>
      </c>
      <c r="H108" s="157">
        <f t="shared" si="2"/>
        <v>44.858541666666689</v>
      </c>
      <c r="I108" s="157">
        <f t="shared" si="2"/>
        <v>7.9246875000000037</v>
      </c>
      <c r="J108" s="157">
        <f t="shared" si="2"/>
        <v>0.2121875</v>
      </c>
      <c r="K108" s="157">
        <f t="shared" si="2"/>
        <v>127.81875000000001</v>
      </c>
      <c r="L108" s="157">
        <f t="shared" si="2"/>
        <v>20.193020833333339</v>
      </c>
      <c r="M108" s="157">
        <f t="shared" si="2"/>
        <v>71.219479166666687</v>
      </c>
      <c r="N108" s="157">
        <f t="shared" si="2"/>
        <v>83.938541666666666</v>
      </c>
      <c r="O108" s="157">
        <f t="shared" si="2"/>
        <v>0</v>
      </c>
      <c r="P108" s="157">
        <f t="shared" si="2"/>
        <v>0.77635416666666668</v>
      </c>
      <c r="Q108" s="157">
        <f t="shared" si="2"/>
        <v>4.9919791666666651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11.591017345946613</v>
      </c>
      <c r="C109" s="157">
        <f t="shared" ref="C109:Q109" si="3">STDEV(C9:C104)</f>
        <v>4.4338231381747981</v>
      </c>
      <c r="D109" s="157">
        <f t="shared" si="3"/>
        <v>10.780171238427736</v>
      </c>
      <c r="E109" s="157">
        <f t="shared" si="3"/>
        <v>0.84096748143110422</v>
      </c>
      <c r="F109" s="157">
        <f t="shared" si="3"/>
        <v>0.772484819302379</v>
      </c>
      <c r="G109" s="157">
        <f t="shared" si="3"/>
        <v>31.177258150429289</v>
      </c>
      <c r="H109" s="157">
        <f t="shared" si="3"/>
        <v>7.378962126302226</v>
      </c>
      <c r="I109" s="157">
        <f t="shared" si="3"/>
        <v>1.464276327908639</v>
      </c>
      <c r="J109" s="157">
        <f t="shared" si="3"/>
        <v>0.11934208350258013</v>
      </c>
      <c r="K109" s="157">
        <f t="shared" si="3"/>
        <v>76.500283429127506</v>
      </c>
      <c r="L109" s="157">
        <f t="shared" si="3"/>
        <v>4.4853725116184204</v>
      </c>
      <c r="M109" s="157">
        <f t="shared" si="3"/>
        <v>20.261145827721343</v>
      </c>
      <c r="N109" s="157">
        <f t="shared" si="3"/>
        <v>136.04971256264082</v>
      </c>
      <c r="O109" s="157">
        <f t="shared" si="3"/>
        <v>0</v>
      </c>
      <c r="P109" s="157">
        <f t="shared" si="3"/>
        <v>0.19925714563778968</v>
      </c>
      <c r="Q109" s="157">
        <f t="shared" si="3"/>
        <v>0.15531712747704068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76" sqref="G76:G7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623</v>
      </c>
      <c r="B9" s="6">
        <v>35.380000000000003</v>
      </c>
      <c r="C9" s="6">
        <v>29.38</v>
      </c>
      <c r="D9" s="6">
        <v>45.07</v>
      </c>
      <c r="E9" s="6">
        <v>6.09</v>
      </c>
      <c r="F9" s="6">
        <v>2.5099999999999998</v>
      </c>
      <c r="G9" s="6">
        <v>134.02000000000001</v>
      </c>
      <c r="H9" s="6">
        <v>56.4</v>
      </c>
      <c r="I9" s="6">
        <v>11.11</v>
      </c>
      <c r="J9" s="6">
        <v>7.0000000000000007E-2</v>
      </c>
      <c r="K9" s="6">
        <v>172.33</v>
      </c>
      <c r="L9" s="6">
        <v>17.04</v>
      </c>
      <c r="M9" s="6">
        <v>84.4</v>
      </c>
      <c r="N9" s="6">
        <v>0</v>
      </c>
      <c r="O9" s="6">
        <v>0</v>
      </c>
      <c r="P9" s="6">
        <v>1.17</v>
      </c>
      <c r="Q9" s="6">
        <v>5.29</v>
      </c>
    </row>
    <row r="10" spans="1:21" customFormat="1">
      <c r="A10" s="6" t="s">
        <v>624</v>
      </c>
      <c r="B10" s="6">
        <v>34.72</v>
      </c>
      <c r="C10" s="6">
        <v>30.32</v>
      </c>
      <c r="D10" s="6">
        <v>45.03</v>
      </c>
      <c r="E10" s="6">
        <v>5.97</v>
      </c>
      <c r="F10" s="6">
        <v>2.56</v>
      </c>
      <c r="G10" s="6">
        <v>134.02000000000001</v>
      </c>
      <c r="H10" s="6">
        <v>56.4</v>
      </c>
      <c r="I10" s="6">
        <v>11.08</v>
      </c>
      <c r="J10" s="6">
        <v>0.12</v>
      </c>
      <c r="K10" s="6">
        <v>256</v>
      </c>
      <c r="L10" s="6">
        <v>16.8</v>
      </c>
      <c r="M10" s="6">
        <v>85.92</v>
      </c>
      <c r="N10" s="6">
        <v>0</v>
      </c>
      <c r="O10" s="6">
        <v>0</v>
      </c>
      <c r="P10" s="6">
        <v>1.1399999999999999</v>
      </c>
      <c r="Q10" s="6">
        <v>5.29</v>
      </c>
    </row>
    <row r="11" spans="1:21" customFormat="1">
      <c r="A11" s="6" t="s">
        <v>625</v>
      </c>
      <c r="B11" s="6">
        <v>34.19</v>
      </c>
      <c r="C11" s="6">
        <v>30.65</v>
      </c>
      <c r="D11" s="6">
        <v>44.78</v>
      </c>
      <c r="E11" s="6">
        <v>6.03</v>
      </c>
      <c r="F11" s="6">
        <v>2.6</v>
      </c>
      <c r="G11" s="6">
        <v>121.42</v>
      </c>
      <c r="H11" s="6">
        <v>52.43</v>
      </c>
      <c r="I11" s="6">
        <v>11.06</v>
      </c>
      <c r="J11" s="6">
        <v>0.09</v>
      </c>
      <c r="K11" s="6">
        <v>233.49</v>
      </c>
      <c r="L11" s="6">
        <v>16.82</v>
      </c>
      <c r="M11" s="6">
        <v>85.34</v>
      </c>
      <c r="N11" s="6">
        <v>0</v>
      </c>
      <c r="O11" s="6">
        <v>0</v>
      </c>
      <c r="P11" s="6">
        <v>1.1299999999999999</v>
      </c>
      <c r="Q11" s="6">
        <v>5.27</v>
      </c>
    </row>
    <row r="12" spans="1:21" customFormat="1">
      <c r="A12" s="6" t="s">
        <v>626</v>
      </c>
      <c r="B12" s="6">
        <v>37.36</v>
      </c>
      <c r="C12" s="6">
        <v>31.51</v>
      </c>
      <c r="D12" s="6">
        <v>47.78</v>
      </c>
      <c r="E12" s="6">
        <v>5.68</v>
      </c>
      <c r="F12" s="6">
        <v>2.66</v>
      </c>
      <c r="G12" s="6">
        <v>119.66</v>
      </c>
      <c r="H12" s="6">
        <v>52.43</v>
      </c>
      <c r="I12" s="6">
        <v>10.97</v>
      </c>
      <c r="J12" s="6">
        <v>0.08</v>
      </c>
      <c r="K12" s="6">
        <v>167.69</v>
      </c>
      <c r="L12" s="6">
        <v>17.059999999999999</v>
      </c>
      <c r="M12" s="6">
        <v>83.38</v>
      </c>
      <c r="N12" s="6">
        <v>0</v>
      </c>
      <c r="O12" s="6">
        <v>0</v>
      </c>
      <c r="P12" s="6">
        <v>1.1200000000000001</v>
      </c>
      <c r="Q12" s="6">
        <v>5.28</v>
      </c>
    </row>
    <row r="13" spans="1:21" customFormat="1">
      <c r="A13" s="6" t="s">
        <v>627</v>
      </c>
      <c r="B13" s="6">
        <v>42.41</v>
      </c>
      <c r="C13" s="6">
        <v>32.54</v>
      </c>
      <c r="D13" s="6">
        <v>52.36</v>
      </c>
      <c r="E13" s="6">
        <v>6.53</v>
      </c>
      <c r="F13" s="6">
        <v>2.68</v>
      </c>
      <c r="G13" s="6">
        <v>119.66</v>
      </c>
      <c r="H13" s="6">
        <v>52.43</v>
      </c>
      <c r="I13" s="6">
        <v>10.93</v>
      </c>
      <c r="J13" s="6">
        <v>0.09</v>
      </c>
      <c r="K13" s="6">
        <v>165.46</v>
      </c>
      <c r="L13" s="6">
        <v>17.25</v>
      </c>
      <c r="M13" s="6">
        <v>83.15</v>
      </c>
      <c r="N13" s="6">
        <v>0</v>
      </c>
      <c r="O13" s="6">
        <v>0</v>
      </c>
      <c r="P13" s="6">
        <v>1.1299999999999999</v>
      </c>
      <c r="Q13" s="6">
        <v>5.32</v>
      </c>
    </row>
    <row r="14" spans="1:21" customFormat="1">
      <c r="A14" s="6" t="s">
        <v>628</v>
      </c>
      <c r="B14" s="6">
        <v>45.98</v>
      </c>
      <c r="C14" s="6">
        <v>33.03</v>
      </c>
      <c r="D14" s="6">
        <v>55.48</v>
      </c>
      <c r="E14" s="6">
        <v>5.96</v>
      </c>
      <c r="F14" s="6">
        <v>2.63</v>
      </c>
      <c r="G14" s="6">
        <v>119.66</v>
      </c>
      <c r="H14" s="6">
        <v>52.43</v>
      </c>
      <c r="I14" s="6">
        <v>11.01</v>
      </c>
      <c r="J14" s="6">
        <v>0.17</v>
      </c>
      <c r="K14" s="6">
        <v>157.22</v>
      </c>
      <c r="L14" s="6">
        <v>17.489999999999998</v>
      </c>
      <c r="M14" s="6">
        <v>85.1</v>
      </c>
      <c r="N14" s="6">
        <v>0</v>
      </c>
      <c r="O14" s="6">
        <v>0</v>
      </c>
      <c r="P14" s="6">
        <v>1.1200000000000001</v>
      </c>
      <c r="Q14" s="6">
        <v>5.36</v>
      </c>
    </row>
    <row r="15" spans="1:21" customFormat="1">
      <c r="A15" s="6" t="s">
        <v>629</v>
      </c>
      <c r="B15" s="6">
        <v>47.26</v>
      </c>
      <c r="C15" s="6">
        <v>33.369999999999997</v>
      </c>
      <c r="D15" s="6">
        <v>56.68</v>
      </c>
      <c r="E15" s="6">
        <v>5.53</v>
      </c>
      <c r="F15" s="6">
        <v>2.6</v>
      </c>
      <c r="G15" s="6">
        <v>114.38</v>
      </c>
      <c r="H15" s="6">
        <v>53.35</v>
      </c>
      <c r="I15" s="6">
        <v>11.06</v>
      </c>
      <c r="J15" s="6">
        <v>0.12</v>
      </c>
      <c r="K15" s="6">
        <v>146.54</v>
      </c>
      <c r="L15" s="6">
        <v>17.37</v>
      </c>
      <c r="M15" s="6">
        <v>88.25</v>
      </c>
      <c r="N15" s="6">
        <v>0</v>
      </c>
      <c r="O15" s="6">
        <v>0</v>
      </c>
      <c r="P15" s="6">
        <v>1.1100000000000001</v>
      </c>
      <c r="Q15" s="6">
        <v>5.38</v>
      </c>
    </row>
    <row r="16" spans="1:21" customFormat="1">
      <c r="A16" s="6" t="s">
        <v>630</v>
      </c>
      <c r="B16" s="6">
        <v>47.32</v>
      </c>
      <c r="C16" s="6">
        <v>33.06</v>
      </c>
      <c r="D16" s="6">
        <v>56.57</v>
      </c>
      <c r="E16" s="6">
        <v>6.06</v>
      </c>
      <c r="F16" s="6">
        <v>2.5099999999999998</v>
      </c>
      <c r="G16" s="6">
        <v>113.57</v>
      </c>
      <c r="H16" s="6">
        <v>53.35</v>
      </c>
      <c r="I16" s="6">
        <v>11.04</v>
      </c>
      <c r="J16" s="6">
        <v>0.19</v>
      </c>
      <c r="K16" s="6">
        <v>259.85000000000002</v>
      </c>
      <c r="L16" s="6">
        <v>17.36</v>
      </c>
      <c r="M16" s="6">
        <v>86.29</v>
      </c>
      <c r="N16" s="6">
        <v>0</v>
      </c>
      <c r="O16" s="6">
        <v>0</v>
      </c>
      <c r="P16" s="6">
        <v>1.0900000000000001</v>
      </c>
      <c r="Q16" s="6">
        <v>5.39</v>
      </c>
    </row>
    <row r="17" spans="1:17" customFormat="1">
      <c r="A17" s="6" t="s">
        <v>631</v>
      </c>
      <c r="B17" s="6">
        <v>47.44</v>
      </c>
      <c r="C17" s="6">
        <v>32.81</v>
      </c>
      <c r="D17" s="6">
        <v>56.54</v>
      </c>
      <c r="E17" s="6">
        <v>5.98</v>
      </c>
      <c r="F17" s="6">
        <v>2.6</v>
      </c>
      <c r="G17" s="6">
        <v>113.57</v>
      </c>
      <c r="H17" s="6">
        <v>53.35</v>
      </c>
      <c r="I17" s="6">
        <v>10.98</v>
      </c>
      <c r="J17" s="6">
        <v>0.11</v>
      </c>
      <c r="K17" s="6">
        <v>184.31</v>
      </c>
      <c r="L17" s="6">
        <v>17.05</v>
      </c>
      <c r="M17" s="6">
        <v>87.38</v>
      </c>
      <c r="N17" s="6">
        <v>0</v>
      </c>
      <c r="O17" s="6">
        <v>0</v>
      </c>
      <c r="P17" s="6">
        <v>1.07</v>
      </c>
      <c r="Q17" s="6">
        <v>5.4</v>
      </c>
    </row>
    <row r="18" spans="1:17" customFormat="1">
      <c r="A18" s="6" t="s">
        <v>632</v>
      </c>
      <c r="B18" s="6">
        <v>46.44</v>
      </c>
      <c r="C18" s="6">
        <v>32.869999999999997</v>
      </c>
      <c r="D18" s="6">
        <v>55.77</v>
      </c>
      <c r="E18" s="6">
        <v>6.31</v>
      </c>
      <c r="F18" s="6">
        <v>2.5299999999999998</v>
      </c>
      <c r="G18" s="6">
        <v>113.57</v>
      </c>
      <c r="H18" s="6">
        <v>53.35</v>
      </c>
      <c r="I18" s="6">
        <v>10.89</v>
      </c>
      <c r="J18" s="6">
        <v>0.11</v>
      </c>
      <c r="K18" s="6">
        <v>224.59</v>
      </c>
      <c r="L18" s="6">
        <v>16.87</v>
      </c>
      <c r="M18" s="6">
        <v>88.37</v>
      </c>
      <c r="N18" s="6">
        <v>0</v>
      </c>
      <c r="O18" s="6">
        <v>0</v>
      </c>
      <c r="P18" s="6">
        <v>1.06</v>
      </c>
      <c r="Q18" s="6">
        <v>5.38</v>
      </c>
    </row>
    <row r="19" spans="1:17" customFormat="1">
      <c r="A19" s="6" t="s">
        <v>633</v>
      </c>
      <c r="B19" s="6">
        <v>45.36</v>
      </c>
      <c r="C19" s="6">
        <v>32.229999999999997</v>
      </c>
      <c r="D19" s="6">
        <v>54.57</v>
      </c>
      <c r="E19" s="6">
        <v>6.6</v>
      </c>
      <c r="F19" s="6">
        <v>2.6</v>
      </c>
      <c r="G19" s="6">
        <v>97.32</v>
      </c>
      <c r="H19" s="6">
        <v>50.49</v>
      </c>
      <c r="I19" s="6">
        <v>10.79</v>
      </c>
      <c r="J19" s="6">
        <v>0.04</v>
      </c>
      <c r="K19" s="6">
        <v>218.26</v>
      </c>
      <c r="L19" s="6">
        <v>16.73</v>
      </c>
      <c r="M19" s="6">
        <v>88.74</v>
      </c>
      <c r="N19" s="6">
        <v>0</v>
      </c>
      <c r="O19" s="6">
        <v>0</v>
      </c>
      <c r="P19" s="6">
        <v>1.04</v>
      </c>
      <c r="Q19" s="6">
        <v>5.35</v>
      </c>
    </row>
    <row r="20" spans="1:17" customFormat="1">
      <c r="A20" s="6" t="s">
        <v>634</v>
      </c>
      <c r="B20" s="6">
        <v>44.71</v>
      </c>
      <c r="C20" s="6">
        <v>31.89</v>
      </c>
      <c r="D20" s="6">
        <v>53.87</v>
      </c>
      <c r="E20" s="6">
        <v>6.79</v>
      </c>
      <c r="F20" s="6">
        <v>2.64</v>
      </c>
      <c r="G20" s="6">
        <v>95.06</v>
      </c>
      <c r="H20" s="6">
        <v>50.49</v>
      </c>
      <c r="I20" s="6">
        <v>10.71</v>
      </c>
      <c r="J20" s="6">
        <v>0.04</v>
      </c>
      <c r="K20" s="6">
        <v>69.53</v>
      </c>
      <c r="L20" s="6">
        <v>16.72</v>
      </c>
      <c r="M20" s="6">
        <v>88.62</v>
      </c>
      <c r="N20" s="6">
        <v>0</v>
      </c>
      <c r="O20" s="6">
        <v>0</v>
      </c>
      <c r="P20" s="6">
        <v>1.02</v>
      </c>
      <c r="Q20" s="6">
        <v>5.34</v>
      </c>
    </row>
    <row r="21" spans="1:17" customFormat="1">
      <c r="A21" s="6" t="s">
        <v>635</v>
      </c>
      <c r="B21" s="6">
        <v>45.89</v>
      </c>
      <c r="C21" s="6">
        <v>32.17</v>
      </c>
      <c r="D21" s="6">
        <v>54.96</v>
      </c>
      <c r="E21" s="6">
        <v>7</v>
      </c>
      <c r="F21" s="6">
        <v>2.5499999999999998</v>
      </c>
      <c r="G21" s="6">
        <v>95.06</v>
      </c>
      <c r="H21" s="6">
        <v>50.49</v>
      </c>
      <c r="I21" s="6">
        <v>10.63</v>
      </c>
      <c r="J21" s="6">
        <v>0.17</v>
      </c>
      <c r="K21" s="6">
        <v>226.06</v>
      </c>
      <c r="L21" s="6">
        <v>16.7</v>
      </c>
      <c r="M21" s="6">
        <v>87.93</v>
      </c>
      <c r="N21" s="6">
        <v>0</v>
      </c>
      <c r="O21" s="6">
        <v>0</v>
      </c>
      <c r="P21" s="6">
        <v>1.01</v>
      </c>
      <c r="Q21" s="6">
        <v>5.34</v>
      </c>
    </row>
    <row r="22" spans="1:17" customFormat="1">
      <c r="A22" s="6" t="s">
        <v>636</v>
      </c>
      <c r="B22" s="6">
        <v>45.78</v>
      </c>
      <c r="C22" s="6">
        <v>31.88</v>
      </c>
      <c r="D22" s="6">
        <v>54.72</v>
      </c>
      <c r="E22" s="6">
        <v>6.59</v>
      </c>
      <c r="F22" s="6">
        <v>2.54</v>
      </c>
      <c r="G22" s="6">
        <v>95.06</v>
      </c>
      <c r="H22" s="6">
        <v>50.49</v>
      </c>
      <c r="I22" s="6">
        <v>10.51</v>
      </c>
      <c r="J22" s="6">
        <v>0.08</v>
      </c>
      <c r="K22" s="6">
        <v>224.72</v>
      </c>
      <c r="L22" s="6">
        <v>16.440000000000001</v>
      </c>
      <c r="M22" s="6">
        <v>88.06</v>
      </c>
      <c r="N22" s="6">
        <v>0</v>
      </c>
      <c r="O22" s="6">
        <v>0</v>
      </c>
      <c r="P22" s="6">
        <v>0.99</v>
      </c>
      <c r="Q22" s="6">
        <v>5.35</v>
      </c>
    </row>
    <row r="23" spans="1:17" customFormat="1">
      <c r="A23" s="6" t="s">
        <v>637</v>
      </c>
      <c r="B23" s="6">
        <v>44.12</v>
      </c>
      <c r="C23" s="6">
        <v>31.54</v>
      </c>
      <c r="D23" s="6">
        <v>53.21</v>
      </c>
      <c r="E23" s="6">
        <v>6.63</v>
      </c>
      <c r="F23" s="6">
        <v>2.67</v>
      </c>
      <c r="G23" s="6">
        <v>91.93</v>
      </c>
      <c r="H23" s="6">
        <v>48.87</v>
      </c>
      <c r="I23" s="6">
        <v>10.42</v>
      </c>
      <c r="J23" s="6">
        <v>0.09</v>
      </c>
      <c r="K23" s="6">
        <v>183.97</v>
      </c>
      <c r="L23" s="6">
        <v>16.46</v>
      </c>
      <c r="M23" s="6">
        <v>88.32</v>
      </c>
      <c r="N23" s="6">
        <v>0</v>
      </c>
      <c r="O23" s="6">
        <v>0</v>
      </c>
      <c r="P23" s="6">
        <v>0.98</v>
      </c>
      <c r="Q23" s="6">
        <v>5.34</v>
      </c>
    </row>
    <row r="24" spans="1:17" customFormat="1">
      <c r="A24" s="6" t="s">
        <v>638</v>
      </c>
      <c r="B24" s="6">
        <v>42.33</v>
      </c>
      <c r="C24" s="6">
        <v>31.21</v>
      </c>
      <c r="D24" s="6">
        <v>51.6</v>
      </c>
      <c r="E24" s="6">
        <v>6.5</v>
      </c>
      <c r="F24" s="6">
        <v>2.59</v>
      </c>
      <c r="G24" s="6">
        <v>91.49</v>
      </c>
      <c r="H24" s="6">
        <v>48.87</v>
      </c>
      <c r="I24" s="6">
        <v>10.34</v>
      </c>
      <c r="J24" s="6">
        <v>0.12</v>
      </c>
      <c r="K24" s="6">
        <v>172.68</v>
      </c>
      <c r="L24" s="6">
        <v>16.43</v>
      </c>
      <c r="M24" s="6">
        <v>89.65</v>
      </c>
      <c r="N24" s="6">
        <v>0</v>
      </c>
      <c r="O24" s="6">
        <v>0</v>
      </c>
      <c r="P24" s="6">
        <v>0.96</v>
      </c>
      <c r="Q24" s="6">
        <v>5.3</v>
      </c>
    </row>
    <row r="25" spans="1:17" customFormat="1">
      <c r="A25" s="6" t="s">
        <v>639</v>
      </c>
      <c r="B25" s="6">
        <v>40</v>
      </c>
      <c r="C25" s="6">
        <v>30.71</v>
      </c>
      <c r="D25" s="6">
        <v>49.47</v>
      </c>
      <c r="E25" s="6">
        <v>6.57</v>
      </c>
      <c r="F25" s="6">
        <v>2.5499999999999998</v>
      </c>
      <c r="G25" s="6">
        <v>91.49</v>
      </c>
      <c r="H25" s="6">
        <v>48.87</v>
      </c>
      <c r="I25" s="6">
        <v>10.24</v>
      </c>
      <c r="J25" s="6">
        <v>0.15</v>
      </c>
      <c r="K25" s="6">
        <v>232.53</v>
      </c>
      <c r="L25" s="6">
        <v>16.260000000000002</v>
      </c>
      <c r="M25" s="6">
        <v>92.08</v>
      </c>
      <c r="N25" s="6">
        <v>0</v>
      </c>
      <c r="O25" s="6">
        <v>0</v>
      </c>
      <c r="P25" s="6">
        <v>0.95</v>
      </c>
      <c r="Q25" s="6">
        <v>5.28</v>
      </c>
    </row>
    <row r="26" spans="1:17" customFormat="1">
      <c r="A26" s="6" t="s">
        <v>640</v>
      </c>
      <c r="B26" s="6">
        <v>37.630000000000003</v>
      </c>
      <c r="C26" s="6">
        <v>30.1</v>
      </c>
      <c r="D26" s="6">
        <v>47.26</v>
      </c>
      <c r="E26" s="6">
        <v>6.23</v>
      </c>
      <c r="F26" s="6">
        <v>2.4700000000000002</v>
      </c>
      <c r="G26" s="6">
        <v>91.49</v>
      </c>
      <c r="H26" s="6">
        <v>48.87</v>
      </c>
      <c r="I26" s="6">
        <v>10.14</v>
      </c>
      <c r="J26" s="6">
        <v>0.17</v>
      </c>
      <c r="K26" s="6">
        <v>264.02</v>
      </c>
      <c r="L26" s="6">
        <v>15.89</v>
      </c>
      <c r="M26" s="6">
        <v>92.99</v>
      </c>
      <c r="N26" s="6">
        <v>0</v>
      </c>
      <c r="O26" s="6">
        <v>0</v>
      </c>
      <c r="P26" s="6">
        <v>0.93</v>
      </c>
      <c r="Q26" s="6">
        <v>5.26</v>
      </c>
    </row>
    <row r="27" spans="1:17" customFormat="1">
      <c r="A27" s="6" t="s">
        <v>641</v>
      </c>
      <c r="B27" s="6">
        <v>35.51</v>
      </c>
      <c r="C27" s="6">
        <v>29.57</v>
      </c>
      <c r="D27" s="6">
        <v>45.28</v>
      </c>
      <c r="E27" s="6">
        <v>6.29</v>
      </c>
      <c r="F27" s="6">
        <v>2.46</v>
      </c>
      <c r="G27" s="6">
        <v>83.6</v>
      </c>
      <c r="H27" s="6">
        <v>44.77</v>
      </c>
      <c r="I27" s="6">
        <v>10.06</v>
      </c>
      <c r="J27" s="6">
        <v>0.14000000000000001</v>
      </c>
      <c r="K27" s="6">
        <v>271.41000000000003</v>
      </c>
      <c r="L27" s="6">
        <v>15.62</v>
      </c>
      <c r="M27" s="6">
        <v>92.65</v>
      </c>
      <c r="N27" s="6">
        <v>0</v>
      </c>
      <c r="O27" s="6">
        <v>0</v>
      </c>
      <c r="P27" s="6">
        <v>0.93</v>
      </c>
      <c r="Q27" s="6">
        <v>5.2</v>
      </c>
    </row>
    <row r="28" spans="1:17" customFormat="1">
      <c r="A28" s="6" t="s">
        <v>642</v>
      </c>
      <c r="B28" s="6">
        <v>33.51</v>
      </c>
      <c r="C28" s="6">
        <v>28.64</v>
      </c>
      <c r="D28" s="6">
        <v>43.19</v>
      </c>
      <c r="E28" s="6">
        <v>6.16</v>
      </c>
      <c r="F28" s="6">
        <v>2.54</v>
      </c>
      <c r="G28" s="6">
        <v>82.5</v>
      </c>
      <c r="H28" s="6">
        <v>44.77</v>
      </c>
      <c r="I28" s="6">
        <v>9.98</v>
      </c>
      <c r="J28" s="6">
        <v>0.1</v>
      </c>
      <c r="K28" s="6">
        <v>265.31</v>
      </c>
      <c r="L28" s="6">
        <v>15.34</v>
      </c>
      <c r="M28" s="6">
        <v>93.58</v>
      </c>
      <c r="N28" s="6">
        <v>0</v>
      </c>
      <c r="O28" s="6">
        <v>0</v>
      </c>
      <c r="P28" s="6">
        <v>0.91</v>
      </c>
      <c r="Q28" s="6">
        <v>5.18</v>
      </c>
    </row>
    <row r="29" spans="1:17" customFormat="1">
      <c r="A29" s="6" t="s">
        <v>643</v>
      </c>
      <c r="B29" s="6">
        <v>31.81</v>
      </c>
      <c r="C29" s="6">
        <v>27.53</v>
      </c>
      <c r="D29" s="6">
        <v>41.25</v>
      </c>
      <c r="E29" s="6">
        <v>6.17</v>
      </c>
      <c r="F29" s="6">
        <v>2.5499999999999998</v>
      </c>
      <c r="G29" s="6">
        <v>82.5</v>
      </c>
      <c r="H29" s="6">
        <v>44.77</v>
      </c>
      <c r="I29" s="6">
        <v>9.9600000000000009</v>
      </c>
      <c r="J29" s="6">
        <v>0.14000000000000001</v>
      </c>
      <c r="K29" s="6">
        <v>122.53</v>
      </c>
      <c r="L29" s="6">
        <v>15.53</v>
      </c>
      <c r="M29" s="6">
        <v>94.35</v>
      </c>
      <c r="N29" s="6">
        <v>0</v>
      </c>
      <c r="O29" s="6">
        <v>0</v>
      </c>
      <c r="P29" s="6">
        <v>0.88</v>
      </c>
      <c r="Q29" s="6">
        <v>5.15</v>
      </c>
    </row>
    <row r="30" spans="1:17" customFormat="1">
      <c r="A30" s="6" t="s">
        <v>644</v>
      </c>
      <c r="B30" s="6">
        <v>32.03</v>
      </c>
      <c r="C30" s="6">
        <v>26.6</v>
      </c>
      <c r="D30" s="6">
        <v>40.94</v>
      </c>
      <c r="E30" s="6">
        <v>6.19</v>
      </c>
      <c r="F30" s="6">
        <v>2.68</v>
      </c>
      <c r="G30" s="6">
        <v>82.5</v>
      </c>
      <c r="H30" s="6">
        <v>44.77</v>
      </c>
      <c r="I30" s="6">
        <v>9.89</v>
      </c>
      <c r="J30" s="6">
        <v>0.14000000000000001</v>
      </c>
      <c r="K30" s="6">
        <v>116.04</v>
      </c>
      <c r="L30" s="6">
        <v>15.68</v>
      </c>
      <c r="M30" s="6">
        <v>92.99</v>
      </c>
      <c r="N30" s="6">
        <v>0</v>
      </c>
      <c r="O30" s="6">
        <v>0</v>
      </c>
      <c r="P30" s="6">
        <v>0.86</v>
      </c>
      <c r="Q30" s="6">
        <v>5.14</v>
      </c>
    </row>
    <row r="31" spans="1:17" customFormat="1">
      <c r="A31" s="6" t="s">
        <v>645</v>
      </c>
      <c r="B31" s="6">
        <v>33.479999999999997</v>
      </c>
      <c r="C31" s="6">
        <v>25.69</v>
      </c>
      <c r="D31" s="6">
        <v>41.62</v>
      </c>
      <c r="E31" s="6">
        <v>6.48</v>
      </c>
      <c r="F31" s="6">
        <v>2.71</v>
      </c>
      <c r="G31" s="6">
        <v>77.319999999999993</v>
      </c>
      <c r="H31" s="6">
        <v>43.15</v>
      </c>
      <c r="I31" s="6">
        <v>9.82</v>
      </c>
      <c r="J31" s="6">
        <v>0.14000000000000001</v>
      </c>
      <c r="K31" s="6">
        <v>135.06</v>
      </c>
      <c r="L31" s="6">
        <v>15.85</v>
      </c>
      <c r="M31" s="6">
        <v>92.03</v>
      </c>
      <c r="N31" s="6">
        <v>0</v>
      </c>
      <c r="O31" s="6">
        <v>0</v>
      </c>
      <c r="P31" s="6">
        <v>0.84</v>
      </c>
      <c r="Q31" s="6">
        <v>5.16</v>
      </c>
    </row>
    <row r="32" spans="1:17" customFormat="1">
      <c r="A32" s="6" t="s">
        <v>646</v>
      </c>
      <c r="B32" s="6">
        <v>35.299999999999997</v>
      </c>
      <c r="C32" s="6">
        <v>26.21</v>
      </c>
      <c r="D32" s="6">
        <v>43.36</v>
      </c>
      <c r="E32" s="6">
        <v>5.82</v>
      </c>
      <c r="F32" s="6">
        <v>2.62</v>
      </c>
      <c r="G32" s="6">
        <v>76.599999999999994</v>
      </c>
      <c r="H32" s="6">
        <v>43.15</v>
      </c>
      <c r="I32" s="6">
        <v>9.7799999999999994</v>
      </c>
      <c r="J32" s="6">
        <v>0.13</v>
      </c>
      <c r="K32" s="6">
        <v>104.82</v>
      </c>
      <c r="L32" s="6">
        <v>15.85</v>
      </c>
      <c r="M32" s="6">
        <v>91.95</v>
      </c>
      <c r="N32" s="6">
        <v>0</v>
      </c>
      <c r="O32" s="6">
        <v>0</v>
      </c>
      <c r="P32" s="6">
        <v>0.84</v>
      </c>
      <c r="Q32" s="6">
        <v>5.17</v>
      </c>
    </row>
    <row r="33" spans="1:17" customFormat="1">
      <c r="A33" s="6" t="s">
        <v>647</v>
      </c>
      <c r="B33" s="6">
        <v>36.74</v>
      </c>
      <c r="C33" s="6">
        <v>26.18</v>
      </c>
      <c r="D33" s="6">
        <v>44.49</v>
      </c>
      <c r="E33" s="6">
        <v>5.63</v>
      </c>
      <c r="F33" s="6">
        <v>2.64</v>
      </c>
      <c r="G33" s="6">
        <v>76.599999999999994</v>
      </c>
      <c r="H33" s="6">
        <v>43.15</v>
      </c>
      <c r="I33" s="6">
        <v>9.76</v>
      </c>
      <c r="J33" s="6">
        <v>0.14000000000000001</v>
      </c>
      <c r="K33" s="6">
        <v>118.4</v>
      </c>
      <c r="L33" s="6">
        <v>15.97</v>
      </c>
      <c r="M33" s="6">
        <v>91.35</v>
      </c>
      <c r="N33" s="6">
        <v>0</v>
      </c>
      <c r="O33" s="6">
        <v>0</v>
      </c>
      <c r="P33" s="6">
        <v>0.84</v>
      </c>
      <c r="Q33" s="6">
        <v>5.18</v>
      </c>
    </row>
    <row r="34" spans="1:17" customFormat="1">
      <c r="A34" s="6" t="s">
        <v>648</v>
      </c>
      <c r="B34" s="6">
        <v>37.32</v>
      </c>
      <c r="C34" s="6">
        <v>26.59</v>
      </c>
      <c r="D34" s="6">
        <v>45.17</v>
      </c>
      <c r="E34" s="6">
        <v>6.05</v>
      </c>
      <c r="F34" s="6">
        <v>2.59</v>
      </c>
      <c r="G34" s="6">
        <v>76.599999999999994</v>
      </c>
      <c r="H34" s="6">
        <v>43.15</v>
      </c>
      <c r="I34" s="6">
        <v>9.74</v>
      </c>
      <c r="J34" s="6">
        <v>0.15</v>
      </c>
      <c r="K34" s="6">
        <v>110.96</v>
      </c>
      <c r="L34" s="6">
        <v>15.94</v>
      </c>
      <c r="M34" s="6">
        <v>92.7</v>
      </c>
      <c r="N34" s="6">
        <v>0</v>
      </c>
      <c r="O34" s="6">
        <v>0</v>
      </c>
      <c r="P34" s="6">
        <v>0.83</v>
      </c>
      <c r="Q34" s="6">
        <v>5.19</v>
      </c>
    </row>
    <row r="35" spans="1:17" customFormat="1">
      <c r="A35" s="6" t="s">
        <v>649</v>
      </c>
      <c r="B35" s="6">
        <v>37.86</v>
      </c>
      <c r="C35" s="6">
        <v>26.93</v>
      </c>
      <c r="D35" s="6">
        <v>45.79</v>
      </c>
      <c r="E35" s="6">
        <v>6.22</v>
      </c>
      <c r="F35" s="6">
        <v>2.42</v>
      </c>
      <c r="G35" s="6">
        <v>77.989999999999995</v>
      </c>
      <c r="H35" s="6">
        <v>42.05</v>
      </c>
      <c r="I35" s="6">
        <v>9.77</v>
      </c>
      <c r="J35" s="6">
        <v>0.14000000000000001</v>
      </c>
      <c r="K35" s="6">
        <v>147.94999999999999</v>
      </c>
      <c r="L35" s="6">
        <v>15.99</v>
      </c>
      <c r="M35" s="6">
        <v>92.01</v>
      </c>
      <c r="N35" s="6">
        <v>0</v>
      </c>
      <c r="O35" s="6">
        <v>0</v>
      </c>
      <c r="P35" s="6">
        <v>0.83</v>
      </c>
      <c r="Q35" s="6">
        <v>5.21</v>
      </c>
    </row>
    <row r="36" spans="1:17" customFormat="1">
      <c r="A36" s="6" t="s">
        <v>650</v>
      </c>
      <c r="B36" s="6">
        <v>38.14</v>
      </c>
      <c r="C36" s="6">
        <v>27.1</v>
      </c>
      <c r="D36" s="6">
        <v>46.1</v>
      </c>
      <c r="E36" s="6">
        <v>6.39</v>
      </c>
      <c r="F36" s="6">
        <v>2.4700000000000002</v>
      </c>
      <c r="G36" s="6">
        <v>78.19</v>
      </c>
      <c r="H36" s="6">
        <v>42.05</v>
      </c>
      <c r="I36" s="6">
        <v>9.8000000000000007</v>
      </c>
      <c r="J36" s="6">
        <v>0.17</v>
      </c>
      <c r="K36" s="6">
        <v>246.63</v>
      </c>
      <c r="L36" s="6">
        <v>15.77</v>
      </c>
      <c r="M36" s="6">
        <v>93.45</v>
      </c>
      <c r="N36" s="6">
        <v>1.9</v>
      </c>
      <c r="O36" s="6">
        <v>0</v>
      </c>
      <c r="P36" s="6">
        <v>0.83</v>
      </c>
      <c r="Q36" s="6">
        <v>5.24</v>
      </c>
    </row>
    <row r="37" spans="1:17" customFormat="1">
      <c r="A37" s="6" t="s">
        <v>651</v>
      </c>
      <c r="B37" s="6">
        <v>37.82</v>
      </c>
      <c r="C37" s="6">
        <v>27.15</v>
      </c>
      <c r="D37" s="6">
        <v>45.87</v>
      </c>
      <c r="E37" s="6">
        <v>6.44</v>
      </c>
      <c r="F37" s="6">
        <v>2.46</v>
      </c>
      <c r="G37" s="6">
        <v>78.19</v>
      </c>
      <c r="H37" s="6">
        <v>42.05</v>
      </c>
      <c r="I37" s="6">
        <v>9.77</v>
      </c>
      <c r="J37" s="6">
        <v>0.11</v>
      </c>
      <c r="K37" s="6">
        <v>249.38</v>
      </c>
      <c r="L37" s="6">
        <v>15.7</v>
      </c>
      <c r="M37" s="6">
        <v>94.18</v>
      </c>
      <c r="N37" s="6">
        <v>10</v>
      </c>
      <c r="O37" s="6">
        <v>0</v>
      </c>
      <c r="P37" s="6">
        <v>0.83</v>
      </c>
      <c r="Q37" s="6">
        <v>5.26</v>
      </c>
    </row>
    <row r="38" spans="1:17" customFormat="1">
      <c r="A38" s="6" t="s">
        <v>652</v>
      </c>
      <c r="B38" s="6">
        <v>36.94</v>
      </c>
      <c r="C38" s="6">
        <v>25.59</v>
      </c>
      <c r="D38" s="6">
        <v>44.35</v>
      </c>
      <c r="E38" s="6">
        <v>6.17</v>
      </c>
      <c r="F38" s="6">
        <v>2.7</v>
      </c>
      <c r="G38" s="6">
        <v>78.19</v>
      </c>
      <c r="H38" s="6">
        <v>42.05</v>
      </c>
      <c r="I38" s="6">
        <v>9.74</v>
      </c>
      <c r="J38" s="6">
        <v>7.0000000000000007E-2</v>
      </c>
      <c r="K38" s="6">
        <v>112.94</v>
      </c>
      <c r="L38" s="6">
        <v>15.88</v>
      </c>
      <c r="M38" s="6">
        <v>93.99</v>
      </c>
      <c r="N38" s="6">
        <v>19.8</v>
      </c>
      <c r="O38" s="6">
        <v>0</v>
      </c>
      <c r="P38" s="6">
        <v>0.82</v>
      </c>
      <c r="Q38" s="6">
        <v>5.27</v>
      </c>
    </row>
    <row r="39" spans="1:17" customFormat="1">
      <c r="A39" s="6" t="s">
        <v>653</v>
      </c>
      <c r="B39" s="6">
        <v>36.299999999999997</v>
      </c>
      <c r="C39" s="6">
        <v>26.78</v>
      </c>
      <c r="D39" s="6">
        <v>44.45</v>
      </c>
      <c r="E39" s="6">
        <v>6.2</v>
      </c>
      <c r="F39" s="6">
        <v>2.57</v>
      </c>
      <c r="G39" s="6">
        <v>78.08</v>
      </c>
      <c r="H39" s="6">
        <v>42.94</v>
      </c>
      <c r="I39" s="6">
        <v>9.7100000000000009</v>
      </c>
      <c r="J39" s="6">
        <v>0.31</v>
      </c>
      <c r="K39" s="6">
        <v>50.76</v>
      </c>
      <c r="L39" s="6">
        <v>16.399999999999999</v>
      </c>
      <c r="M39" s="6">
        <v>92.84</v>
      </c>
      <c r="N39" s="6">
        <v>31.5</v>
      </c>
      <c r="O39" s="6">
        <v>0</v>
      </c>
      <c r="P39" s="6">
        <v>0.82</v>
      </c>
      <c r="Q39" s="6">
        <v>5.26</v>
      </c>
    </row>
    <row r="40" spans="1:17" customFormat="1">
      <c r="A40" s="6" t="s">
        <v>654</v>
      </c>
      <c r="B40" s="6">
        <v>36.93</v>
      </c>
      <c r="C40" s="6">
        <v>27.04</v>
      </c>
      <c r="D40" s="6">
        <v>45.1</v>
      </c>
      <c r="E40" s="6">
        <v>6.33</v>
      </c>
      <c r="F40" s="6">
        <v>2.59</v>
      </c>
      <c r="G40" s="6">
        <v>78.06</v>
      </c>
      <c r="H40" s="6">
        <v>42.94</v>
      </c>
      <c r="I40" s="6">
        <v>9.67</v>
      </c>
      <c r="J40" s="6">
        <v>0.27</v>
      </c>
      <c r="K40" s="6">
        <v>66.56</v>
      </c>
      <c r="L40" s="6">
        <v>17.04</v>
      </c>
      <c r="M40" s="6">
        <v>91.09</v>
      </c>
      <c r="N40" s="6">
        <v>45.1</v>
      </c>
      <c r="O40" s="6">
        <v>0</v>
      </c>
      <c r="P40" s="6">
        <v>0.84</v>
      </c>
      <c r="Q40" s="6">
        <v>5.29</v>
      </c>
    </row>
    <row r="41" spans="1:17" customFormat="1">
      <c r="A41" s="6" t="s">
        <v>655</v>
      </c>
      <c r="B41" s="6">
        <v>36.97</v>
      </c>
      <c r="C41" s="6">
        <v>27.18</v>
      </c>
      <c r="D41" s="6">
        <v>45.2</v>
      </c>
      <c r="E41" s="6">
        <v>6.52</v>
      </c>
      <c r="F41" s="6">
        <v>2.46</v>
      </c>
      <c r="G41" s="6">
        <v>78.06</v>
      </c>
      <c r="H41" s="6">
        <v>42.94</v>
      </c>
      <c r="I41" s="6">
        <v>9.73</v>
      </c>
      <c r="J41" s="6">
        <v>0.36</v>
      </c>
      <c r="K41" s="6">
        <v>48.88</v>
      </c>
      <c r="L41" s="6">
        <v>17.71</v>
      </c>
      <c r="M41" s="6">
        <v>88.79</v>
      </c>
      <c r="N41" s="6">
        <v>84.6</v>
      </c>
      <c r="O41" s="6">
        <v>0</v>
      </c>
      <c r="P41" s="6">
        <v>0.85</v>
      </c>
      <c r="Q41" s="6">
        <v>5.29</v>
      </c>
    </row>
    <row r="42" spans="1:17" customFormat="1">
      <c r="A42" s="6" t="s">
        <v>656</v>
      </c>
      <c r="B42" s="6">
        <v>36.700000000000003</v>
      </c>
      <c r="C42" s="6">
        <v>25.75</v>
      </c>
      <c r="D42" s="6">
        <v>44.23</v>
      </c>
      <c r="E42" s="6">
        <v>6.49</v>
      </c>
      <c r="F42" s="6">
        <v>2.69</v>
      </c>
      <c r="G42" s="6">
        <v>78.06</v>
      </c>
      <c r="H42" s="6">
        <v>42.94</v>
      </c>
      <c r="I42" s="6">
        <v>9.92</v>
      </c>
      <c r="J42" s="6">
        <v>0.38</v>
      </c>
      <c r="K42" s="6">
        <v>47.81</v>
      </c>
      <c r="L42" s="6">
        <v>18.350000000000001</v>
      </c>
      <c r="M42" s="6">
        <v>86.16</v>
      </c>
      <c r="N42" s="6">
        <v>114.8</v>
      </c>
      <c r="O42" s="6">
        <v>0</v>
      </c>
      <c r="P42" s="6">
        <v>0.87</v>
      </c>
      <c r="Q42" s="6">
        <v>5.28</v>
      </c>
    </row>
    <row r="43" spans="1:17" customFormat="1">
      <c r="A43" s="6" t="s">
        <v>657</v>
      </c>
      <c r="B43" s="6">
        <v>36.119999999999997</v>
      </c>
      <c r="C43" s="6">
        <v>26.99</v>
      </c>
      <c r="D43" s="6">
        <v>44.42</v>
      </c>
      <c r="E43" s="6">
        <v>6.59</v>
      </c>
      <c r="F43" s="6">
        <v>2.5299999999999998</v>
      </c>
      <c r="G43" s="6">
        <v>93.84</v>
      </c>
      <c r="H43" s="6">
        <v>45.9</v>
      </c>
      <c r="I43" s="6">
        <v>10.23</v>
      </c>
      <c r="J43" s="6">
        <v>0.32</v>
      </c>
      <c r="K43" s="6">
        <v>53.52</v>
      </c>
      <c r="L43" s="6">
        <v>19.329999999999998</v>
      </c>
      <c r="M43" s="6">
        <v>82.13</v>
      </c>
      <c r="N43" s="6">
        <v>138</v>
      </c>
      <c r="O43" s="6">
        <v>0</v>
      </c>
      <c r="P43" s="6">
        <v>0.88</v>
      </c>
      <c r="Q43" s="6">
        <v>5.27</v>
      </c>
    </row>
    <row r="44" spans="1:17" customFormat="1">
      <c r="A44" s="6" t="s">
        <v>658</v>
      </c>
      <c r="B44" s="6">
        <v>35.44</v>
      </c>
      <c r="C44" s="6">
        <v>25.98</v>
      </c>
      <c r="D44" s="6">
        <v>43.35</v>
      </c>
      <c r="E44" s="6">
        <v>6.43</v>
      </c>
      <c r="F44" s="6">
        <v>2.65</v>
      </c>
      <c r="G44" s="6">
        <v>96.27</v>
      </c>
      <c r="H44" s="6">
        <v>45.9</v>
      </c>
      <c r="I44" s="6">
        <v>10.62</v>
      </c>
      <c r="J44" s="6">
        <v>0.28000000000000003</v>
      </c>
      <c r="K44" s="6">
        <v>74.27</v>
      </c>
      <c r="L44" s="6">
        <v>20.22</v>
      </c>
      <c r="M44" s="6">
        <v>78.44</v>
      </c>
      <c r="N44" s="6">
        <v>158.80000000000001</v>
      </c>
      <c r="O44" s="6">
        <v>0</v>
      </c>
      <c r="P44" s="6">
        <v>0.88</v>
      </c>
      <c r="Q44" s="6">
        <v>5.27</v>
      </c>
    </row>
    <row r="45" spans="1:17" customFormat="1">
      <c r="A45" s="6" t="s">
        <v>659</v>
      </c>
      <c r="B45" s="6">
        <v>34.47</v>
      </c>
      <c r="C45" s="6">
        <v>25.95</v>
      </c>
      <c r="D45" s="6">
        <v>42.55</v>
      </c>
      <c r="E45" s="6">
        <v>6.44</v>
      </c>
      <c r="F45" s="6">
        <v>2.71</v>
      </c>
      <c r="G45" s="6">
        <v>96.27</v>
      </c>
      <c r="H45" s="6">
        <v>45.9</v>
      </c>
      <c r="I45" s="6">
        <v>10.94</v>
      </c>
      <c r="J45" s="6">
        <v>0.41</v>
      </c>
      <c r="K45" s="6">
        <v>53.04</v>
      </c>
      <c r="L45" s="6">
        <v>20.89</v>
      </c>
      <c r="M45" s="6">
        <v>76.290000000000006</v>
      </c>
      <c r="N45" s="6">
        <v>143.30000000000001</v>
      </c>
      <c r="O45" s="6">
        <v>0</v>
      </c>
      <c r="P45" s="6">
        <v>0.88</v>
      </c>
      <c r="Q45" s="6">
        <v>5.24</v>
      </c>
    </row>
    <row r="46" spans="1:17" customFormat="1">
      <c r="A46" s="6" t="s">
        <v>660</v>
      </c>
      <c r="B46" s="6">
        <v>33.75</v>
      </c>
      <c r="C46" s="6">
        <v>26.13</v>
      </c>
      <c r="D46" s="6">
        <v>42.07</v>
      </c>
      <c r="E46" s="6">
        <v>6.51</v>
      </c>
      <c r="F46" s="6">
        <v>2.78</v>
      </c>
      <c r="G46" s="6">
        <v>96.27</v>
      </c>
      <c r="H46" s="6">
        <v>45.9</v>
      </c>
      <c r="I46" s="6">
        <v>11.09</v>
      </c>
      <c r="J46" s="6">
        <v>0.34</v>
      </c>
      <c r="K46" s="6">
        <v>54.88</v>
      </c>
      <c r="L46" s="6">
        <v>21.6</v>
      </c>
      <c r="M46" s="6">
        <v>71.3</v>
      </c>
      <c r="N46" s="6">
        <v>127.2</v>
      </c>
      <c r="O46" s="6">
        <v>0</v>
      </c>
      <c r="P46" s="6">
        <v>0.88</v>
      </c>
      <c r="Q46" s="6">
        <v>5.23</v>
      </c>
    </row>
    <row r="47" spans="1:17" customFormat="1">
      <c r="A47" s="6" t="s">
        <v>661</v>
      </c>
      <c r="B47" s="6">
        <v>32.97</v>
      </c>
      <c r="C47" s="6">
        <v>25.57</v>
      </c>
      <c r="D47" s="6">
        <v>41.15</v>
      </c>
      <c r="E47" s="6">
        <v>6.31</v>
      </c>
      <c r="F47" s="6">
        <v>2.72</v>
      </c>
      <c r="G47" s="6">
        <v>98.25</v>
      </c>
      <c r="H47" s="6">
        <v>47.69</v>
      </c>
      <c r="I47" s="6">
        <v>11.19</v>
      </c>
      <c r="J47" s="6">
        <v>0.34</v>
      </c>
      <c r="K47" s="6">
        <v>32.28</v>
      </c>
      <c r="L47" s="6">
        <v>22.18</v>
      </c>
      <c r="M47" s="6">
        <v>67.91</v>
      </c>
      <c r="N47" s="6">
        <v>138</v>
      </c>
      <c r="O47" s="6">
        <v>0</v>
      </c>
      <c r="P47" s="6">
        <v>0.88</v>
      </c>
      <c r="Q47" s="6">
        <v>5.22</v>
      </c>
    </row>
    <row r="48" spans="1:17" customFormat="1">
      <c r="A48" s="6" t="s">
        <v>662</v>
      </c>
      <c r="B48" s="6">
        <v>31.98</v>
      </c>
      <c r="C48" s="6">
        <v>27.15</v>
      </c>
      <c r="D48" s="6">
        <v>41.18</v>
      </c>
      <c r="E48" s="6">
        <v>6.58</v>
      </c>
      <c r="F48" s="6">
        <v>2.64</v>
      </c>
      <c r="G48" s="6">
        <v>98.53</v>
      </c>
      <c r="H48" s="6">
        <v>47.69</v>
      </c>
      <c r="I48" s="6">
        <v>11.18</v>
      </c>
      <c r="J48" s="6">
        <v>0.41</v>
      </c>
      <c r="K48" s="6">
        <v>68.28</v>
      </c>
      <c r="L48" s="6">
        <v>22.8</v>
      </c>
      <c r="M48" s="6">
        <v>64.959999999999994</v>
      </c>
      <c r="N48" s="6">
        <v>180.6</v>
      </c>
      <c r="O48" s="6">
        <v>0</v>
      </c>
      <c r="P48" s="6">
        <v>0.88</v>
      </c>
      <c r="Q48" s="6">
        <v>5.21</v>
      </c>
    </row>
    <row r="49" spans="1:17" customFormat="1">
      <c r="A49" s="6" t="s">
        <v>663</v>
      </c>
      <c r="B49" s="6">
        <v>29.47</v>
      </c>
      <c r="C49" s="6">
        <v>27.99</v>
      </c>
      <c r="D49" s="6">
        <v>39.61</v>
      </c>
      <c r="E49" s="6">
        <v>6.62</v>
      </c>
      <c r="F49" s="6">
        <v>2.88</v>
      </c>
      <c r="G49" s="6">
        <v>98.53</v>
      </c>
      <c r="H49" s="6">
        <v>47.69</v>
      </c>
      <c r="I49" s="6">
        <v>11.2</v>
      </c>
      <c r="J49" s="6">
        <v>0.2</v>
      </c>
      <c r="K49" s="6">
        <v>141.51</v>
      </c>
      <c r="L49" s="6">
        <v>23.61</v>
      </c>
      <c r="M49" s="6">
        <v>61.47</v>
      </c>
      <c r="N49" s="6">
        <v>282.39999999999998</v>
      </c>
      <c r="O49" s="6">
        <v>0</v>
      </c>
      <c r="P49" s="6">
        <v>0.88</v>
      </c>
      <c r="Q49" s="6">
        <v>5.21</v>
      </c>
    </row>
    <row r="50" spans="1:17" customFormat="1">
      <c r="A50" s="6" t="s">
        <v>664</v>
      </c>
      <c r="B50" s="6">
        <v>26.33</v>
      </c>
      <c r="C50" s="6">
        <v>28.78</v>
      </c>
      <c r="D50" s="6">
        <v>37.5</v>
      </c>
      <c r="E50" s="6">
        <v>7.03</v>
      </c>
      <c r="F50" s="6">
        <v>2.9</v>
      </c>
      <c r="G50" s="6">
        <v>98.53</v>
      </c>
      <c r="H50" s="6">
        <v>47.69</v>
      </c>
      <c r="I50" s="6">
        <v>11.2</v>
      </c>
      <c r="J50" s="6">
        <v>0.28000000000000003</v>
      </c>
      <c r="K50" s="6">
        <v>76.14</v>
      </c>
      <c r="L50" s="6">
        <v>24.04</v>
      </c>
      <c r="M50" s="6">
        <v>59.74</v>
      </c>
      <c r="N50" s="6">
        <v>311.10000000000002</v>
      </c>
      <c r="O50" s="6">
        <v>0</v>
      </c>
      <c r="P50" s="6">
        <v>0.87</v>
      </c>
      <c r="Q50" s="6">
        <v>5.16</v>
      </c>
    </row>
    <row r="51" spans="1:17" customFormat="1">
      <c r="A51" s="6" t="s">
        <v>665</v>
      </c>
      <c r="B51" s="6">
        <v>23.19</v>
      </c>
      <c r="C51" s="6">
        <v>29.79</v>
      </c>
      <c r="D51" s="6">
        <v>35.520000000000003</v>
      </c>
      <c r="E51" s="6">
        <v>7.19</v>
      </c>
      <c r="F51" s="6">
        <v>2.89</v>
      </c>
      <c r="G51" s="6">
        <v>96.17</v>
      </c>
      <c r="H51" s="6">
        <v>47.38</v>
      </c>
      <c r="I51" s="6">
        <v>11.03</v>
      </c>
      <c r="J51" s="6">
        <v>0.17</v>
      </c>
      <c r="K51" s="6">
        <v>122.7</v>
      </c>
      <c r="L51" s="6">
        <v>24.58</v>
      </c>
      <c r="M51" s="6">
        <v>57.37</v>
      </c>
      <c r="N51" s="6">
        <v>326.89999999999998</v>
      </c>
      <c r="O51" s="6">
        <v>0</v>
      </c>
      <c r="P51" s="6">
        <v>0.86</v>
      </c>
      <c r="Q51" s="6">
        <v>5.13</v>
      </c>
    </row>
    <row r="52" spans="1:17" customFormat="1">
      <c r="A52" s="6" t="s">
        <v>666</v>
      </c>
      <c r="B52" s="6">
        <v>20.420000000000002</v>
      </c>
      <c r="C52" s="6">
        <v>29.92</v>
      </c>
      <c r="D52" s="6">
        <v>33.36</v>
      </c>
      <c r="E52" s="6">
        <v>7.2</v>
      </c>
      <c r="F52" s="6">
        <v>2.91</v>
      </c>
      <c r="G52" s="6">
        <v>95.85</v>
      </c>
      <c r="H52" s="6">
        <v>47.38</v>
      </c>
      <c r="I52" s="6">
        <v>10.77</v>
      </c>
      <c r="J52" s="6">
        <v>0.17</v>
      </c>
      <c r="K52" s="6">
        <v>131.18</v>
      </c>
      <c r="L52" s="6">
        <v>25.55</v>
      </c>
      <c r="M52" s="6">
        <v>53.36</v>
      </c>
      <c r="N52" s="6">
        <v>347.1</v>
      </c>
      <c r="O52" s="6">
        <v>0</v>
      </c>
      <c r="P52" s="6">
        <v>0.84</v>
      </c>
      <c r="Q52" s="6">
        <v>5.08</v>
      </c>
    </row>
    <row r="53" spans="1:17" customFormat="1">
      <c r="A53" s="6" t="s">
        <v>667</v>
      </c>
      <c r="B53" s="6">
        <v>17.77</v>
      </c>
      <c r="C53" s="6">
        <v>30.04</v>
      </c>
      <c r="D53" s="6">
        <v>31.3</v>
      </c>
      <c r="E53" s="6">
        <v>7.08</v>
      </c>
      <c r="F53" s="6">
        <v>3.08</v>
      </c>
      <c r="G53" s="6">
        <v>95.85</v>
      </c>
      <c r="H53" s="6">
        <v>47.38</v>
      </c>
      <c r="I53" s="6">
        <v>10.5</v>
      </c>
      <c r="J53" s="6">
        <v>0.33</v>
      </c>
      <c r="K53" s="6">
        <v>152.21</v>
      </c>
      <c r="L53" s="6">
        <v>25.91</v>
      </c>
      <c r="M53" s="6">
        <v>50.96</v>
      </c>
      <c r="N53" s="6">
        <v>346.3</v>
      </c>
      <c r="O53" s="6">
        <v>0</v>
      </c>
      <c r="P53" s="6">
        <v>0.82</v>
      </c>
      <c r="Q53" s="6">
        <v>5.03</v>
      </c>
    </row>
    <row r="54" spans="1:17" customFormat="1">
      <c r="A54" s="6" t="s">
        <v>668</v>
      </c>
      <c r="B54" s="6">
        <v>15.34</v>
      </c>
      <c r="C54" s="6">
        <v>29.76</v>
      </c>
      <c r="D54" s="6">
        <v>29.2</v>
      </c>
      <c r="E54" s="6">
        <v>7.13</v>
      </c>
      <c r="F54" s="6">
        <v>3.03</v>
      </c>
      <c r="G54" s="6">
        <v>95.85</v>
      </c>
      <c r="H54" s="6">
        <v>47.38</v>
      </c>
      <c r="I54" s="6">
        <v>10.26</v>
      </c>
      <c r="J54" s="6">
        <v>0.24</v>
      </c>
      <c r="K54" s="6">
        <v>175.83</v>
      </c>
      <c r="L54" s="6">
        <v>26.32</v>
      </c>
      <c r="M54" s="6">
        <v>49.37</v>
      </c>
      <c r="N54" s="6">
        <v>380.8</v>
      </c>
      <c r="O54" s="6">
        <v>0</v>
      </c>
      <c r="P54" s="6">
        <v>0.81</v>
      </c>
      <c r="Q54" s="6">
        <v>4.9800000000000004</v>
      </c>
    </row>
    <row r="55" spans="1:17" customFormat="1">
      <c r="A55" s="6" t="s">
        <v>669</v>
      </c>
      <c r="B55" s="6">
        <v>13.18</v>
      </c>
      <c r="C55" s="6">
        <v>29.24</v>
      </c>
      <c r="D55" s="6">
        <v>27.2</v>
      </c>
      <c r="E55" s="6">
        <v>6.99</v>
      </c>
      <c r="F55" s="6">
        <v>3.16</v>
      </c>
      <c r="G55" s="6">
        <v>83.96</v>
      </c>
      <c r="H55" s="6">
        <v>43.44</v>
      </c>
      <c r="I55" s="6">
        <v>10.06</v>
      </c>
      <c r="J55" s="6">
        <v>0.22</v>
      </c>
      <c r="K55" s="6">
        <v>89.68</v>
      </c>
      <c r="L55" s="6">
        <v>26.44</v>
      </c>
      <c r="M55" s="6">
        <v>49.48</v>
      </c>
      <c r="N55" s="6">
        <v>385.4</v>
      </c>
      <c r="O55" s="6">
        <v>0</v>
      </c>
      <c r="P55" s="6">
        <v>0.78</v>
      </c>
      <c r="Q55" s="6">
        <v>4.93</v>
      </c>
    </row>
    <row r="56" spans="1:17" customFormat="1">
      <c r="A56" s="6" t="s">
        <v>670</v>
      </c>
      <c r="B56" s="6">
        <v>11.55</v>
      </c>
      <c r="C56" s="6">
        <v>28.97</v>
      </c>
      <c r="D56" s="6">
        <v>25.75</v>
      </c>
      <c r="E56" s="6">
        <v>7.25</v>
      </c>
      <c r="F56" s="6">
        <v>3.12</v>
      </c>
      <c r="G56" s="6">
        <v>82.31</v>
      </c>
      <c r="H56" s="6">
        <v>43.44</v>
      </c>
      <c r="I56" s="6">
        <v>9.86</v>
      </c>
      <c r="J56" s="6">
        <v>0.06</v>
      </c>
      <c r="K56" s="6">
        <v>290.69</v>
      </c>
      <c r="L56" s="6">
        <v>26.78</v>
      </c>
      <c r="M56" s="6">
        <v>48.21</v>
      </c>
      <c r="N56" s="6">
        <v>390.8</v>
      </c>
      <c r="O56" s="6">
        <v>0</v>
      </c>
      <c r="P56" s="6">
        <v>0.77</v>
      </c>
      <c r="Q56" s="6">
        <v>4.9000000000000004</v>
      </c>
    </row>
    <row r="57" spans="1:17" customFormat="1">
      <c r="A57" s="6" t="s">
        <v>671</v>
      </c>
      <c r="B57" s="6">
        <v>9.89</v>
      </c>
      <c r="C57" s="6">
        <v>28.54</v>
      </c>
      <c r="D57" s="6">
        <v>24.19</v>
      </c>
      <c r="E57" s="6">
        <v>6.81</v>
      </c>
      <c r="F57" s="6">
        <v>3.24</v>
      </c>
      <c r="G57" s="6">
        <v>82.31</v>
      </c>
      <c r="H57" s="6">
        <v>43.44</v>
      </c>
      <c r="I57" s="6">
        <v>9.66</v>
      </c>
      <c r="J57" s="6">
        <v>0.22</v>
      </c>
      <c r="K57" s="6">
        <v>75.64</v>
      </c>
      <c r="L57" s="6">
        <v>27.12</v>
      </c>
      <c r="M57" s="6">
        <v>46.74</v>
      </c>
      <c r="N57" s="6">
        <v>394.8</v>
      </c>
      <c r="O57" s="6">
        <v>0</v>
      </c>
      <c r="P57" s="6">
        <v>0.74</v>
      </c>
      <c r="Q57" s="6">
        <v>4.88</v>
      </c>
    </row>
    <row r="58" spans="1:17" customFormat="1">
      <c r="A58" s="6" t="s">
        <v>672</v>
      </c>
      <c r="B58" s="6">
        <v>8.56</v>
      </c>
      <c r="C58" s="6">
        <v>27.89</v>
      </c>
      <c r="D58" s="6">
        <v>22.78</v>
      </c>
      <c r="E58" s="6">
        <v>7.06</v>
      </c>
      <c r="F58" s="6">
        <v>3.67</v>
      </c>
      <c r="G58" s="6">
        <v>82.31</v>
      </c>
      <c r="H58" s="6">
        <v>43.44</v>
      </c>
      <c r="I58" s="6">
        <v>9.42</v>
      </c>
      <c r="J58" s="6">
        <v>0.34</v>
      </c>
      <c r="K58" s="6">
        <v>147.03</v>
      </c>
      <c r="L58" s="6">
        <v>27.06</v>
      </c>
      <c r="M58" s="6">
        <v>45.35</v>
      </c>
      <c r="N58" s="6">
        <v>393.7</v>
      </c>
      <c r="O58" s="6">
        <v>0</v>
      </c>
      <c r="P58" s="6">
        <v>0.74</v>
      </c>
      <c r="Q58" s="6">
        <v>4.8600000000000003</v>
      </c>
    </row>
    <row r="59" spans="1:17" customFormat="1">
      <c r="A59" s="6" t="s">
        <v>673</v>
      </c>
      <c r="B59" s="6">
        <v>7.42</v>
      </c>
      <c r="C59" s="6">
        <v>27.25</v>
      </c>
      <c r="D59" s="6">
        <v>21.53</v>
      </c>
      <c r="E59" s="6">
        <v>7.37</v>
      </c>
      <c r="F59" s="6">
        <v>3.79</v>
      </c>
      <c r="G59" s="6">
        <v>78.03</v>
      </c>
      <c r="H59" s="6">
        <v>40.76</v>
      </c>
      <c r="I59" s="6">
        <v>9.17</v>
      </c>
      <c r="J59" s="6">
        <v>0.17</v>
      </c>
      <c r="K59" s="6">
        <v>96.82</v>
      </c>
      <c r="L59" s="6">
        <v>27.67</v>
      </c>
      <c r="M59" s="6">
        <v>43.92</v>
      </c>
      <c r="N59" s="6">
        <v>382.2</v>
      </c>
      <c r="O59" s="6">
        <v>0</v>
      </c>
      <c r="P59" s="6">
        <v>0.72</v>
      </c>
      <c r="Q59" s="6">
        <v>4.82</v>
      </c>
    </row>
    <row r="60" spans="1:17" customFormat="1">
      <c r="A60" s="6" t="s">
        <v>674</v>
      </c>
      <c r="B60" s="6">
        <v>6.69</v>
      </c>
      <c r="C60" s="6">
        <v>26.89</v>
      </c>
      <c r="D60" s="6">
        <v>20.77</v>
      </c>
      <c r="E60" s="6">
        <v>7.12</v>
      </c>
      <c r="F60" s="6">
        <v>4.03</v>
      </c>
      <c r="G60" s="6">
        <v>77.430000000000007</v>
      </c>
      <c r="H60" s="6">
        <v>40.76</v>
      </c>
      <c r="I60" s="6">
        <v>8.9</v>
      </c>
      <c r="J60" s="6">
        <v>0.12</v>
      </c>
      <c r="K60" s="6">
        <v>94.81</v>
      </c>
      <c r="L60" s="6">
        <v>27.52</v>
      </c>
      <c r="M60" s="6">
        <v>45.27</v>
      </c>
      <c r="N60" s="6">
        <v>365</v>
      </c>
      <c r="O60" s="6">
        <v>0</v>
      </c>
      <c r="P60" s="6">
        <v>0.7</v>
      </c>
      <c r="Q60" s="6">
        <v>4.82</v>
      </c>
    </row>
    <row r="61" spans="1:17" customFormat="1">
      <c r="A61" s="6" t="s">
        <v>675</v>
      </c>
      <c r="B61" s="6">
        <v>6.14</v>
      </c>
      <c r="C61" s="6">
        <v>26.51</v>
      </c>
      <c r="D61" s="6">
        <v>20.12</v>
      </c>
      <c r="E61" s="6">
        <v>7.37</v>
      </c>
      <c r="F61" s="6">
        <v>4.16</v>
      </c>
      <c r="G61" s="6">
        <v>77.430000000000007</v>
      </c>
      <c r="H61" s="6">
        <v>40.76</v>
      </c>
      <c r="I61" s="6">
        <v>8.65</v>
      </c>
      <c r="J61" s="6">
        <v>0.15</v>
      </c>
      <c r="K61" s="6">
        <v>163.4</v>
      </c>
      <c r="L61" s="6">
        <v>27.83</v>
      </c>
      <c r="M61" s="6">
        <v>43.68</v>
      </c>
      <c r="N61" s="6">
        <v>332.7</v>
      </c>
      <c r="O61" s="6">
        <v>0</v>
      </c>
      <c r="P61" s="6">
        <v>0.7</v>
      </c>
      <c r="Q61" s="6">
        <v>4.8</v>
      </c>
    </row>
    <row r="62" spans="1:17" customFormat="1">
      <c r="A62" s="6" t="s">
        <v>676</v>
      </c>
      <c r="B62" s="6">
        <v>5.71</v>
      </c>
      <c r="C62" s="6">
        <v>25.73</v>
      </c>
      <c r="D62" s="6">
        <v>19.37</v>
      </c>
      <c r="E62" s="6">
        <v>7.16</v>
      </c>
      <c r="F62" s="6">
        <v>4.8</v>
      </c>
      <c r="G62" s="6">
        <v>77.430000000000007</v>
      </c>
      <c r="H62" s="6">
        <v>40.76</v>
      </c>
      <c r="I62" s="6">
        <v>8.5</v>
      </c>
      <c r="J62" s="6">
        <v>0.43</v>
      </c>
      <c r="K62" s="6">
        <v>50.68</v>
      </c>
      <c r="L62" s="6">
        <v>27.85</v>
      </c>
      <c r="M62" s="6">
        <v>43.02</v>
      </c>
      <c r="N62" s="6">
        <v>325</v>
      </c>
      <c r="O62" s="6">
        <v>0</v>
      </c>
      <c r="P62" s="6">
        <v>0.68</v>
      </c>
      <c r="Q62" s="6">
        <v>4.78</v>
      </c>
    </row>
    <row r="63" spans="1:17" customFormat="1">
      <c r="A63" s="6" t="s">
        <v>677</v>
      </c>
      <c r="B63" s="6">
        <v>5.57</v>
      </c>
      <c r="C63" s="6">
        <v>25.72</v>
      </c>
      <c r="D63" s="6">
        <v>19.25</v>
      </c>
      <c r="E63" s="6">
        <v>7.73</v>
      </c>
      <c r="F63" s="6">
        <v>5.41</v>
      </c>
      <c r="G63" s="6">
        <v>75.08</v>
      </c>
      <c r="H63" s="6">
        <v>39.64</v>
      </c>
      <c r="I63" s="6">
        <v>8.34</v>
      </c>
      <c r="J63" s="6">
        <v>0.3</v>
      </c>
      <c r="K63" s="6">
        <v>8.39</v>
      </c>
      <c r="L63" s="6">
        <v>27.59</v>
      </c>
      <c r="M63" s="6">
        <v>41.66</v>
      </c>
      <c r="N63" s="6">
        <v>310.2</v>
      </c>
      <c r="O63" s="6">
        <v>0</v>
      </c>
      <c r="P63" s="6">
        <v>0.68</v>
      </c>
      <c r="Q63" s="6">
        <v>4.7699999999999996</v>
      </c>
    </row>
    <row r="64" spans="1:17" customFormat="1">
      <c r="A64" s="6" t="s">
        <v>678</v>
      </c>
      <c r="B64" s="6">
        <v>5.49</v>
      </c>
      <c r="C64" s="6">
        <v>25.45</v>
      </c>
      <c r="D64" s="6">
        <v>19.05</v>
      </c>
      <c r="E64" s="6">
        <v>7.43</v>
      </c>
      <c r="F64" s="6">
        <v>4.6399999999999997</v>
      </c>
      <c r="G64" s="6">
        <v>74.75</v>
      </c>
      <c r="H64" s="6">
        <v>39.64</v>
      </c>
      <c r="I64" s="6">
        <v>8.1199999999999992</v>
      </c>
      <c r="J64" s="6">
        <v>0.22</v>
      </c>
      <c r="K64" s="6">
        <v>47.13</v>
      </c>
      <c r="L64" s="6">
        <v>28.16</v>
      </c>
      <c r="M64" s="6">
        <v>39.42</v>
      </c>
      <c r="N64" s="6">
        <v>294.3</v>
      </c>
      <c r="O64" s="6">
        <v>0</v>
      </c>
      <c r="P64" s="6">
        <v>0.66</v>
      </c>
      <c r="Q64" s="6">
        <v>4.7699999999999996</v>
      </c>
    </row>
    <row r="65" spans="1:17" customFormat="1">
      <c r="A65" s="6" t="s">
        <v>679</v>
      </c>
      <c r="B65" s="6">
        <v>5.3</v>
      </c>
      <c r="C65" s="6">
        <v>25</v>
      </c>
      <c r="D65" s="6">
        <v>18.66</v>
      </c>
      <c r="E65" s="6">
        <v>6.79</v>
      </c>
      <c r="F65" s="6">
        <v>4.8</v>
      </c>
      <c r="G65" s="6">
        <v>74.75</v>
      </c>
      <c r="H65" s="6">
        <v>39.64</v>
      </c>
      <c r="I65" s="6">
        <v>7.95</v>
      </c>
      <c r="J65" s="6">
        <v>0.34</v>
      </c>
      <c r="K65" s="6">
        <v>30.91</v>
      </c>
      <c r="L65" s="6">
        <v>27.68</v>
      </c>
      <c r="M65" s="6">
        <v>41.55</v>
      </c>
      <c r="N65" s="6">
        <v>231.1</v>
      </c>
      <c r="O65" s="6">
        <v>0</v>
      </c>
      <c r="P65" s="6">
        <v>0.64</v>
      </c>
      <c r="Q65" s="6">
        <v>4.75</v>
      </c>
    </row>
    <row r="66" spans="1:17" customFormat="1">
      <c r="A66" s="6" t="s">
        <v>680</v>
      </c>
      <c r="B66" s="6">
        <v>5.18</v>
      </c>
      <c r="C66" s="6">
        <v>24.86</v>
      </c>
      <c r="D66" s="6">
        <v>18.489999999999998</v>
      </c>
      <c r="E66" s="6">
        <v>7.12</v>
      </c>
      <c r="F66" s="6">
        <v>4.53</v>
      </c>
      <c r="G66" s="6">
        <v>74.75</v>
      </c>
      <c r="H66" s="6">
        <v>39.64</v>
      </c>
      <c r="I66" s="6">
        <v>7.8</v>
      </c>
      <c r="J66" s="6">
        <v>0.22</v>
      </c>
      <c r="K66" s="6">
        <v>8.02</v>
      </c>
      <c r="L66" s="6">
        <v>27.7</v>
      </c>
      <c r="M66" s="6">
        <v>40.99</v>
      </c>
      <c r="N66" s="6">
        <v>137.19999999999999</v>
      </c>
      <c r="O66" s="6">
        <v>0</v>
      </c>
      <c r="P66" s="6">
        <v>0.66</v>
      </c>
      <c r="Q66" s="6">
        <v>4.76</v>
      </c>
    </row>
    <row r="67" spans="1:17" customFormat="1">
      <c r="A67" s="6" t="s">
        <v>681</v>
      </c>
      <c r="B67" s="6">
        <v>5.25</v>
      </c>
      <c r="C67" s="6">
        <v>24.87</v>
      </c>
      <c r="D67" s="6">
        <v>18.559999999999999</v>
      </c>
      <c r="E67" s="6">
        <v>7.18</v>
      </c>
      <c r="F67" s="6">
        <v>4.8499999999999996</v>
      </c>
      <c r="G67" s="6">
        <v>74.98</v>
      </c>
      <c r="H67" s="6">
        <v>32.76</v>
      </c>
      <c r="I67" s="6">
        <v>7.63</v>
      </c>
      <c r="J67" s="6">
        <v>0.46</v>
      </c>
      <c r="K67" s="6">
        <v>30.42</v>
      </c>
      <c r="L67" s="6">
        <v>27.44</v>
      </c>
      <c r="M67" s="6">
        <v>41.68</v>
      </c>
      <c r="N67" s="6">
        <v>125.8</v>
      </c>
      <c r="O67" s="6">
        <v>0</v>
      </c>
      <c r="P67" s="6">
        <v>0.66</v>
      </c>
      <c r="Q67" s="6">
        <v>4.76</v>
      </c>
    </row>
    <row r="68" spans="1:17" customFormat="1">
      <c r="A68" s="6" t="s">
        <v>682</v>
      </c>
      <c r="B68" s="6">
        <v>5.44</v>
      </c>
      <c r="C68" s="6">
        <v>24.54</v>
      </c>
      <c r="D68" s="6">
        <v>18.53</v>
      </c>
      <c r="E68" s="6">
        <v>7.37</v>
      </c>
      <c r="F68" s="6">
        <v>4.97</v>
      </c>
      <c r="G68" s="6">
        <v>75.010000000000005</v>
      </c>
      <c r="H68" s="6">
        <v>32.76</v>
      </c>
      <c r="I68" s="6">
        <v>7.47</v>
      </c>
      <c r="J68" s="6">
        <v>0.2</v>
      </c>
      <c r="K68" s="6">
        <v>27.1</v>
      </c>
      <c r="L68" s="6">
        <v>27.35</v>
      </c>
      <c r="M68" s="6">
        <v>41.85</v>
      </c>
      <c r="N68" s="6">
        <v>102.4</v>
      </c>
      <c r="O68" s="6">
        <v>0</v>
      </c>
      <c r="P68" s="6">
        <v>0.65</v>
      </c>
      <c r="Q68" s="6">
        <v>4.75</v>
      </c>
    </row>
    <row r="69" spans="1:17" customFormat="1">
      <c r="A69" s="6" t="s">
        <v>683</v>
      </c>
      <c r="B69" s="6">
        <v>5.55</v>
      </c>
      <c r="C69" s="6">
        <v>24.21</v>
      </c>
      <c r="D69" s="6">
        <v>18.45</v>
      </c>
      <c r="E69" s="6">
        <v>6.29</v>
      </c>
      <c r="F69" s="6">
        <v>3.78</v>
      </c>
      <c r="G69" s="6">
        <v>75.010000000000005</v>
      </c>
      <c r="H69" s="6">
        <v>32.76</v>
      </c>
      <c r="I69" s="6">
        <v>7.34</v>
      </c>
      <c r="J69" s="6">
        <v>0.46</v>
      </c>
      <c r="K69" s="6">
        <v>48.49</v>
      </c>
      <c r="L69" s="6">
        <v>27.07</v>
      </c>
      <c r="M69" s="6">
        <v>41.85</v>
      </c>
      <c r="N69" s="6">
        <v>89.3</v>
      </c>
      <c r="O69" s="6">
        <v>0</v>
      </c>
      <c r="P69" s="6">
        <v>0.65</v>
      </c>
      <c r="Q69" s="6">
        <v>4.7300000000000004</v>
      </c>
    </row>
    <row r="70" spans="1:17" customFormat="1">
      <c r="A70" s="6" t="s">
        <v>684</v>
      </c>
      <c r="B70" s="6">
        <v>5.73</v>
      </c>
      <c r="C70" s="6">
        <v>22.6</v>
      </c>
      <c r="D70" s="6">
        <v>17.760000000000002</v>
      </c>
      <c r="E70" s="6">
        <v>6.53</v>
      </c>
      <c r="F70" s="6">
        <v>3.73</v>
      </c>
      <c r="G70" s="6">
        <v>75.010000000000005</v>
      </c>
      <c r="H70" s="6">
        <v>32.76</v>
      </c>
      <c r="I70" s="6">
        <v>7.25</v>
      </c>
      <c r="J70" s="6">
        <v>0.34</v>
      </c>
      <c r="K70" s="6">
        <v>35.700000000000003</v>
      </c>
      <c r="L70" s="6">
        <v>27.05</v>
      </c>
      <c r="M70" s="6">
        <v>42.13</v>
      </c>
      <c r="N70" s="6">
        <v>76.8</v>
      </c>
      <c r="O70" s="6">
        <v>0</v>
      </c>
      <c r="P70" s="6">
        <v>0.65</v>
      </c>
      <c r="Q70" s="6">
        <v>4.74</v>
      </c>
    </row>
    <row r="71" spans="1:17" customFormat="1">
      <c r="A71" s="6" t="s">
        <v>685</v>
      </c>
      <c r="B71" s="6">
        <v>5.92</v>
      </c>
      <c r="C71" s="6">
        <v>21.02</v>
      </c>
      <c r="D71" s="6">
        <v>17.079999999999998</v>
      </c>
      <c r="E71" s="6">
        <v>6.64</v>
      </c>
      <c r="F71" s="6">
        <v>4.01</v>
      </c>
      <c r="G71" s="6">
        <v>75.5</v>
      </c>
      <c r="H71" s="6">
        <v>37.18</v>
      </c>
      <c r="I71" s="6">
        <v>7.21</v>
      </c>
      <c r="J71" s="6">
        <v>0.4</v>
      </c>
      <c r="K71" s="6">
        <v>55.48</v>
      </c>
      <c r="L71" s="6">
        <v>26.83</v>
      </c>
      <c r="M71" s="6">
        <v>41.65</v>
      </c>
      <c r="N71" s="6">
        <v>64</v>
      </c>
      <c r="O71" s="6">
        <v>0</v>
      </c>
      <c r="P71" s="6">
        <v>0.65</v>
      </c>
      <c r="Q71" s="6">
        <v>4.7300000000000004</v>
      </c>
    </row>
    <row r="72" spans="1:17" customFormat="1">
      <c r="A72" s="6" t="s">
        <v>686</v>
      </c>
      <c r="B72" s="6">
        <v>6.22</v>
      </c>
      <c r="C72" s="6">
        <v>19.690000000000001</v>
      </c>
      <c r="D72" s="6">
        <v>16.63</v>
      </c>
      <c r="E72" s="6">
        <v>6.12</v>
      </c>
      <c r="F72" s="6">
        <v>3.51</v>
      </c>
      <c r="G72" s="6">
        <v>75.569999999999993</v>
      </c>
      <c r="H72" s="6">
        <v>37.18</v>
      </c>
      <c r="I72" s="6">
        <v>7.16</v>
      </c>
      <c r="J72" s="6">
        <v>0.25</v>
      </c>
      <c r="K72" s="6">
        <v>53.03</v>
      </c>
      <c r="L72" s="6">
        <v>26.64</v>
      </c>
      <c r="M72" s="6">
        <v>43.29</v>
      </c>
      <c r="N72" s="6">
        <v>52.3</v>
      </c>
      <c r="O72" s="6">
        <v>0</v>
      </c>
      <c r="P72" s="6">
        <v>0.64</v>
      </c>
      <c r="Q72" s="6">
        <v>4.75</v>
      </c>
    </row>
    <row r="73" spans="1:17" customFormat="1">
      <c r="A73" s="6" t="s">
        <v>687</v>
      </c>
      <c r="B73" s="6">
        <v>6.34</v>
      </c>
      <c r="C73" s="6">
        <v>19.18</v>
      </c>
      <c r="D73" s="6">
        <v>16.46</v>
      </c>
      <c r="E73" s="6">
        <v>6.53</v>
      </c>
      <c r="F73" s="6">
        <v>4.7699999999999996</v>
      </c>
      <c r="G73" s="6">
        <v>75.569999999999993</v>
      </c>
      <c r="H73" s="6">
        <v>37.18</v>
      </c>
      <c r="I73" s="6">
        <v>7.1</v>
      </c>
      <c r="J73" s="6">
        <v>0.59</v>
      </c>
      <c r="K73" s="6">
        <v>29.2</v>
      </c>
      <c r="L73" s="6">
        <v>26.15</v>
      </c>
      <c r="M73" s="6">
        <v>47.37</v>
      </c>
      <c r="N73" s="6">
        <v>39.6</v>
      </c>
      <c r="O73" s="6">
        <v>0</v>
      </c>
      <c r="P73" s="6">
        <v>0.64</v>
      </c>
      <c r="Q73" s="6">
        <v>4.76</v>
      </c>
    </row>
    <row r="74" spans="1:17" customFormat="1">
      <c r="A74" s="6" t="s">
        <v>688</v>
      </c>
      <c r="B74" s="6">
        <v>6.4</v>
      </c>
      <c r="C74" s="6">
        <v>19.190000000000001</v>
      </c>
      <c r="D74" s="6">
        <v>16.510000000000002</v>
      </c>
      <c r="E74" s="6">
        <v>6.28</v>
      </c>
      <c r="F74" s="6">
        <v>4.2699999999999996</v>
      </c>
      <c r="G74" s="6">
        <v>75.569999999999993</v>
      </c>
      <c r="H74" s="6">
        <v>37.18</v>
      </c>
      <c r="I74" s="6">
        <v>7.06</v>
      </c>
      <c r="J74" s="6">
        <v>0.6</v>
      </c>
      <c r="K74" s="6">
        <v>34.82</v>
      </c>
      <c r="L74" s="6">
        <v>25.7</v>
      </c>
      <c r="M74" s="6">
        <v>50.01</v>
      </c>
      <c r="N74" s="6">
        <v>28.1</v>
      </c>
      <c r="O74" s="6">
        <v>0</v>
      </c>
      <c r="P74" s="6">
        <v>0.65</v>
      </c>
      <c r="Q74" s="6">
        <v>4.7699999999999996</v>
      </c>
    </row>
    <row r="75" spans="1:17" customFormat="1">
      <c r="A75" s="6" t="s">
        <v>689</v>
      </c>
      <c r="B75" s="6">
        <v>6.58</v>
      </c>
      <c r="C75" s="6">
        <v>19.43</v>
      </c>
      <c r="D75" s="6">
        <v>16.78</v>
      </c>
      <c r="E75" s="6">
        <v>5.86</v>
      </c>
      <c r="F75" s="6">
        <v>3.78</v>
      </c>
      <c r="G75" s="6">
        <v>75.569999999999993</v>
      </c>
      <c r="H75" s="6">
        <v>44.91</v>
      </c>
      <c r="I75" s="6">
        <v>7.03</v>
      </c>
      <c r="J75" s="6">
        <v>0.42</v>
      </c>
      <c r="K75" s="6">
        <v>40.33</v>
      </c>
      <c r="L75" s="6">
        <v>25.28</v>
      </c>
      <c r="M75" s="6">
        <v>51.83</v>
      </c>
      <c r="N75" s="6">
        <v>17</v>
      </c>
      <c r="O75" s="6">
        <v>0</v>
      </c>
      <c r="P75" s="6">
        <v>0.65</v>
      </c>
      <c r="Q75" s="6">
        <v>4.76</v>
      </c>
    </row>
    <row r="76" spans="1:17" customFormat="1">
      <c r="A76" s="6" t="s">
        <v>690</v>
      </c>
      <c r="B76" s="6">
        <v>6.62</v>
      </c>
      <c r="C76" s="6">
        <v>19.28</v>
      </c>
      <c r="D76" s="6">
        <v>16.739999999999998</v>
      </c>
      <c r="E76" s="6">
        <v>6.44</v>
      </c>
      <c r="F76" s="6">
        <v>3.28</v>
      </c>
      <c r="G76" s="147" t="s">
        <v>14</v>
      </c>
      <c r="H76" s="6">
        <v>44.91</v>
      </c>
      <c r="I76" s="6">
        <v>7.04</v>
      </c>
      <c r="J76" s="6">
        <v>0.46</v>
      </c>
      <c r="K76" s="6">
        <v>50.73</v>
      </c>
      <c r="L76" s="6">
        <v>24.84</v>
      </c>
      <c r="M76" s="6">
        <v>52.65</v>
      </c>
      <c r="N76" s="6">
        <v>7.3</v>
      </c>
      <c r="O76" s="6">
        <v>0</v>
      </c>
      <c r="P76" s="6">
        <v>0.65</v>
      </c>
      <c r="Q76" s="6">
        <v>4.82</v>
      </c>
    </row>
    <row r="77" spans="1:17" customFormat="1">
      <c r="A77" s="6" t="s">
        <v>691</v>
      </c>
      <c r="B77" s="6">
        <v>6.69</v>
      </c>
      <c r="C77" s="6">
        <v>20.190000000000001</v>
      </c>
      <c r="D77" s="6">
        <v>17.260000000000002</v>
      </c>
      <c r="E77" s="6">
        <v>5.74</v>
      </c>
      <c r="F77" s="6">
        <v>3.07</v>
      </c>
      <c r="G77" s="147" t="s">
        <v>14</v>
      </c>
      <c r="H77" s="6">
        <v>44.91</v>
      </c>
      <c r="I77" s="6">
        <v>7.06</v>
      </c>
      <c r="J77" s="6">
        <v>0.34</v>
      </c>
      <c r="K77" s="6">
        <v>49.48</v>
      </c>
      <c r="L77" s="6">
        <v>24.38</v>
      </c>
      <c r="M77" s="6">
        <v>54.47</v>
      </c>
      <c r="N77" s="6">
        <v>0.6</v>
      </c>
      <c r="O77" s="6">
        <v>0</v>
      </c>
      <c r="P77" s="6">
        <v>0.67</v>
      </c>
      <c r="Q77" s="6">
        <v>4.88</v>
      </c>
    </row>
    <row r="78" spans="1:17" customFormat="1">
      <c r="A78" s="6" t="s">
        <v>692</v>
      </c>
      <c r="B78" s="6">
        <v>6.98</v>
      </c>
      <c r="C78" s="6">
        <v>21.32</v>
      </c>
      <c r="D78" s="6">
        <v>18.079999999999998</v>
      </c>
      <c r="E78" s="6">
        <v>6.21</v>
      </c>
      <c r="F78" s="6">
        <v>2.81</v>
      </c>
      <c r="G78" s="147" t="s">
        <v>14</v>
      </c>
      <c r="H78" s="6">
        <v>44.91</v>
      </c>
      <c r="I78" s="6">
        <v>7.08</v>
      </c>
      <c r="J78" s="6">
        <v>0.31</v>
      </c>
      <c r="K78" s="6">
        <v>56.63</v>
      </c>
      <c r="L78" s="6">
        <v>24.03</v>
      </c>
      <c r="M78" s="6">
        <v>55.68</v>
      </c>
      <c r="N78" s="6">
        <v>0</v>
      </c>
      <c r="O78" s="6">
        <v>0</v>
      </c>
      <c r="P78" s="6">
        <v>0.69</v>
      </c>
      <c r="Q78" s="6">
        <v>4.92</v>
      </c>
    </row>
    <row r="79" spans="1:17" customFormat="1">
      <c r="A79" s="6" t="s">
        <v>693</v>
      </c>
      <c r="B79" s="6">
        <v>7.7</v>
      </c>
      <c r="C79" s="6">
        <v>21.03</v>
      </c>
      <c r="D79" s="6">
        <v>18.52</v>
      </c>
      <c r="E79" s="6">
        <v>6.52</v>
      </c>
      <c r="F79" s="6">
        <v>2.71</v>
      </c>
      <c r="G79" s="6">
        <v>143.93</v>
      </c>
      <c r="H79" s="6">
        <v>49.52</v>
      </c>
      <c r="I79" s="6">
        <v>7.14</v>
      </c>
      <c r="J79" s="6">
        <v>0.35</v>
      </c>
      <c r="K79" s="6">
        <v>50.5</v>
      </c>
      <c r="L79" s="6">
        <v>23.66</v>
      </c>
      <c r="M79" s="6">
        <v>57.16</v>
      </c>
      <c r="N79" s="6">
        <v>0</v>
      </c>
      <c r="O79" s="6">
        <v>0</v>
      </c>
      <c r="P79" s="6">
        <v>0.7</v>
      </c>
      <c r="Q79" s="6">
        <v>4.93</v>
      </c>
    </row>
    <row r="80" spans="1:17" customFormat="1">
      <c r="A80" s="6" t="s">
        <v>694</v>
      </c>
      <c r="B80" s="6">
        <v>8.64</v>
      </c>
      <c r="C80" s="6">
        <v>21.73</v>
      </c>
      <c r="D80" s="6">
        <v>19.63</v>
      </c>
      <c r="E80" s="6">
        <v>6.32</v>
      </c>
      <c r="F80" s="6">
        <v>2.59</v>
      </c>
      <c r="G80" s="6">
        <v>143.93</v>
      </c>
      <c r="H80" s="6">
        <v>49.52</v>
      </c>
      <c r="I80" s="6">
        <v>7.23</v>
      </c>
      <c r="J80" s="6">
        <v>0.34</v>
      </c>
      <c r="K80" s="6">
        <v>56.48</v>
      </c>
      <c r="L80" s="6">
        <v>23.38</v>
      </c>
      <c r="M80" s="6">
        <v>57.86</v>
      </c>
      <c r="N80" s="6">
        <v>0</v>
      </c>
      <c r="O80" s="6">
        <v>0</v>
      </c>
      <c r="P80" s="6">
        <v>0.72</v>
      </c>
      <c r="Q80" s="6">
        <v>4.95</v>
      </c>
    </row>
    <row r="81" spans="1:17" customFormat="1">
      <c r="A81" s="6" t="s">
        <v>695</v>
      </c>
      <c r="B81" s="6">
        <v>9.58</v>
      </c>
      <c r="C81" s="6">
        <v>23.04</v>
      </c>
      <c r="D81" s="6">
        <v>21.08</v>
      </c>
      <c r="E81" s="6">
        <v>5.69</v>
      </c>
      <c r="F81" s="6">
        <v>2.68</v>
      </c>
      <c r="G81" s="6">
        <v>143.93</v>
      </c>
      <c r="H81" s="6">
        <v>49.52</v>
      </c>
      <c r="I81" s="6">
        <v>7.3</v>
      </c>
      <c r="J81" s="6">
        <v>0.37</v>
      </c>
      <c r="K81" s="6">
        <v>54.75</v>
      </c>
      <c r="L81" s="6">
        <v>23.14</v>
      </c>
      <c r="M81" s="6">
        <v>58.43</v>
      </c>
      <c r="N81" s="6">
        <v>0</v>
      </c>
      <c r="O81" s="6">
        <v>0</v>
      </c>
      <c r="P81" s="6">
        <v>0.75</v>
      </c>
      <c r="Q81" s="6">
        <v>4.95</v>
      </c>
    </row>
    <row r="82" spans="1:17" customFormat="1">
      <c r="A82" s="6" t="s">
        <v>696</v>
      </c>
      <c r="B82" s="6">
        <v>10.3</v>
      </c>
      <c r="C82" s="6">
        <v>23.98</v>
      </c>
      <c r="D82" s="6">
        <v>22.14</v>
      </c>
      <c r="E82" s="6">
        <v>6.51</v>
      </c>
      <c r="F82" s="6">
        <v>2.71</v>
      </c>
      <c r="G82" s="6">
        <v>143.93</v>
      </c>
      <c r="H82" s="6">
        <v>49.52</v>
      </c>
      <c r="I82" s="6">
        <v>7.42</v>
      </c>
      <c r="J82" s="6">
        <v>0.36</v>
      </c>
      <c r="K82" s="6">
        <v>49.39</v>
      </c>
      <c r="L82" s="6">
        <v>22.87</v>
      </c>
      <c r="M82" s="6">
        <v>59.7</v>
      </c>
      <c r="N82" s="6">
        <v>0</v>
      </c>
      <c r="O82" s="6">
        <v>0</v>
      </c>
      <c r="P82" s="6">
        <v>0.76</v>
      </c>
      <c r="Q82" s="6">
        <v>4.95</v>
      </c>
    </row>
    <row r="83" spans="1:17" customFormat="1">
      <c r="A83" s="6" t="s">
        <v>697</v>
      </c>
      <c r="B83" s="6">
        <v>10.84</v>
      </c>
      <c r="C83" s="6">
        <v>24.55</v>
      </c>
      <c r="D83" s="6">
        <v>22.87</v>
      </c>
      <c r="E83" s="6">
        <v>6.23</v>
      </c>
      <c r="F83" s="6">
        <v>2.75</v>
      </c>
      <c r="G83" s="6">
        <v>167.36</v>
      </c>
      <c r="H83" s="6">
        <v>50.98</v>
      </c>
      <c r="I83" s="6">
        <v>7.54</v>
      </c>
      <c r="J83" s="6">
        <v>0.39</v>
      </c>
      <c r="K83" s="6">
        <v>42.27</v>
      </c>
      <c r="L83" s="6">
        <v>22.54</v>
      </c>
      <c r="M83" s="6">
        <v>61.04</v>
      </c>
      <c r="N83" s="6">
        <v>0</v>
      </c>
      <c r="O83" s="6">
        <v>0</v>
      </c>
      <c r="P83" s="6">
        <v>0.79</v>
      </c>
      <c r="Q83" s="6">
        <v>4.96</v>
      </c>
    </row>
    <row r="84" spans="1:17" customFormat="1">
      <c r="A84" s="6" t="s">
        <v>698</v>
      </c>
      <c r="B84" s="6">
        <v>11.58</v>
      </c>
      <c r="C84" s="6">
        <v>24.47</v>
      </c>
      <c r="D84" s="6">
        <v>23.42</v>
      </c>
      <c r="E84" s="6">
        <v>6.39</v>
      </c>
      <c r="F84" s="6">
        <v>2.73</v>
      </c>
      <c r="G84" s="6">
        <v>170.62</v>
      </c>
      <c r="H84" s="6">
        <v>50.98</v>
      </c>
      <c r="I84" s="6">
        <v>7.67</v>
      </c>
      <c r="J84" s="6">
        <v>0.2</v>
      </c>
      <c r="K84" s="6">
        <v>71.599999999999994</v>
      </c>
      <c r="L84" s="6">
        <v>22.28</v>
      </c>
      <c r="M84" s="6">
        <v>63.28</v>
      </c>
      <c r="N84" s="6">
        <v>0</v>
      </c>
      <c r="O84" s="6">
        <v>0</v>
      </c>
      <c r="P84" s="6">
        <v>0.8</v>
      </c>
      <c r="Q84" s="6">
        <v>4.99</v>
      </c>
    </row>
    <row r="85" spans="1:17" customFormat="1">
      <c r="A85" s="6" t="s">
        <v>699</v>
      </c>
      <c r="B85" s="6">
        <v>11.96</v>
      </c>
      <c r="C85" s="6">
        <v>25.34</v>
      </c>
      <c r="D85" s="6">
        <v>24.18</v>
      </c>
      <c r="E85" s="6">
        <v>6.46</v>
      </c>
      <c r="F85" s="6">
        <v>2.63</v>
      </c>
      <c r="G85" s="6">
        <v>170.62</v>
      </c>
      <c r="H85" s="6">
        <v>50.98</v>
      </c>
      <c r="I85" s="6">
        <v>7.8</v>
      </c>
      <c r="J85" s="6">
        <v>0.16</v>
      </c>
      <c r="K85" s="6">
        <v>69.540000000000006</v>
      </c>
      <c r="L85" s="6">
        <v>21.85</v>
      </c>
      <c r="M85" s="6">
        <v>67.06</v>
      </c>
      <c r="N85" s="6">
        <v>0</v>
      </c>
      <c r="O85" s="6">
        <v>0</v>
      </c>
      <c r="P85" s="6">
        <v>0.82</v>
      </c>
      <c r="Q85" s="6">
        <v>4.97</v>
      </c>
    </row>
    <row r="86" spans="1:17" customFormat="1">
      <c r="A86" s="6" t="s">
        <v>700</v>
      </c>
      <c r="B86" s="6">
        <v>12.45</v>
      </c>
      <c r="C86" s="6">
        <v>26.37</v>
      </c>
      <c r="D86" s="6">
        <v>25.11</v>
      </c>
      <c r="E86" s="6">
        <v>6.11</v>
      </c>
      <c r="F86" s="6">
        <v>2.69</v>
      </c>
      <c r="G86" s="6">
        <v>170.62</v>
      </c>
      <c r="H86" s="6">
        <v>50.98</v>
      </c>
      <c r="I86" s="6">
        <v>7.94</v>
      </c>
      <c r="J86" s="6">
        <v>0.1</v>
      </c>
      <c r="K86" s="6">
        <v>144.87</v>
      </c>
      <c r="L86" s="6">
        <v>21.49</v>
      </c>
      <c r="M86" s="6">
        <v>67.989999999999995</v>
      </c>
      <c r="N86" s="6">
        <v>0</v>
      </c>
      <c r="O86" s="6">
        <v>0</v>
      </c>
      <c r="P86" s="6">
        <v>0.85</v>
      </c>
      <c r="Q86" s="6">
        <v>4.97</v>
      </c>
    </row>
    <row r="87" spans="1:17" customFormat="1">
      <c r="A87" s="6" t="s">
        <v>701</v>
      </c>
      <c r="B87" s="6">
        <v>13.04</v>
      </c>
      <c r="C87" s="6">
        <v>25.44</v>
      </c>
      <c r="D87" s="6">
        <v>25.1</v>
      </c>
      <c r="E87" s="6">
        <v>6.28</v>
      </c>
      <c r="F87" s="6">
        <v>2.74</v>
      </c>
      <c r="G87" s="6">
        <v>136.19999999999999</v>
      </c>
      <c r="H87" s="6">
        <v>59.6</v>
      </c>
      <c r="I87" s="6">
        <v>8.14</v>
      </c>
      <c r="J87" s="6">
        <v>0.19</v>
      </c>
      <c r="K87" s="6">
        <v>50.69</v>
      </c>
      <c r="L87" s="6">
        <v>21.34</v>
      </c>
      <c r="M87" s="6">
        <v>66.63</v>
      </c>
      <c r="N87" s="6">
        <v>0</v>
      </c>
      <c r="O87" s="6">
        <v>0</v>
      </c>
      <c r="P87" s="6">
        <v>0.87</v>
      </c>
      <c r="Q87" s="6">
        <v>5.01</v>
      </c>
    </row>
    <row r="88" spans="1:17" customFormat="1">
      <c r="A88" s="6" t="s">
        <v>702</v>
      </c>
      <c r="B88" s="6">
        <v>13.96</v>
      </c>
      <c r="C88" s="6">
        <v>25.53</v>
      </c>
      <c r="D88" s="6">
        <v>25.88</v>
      </c>
      <c r="E88" s="6">
        <v>6.48</v>
      </c>
      <c r="F88" s="6">
        <v>2.79</v>
      </c>
      <c r="G88" s="6">
        <v>131.41</v>
      </c>
      <c r="H88" s="6">
        <v>59.6</v>
      </c>
      <c r="I88" s="6">
        <v>8.34</v>
      </c>
      <c r="J88" s="6">
        <v>0.19</v>
      </c>
      <c r="K88" s="6">
        <v>62.87</v>
      </c>
      <c r="L88" s="6">
        <v>21.29</v>
      </c>
      <c r="M88" s="6">
        <v>66.569999999999993</v>
      </c>
      <c r="N88" s="6">
        <v>0</v>
      </c>
      <c r="O88" s="6">
        <v>0</v>
      </c>
      <c r="P88" s="6">
        <v>0.89</v>
      </c>
      <c r="Q88" s="6">
        <v>5.01</v>
      </c>
    </row>
    <row r="89" spans="1:17" customFormat="1">
      <c r="A89" s="6" t="s">
        <v>703</v>
      </c>
      <c r="B89" s="6">
        <v>14.73</v>
      </c>
      <c r="C89" s="6">
        <v>26.96</v>
      </c>
      <c r="D89" s="6">
        <v>27.25</v>
      </c>
      <c r="E89" s="6">
        <v>6.59</v>
      </c>
      <c r="F89" s="6">
        <v>2.72</v>
      </c>
      <c r="G89" s="6">
        <v>131.41</v>
      </c>
      <c r="H89" s="6">
        <v>59.6</v>
      </c>
      <c r="I89" s="6">
        <v>8.5399999999999991</v>
      </c>
      <c r="J89" s="6">
        <v>0.16</v>
      </c>
      <c r="K89" s="6">
        <v>162.69999999999999</v>
      </c>
      <c r="L89" s="6">
        <v>20.97</v>
      </c>
      <c r="M89" s="6">
        <v>70.36</v>
      </c>
      <c r="N89" s="6">
        <v>0</v>
      </c>
      <c r="O89" s="6">
        <v>0</v>
      </c>
      <c r="P89" s="6">
        <v>0.92</v>
      </c>
      <c r="Q89" s="6">
        <v>5.0599999999999996</v>
      </c>
    </row>
    <row r="90" spans="1:17" customFormat="1">
      <c r="A90" s="6" t="s">
        <v>704</v>
      </c>
      <c r="B90" s="6">
        <v>15.03</v>
      </c>
      <c r="C90" s="6">
        <v>28.13</v>
      </c>
      <c r="D90" s="6">
        <v>28.11</v>
      </c>
      <c r="E90" s="6">
        <v>6.65</v>
      </c>
      <c r="F90" s="6">
        <v>2.7</v>
      </c>
      <c r="G90" s="6">
        <v>131.41</v>
      </c>
      <c r="H90" s="6">
        <v>59.6</v>
      </c>
      <c r="I90" s="6">
        <v>8.77</v>
      </c>
      <c r="J90" s="6">
        <v>7.0000000000000007E-2</v>
      </c>
      <c r="K90" s="6">
        <v>119.62</v>
      </c>
      <c r="L90" s="6">
        <v>20.45</v>
      </c>
      <c r="M90" s="6">
        <v>74.72</v>
      </c>
      <c r="N90" s="6">
        <v>0</v>
      </c>
      <c r="O90" s="6">
        <v>0</v>
      </c>
      <c r="P90" s="6">
        <v>0.95</v>
      </c>
      <c r="Q90" s="6">
        <v>5.05</v>
      </c>
    </row>
    <row r="91" spans="1:17" customFormat="1">
      <c r="A91" s="6" t="s">
        <v>705</v>
      </c>
      <c r="B91" s="6">
        <v>15.53</v>
      </c>
      <c r="C91" s="6">
        <v>28.92</v>
      </c>
      <c r="D91" s="6">
        <v>28.91</v>
      </c>
      <c r="E91" s="6">
        <v>6.25</v>
      </c>
      <c r="F91" s="6">
        <v>2.77</v>
      </c>
      <c r="G91" s="6">
        <v>142.82</v>
      </c>
      <c r="H91" s="6">
        <v>59.27</v>
      </c>
      <c r="I91" s="6">
        <v>9</v>
      </c>
      <c r="J91" s="6">
        <v>0.2</v>
      </c>
      <c r="K91" s="6">
        <v>156.35</v>
      </c>
      <c r="L91" s="6">
        <v>20.47</v>
      </c>
      <c r="M91" s="6">
        <v>74.150000000000006</v>
      </c>
      <c r="N91" s="6">
        <v>0</v>
      </c>
      <c r="O91" s="6">
        <v>0</v>
      </c>
      <c r="P91" s="6">
        <v>0.98</v>
      </c>
      <c r="Q91" s="6">
        <v>5.0599999999999996</v>
      </c>
    </row>
    <row r="92" spans="1:17" customFormat="1">
      <c r="A92" s="6" t="s">
        <v>706</v>
      </c>
      <c r="B92" s="6">
        <v>15.74</v>
      </c>
      <c r="C92" s="6">
        <v>29.51</v>
      </c>
      <c r="D92" s="6">
        <v>29.39</v>
      </c>
      <c r="E92" s="6">
        <v>6.35</v>
      </c>
      <c r="F92" s="6">
        <v>2.75</v>
      </c>
      <c r="G92" s="6">
        <v>144.4</v>
      </c>
      <c r="H92" s="6">
        <v>59.27</v>
      </c>
      <c r="I92" s="6">
        <v>9.2100000000000009</v>
      </c>
      <c r="J92" s="6">
        <v>0.19</v>
      </c>
      <c r="K92" s="6">
        <v>165.12</v>
      </c>
      <c r="L92" s="6">
        <v>20.09</v>
      </c>
      <c r="M92" s="6">
        <v>79.709999999999994</v>
      </c>
      <c r="N92" s="6">
        <v>0</v>
      </c>
      <c r="O92" s="6">
        <v>0</v>
      </c>
      <c r="P92" s="6">
        <v>1.01</v>
      </c>
      <c r="Q92" s="6">
        <v>5.05</v>
      </c>
    </row>
    <row r="93" spans="1:17" customFormat="1">
      <c r="A93" s="6" t="s">
        <v>707</v>
      </c>
      <c r="B93" s="6">
        <v>15.64</v>
      </c>
      <c r="C93" s="6">
        <v>29.61</v>
      </c>
      <c r="D93" s="6">
        <v>29.36</v>
      </c>
      <c r="E93" s="6">
        <v>6.52</v>
      </c>
      <c r="F93" s="6">
        <v>2.71</v>
      </c>
      <c r="G93" s="6">
        <v>144.4</v>
      </c>
      <c r="H93" s="6">
        <v>59.27</v>
      </c>
      <c r="I93" s="6">
        <v>9.4700000000000006</v>
      </c>
      <c r="J93" s="6">
        <v>0.22</v>
      </c>
      <c r="K93" s="6">
        <v>174.46</v>
      </c>
      <c r="L93" s="6">
        <v>19.760000000000002</v>
      </c>
      <c r="M93" s="6">
        <v>82.65</v>
      </c>
      <c r="N93" s="6">
        <v>0</v>
      </c>
      <c r="O93" s="6">
        <v>0</v>
      </c>
      <c r="P93" s="6">
        <v>1.02</v>
      </c>
      <c r="Q93" s="6">
        <v>5.0599999999999996</v>
      </c>
    </row>
    <row r="94" spans="1:17" customFormat="1">
      <c r="A94" s="6" t="s">
        <v>708</v>
      </c>
      <c r="B94" s="6">
        <v>15.42</v>
      </c>
      <c r="C94" s="6">
        <v>29.68</v>
      </c>
      <c r="D94" s="6">
        <v>29.22</v>
      </c>
      <c r="E94" s="6">
        <v>6.27</v>
      </c>
      <c r="F94" s="6">
        <v>2.65</v>
      </c>
      <c r="G94" s="6">
        <v>144.4</v>
      </c>
      <c r="H94" s="6">
        <v>59.27</v>
      </c>
      <c r="I94" s="6">
        <v>9.77</v>
      </c>
      <c r="J94" s="6">
        <v>0.13</v>
      </c>
      <c r="K94" s="6">
        <v>200.73</v>
      </c>
      <c r="L94" s="6">
        <v>19.3</v>
      </c>
      <c r="M94" s="6">
        <v>83</v>
      </c>
      <c r="N94" s="6">
        <v>0</v>
      </c>
      <c r="O94" s="6">
        <v>0</v>
      </c>
      <c r="P94" s="6">
        <v>1.05</v>
      </c>
      <c r="Q94" s="6">
        <v>5.0599999999999996</v>
      </c>
    </row>
    <row r="95" spans="1:17" customFormat="1">
      <c r="A95" s="6" t="s">
        <v>709</v>
      </c>
      <c r="B95" s="6">
        <v>15.1</v>
      </c>
      <c r="C95" s="6">
        <v>29.73</v>
      </c>
      <c r="D95" s="6">
        <v>28.99</v>
      </c>
      <c r="E95" s="6">
        <v>6.02</v>
      </c>
      <c r="F95" s="6">
        <v>2.6</v>
      </c>
      <c r="G95" s="6">
        <v>125.93</v>
      </c>
      <c r="H95" s="6">
        <v>58.31</v>
      </c>
      <c r="I95" s="6">
        <v>10.09</v>
      </c>
      <c r="J95" s="6">
        <v>0.1</v>
      </c>
      <c r="K95" s="6">
        <v>179.61</v>
      </c>
      <c r="L95" s="6">
        <v>19.2</v>
      </c>
      <c r="M95" s="6">
        <v>80.64</v>
      </c>
      <c r="N95" s="6">
        <v>0</v>
      </c>
      <c r="O95" s="6">
        <v>0</v>
      </c>
      <c r="P95" s="6">
        <v>1.06</v>
      </c>
      <c r="Q95" s="6">
        <v>5.0599999999999996</v>
      </c>
    </row>
    <row r="96" spans="1:17" customFormat="1">
      <c r="A96" s="6" t="s">
        <v>710</v>
      </c>
      <c r="B96" s="6">
        <v>14.65</v>
      </c>
      <c r="C96" s="6">
        <v>29.81</v>
      </c>
      <c r="D96" s="6">
        <v>28.67</v>
      </c>
      <c r="E96" s="6">
        <v>6.45</v>
      </c>
      <c r="F96" s="6">
        <v>2.4900000000000002</v>
      </c>
      <c r="G96" s="6">
        <v>123.35</v>
      </c>
      <c r="H96" s="6">
        <v>58.31</v>
      </c>
      <c r="I96" s="6">
        <v>10.41</v>
      </c>
      <c r="J96" s="6">
        <v>0.13</v>
      </c>
      <c r="K96" s="6">
        <v>225.56</v>
      </c>
      <c r="L96" s="6">
        <v>19.02</v>
      </c>
      <c r="M96" s="6">
        <v>83.02</v>
      </c>
      <c r="N96" s="6">
        <v>0</v>
      </c>
      <c r="O96" s="6">
        <v>0</v>
      </c>
      <c r="P96" s="6">
        <v>1.07</v>
      </c>
      <c r="Q96" s="6">
        <v>5.04</v>
      </c>
    </row>
    <row r="97" spans="1:22" customFormat="1">
      <c r="A97" s="6" t="s">
        <v>711</v>
      </c>
      <c r="B97" s="6">
        <v>14.23</v>
      </c>
      <c r="C97" s="6">
        <v>29.28</v>
      </c>
      <c r="D97" s="6">
        <v>28.06</v>
      </c>
      <c r="E97" s="6">
        <v>6.71</v>
      </c>
      <c r="F97" s="6">
        <v>2.57</v>
      </c>
      <c r="G97" s="6">
        <v>123.35</v>
      </c>
      <c r="H97" s="6">
        <v>58.31</v>
      </c>
      <c r="I97" s="6">
        <v>10.61</v>
      </c>
      <c r="J97" s="6">
        <v>0.18</v>
      </c>
      <c r="K97" s="6">
        <v>140.68</v>
      </c>
      <c r="L97" s="6">
        <v>19.079999999999998</v>
      </c>
      <c r="M97" s="6">
        <v>81.34</v>
      </c>
      <c r="N97" s="6">
        <v>0</v>
      </c>
      <c r="O97" s="6">
        <v>0</v>
      </c>
      <c r="P97" s="6">
        <v>1.06</v>
      </c>
      <c r="Q97" s="6">
        <v>5.01</v>
      </c>
    </row>
    <row r="98" spans="1:22" customFormat="1">
      <c r="A98" s="6" t="s">
        <v>712</v>
      </c>
      <c r="B98" s="6">
        <v>13.53</v>
      </c>
      <c r="C98" s="6">
        <v>28.75</v>
      </c>
      <c r="D98" s="6">
        <v>27.23</v>
      </c>
      <c r="E98" s="6">
        <v>6.54</v>
      </c>
      <c r="F98" s="6">
        <v>2.65</v>
      </c>
      <c r="G98" s="6">
        <v>123.35</v>
      </c>
      <c r="H98" s="6">
        <v>58.31</v>
      </c>
      <c r="I98" s="6">
        <v>10.74</v>
      </c>
      <c r="J98" s="6">
        <v>0.26</v>
      </c>
      <c r="K98" s="6">
        <v>164.82</v>
      </c>
      <c r="L98" s="6">
        <v>19.55</v>
      </c>
      <c r="M98" s="6">
        <v>77.75</v>
      </c>
      <c r="N98" s="6">
        <v>0</v>
      </c>
      <c r="O98" s="6">
        <v>0</v>
      </c>
      <c r="P98" s="6">
        <v>1.05</v>
      </c>
      <c r="Q98" s="6">
        <v>5</v>
      </c>
    </row>
    <row r="99" spans="1:22" customFormat="1">
      <c r="A99" s="6" t="s">
        <v>713</v>
      </c>
      <c r="B99" s="6">
        <v>12.67</v>
      </c>
      <c r="C99" s="6">
        <v>28.44</v>
      </c>
      <c r="D99" s="6">
        <v>26.37</v>
      </c>
      <c r="E99" s="6">
        <v>7.02</v>
      </c>
      <c r="F99" s="6">
        <v>2.82</v>
      </c>
      <c r="G99" s="6">
        <v>102.62</v>
      </c>
      <c r="H99" s="6">
        <v>57.65</v>
      </c>
      <c r="I99" s="6">
        <v>10.81</v>
      </c>
      <c r="J99" s="6">
        <v>0.15</v>
      </c>
      <c r="K99" s="6">
        <v>161.72</v>
      </c>
      <c r="L99" s="6">
        <v>19.489999999999998</v>
      </c>
      <c r="M99" s="6">
        <v>78.099999999999994</v>
      </c>
      <c r="N99" s="6">
        <v>0</v>
      </c>
      <c r="O99" s="6">
        <v>0</v>
      </c>
      <c r="P99" s="6">
        <v>1.03</v>
      </c>
      <c r="Q99" s="6">
        <v>4.9800000000000004</v>
      </c>
    </row>
    <row r="100" spans="1:22" customFormat="1">
      <c r="A100" s="6" t="s">
        <v>714</v>
      </c>
      <c r="B100" s="6">
        <v>11.69</v>
      </c>
      <c r="C100" s="6">
        <v>27.55</v>
      </c>
      <c r="D100" s="6">
        <v>25.13</v>
      </c>
      <c r="E100" s="6">
        <v>6.25</v>
      </c>
      <c r="F100" s="6">
        <v>2.78</v>
      </c>
      <c r="G100" s="6">
        <v>99.73</v>
      </c>
      <c r="H100" s="6">
        <v>57.65</v>
      </c>
      <c r="I100" s="6">
        <v>10.75</v>
      </c>
      <c r="J100" s="6">
        <v>0.16</v>
      </c>
      <c r="K100" s="6">
        <v>156.55000000000001</v>
      </c>
      <c r="L100" s="6">
        <v>19.489999999999998</v>
      </c>
      <c r="M100" s="6">
        <v>77.25</v>
      </c>
      <c r="N100" s="6">
        <v>0</v>
      </c>
      <c r="O100" s="6">
        <v>0</v>
      </c>
      <c r="P100" s="6">
        <v>0.99</v>
      </c>
      <c r="Q100" s="6">
        <v>4.93</v>
      </c>
    </row>
    <row r="101" spans="1:22" customFormat="1">
      <c r="A101" s="6" t="s">
        <v>715</v>
      </c>
      <c r="B101" s="6">
        <v>10.71</v>
      </c>
      <c r="C101" s="6">
        <v>26.97</v>
      </c>
      <c r="D101" s="6">
        <v>24.03</v>
      </c>
      <c r="E101" s="6">
        <v>6.76</v>
      </c>
      <c r="F101" s="6">
        <v>2.78</v>
      </c>
      <c r="G101" s="6">
        <v>99.73</v>
      </c>
      <c r="H101" s="6">
        <v>57.65</v>
      </c>
      <c r="I101" s="6">
        <v>10.56</v>
      </c>
      <c r="J101" s="6">
        <v>0.2</v>
      </c>
      <c r="K101" s="6">
        <v>159.87</v>
      </c>
      <c r="L101" s="6">
        <v>19.68</v>
      </c>
      <c r="M101" s="6">
        <v>74.62</v>
      </c>
      <c r="N101" s="6">
        <v>0</v>
      </c>
      <c r="O101" s="6">
        <v>0</v>
      </c>
      <c r="P101" s="6">
        <v>0.97</v>
      </c>
      <c r="Q101" s="6">
        <v>4.9000000000000004</v>
      </c>
    </row>
    <row r="102" spans="1:22" customFormat="1">
      <c r="A102" s="6" t="s">
        <v>716</v>
      </c>
      <c r="B102" s="6">
        <v>9.74</v>
      </c>
      <c r="C102" s="6">
        <v>26.24</v>
      </c>
      <c r="D102" s="6">
        <v>22.87</v>
      </c>
      <c r="E102" s="6">
        <v>6.79</v>
      </c>
      <c r="F102" s="6">
        <v>2.94</v>
      </c>
      <c r="G102" s="6">
        <v>99.73</v>
      </c>
      <c r="H102" s="6">
        <v>57.65</v>
      </c>
      <c r="I102" s="6">
        <v>10.28</v>
      </c>
      <c r="J102" s="6">
        <v>0.19</v>
      </c>
      <c r="K102" s="6">
        <v>151.88</v>
      </c>
      <c r="L102" s="6">
        <v>19.670000000000002</v>
      </c>
      <c r="M102" s="6">
        <v>74.099999999999994</v>
      </c>
      <c r="N102" s="6">
        <v>0</v>
      </c>
      <c r="O102" s="6">
        <v>0</v>
      </c>
      <c r="P102" s="6">
        <v>0.93</v>
      </c>
      <c r="Q102" s="6">
        <v>4.88</v>
      </c>
    </row>
    <row r="103" spans="1:22" customFormat="1">
      <c r="A103" s="6" t="s">
        <v>717</v>
      </c>
      <c r="B103" s="6">
        <v>9.02</v>
      </c>
      <c r="C103" s="6">
        <v>25.76</v>
      </c>
      <c r="D103" s="6">
        <v>22.04</v>
      </c>
      <c r="E103" s="6">
        <v>6.08</v>
      </c>
      <c r="F103" s="6">
        <v>2.98</v>
      </c>
      <c r="G103" s="6">
        <v>62.62</v>
      </c>
      <c r="H103" s="6">
        <v>45</v>
      </c>
      <c r="I103" s="6">
        <v>9.98</v>
      </c>
      <c r="J103" s="6">
        <v>0.13</v>
      </c>
      <c r="K103" s="6">
        <v>175.37</v>
      </c>
      <c r="L103" s="6">
        <v>19.440000000000001</v>
      </c>
      <c r="M103" s="6">
        <v>76.010000000000005</v>
      </c>
      <c r="N103" s="6">
        <v>0</v>
      </c>
      <c r="O103" s="6">
        <v>0</v>
      </c>
      <c r="P103" s="6">
        <v>0.91</v>
      </c>
      <c r="Q103" s="6">
        <v>4.84</v>
      </c>
    </row>
    <row r="104" spans="1:22" customFormat="1">
      <c r="A104" s="6" t="s">
        <v>718</v>
      </c>
      <c r="B104" s="6">
        <v>8.39</v>
      </c>
      <c r="C104" s="6">
        <v>25.28</v>
      </c>
      <c r="D104" s="6">
        <v>21.28</v>
      </c>
      <c r="E104" s="6">
        <v>6.51</v>
      </c>
      <c r="F104" s="6">
        <v>3.05</v>
      </c>
      <c r="G104" s="6">
        <v>57.45</v>
      </c>
      <c r="H104" s="6">
        <v>45</v>
      </c>
      <c r="I104" s="6">
        <v>9.65</v>
      </c>
      <c r="J104" s="6">
        <v>0.18</v>
      </c>
      <c r="K104" s="6">
        <v>155.69</v>
      </c>
      <c r="L104" s="6">
        <v>19.32</v>
      </c>
      <c r="M104" s="6">
        <v>76.540000000000006</v>
      </c>
      <c r="N104" s="6">
        <v>0</v>
      </c>
      <c r="O104" s="6">
        <v>0</v>
      </c>
      <c r="P104" s="6">
        <v>0.88</v>
      </c>
      <c r="Q104" s="6">
        <v>4.84</v>
      </c>
    </row>
    <row r="106" spans="1:22">
      <c r="A106" s="156" t="s">
        <v>48</v>
      </c>
      <c r="B106" s="157">
        <f>MIN(B9:B104)</f>
        <v>5.18</v>
      </c>
      <c r="C106" s="157">
        <f>MIN(C9:C104)</f>
        <v>19.18</v>
      </c>
      <c r="D106" s="157">
        <f t="shared" ref="D106:Q106" si="0">MIN(D9:D104)</f>
        <v>16.46</v>
      </c>
      <c r="E106" s="157">
        <f t="shared" si="0"/>
        <v>5.53</v>
      </c>
      <c r="F106" s="157">
        <f t="shared" si="0"/>
        <v>2.42</v>
      </c>
      <c r="G106" s="157">
        <f t="shared" si="0"/>
        <v>57.45</v>
      </c>
      <c r="H106" s="157">
        <f t="shared" si="0"/>
        <v>32.76</v>
      </c>
      <c r="I106" s="157">
        <f t="shared" si="0"/>
        <v>7.03</v>
      </c>
      <c r="J106" s="157">
        <f t="shared" si="0"/>
        <v>0.04</v>
      </c>
      <c r="K106" s="157">
        <f t="shared" si="0"/>
        <v>8.02</v>
      </c>
      <c r="L106" s="157">
        <f t="shared" si="0"/>
        <v>15.34</v>
      </c>
      <c r="M106" s="157">
        <f t="shared" si="0"/>
        <v>39.42</v>
      </c>
      <c r="N106" s="157">
        <f t="shared" si="0"/>
        <v>0</v>
      </c>
      <c r="O106" s="157">
        <f t="shared" si="0"/>
        <v>0</v>
      </c>
      <c r="P106" s="157">
        <f t="shared" si="0"/>
        <v>0.64</v>
      </c>
      <c r="Q106" s="157">
        <f t="shared" si="0"/>
        <v>4.7300000000000004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47.44</v>
      </c>
      <c r="C107" s="156">
        <f t="shared" ref="C107:Q107" si="1">MAX(C9:C104)</f>
        <v>33.369999999999997</v>
      </c>
      <c r="D107" s="156">
        <f t="shared" si="1"/>
        <v>56.68</v>
      </c>
      <c r="E107" s="156">
        <f t="shared" si="1"/>
        <v>7.73</v>
      </c>
      <c r="F107" s="156">
        <f t="shared" si="1"/>
        <v>5.41</v>
      </c>
      <c r="G107" s="156">
        <f t="shared" si="1"/>
        <v>170.62</v>
      </c>
      <c r="H107" s="156">
        <f t="shared" si="1"/>
        <v>59.6</v>
      </c>
      <c r="I107" s="156">
        <f t="shared" si="1"/>
        <v>11.2</v>
      </c>
      <c r="J107" s="156">
        <f t="shared" si="1"/>
        <v>0.6</v>
      </c>
      <c r="K107" s="156">
        <f t="shared" si="1"/>
        <v>290.69</v>
      </c>
      <c r="L107" s="156">
        <f t="shared" si="1"/>
        <v>28.16</v>
      </c>
      <c r="M107" s="156">
        <f t="shared" si="1"/>
        <v>94.35</v>
      </c>
      <c r="N107" s="156">
        <f t="shared" si="1"/>
        <v>394.8</v>
      </c>
      <c r="O107" s="156">
        <f t="shared" si="1"/>
        <v>0</v>
      </c>
      <c r="P107" s="156">
        <f t="shared" si="1"/>
        <v>1.17</v>
      </c>
      <c r="Q107" s="156">
        <f t="shared" si="1"/>
        <v>5.4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22.512500000000003</v>
      </c>
      <c r="C108" s="157">
        <f t="shared" ref="C108:Q108" si="2">AVERAGE(C9:C104)</f>
        <v>27.140833333333347</v>
      </c>
      <c r="D108" s="157">
        <f t="shared" si="2"/>
        <v>33.585000000000001</v>
      </c>
      <c r="E108" s="157">
        <f t="shared" si="2"/>
        <v>6.4984374999999988</v>
      </c>
      <c r="F108" s="157">
        <f t="shared" si="2"/>
        <v>3.0054166666666653</v>
      </c>
      <c r="G108" s="157">
        <f t="shared" si="2"/>
        <v>100.78774193548391</v>
      </c>
      <c r="H108" s="157">
        <f t="shared" si="2"/>
        <v>47.655833333333341</v>
      </c>
      <c r="I108" s="157">
        <f t="shared" si="2"/>
        <v>9.4712499999999959</v>
      </c>
      <c r="J108" s="157">
        <f t="shared" si="2"/>
        <v>0.22197916666666676</v>
      </c>
      <c r="K108" s="157">
        <f t="shared" si="2"/>
        <v>123.21697916666672</v>
      </c>
      <c r="L108" s="157">
        <f t="shared" si="2"/>
        <v>21.035104166666667</v>
      </c>
      <c r="M108" s="157">
        <f t="shared" si="2"/>
        <v>70.675104166666685</v>
      </c>
      <c r="N108" s="157">
        <f t="shared" si="2"/>
        <v>80.560416666666683</v>
      </c>
      <c r="O108" s="157">
        <f t="shared" si="2"/>
        <v>0</v>
      </c>
      <c r="P108" s="157">
        <f t="shared" si="2"/>
        <v>0.86614583333333328</v>
      </c>
      <c r="Q108" s="157">
        <f t="shared" si="2"/>
        <v>5.0639583333333329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14.58761125425484</v>
      </c>
      <c r="C109" s="157">
        <f t="shared" ref="C109:Q109" si="3">STDEV(C9:C104)</f>
        <v>3.4325337171391914</v>
      </c>
      <c r="D109" s="157">
        <f t="shared" si="3"/>
        <v>12.9395878889879</v>
      </c>
      <c r="E109" s="157">
        <f t="shared" si="3"/>
        <v>0.44385471336795262</v>
      </c>
      <c r="F109" s="157">
        <f t="shared" si="3"/>
        <v>0.6910494180922423</v>
      </c>
      <c r="G109" s="157">
        <f t="shared" si="3"/>
        <v>27.250948652375623</v>
      </c>
      <c r="H109" s="157">
        <f t="shared" si="3"/>
        <v>7.0072286986430905</v>
      </c>
      <c r="I109" s="157">
        <f t="shared" si="3"/>
        <v>1.3672864020618503</v>
      </c>
      <c r="J109" s="157">
        <f t="shared" si="3"/>
        <v>0.12266016203673111</v>
      </c>
      <c r="K109" s="157">
        <f t="shared" si="3"/>
        <v>73.186039869848983</v>
      </c>
      <c r="L109" s="157">
        <f t="shared" si="3"/>
        <v>4.2251731810764515</v>
      </c>
      <c r="M109" s="157">
        <f t="shared" si="3"/>
        <v>18.309785189161676</v>
      </c>
      <c r="N109" s="157">
        <f t="shared" si="3"/>
        <v>130.37548565114506</v>
      </c>
      <c r="O109" s="157">
        <f t="shared" si="3"/>
        <v>0</v>
      </c>
      <c r="P109" s="157">
        <f t="shared" si="3"/>
        <v>0.14662784823216077</v>
      </c>
      <c r="Q109" s="157">
        <f t="shared" si="3"/>
        <v>0.20497742708414279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93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719</v>
      </c>
      <c r="B9" s="6">
        <v>7.46</v>
      </c>
      <c r="C9" s="6">
        <v>24.66</v>
      </c>
      <c r="D9" s="6">
        <v>20.22</v>
      </c>
      <c r="E9" s="6">
        <v>7.12</v>
      </c>
      <c r="F9" s="6">
        <v>3.08</v>
      </c>
      <c r="G9" s="6">
        <v>57.45</v>
      </c>
      <c r="H9" s="6">
        <v>45</v>
      </c>
      <c r="I9" s="6">
        <v>9.39</v>
      </c>
      <c r="J9" s="6">
        <v>0.11</v>
      </c>
      <c r="K9" s="6">
        <v>150.26</v>
      </c>
      <c r="L9" s="6">
        <v>18.97</v>
      </c>
      <c r="M9" s="6">
        <v>78.39</v>
      </c>
      <c r="N9" s="6">
        <v>0</v>
      </c>
      <c r="O9" s="6">
        <v>0</v>
      </c>
      <c r="P9" s="6">
        <v>0.86</v>
      </c>
      <c r="Q9" s="6">
        <v>4.82</v>
      </c>
    </row>
    <row r="10" spans="1:21" customFormat="1">
      <c r="A10" s="6" t="s">
        <v>720</v>
      </c>
      <c r="B10" s="6">
        <v>7.15</v>
      </c>
      <c r="C10" s="6">
        <v>24.13</v>
      </c>
      <c r="D10" s="6">
        <v>19.7</v>
      </c>
      <c r="E10" s="6">
        <v>6.23</v>
      </c>
      <c r="F10" s="6">
        <v>3.03</v>
      </c>
      <c r="G10" s="6">
        <v>57.45</v>
      </c>
      <c r="H10" s="6">
        <v>45</v>
      </c>
      <c r="I10" s="6">
        <v>9.15</v>
      </c>
      <c r="J10" s="6">
        <v>0.06</v>
      </c>
      <c r="K10" s="6">
        <v>220.89</v>
      </c>
      <c r="L10" s="6">
        <v>18.510000000000002</v>
      </c>
      <c r="M10" s="6">
        <v>81.86</v>
      </c>
      <c r="N10" s="6">
        <v>0</v>
      </c>
      <c r="O10" s="6">
        <v>0</v>
      </c>
      <c r="P10" s="6">
        <v>0.83</v>
      </c>
      <c r="Q10" s="6">
        <v>4.78</v>
      </c>
    </row>
    <row r="11" spans="1:21" customFormat="1">
      <c r="A11" s="6" t="s">
        <v>721</v>
      </c>
      <c r="B11" s="6">
        <v>6.88</v>
      </c>
      <c r="C11" s="6">
        <v>23.67</v>
      </c>
      <c r="D11" s="6">
        <v>19.23</v>
      </c>
      <c r="E11" s="6">
        <v>6.11</v>
      </c>
      <c r="F11" s="6">
        <v>3.01</v>
      </c>
      <c r="G11" s="6">
        <v>51.5</v>
      </c>
      <c r="H11" s="6">
        <v>41.91</v>
      </c>
      <c r="I11" s="6">
        <v>8.9</v>
      </c>
      <c r="J11" s="6">
        <v>0.1</v>
      </c>
      <c r="K11" s="6">
        <v>258.55</v>
      </c>
      <c r="L11" s="6">
        <v>17.989999999999998</v>
      </c>
      <c r="M11" s="6">
        <v>86.09</v>
      </c>
      <c r="N11" s="6">
        <v>0</v>
      </c>
      <c r="O11" s="6">
        <v>0</v>
      </c>
      <c r="P11" s="6">
        <v>0.8</v>
      </c>
      <c r="Q11" s="6">
        <v>4.78</v>
      </c>
    </row>
    <row r="12" spans="1:21" customFormat="1">
      <c r="A12" s="6" t="s">
        <v>722</v>
      </c>
      <c r="B12" s="6">
        <v>6.73</v>
      </c>
      <c r="C12" s="6">
        <v>24.2</v>
      </c>
      <c r="D12" s="6">
        <v>19.39</v>
      </c>
      <c r="E12" s="6">
        <v>6.04</v>
      </c>
      <c r="F12" s="6">
        <v>2.82</v>
      </c>
      <c r="G12" s="6">
        <v>50.67</v>
      </c>
      <c r="H12" s="6">
        <v>41.91</v>
      </c>
      <c r="I12" s="6">
        <v>8.69</v>
      </c>
      <c r="J12" s="6">
        <v>0.16</v>
      </c>
      <c r="K12" s="6">
        <v>176.56</v>
      </c>
      <c r="L12" s="6">
        <v>17.690000000000001</v>
      </c>
      <c r="M12" s="6">
        <v>87.8</v>
      </c>
      <c r="N12" s="6">
        <v>0</v>
      </c>
      <c r="O12" s="6">
        <v>0</v>
      </c>
      <c r="P12" s="6">
        <v>0.79</v>
      </c>
      <c r="Q12" s="6">
        <v>4.76</v>
      </c>
    </row>
    <row r="13" spans="1:21" customFormat="1">
      <c r="A13" s="6" t="s">
        <v>723</v>
      </c>
      <c r="B13" s="6">
        <v>6.76</v>
      </c>
      <c r="C13" s="6">
        <v>22.42</v>
      </c>
      <c r="D13" s="6">
        <v>18.489999999999998</v>
      </c>
      <c r="E13" s="6">
        <v>6.15</v>
      </c>
      <c r="F13" s="6">
        <v>3.04</v>
      </c>
      <c r="G13" s="6">
        <v>50.67</v>
      </c>
      <c r="H13" s="6">
        <v>41.91</v>
      </c>
      <c r="I13" s="6">
        <v>8.5</v>
      </c>
      <c r="J13" s="6">
        <v>0.02</v>
      </c>
      <c r="K13" s="6">
        <v>322.32</v>
      </c>
      <c r="L13" s="6">
        <v>17.79</v>
      </c>
      <c r="M13" s="6">
        <v>84.87</v>
      </c>
      <c r="N13" s="6">
        <v>0</v>
      </c>
      <c r="O13" s="6">
        <v>0</v>
      </c>
      <c r="P13" s="6">
        <v>0.78</v>
      </c>
      <c r="Q13" s="6">
        <v>4.78</v>
      </c>
    </row>
    <row r="14" spans="1:21" customFormat="1">
      <c r="A14" s="6" t="s">
        <v>724</v>
      </c>
      <c r="B14" s="6">
        <v>6.96</v>
      </c>
      <c r="C14" s="6">
        <v>19.46</v>
      </c>
      <c r="D14" s="6">
        <v>17.100000000000001</v>
      </c>
      <c r="E14" s="6">
        <v>5.74</v>
      </c>
      <c r="F14" s="6">
        <v>3.06</v>
      </c>
      <c r="G14" s="6">
        <v>50.67</v>
      </c>
      <c r="H14" s="6">
        <v>41.91</v>
      </c>
      <c r="I14" s="6">
        <v>8.3000000000000007</v>
      </c>
      <c r="J14" s="6">
        <v>0.05</v>
      </c>
      <c r="K14" s="6">
        <v>127.43</v>
      </c>
      <c r="L14" s="6">
        <v>17.82</v>
      </c>
      <c r="M14" s="6">
        <v>84.2</v>
      </c>
      <c r="N14" s="6">
        <v>0</v>
      </c>
      <c r="O14" s="6">
        <v>0</v>
      </c>
      <c r="P14" s="6">
        <v>0.74</v>
      </c>
      <c r="Q14" s="6">
        <v>4.7699999999999996</v>
      </c>
    </row>
    <row r="15" spans="1:21" customFormat="1">
      <c r="A15" s="6" t="s">
        <v>725</v>
      </c>
      <c r="B15" s="6">
        <v>7.29</v>
      </c>
      <c r="C15" s="6">
        <v>20.63</v>
      </c>
      <c r="D15" s="6">
        <v>17.97</v>
      </c>
      <c r="E15" s="6">
        <v>5.86</v>
      </c>
      <c r="F15" s="6">
        <v>2.78</v>
      </c>
      <c r="G15" s="6">
        <v>47.68</v>
      </c>
      <c r="H15" s="6">
        <v>37.96</v>
      </c>
      <c r="I15" s="6">
        <v>8.09</v>
      </c>
      <c r="J15" s="6">
        <v>0.08</v>
      </c>
      <c r="K15" s="6">
        <v>239.84</v>
      </c>
      <c r="L15" s="6">
        <v>17.739999999999998</v>
      </c>
      <c r="M15" s="6">
        <v>85</v>
      </c>
      <c r="N15" s="6">
        <v>0</v>
      </c>
      <c r="O15" s="6">
        <v>0</v>
      </c>
      <c r="P15" s="6">
        <v>0.74</v>
      </c>
      <c r="Q15" s="6">
        <v>4.76</v>
      </c>
    </row>
    <row r="16" spans="1:21" customFormat="1">
      <c r="A16" s="6" t="s">
        <v>726</v>
      </c>
      <c r="B16" s="6">
        <v>7.68</v>
      </c>
      <c r="C16" s="6">
        <v>20.43</v>
      </c>
      <c r="D16" s="6">
        <v>18.190000000000001</v>
      </c>
      <c r="E16" s="6">
        <v>6.16</v>
      </c>
      <c r="F16" s="6">
        <v>2.71</v>
      </c>
      <c r="G16" s="6">
        <v>47.27</v>
      </c>
      <c r="H16" s="6">
        <v>37.96</v>
      </c>
      <c r="I16" s="6">
        <v>7.93</v>
      </c>
      <c r="J16" s="6">
        <v>0.08</v>
      </c>
      <c r="K16" s="6">
        <v>146.94999999999999</v>
      </c>
      <c r="L16" s="6">
        <v>17.59</v>
      </c>
      <c r="M16" s="6">
        <v>86.11</v>
      </c>
      <c r="N16" s="6">
        <v>0</v>
      </c>
      <c r="O16" s="6">
        <v>0</v>
      </c>
      <c r="P16" s="6">
        <v>0.72</v>
      </c>
      <c r="Q16" s="6">
        <v>4.7699999999999996</v>
      </c>
    </row>
    <row r="17" spans="1:17" customFormat="1">
      <c r="A17" s="6" t="s">
        <v>727</v>
      </c>
      <c r="B17" s="6">
        <v>8.7899999999999991</v>
      </c>
      <c r="C17" s="6">
        <v>21.64</v>
      </c>
      <c r="D17" s="6">
        <v>19.7</v>
      </c>
      <c r="E17" s="6">
        <v>6.99</v>
      </c>
      <c r="F17" s="6">
        <v>2.62</v>
      </c>
      <c r="G17" s="6">
        <v>47.27</v>
      </c>
      <c r="H17" s="6">
        <v>37.96</v>
      </c>
      <c r="I17" s="6">
        <v>7.82</v>
      </c>
      <c r="J17" s="6">
        <v>7.0000000000000007E-2</v>
      </c>
      <c r="K17" s="6">
        <v>176.14</v>
      </c>
      <c r="L17" s="6">
        <v>17.5</v>
      </c>
      <c r="M17" s="6">
        <v>85.71</v>
      </c>
      <c r="N17" s="6">
        <v>0</v>
      </c>
      <c r="O17" s="6">
        <v>0</v>
      </c>
      <c r="P17" s="6">
        <v>0.72</v>
      </c>
      <c r="Q17" s="6">
        <v>4.8</v>
      </c>
    </row>
    <row r="18" spans="1:17" customFormat="1">
      <c r="A18" s="6" t="s">
        <v>728</v>
      </c>
      <c r="B18" s="6">
        <v>9.6999999999999993</v>
      </c>
      <c r="C18" s="6">
        <v>21.73</v>
      </c>
      <c r="D18" s="6">
        <v>20.48</v>
      </c>
      <c r="E18" s="6">
        <v>7.71</v>
      </c>
      <c r="F18" s="6">
        <v>2.67</v>
      </c>
      <c r="G18" s="6">
        <v>47.27</v>
      </c>
      <c r="H18" s="6">
        <v>37.96</v>
      </c>
      <c r="I18" s="6">
        <v>7.7</v>
      </c>
      <c r="J18" s="6">
        <v>0.13</v>
      </c>
      <c r="K18" s="6">
        <v>180.25</v>
      </c>
      <c r="L18" s="6">
        <v>17.39</v>
      </c>
      <c r="M18" s="6">
        <v>88.1</v>
      </c>
      <c r="N18" s="6">
        <v>0</v>
      </c>
      <c r="O18" s="6">
        <v>0</v>
      </c>
      <c r="P18" s="6">
        <v>0.7</v>
      </c>
      <c r="Q18" s="6">
        <v>4.83</v>
      </c>
    </row>
    <row r="19" spans="1:17" customFormat="1">
      <c r="A19" s="6" t="s">
        <v>729</v>
      </c>
      <c r="B19" s="6">
        <v>10.19</v>
      </c>
      <c r="C19" s="6">
        <v>22.5</v>
      </c>
      <c r="D19" s="6">
        <v>21.28</v>
      </c>
      <c r="E19" s="6">
        <v>7.9</v>
      </c>
      <c r="F19" s="6">
        <v>2.57</v>
      </c>
      <c r="G19" s="6">
        <v>50.44</v>
      </c>
      <c r="H19" s="6">
        <v>29.76</v>
      </c>
      <c r="I19" s="6">
        <v>7.58</v>
      </c>
      <c r="J19" s="6">
        <v>0.11</v>
      </c>
      <c r="K19" s="6">
        <v>149.77000000000001</v>
      </c>
      <c r="L19" s="6">
        <v>17.149999999999999</v>
      </c>
      <c r="M19" s="6">
        <v>90.42</v>
      </c>
      <c r="N19" s="6">
        <v>0</v>
      </c>
      <c r="O19" s="6">
        <v>0</v>
      </c>
      <c r="P19" s="6">
        <v>0.69</v>
      </c>
      <c r="Q19" s="6">
        <v>4.8499999999999996</v>
      </c>
    </row>
    <row r="20" spans="1:17" customFormat="1">
      <c r="A20" s="6" t="s">
        <v>730</v>
      </c>
      <c r="B20" s="6">
        <v>11.29</v>
      </c>
      <c r="C20" s="6">
        <v>22.65</v>
      </c>
      <c r="D20" s="6">
        <v>22.24</v>
      </c>
      <c r="E20" s="6">
        <v>7.82</v>
      </c>
      <c r="F20" s="6">
        <v>2.52</v>
      </c>
      <c r="G20" s="6">
        <v>50.93</v>
      </c>
      <c r="H20" s="6">
        <v>29.76</v>
      </c>
      <c r="I20" s="6">
        <v>7.45</v>
      </c>
      <c r="J20" s="6">
        <v>0.14000000000000001</v>
      </c>
      <c r="K20" s="6">
        <v>159.63999999999999</v>
      </c>
      <c r="L20" s="6">
        <v>17.13</v>
      </c>
      <c r="M20" s="6">
        <v>88.57</v>
      </c>
      <c r="N20" s="6">
        <v>0</v>
      </c>
      <c r="O20" s="6">
        <v>0</v>
      </c>
      <c r="P20" s="6">
        <v>0.68</v>
      </c>
      <c r="Q20" s="6">
        <v>4.8600000000000003</v>
      </c>
    </row>
    <row r="21" spans="1:17" customFormat="1">
      <c r="A21" s="6" t="s">
        <v>731</v>
      </c>
      <c r="B21" s="6">
        <v>12.42</v>
      </c>
      <c r="C21" s="6">
        <v>22.96</v>
      </c>
      <c r="D21" s="6">
        <v>23.31</v>
      </c>
      <c r="E21" s="6">
        <v>8.09</v>
      </c>
      <c r="F21" s="6">
        <v>2.5499999999999998</v>
      </c>
      <c r="G21" s="6">
        <v>50.93</v>
      </c>
      <c r="H21" s="6">
        <v>29.76</v>
      </c>
      <c r="I21" s="6">
        <v>7.33</v>
      </c>
      <c r="J21" s="6">
        <v>0.05</v>
      </c>
      <c r="K21" s="6">
        <v>151.43</v>
      </c>
      <c r="L21" s="6">
        <v>16.84</v>
      </c>
      <c r="M21" s="6">
        <v>90.23</v>
      </c>
      <c r="N21" s="6">
        <v>0</v>
      </c>
      <c r="O21" s="6">
        <v>0</v>
      </c>
      <c r="P21" s="6">
        <v>0.67</v>
      </c>
      <c r="Q21" s="6">
        <v>4.88</v>
      </c>
    </row>
    <row r="22" spans="1:17" customFormat="1">
      <c r="A22" s="6" t="s">
        <v>732</v>
      </c>
      <c r="B22" s="6">
        <v>14.05</v>
      </c>
      <c r="C22" s="6">
        <v>22.76</v>
      </c>
      <c r="D22" s="6">
        <v>24.51</v>
      </c>
      <c r="E22" s="6">
        <v>7.84</v>
      </c>
      <c r="F22" s="6">
        <v>2.67</v>
      </c>
      <c r="G22" s="6">
        <v>50.93</v>
      </c>
      <c r="H22" s="6">
        <v>29.76</v>
      </c>
      <c r="I22" s="6">
        <v>7.21</v>
      </c>
      <c r="J22" s="6">
        <v>0.15</v>
      </c>
      <c r="K22" s="6">
        <v>32.11</v>
      </c>
      <c r="L22" s="6">
        <v>16.78</v>
      </c>
      <c r="M22" s="6">
        <v>88.5</v>
      </c>
      <c r="N22" s="6">
        <v>0</v>
      </c>
      <c r="O22" s="6">
        <v>0</v>
      </c>
      <c r="P22" s="6">
        <v>0.65</v>
      </c>
      <c r="Q22" s="6">
        <v>4.8899999999999997</v>
      </c>
    </row>
    <row r="23" spans="1:17" customFormat="1">
      <c r="A23" s="6" t="s">
        <v>733</v>
      </c>
      <c r="B23" s="6">
        <v>15.74</v>
      </c>
      <c r="C23" s="6">
        <v>23.53</v>
      </c>
      <c r="D23" s="6">
        <v>26.27</v>
      </c>
      <c r="E23" s="6">
        <v>8.61</v>
      </c>
      <c r="F23" s="6">
        <v>2.65</v>
      </c>
      <c r="G23" s="6">
        <v>61.46</v>
      </c>
      <c r="H23" s="6">
        <v>32.72</v>
      </c>
      <c r="I23" s="6">
        <v>7.08</v>
      </c>
      <c r="J23" s="6">
        <v>0.12</v>
      </c>
      <c r="K23" s="6">
        <v>58.76</v>
      </c>
      <c r="L23" s="6">
        <v>16.829999999999998</v>
      </c>
      <c r="M23" s="6">
        <v>86.64</v>
      </c>
      <c r="N23" s="6">
        <v>0</v>
      </c>
      <c r="O23" s="6">
        <v>0</v>
      </c>
      <c r="P23" s="6">
        <v>0.66</v>
      </c>
      <c r="Q23" s="6">
        <v>4.92</v>
      </c>
    </row>
    <row r="24" spans="1:17" customFormat="1">
      <c r="A24" s="6" t="s">
        <v>734</v>
      </c>
      <c r="B24" s="6">
        <v>17.100000000000001</v>
      </c>
      <c r="C24" s="6">
        <v>24.65</v>
      </c>
      <c r="D24" s="6">
        <v>27.94</v>
      </c>
      <c r="E24" s="6">
        <v>8.15</v>
      </c>
      <c r="F24" s="6">
        <v>2.37</v>
      </c>
      <c r="G24" s="6">
        <v>63.08</v>
      </c>
      <c r="H24" s="6">
        <v>32.72</v>
      </c>
      <c r="I24" s="6">
        <v>7.02</v>
      </c>
      <c r="J24" s="6">
        <v>0.15</v>
      </c>
      <c r="K24" s="6">
        <v>28.36</v>
      </c>
      <c r="L24" s="6">
        <v>16.79</v>
      </c>
      <c r="M24" s="6">
        <v>87.18</v>
      </c>
      <c r="N24" s="6">
        <v>0</v>
      </c>
      <c r="O24" s="6">
        <v>0</v>
      </c>
      <c r="P24" s="6">
        <v>0.65</v>
      </c>
      <c r="Q24" s="6">
        <v>4.9400000000000004</v>
      </c>
    </row>
    <row r="25" spans="1:17" customFormat="1">
      <c r="A25" s="6" t="s">
        <v>735</v>
      </c>
      <c r="B25" s="6">
        <v>18.18</v>
      </c>
      <c r="C25" s="6">
        <v>23.74</v>
      </c>
      <c r="D25" s="6">
        <v>28.34</v>
      </c>
      <c r="E25" s="6">
        <v>8.43</v>
      </c>
      <c r="F25" s="6">
        <v>2.52</v>
      </c>
      <c r="G25" s="6">
        <v>63.08</v>
      </c>
      <c r="H25" s="6">
        <v>32.72</v>
      </c>
      <c r="I25" s="6">
        <v>7.01</v>
      </c>
      <c r="J25" s="6">
        <v>0.04</v>
      </c>
      <c r="K25" s="6">
        <v>206.68</v>
      </c>
      <c r="L25" s="6">
        <v>16.649999999999999</v>
      </c>
      <c r="M25" s="6">
        <v>87.77</v>
      </c>
      <c r="N25" s="6">
        <v>0</v>
      </c>
      <c r="O25" s="6">
        <v>0</v>
      </c>
      <c r="P25" s="6">
        <v>0.64</v>
      </c>
      <c r="Q25" s="6">
        <v>4.9800000000000004</v>
      </c>
    </row>
    <row r="26" spans="1:17" customFormat="1">
      <c r="A26" s="6" t="s">
        <v>736</v>
      </c>
      <c r="B26" s="6">
        <v>18.399999999999999</v>
      </c>
      <c r="C26" s="6">
        <v>24.61</v>
      </c>
      <c r="D26" s="6">
        <v>28.96</v>
      </c>
      <c r="E26" s="6">
        <v>8.34</v>
      </c>
      <c r="F26" s="6">
        <v>2.54</v>
      </c>
      <c r="G26" s="6">
        <v>63.08</v>
      </c>
      <c r="H26" s="6">
        <v>32.72</v>
      </c>
      <c r="I26" s="6">
        <v>7</v>
      </c>
      <c r="J26" s="6">
        <v>0.04</v>
      </c>
      <c r="K26" s="6">
        <v>36.86</v>
      </c>
      <c r="L26" s="6">
        <v>16.43</v>
      </c>
      <c r="M26" s="6">
        <v>89.02</v>
      </c>
      <c r="N26" s="6">
        <v>0</v>
      </c>
      <c r="O26" s="6">
        <v>0</v>
      </c>
      <c r="P26" s="6">
        <v>0.65</v>
      </c>
      <c r="Q26" s="6">
        <v>5</v>
      </c>
    </row>
    <row r="27" spans="1:17" customFormat="1">
      <c r="A27" s="6" t="s">
        <v>737</v>
      </c>
      <c r="B27" s="6">
        <v>18.96</v>
      </c>
      <c r="C27" s="6">
        <v>24</v>
      </c>
      <c r="D27" s="6">
        <v>29.09</v>
      </c>
      <c r="E27" s="6">
        <v>8.42</v>
      </c>
      <c r="F27" s="6">
        <v>2.58</v>
      </c>
      <c r="G27" s="6">
        <v>66</v>
      </c>
      <c r="H27" s="6">
        <v>35.5</v>
      </c>
      <c r="I27" s="6">
        <v>6.98</v>
      </c>
      <c r="J27" s="6">
        <v>0.13</v>
      </c>
      <c r="K27" s="6">
        <v>39.119999999999997</v>
      </c>
      <c r="L27" s="6">
        <v>16.420000000000002</v>
      </c>
      <c r="M27" s="6">
        <v>88.31</v>
      </c>
      <c r="N27" s="6">
        <v>0</v>
      </c>
      <c r="O27" s="6">
        <v>0</v>
      </c>
      <c r="P27" s="6">
        <v>0.64</v>
      </c>
      <c r="Q27" s="6">
        <v>5.01</v>
      </c>
    </row>
    <row r="28" spans="1:17" customFormat="1">
      <c r="A28" s="6" t="s">
        <v>738</v>
      </c>
      <c r="B28" s="6">
        <v>19.57</v>
      </c>
      <c r="C28" s="6">
        <v>25.19</v>
      </c>
      <c r="D28" s="6">
        <v>30.21</v>
      </c>
      <c r="E28" s="6">
        <v>7.84</v>
      </c>
      <c r="F28" s="6">
        <v>2.57</v>
      </c>
      <c r="G28" s="6">
        <v>66.41</v>
      </c>
      <c r="H28" s="6">
        <v>35.5</v>
      </c>
      <c r="I28" s="6">
        <v>6.96</v>
      </c>
      <c r="J28" s="6">
        <v>0.33</v>
      </c>
      <c r="K28" s="6">
        <v>43.67</v>
      </c>
      <c r="L28" s="6">
        <v>16.57</v>
      </c>
      <c r="M28" s="6">
        <v>86.73</v>
      </c>
      <c r="N28" s="6">
        <v>0</v>
      </c>
      <c r="O28" s="6">
        <v>0</v>
      </c>
      <c r="P28" s="6">
        <v>0.64</v>
      </c>
      <c r="Q28" s="6">
        <v>5.03</v>
      </c>
    </row>
    <row r="29" spans="1:17" customFormat="1">
      <c r="A29" s="6" t="s">
        <v>739</v>
      </c>
      <c r="B29" s="6">
        <v>19.920000000000002</v>
      </c>
      <c r="C29" s="6">
        <v>24.4</v>
      </c>
      <c r="D29" s="6">
        <v>30.07</v>
      </c>
      <c r="E29" s="6">
        <v>7.98</v>
      </c>
      <c r="F29" s="6">
        <v>2.66</v>
      </c>
      <c r="G29" s="6">
        <v>66.41</v>
      </c>
      <c r="H29" s="6">
        <v>35.5</v>
      </c>
      <c r="I29" s="6">
        <v>6.95</v>
      </c>
      <c r="J29" s="6">
        <v>0.3</v>
      </c>
      <c r="K29" s="6">
        <v>56.1</v>
      </c>
      <c r="L29" s="6">
        <v>16.54</v>
      </c>
      <c r="M29" s="6">
        <v>86.03</v>
      </c>
      <c r="N29" s="6">
        <v>0</v>
      </c>
      <c r="O29" s="6">
        <v>0</v>
      </c>
      <c r="P29" s="6">
        <v>0.63</v>
      </c>
      <c r="Q29" s="6">
        <v>5.04</v>
      </c>
    </row>
    <row r="30" spans="1:17" customFormat="1">
      <c r="A30" s="6" t="s">
        <v>740</v>
      </c>
      <c r="B30" s="6">
        <v>20.12</v>
      </c>
      <c r="C30" s="6">
        <v>24.72</v>
      </c>
      <c r="D30" s="6">
        <v>30.4</v>
      </c>
      <c r="E30" s="6">
        <v>8.35</v>
      </c>
      <c r="F30" s="6">
        <v>2.67</v>
      </c>
      <c r="G30" s="6">
        <v>66.41</v>
      </c>
      <c r="H30" s="6">
        <v>35.5</v>
      </c>
      <c r="I30" s="6">
        <v>6.92</v>
      </c>
      <c r="J30" s="6">
        <v>0.28999999999999998</v>
      </c>
      <c r="K30" s="6">
        <v>56.81</v>
      </c>
      <c r="L30" s="6">
        <v>16.510000000000002</v>
      </c>
      <c r="M30" s="6">
        <v>86.11</v>
      </c>
      <c r="N30" s="6">
        <v>0</v>
      </c>
      <c r="O30" s="6">
        <v>0</v>
      </c>
      <c r="P30" s="6">
        <v>0.63</v>
      </c>
      <c r="Q30" s="6">
        <v>5.04</v>
      </c>
    </row>
    <row r="31" spans="1:17" customFormat="1">
      <c r="A31" s="6" t="s">
        <v>741</v>
      </c>
      <c r="B31" s="6">
        <v>20.260000000000002</v>
      </c>
      <c r="C31" s="6">
        <v>24.15</v>
      </c>
      <c r="D31" s="6">
        <v>30.21</v>
      </c>
      <c r="E31" s="6">
        <v>8.0500000000000007</v>
      </c>
      <c r="F31" s="6">
        <v>2.69</v>
      </c>
      <c r="G31" s="6">
        <v>70.95</v>
      </c>
      <c r="H31" s="6">
        <v>35.32</v>
      </c>
      <c r="I31" s="6">
        <v>6.92</v>
      </c>
      <c r="J31" s="6">
        <v>0.28000000000000003</v>
      </c>
      <c r="K31" s="6">
        <v>55.15</v>
      </c>
      <c r="L31" s="6">
        <v>16.52</v>
      </c>
      <c r="M31" s="6">
        <v>86.4</v>
      </c>
      <c r="N31" s="6">
        <v>0</v>
      </c>
      <c r="O31" s="6">
        <v>0</v>
      </c>
      <c r="P31" s="6">
        <v>0.63</v>
      </c>
      <c r="Q31" s="6">
        <v>5.05</v>
      </c>
    </row>
    <row r="32" spans="1:17" customFormat="1">
      <c r="A32" s="6" t="s">
        <v>742</v>
      </c>
      <c r="B32" s="6">
        <v>20.49</v>
      </c>
      <c r="C32" s="6">
        <v>24.88</v>
      </c>
      <c r="D32" s="6">
        <v>30.78</v>
      </c>
      <c r="E32" s="6">
        <v>8.06</v>
      </c>
      <c r="F32" s="6">
        <v>2.54</v>
      </c>
      <c r="G32" s="6">
        <v>71.58</v>
      </c>
      <c r="H32" s="6">
        <v>35.32</v>
      </c>
      <c r="I32" s="6">
        <v>6.9</v>
      </c>
      <c r="J32" s="6">
        <v>0.17</v>
      </c>
      <c r="K32" s="6">
        <v>65.52</v>
      </c>
      <c r="L32" s="6">
        <v>16.440000000000001</v>
      </c>
      <c r="M32" s="6">
        <v>87.44</v>
      </c>
      <c r="N32" s="6">
        <v>0</v>
      </c>
      <c r="O32" s="6">
        <v>0</v>
      </c>
      <c r="P32" s="6">
        <v>0.64</v>
      </c>
      <c r="Q32" s="6">
        <v>5.03</v>
      </c>
    </row>
    <row r="33" spans="1:17" customFormat="1">
      <c r="A33" s="6" t="s">
        <v>743</v>
      </c>
      <c r="B33" s="6">
        <v>21.03</v>
      </c>
      <c r="C33" s="6">
        <v>25.39</v>
      </c>
      <c r="D33" s="6">
        <v>31.49</v>
      </c>
      <c r="E33" s="6">
        <v>8.08</v>
      </c>
      <c r="F33" s="6">
        <v>2.65</v>
      </c>
      <c r="G33" s="6">
        <v>71.58</v>
      </c>
      <c r="H33" s="6">
        <v>35.32</v>
      </c>
      <c r="I33" s="6">
        <v>6.92</v>
      </c>
      <c r="J33" s="6">
        <v>0.4</v>
      </c>
      <c r="K33" s="6">
        <v>39.64</v>
      </c>
      <c r="L33" s="6">
        <v>16.329999999999998</v>
      </c>
      <c r="M33" s="6">
        <v>88.27</v>
      </c>
      <c r="N33" s="6">
        <v>0</v>
      </c>
      <c r="O33" s="6">
        <v>0</v>
      </c>
      <c r="P33" s="6">
        <v>0.65</v>
      </c>
      <c r="Q33" s="6">
        <v>5.07</v>
      </c>
    </row>
    <row r="34" spans="1:17" customFormat="1">
      <c r="A34" s="6" t="s">
        <v>744</v>
      </c>
      <c r="B34" s="6">
        <v>21.44</v>
      </c>
      <c r="C34" s="6">
        <v>25.98</v>
      </c>
      <c r="D34" s="6">
        <v>32.119999999999997</v>
      </c>
      <c r="E34" s="6">
        <v>8.1</v>
      </c>
      <c r="F34" s="6">
        <v>2.73</v>
      </c>
      <c r="G34" s="6">
        <v>71.58</v>
      </c>
      <c r="H34" s="6">
        <v>35.32</v>
      </c>
      <c r="I34" s="6">
        <v>6.98</v>
      </c>
      <c r="J34" s="6">
        <v>0.12</v>
      </c>
      <c r="K34" s="6">
        <v>31.8</v>
      </c>
      <c r="L34" s="6">
        <v>16.23</v>
      </c>
      <c r="M34" s="6">
        <v>89.03</v>
      </c>
      <c r="N34" s="6">
        <v>0</v>
      </c>
      <c r="O34" s="6">
        <v>0</v>
      </c>
      <c r="P34" s="6">
        <v>0.66</v>
      </c>
      <c r="Q34" s="6">
        <v>5.0999999999999996</v>
      </c>
    </row>
    <row r="35" spans="1:17" customFormat="1">
      <c r="A35" s="6" t="s">
        <v>745</v>
      </c>
      <c r="B35" s="6">
        <v>22.06</v>
      </c>
      <c r="C35" s="6">
        <v>26.6</v>
      </c>
      <c r="D35" s="6">
        <v>32.94</v>
      </c>
      <c r="E35" s="6">
        <v>7.98</v>
      </c>
      <c r="F35" s="6">
        <v>2.72</v>
      </c>
      <c r="G35" s="6">
        <v>89.44</v>
      </c>
      <c r="H35" s="6">
        <v>38.450000000000003</v>
      </c>
      <c r="I35" s="6">
        <v>7.06</v>
      </c>
      <c r="J35" s="6">
        <v>0.27</v>
      </c>
      <c r="K35" s="6">
        <v>54.2</v>
      </c>
      <c r="L35" s="6">
        <v>16.16</v>
      </c>
      <c r="M35" s="6">
        <v>89.55</v>
      </c>
      <c r="N35" s="6">
        <v>0</v>
      </c>
      <c r="O35" s="6">
        <v>0</v>
      </c>
      <c r="P35" s="6">
        <v>0.69</v>
      </c>
      <c r="Q35" s="6">
        <v>5.09</v>
      </c>
    </row>
    <row r="36" spans="1:17" customFormat="1">
      <c r="A36" s="6" t="s">
        <v>746</v>
      </c>
      <c r="B36" s="6">
        <v>22.54</v>
      </c>
      <c r="C36" s="6">
        <v>27</v>
      </c>
      <c r="D36" s="6">
        <v>33.53</v>
      </c>
      <c r="E36" s="6">
        <v>7.98</v>
      </c>
      <c r="F36" s="6">
        <v>2.63</v>
      </c>
      <c r="G36" s="6">
        <v>91.92</v>
      </c>
      <c r="H36" s="6">
        <v>38.450000000000003</v>
      </c>
      <c r="I36" s="6">
        <v>7.19</v>
      </c>
      <c r="J36" s="6">
        <v>0.44</v>
      </c>
      <c r="K36" s="6">
        <v>48.96</v>
      </c>
      <c r="L36" s="6">
        <v>16.239999999999998</v>
      </c>
      <c r="M36" s="6">
        <v>88.87</v>
      </c>
      <c r="N36" s="6">
        <v>4.4000000000000004</v>
      </c>
      <c r="O36" s="6">
        <v>0</v>
      </c>
      <c r="P36" s="6">
        <v>0.7</v>
      </c>
      <c r="Q36" s="6">
        <v>5.08</v>
      </c>
    </row>
    <row r="37" spans="1:17" customFormat="1">
      <c r="A37" s="6" t="s">
        <v>747</v>
      </c>
      <c r="B37" s="6">
        <v>22.69</v>
      </c>
      <c r="C37" s="6">
        <v>27.4</v>
      </c>
      <c r="D37" s="6">
        <v>33.86</v>
      </c>
      <c r="E37" s="6">
        <v>7.94</v>
      </c>
      <c r="F37" s="6">
        <v>2.56</v>
      </c>
      <c r="G37" s="6">
        <v>91.92</v>
      </c>
      <c r="H37" s="6">
        <v>38.450000000000003</v>
      </c>
      <c r="I37" s="6">
        <v>7.31</v>
      </c>
      <c r="J37" s="6">
        <v>0.34</v>
      </c>
      <c r="K37" s="6">
        <v>65.459999999999994</v>
      </c>
      <c r="L37" s="6">
        <v>16.48</v>
      </c>
      <c r="M37" s="6">
        <v>87.65</v>
      </c>
      <c r="N37" s="6">
        <v>10.4</v>
      </c>
      <c r="O37" s="6">
        <v>0</v>
      </c>
      <c r="P37" s="6">
        <v>0.72</v>
      </c>
      <c r="Q37" s="6">
        <v>5.1100000000000003</v>
      </c>
    </row>
    <row r="38" spans="1:17" customFormat="1">
      <c r="A38" s="6" t="s">
        <v>748</v>
      </c>
      <c r="B38" s="6">
        <v>22.87</v>
      </c>
      <c r="C38" s="6">
        <v>27.81</v>
      </c>
      <c r="D38" s="6">
        <v>34.22</v>
      </c>
      <c r="E38" s="6">
        <v>8.07</v>
      </c>
      <c r="F38" s="6">
        <v>2.59</v>
      </c>
      <c r="G38" s="6">
        <v>91.92</v>
      </c>
      <c r="H38" s="6">
        <v>38.450000000000003</v>
      </c>
      <c r="I38" s="6">
        <v>7.46</v>
      </c>
      <c r="J38" s="6">
        <v>0.27</v>
      </c>
      <c r="K38" s="6">
        <v>64.989999999999995</v>
      </c>
      <c r="L38" s="6">
        <v>16.64</v>
      </c>
      <c r="M38" s="6">
        <v>86.85</v>
      </c>
      <c r="N38" s="6">
        <v>16.100000000000001</v>
      </c>
      <c r="O38" s="6">
        <v>0</v>
      </c>
      <c r="P38" s="6">
        <v>0.74</v>
      </c>
      <c r="Q38" s="6">
        <v>5.1100000000000003</v>
      </c>
    </row>
    <row r="39" spans="1:17" customFormat="1">
      <c r="A39" s="6" t="s">
        <v>749</v>
      </c>
      <c r="B39" s="6">
        <v>23.14</v>
      </c>
      <c r="C39" s="6">
        <v>28.2</v>
      </c>
      <c r="D39" s="6">
        <v>34.64</v>
      </c>
      <c r="E39" s="6">
        <v>7.9</v>
      </c>
      <c r="F39" s="6">
        <v>2.62</v>
      </c>
      <c r="G39" s="6">
        <v>96.26</v>
      </c>
      <c r="H39" s="6">
        <v>45.86</v>
      </c>
      <c r="I39" s="6">
        <v>7.63</v>
      </c>
      <c r="J39" s="6">
        <v>0.43</v>
      </c>
      <c r="K39" s="6">
        <v>49</v>
      </c>
      <c r="L39" s="6">
        <v>16.760000000000002</v>
      </c>
      <c r="M39" s="6">
        <v>86.3</v>
      </c>
      <c r="N39" s="6">
        <v>31.3</v>
      </c>
      <c r="O39" s="6">
        <v>0</v>
      </c>
      <c r="P39" s="6">
        <v>0.76</v>
      </c>
      <c r="Q39" s="6">
        <v>5.09</v>
      </c>
    </row>
    <row r="40" spans="1:17" customFormat="1">
      <c r="A40" s="6" t="s">
        <v>750</v>
      </c>
      <c r="B40" s="6">
        <v>23.35</v>
      </c>
      <c r="C40" s="6">
        <v>28.4</v>
      </c>
      <c r="D40" s="6">
        <v>34.909999999999997</v>
      </c>
      <c r="E40" s="6">
        <v>8.09</v>
      </c>
      <c r="F40" s="6">
        <v>2.57</v>
      </c>
      <c r="G40" s="6">
        <v>96.93</v>
      </c>
      <c r="H40" s="6">
        <v>45.86</v>
      </c>
      <c r="I40" s="6">
        <v>7.79</v>
      </c>
      <c r="J40" s="6">
        <v>0.39</v>
      </c>
      <c r="K40" s="6">
        <v>51.25</v>
      </c>
      <c r="L40" s="6">
        <v>17.079999999999998</v>
      </c>
      <c r="M40" s="6">
        <v>85.41</v>
      </c>
      <c r="N40" s="6">
        <v>49.9</v>
      </c>
      <c r="O40" s="6">
        <v>0</v>
      </c>
      <c r="P40" s="6">
        <v>0.77</v>
      </c>
      <c r="Q40" s="6">
        <v>5.0999999999999996</v>
      </c>
    </row>
    <row r="41" spans="1:17" customFormat="1">
      <c r="A41" s="6" t="s">
        <v>751</v>
      </c>
      <c r="B41" s="6">
        <v>23.49</v>
      </c>
      <c r="C41" s="6">
        <v>28.4</v>
      </c>
      <c r="D41" s="6">
        <v>35.03</v>
      </c>
      <c r="E41" s="6">
        <v>8.44</v>
      </c>
      <c r="F41" s="6">
        <v>2.63</v>
      </c>
      <c r="G41" s="6">
        <v>96.93</v>
      </c>
      <c r="H41" s="6">
        <v>45.86</v>
      </c>
      <c r="I41" s="6">
        <v>7.96</v>
      </c>
      <c r="J41" s="6">
        <v>0.42</v>
      </c>
      <c r="K41" s="6">
        <v>36.020000000000003</v>
      </c>
      <c r="L41" s="6">
        <v>17.739999999999998</v>
      </c>
      <c r="M41" s="6">
        <v>82.62</v>
      </c>
      <c r="N41" s="6">
        <v>91.6</v>
      </c>
      <c r="O41" s="6">
        <v>0</v>
      </c>
      <c r="P41" s="6">
        <v>0.79</v>
      </c>
      <c r="Q41" s="6">
        <v>5.0999999999999996</v>
      </c>
    </row>
    <row r="42" spans="1:17" customFormat="1">
      <c r="A42" s="6" t="s">
        <v>752</v>
      </c>
      <c r="B42" s="6">
        <v>23.47</v>
      </c>
      <c r="C42" s="6">
        <v>29.06</v>
      </c>
      <c r="D42" s="6">
        <v>35.36</v>
      </c>
      <c r="E42" s="6">
        <v>8.44</v>
      </c>
      <c r="F42" s="6">
        <v>2.58</v>
      </c>
      <c r="G42" s="6">
        <v>96.93</v>
      </c>
      <c r="H42" s="6">
        <v>45.86</v>
      </c>
      <c r="I42" s="6">
        <v>8.19</v>
      </c>
      <c r="J42" s="6">
        <v>0.56000000000000005</v>
      </c>
      <c r="K42" s="6">
        <v>44.49</v>
      </c>
      <c r="L42" s="6">
        <v>18.25</v>
      </c>
      <c r="M42" s="6">
        <v>80.09</v>
      </c>
      <c r="N42" s="6">
        <v>111.6</v>
      </c>
      <c r="O42" s="6">
        <v>0</v>
      </c>
      <c r="P42" s="6">
        <v>0.79</v>
      </c>
      <c r="Q42" s="6">
        <v>5.08</v>
      </c>
    </row>
    <row r="43" spans="1:17" customFormat="1">
      <c r="A43" s="6" t="s">
        <v>753</v>
      </c>
      <c r="B43" s="6">
        <v>23.14</v>
      </c>
      <c r="C43" s="6">
        <v>29.42</v>
      </c>
      <c r="D43" s="6">
        <v>35.28</v>
      </c>
      <c r="E43" s="6">
        <v>8.35</v>
      </c>
      <c r="F43" s="6">
        <v>2.64</v>
      </c>
      <c r="G43" s="6">
        <v>107.76</v>
      </c>
      <c r="H43" s="6">
        <v>46.21</v>
      </c>
      <c r="I43" s="6">
        <v>8.43</v>
      </c>
      <c r="J43" s="6">
        <v>0.68</v>
      </c>
      <c r="K43" s="6">
        <v>46.5</v>
      </c>
      <c r="L43" s="6">
        <v>18.579999999999998</v>
      </c>
      <c r="M43" s="6">
        <v>78.260000000000005</v>
      </c>
      <c r="N43" s="6">
        <v>134.5</v>
      </c>
      <c r="O43" s="6">
        <v>0</v>
      </c>
      <c r="P43" s="6">
        <v>0.81</v>
      </c>
      <c r="Q43" s="6">
        <v>5.07</v>
      </c>
    </row>
    <row r="44" spans="1:17" customFormat="1">
      <c r="A44" s="6" t="s">
        <v>754</v>
      </c>
      <c r="B44" s="6">
        <v>22.37</v>
      </c>
      <c r="C44" s="6">
        <v>29.37</v>
      </c>
      <c r="D44" s="6">
        <v>34.630000000000003</v>
      </c>
      <c r="E44" s="6">
        <v>8.82</v>
      </c>
      <c r="F44" s="6">
        <v>2.65</v>
      </c>
      <c r="G44" s="6">
        <v>109.27</v>
      </c>
      <c r="H44" s="6">
        <v>46.21</v>
      </c>
      <c r="I44" s="6">
        <v>8.59</v>
      </c>
      <c r="J44" s="6">
        <v>0.55000000000000004</v>
      </c>
      <c r="K44" s="6">
        <v>65.489999999999995</v>
      </c>
      <c r="L44" s="6">
        <v>19.02</v>
      </c>
      <c r="M44" s="6">
        <v>76.23</v>
      </c>
      <c r="N44" s="6">
        <v>148.80000000000001</v>
      </c>
      <c r="O44" s="6">
        <v>0</v>
      </c>
      <c r="P44" s="6">
        <v>0.81</v>
      </c>
      <c r="Q44" s="6">
        <v>5.08</v>
      </c>
    </row>
    <row r="45" spans="1:17" customFormat="1">
      <c r="A45" s="6" t="s">
        <v>755</v>
      </c>
      <c r="B45" s="6">
        <v>21.09</v>
      </c>
      <c r="C45" s="6">
        <v>29.76</v>
      </c>
      <c r="D45" s="6">
        <v>33.81</v>
      </c>
      <c r="E45" s="6">
        <v>8.94</v>
      </c>
      <c r="F45" s="6">
        <v>2.75</v>
      </c>
      <c r="G45" s="6">
        <v>109.27</v>
      </c>
      <c r="H45" s="6">
        <v>46.21</v>
      </c>
      <c r="I45" s="6">
        <v>8.66</v>
      </c>
      <c r="J45" s="6">
        <v>0.44</v>
      </c>
      <c r="K45" s="6">
        <v>76.89</v>
      </c>
      <c r="L45" s="6">
        <v>20.079999999999998</v>
      </c>
      <c r="M45" s="6">
        <v>71.239999999999995</v>
      </c>
      <c r="N45" s="6">
        <v>140.5</v>
      </c>
      <c r="O45" s="6">
        <v>0</v>
      </c>
      <c r="P45" s="6">
        <v>0.81</v>
      </c>
      <c r="Q45" s="6">
        <v>5.04</v>
      </c>
    </row>
    <row r="46" spans="1:17" customFormat="1">
      <c r="A46" s="6" t="s">
        <v>756</v>
      </c>
      <c r="B46" s="6">
        <v>19.62</v>
      </c>
      <c r="C46" s="6">
        <v>29.84</v>
      </c>
      <c r="D46" s="6">
        <v>32.67</v>
      </c>
      <c r="E46" s="6">
        <v>8.49</v>
      </c>
      <c r="F46" s="6">
        <v>2.83</v>
      </c>
      <c r="G46" s="6">
        <v>109.27</v>
      </c>
      <c r="H46" s="6">
        <v>46.21</v>
      </c>
      <c r="I46" s="6">
        <v>8.65</v>
      </c>
      <c r="J46" s="6">
        <v>0.24</v>
      </c>
      <c r="K46" s="6">
        <v>104.59</v>
      </c>
      <c r="L46" s="6">
        <v>21.03</v>
      </c>
      <c r="M46" s="6">
        <v>67.78</v>
      </c>
      <c r="N46" s="6">
        <v>125.9</v>
      </c>
      <c r="O46" s="6">
        <v>0</v>
      </c>
      <c r="P46" s="6">
        <v>0.82</v>
      </c>
      <c r="Q46" s="6">
        <v>5.03</v>
      </c>
    </row>
    <row r="47" spans="1:17" customFormat="1">
      <c r="A47" s="6" t="s">
        <v>757</v>
      </c>
      <c r="B47" s="6">
        <v>18.14</v>
      </c>
      <c r="C47" s="6">
        <v>30.12</v>
      </c>
      <c r="D47" s="6">
        <v>31.64</v>
      </c>
      <c r="E47" s="6">
        <v>8.66</v>
      </c>
      <c r="F47" s="6">
        <v>2.76</v>
      </c>
      <c r="G47" s="6">
        <v>110.47</v>
      </c>
      <c r="H47" s="6">
        <v>47.72</v>
      </c>
      <c r="I47" s="6">
        <v>8.65</v>
      </c>
      <c r="J47" s="6">
        <v>0.37</v>
      </c>
      <c r="K47" s="6">
        <v>65.36</v>
      </c>
      <c r="L47" s="6">
        <v>21.65</v>
      </c>
      <c r="M47" s="6">
        <v>65.959999999999994</v>
      </c>
      <c r="N47" s="6">
        <v>136.6</v>
      </c>
      <c r="O47" s="6">
        <v>0</v>
      </c>
      <c r="P47" s="6">
        <v>0.81</v>
      </c>
      <c r="Q47" s="6">
        <v>5.01</v>
      </c>
    </row>
    <row r="48" spans="1:17" customFormat="1">
      <c r="A48" s="6" t="s">
        <v>758</v>
      </c>
      <c r="B48" s="6">
        <v>17.260000000000002</v>
      </c>
      <c r="C48" s="6">
        <v>30.22</v>
      </c>
      <c r="D48" s="6">
        <v>30.98</v>
      </c>
      <c r="E48" s="6">
        <v>9.01</v>
      </c>
      <c r="F48" s="6">
        <v>2.94</v>
      </c>
      <c r="G48" s="6">
        <v>110.64</v>
      </c>
      <c r="H48" s="6">
        <v>47.72</v>
      </c>
      <c r="I48" s="6">
        <v>8.74</v>
      </c>
      <c r="J48" s="6">
        <v>0.31</v>
      </c>
      <c r="K48" s="6">
        <v>116.89</v>
      </c>
      <c r="L48" s="6">
        <v>22.22</v>
      </c>
      <c r="M48" s="6">
        <v>61.82</v>
      </c>
      <c r="N48" s="6">
        <v>180.9</v>
      </c>
      <c r="O48" s="6">
        <v>0</v>
      </c>
      <c r="P48" s="6">
        <v>0.81</v>
      </c>
      <c r="Q48" s="6">
        <v>4.99</v>
      </c>
    </row>
    <row r="49" spans="1:17" customFormat="1">
      <c r="A49" s="6" t="s">
        <v>759</v>
      </c>
      <c r="B49" s="6">
        <v>15.74</v>
      </c>
      <c r="C49" s="6">
        <v>29.92</v>
      </c>
      <c r="D49" s="6">
        <v>29.61</v>
      </c>
      <c r="E49" s="6">
        <v>5.01</v>
      </c>
      <c r="F49" s="6">
        <v>3.03</v>
      </c>
      <c r="G49" s="6">
        <v>110.64</v>
      </c>
      <c r="H49" s="6">
        <v>47.72</v>
      </c>
      <c r="I49" s="6">
        <v>8.8699999999999992</v>
      </c>
      <c r="J49" s="6">
        <v>0.48</v>
      </c>
      <c r="K49" s="6">
        <v>165.95</v>
      </c>
      <c r="L49" s="6">
        <v>23.04</v>
      </c>
      <c r="M49" s="6">
        <v>56.93</v>
      </c>
      <c r="N49" s="6">
        <v>270.3</v>
      </c>
      <c r="O49" s="6">
        <v>0</v>
      </c>
      <c r="P49" s="6">
        <v>0.78</v>
      </c>
      <c r="Q49" s="6">
        <v>4.97</v>
      </c>
    </row>
    <row r="50" spans="1:17" customFormat="1">
      <c r="A50" s="6" t="s">
        <v>760</v>
      </c>
      <c r="B50" s="6">
        <v>14.02</v>
      </c>
      <c r="C50" s="6">
        <v>29.38</v>
      </c>
      <c r="D50" s="6">
        <v>27.94</v>
      </c>
      <c r="E50" s="6">
        <v>6.29</v>
      </c>
      <c r="F50" s="6">
        <v>3.01</v>
      </c>
      <c r="G50" s="6">
        <v>110.64</v>
      </c>
      <c r="H50" s="6">
        <v>47.72</v>
      </c>
      <c r="I50" s="6">
        <v>8.8699999999999992</v>
      </c>
      <c r="J50" s="6">
        <v>0.25</v>
      </c>
      <c r="K50" s="6">
        <v>134.29</v>
      </c>
      <c r="L50" s="6">
        <v>23.87</v>
      </c>
      <c r="M50" s="6">
        <v>54.26</v>
      </c>
      <c r="N50" s="6">
        <v>295.7</v>
      </c>
      <c r="O50" s="6">
        <v>0</v>
      </c>
      <c r="P50" s="6">
        <v>0.76</v>
      </c>
      <c r="Q50" s="6">
        <v>4.93</v>
      </c>
    </row>
    <row r="51" spans="1:17" customFormat="1">
      <c r="A51" s="6" t="s">
        <v>761</v>
      </c>
      <c r="B51" s="6">
        <v>12.5</v>
      </c>
      <c r="C51" s="6">
        <v>28.84</v>
      </c>
      <c r="D51" s="6">
        <v>26.44</v>
      </c>
      <c r="E51" s="6">
        <v>6.12</v>
      </c>
      <c r="F51" s="6">
        <v>3.09</v>
      </c>
      <c r="G51" s="6">
        <v>80.569999999999993</v>
      </c>
      <c r="H51" s="6">
        <v>43.93</v>
      </c>
      <c r="I51" s="6">
        <v>8.74</v>
      </c>
      <c r="J51" s="6">
        <v>0.17</v>
      </c>
      <c r="K51" s="6">
        <v>139.75</v>
      </c>
      <c r="L51" s="6">
        <v>24.06</v>
      </c>
      <c r="M51" s="6">
        <v>52.72</v>
      </c>
      <c r="N51" s="6">
        <v>308.5</v>
      </c>
      <c r="O51" s="6">
        <v>0</v>
      </c>
      <c r="P51" s="6">
        <v>0.76</v>
      </c>
      <c r="Q51" s="6">
        <v>4.9000000000000004</v>
      </c>
    </row>
    <row r="52" spans="1:17" customFormat="1">
      <c r="A52" s="6" t="s">
        <v>762</v>
      </c>
      <c r="B52" s="6">
        <v>11.44</v>
      </c>
      <c r="C52" s="6">
        <v>28.62</v>
      </c>
      <c r="D52" s="6">
        <v>25.48</v>
      </c>
      <c r="E52" s="6">
        <v>5.19</v>
      </c>
      <c r="F52" s="6">
        <v>2.99</v>
      </c>
      <c r="G52" s="6">
        <v>76.39</v>
      </c>
      <c r="H52" s="6">
        <v>43.93</v>
      </c>
      <c r="I52" s="6">
        <v>8.6199999999999992</v>
      </c>
      <c r="J52" s="6">
        <v>0.55000000000000004</v>
      </c>
      <c r="K52" s="6">
        <v>287.25</v>
      </c>
      <c r="L52" s="6">
        <v>23.9</v>
      </c>
      <c r="M52" s="6">
        <v>53.27</v>
      </c>
      <c r="N52" s="6">
        <v>320.3</v>
      </c>
      <c r="O52" s="6">
        <v>0</v>
      </c>
      <c r="P52" s="6">
        <v>0.75</v>
      </c>
      <c r="Q52" s="6">
        <v>4.8600000000000003</v>
      </c>
    </row>
    <row r="53" spans="1:17" customFormat="1">
      <c r="A53" s="6" t="s">
        <v>763</v>
      </c>
      <c r="B53" s="6">
        <v>10.92</v>
      </c>
      <c r="C53" s="6">
        <v>25.54</v>
      </c>
      <c r="D53" s="6">
        <v>23.45</v>
      </c>
      <c r="E53" s="6">
        <v>5.47</v>
      </c>
      <c r="F53" s="6">
        <v>3.04</v>
      </c>
      <c r="G53" s="6">
        <v>76.39</v>
      </c>
      <c r="H53" s="6">
        <v>43.93</v>
      </c>
      <c r="I53" s="6">
        <v>8.48</v>
      </c>
      <c r="J53" s="6">
        <v>0.42</v>
      </c>
      <c r="K53" s="6">
        <v>54.94</v>
      </c>
      <c r="L53" s="6">
        <v>24.21</v>
      </c>
      <c r="M53" s="6">
        <v>51.7</v>
      </c>
      <c r="N53" s="6">
        <v>321.7</v>
      </c>
      <c r="O53" s="6">
        <v>0</v>
      </c>
      <c r="P53" s="6">
        <v>0.73</v>
      </c>
      <c r="Q53" s="6">
        <v>4.8499999999999996</v>
      </c>
    </row>
    <row r="54" spans="1:17" customFormat="1">
      <c r="A54" s="6" t="s">
        <v>764</v>
      </c>
      <c r="B54" s="6">
        <v>10.130000000000001</v>
      </c>
      <c r="C54" s="6">
        <v>23.81</v>
      </c>
      <c r="D54" s="6">
        <v>21.92</v>
      </c>
      <c r="E54" s="6">
        <v>6.15</v>
      </c>
      <c r="F54" s="6">
        <v>3.81</v>
      </c>
      <c r="G54" s="6">
        <v>76.39</v>
      </c>
      <c r="H54" s="6">
        <v>43.93</v>
      </c>
      <c r="I54" s="6">
        <v>8.3699999999999992</v>
      </c>
      <c r="J54" s="6">
        <v>0.35</v>
      </c>
      <c r="K54" s="6">
        <v>344.79</v>
      </c>
      <c r="L54" s="6">
        <v>24.77</v>
      </c>
      <c r="M54" s="6">
        <v>50.11</v>
      </c>
      <c r="N54" s="6">
        <v>330.4</v>
      </c>
      <c r="O54" s="6">
        <v>0</v>
      </c>
      <c r="P54" s="6">
        <v>0.71</v>
      </c>
      <c r="Q54" s="6">
        <v>4.83</v>
      </c>
    </row>
    <row r="55" spans="1:17" customFormat="1">
      <c r="A55" s="6" t="s">
        <v>765</v>
      </c>
      <c r="B55" s="135" t="s">
        <v>12</v>
      </c>
      <c r="C55" s="135" t="s">
        <v>12</v>
      </c>
      <c r="D55" s="135" t="s">
        <v>12</v>
      </c>
      <c r="E55" s="6">
        <v>5.57</v>
      </c>
      <c r="F55" s="135" t="s">
        <v>12</v>
      </c>
      <c r="G55" s="135" t="s">
        <v>12</v>
      </c>
      <c r="H55" s="135" t="s">
        <v>12</v>
      </c>
      <c r="I55" s="6">
        <v>8.1999999999999993</v>
      </c>
      <c r="J55" s="6">
        <v>0.56999999999999995</v>
      </c>
      <c r="K55" s="6">
        <v>19.36</v>
      </c>
      <c r="L55" s="6">
        <v>24.83</v>
      </c>
      <c r="M55" s="6">
        <v>49.44</v>
      </c>
      <c r="N55" s="6">
        <v>301</v>
      </c>
      <c r="O55" s="6">
        <v>0</v>
      </c>
      <c r="P55" s="6">
        <v>0.02</v>
      </c>
      <c r="Q55" s="6">
        <v>4.8099999999999996</v>
      </c>
    </row>
    <row r="56" spans="1:17" customFormat="1">
      <c r="A56" s="6" t="s">
        <v>766</v>
      </c>
      <c r="B56" s="135" t="s">
        <v>12</v>
      </c>
      <c r="C56" s="135" t="s">
        <v>12</v>
      </c>
      <c r="D56" s="135" t="s">
        <v>12</v>
      </c>
      <c r="E56" s="6">
        <v>5.65</v>
      </c>
      <c r="F56" s="135" t="s">
        <v>12</v>
      </c>
      <c r="G56" s="135" t="s">
        <v>12</v>
      </c>
      <c r="H56" s="135" t="s">
        <v>12</v>
      </c>
      <c r="I56" s="6">
        <v>7.81</v>
      </c>
      <c r="J56" s="6">
        <v>0.66</v>
      </c>
      <c r="K56" s="6">
        <v>13.53</v>
      </c>
      <c r="L56" s="6">
        <v>24.89</v>
      </c>
      <c r="M56" s="6">
        <v>49.38</v>
      </c>
      <c r="N56" s="6">
        <v>351</v>
      </c>
      <c r="O56" s="6">
        <v>0</v>
      </c>
      <c r="P56" s="135" t="s">
        <v>12</v>
      </c>
      <c r="Q56" s="6">
        <v>4.8099999999999996</v>
      </c>
    </row>
    <row r="57" spans="1:17" customFormat="1">
      <c r="A57" s="6" t="s">
        <v>767</v>
      </c>
      <c r="B57" s="135" t="s">
        <v>12</v>
      </c>
      <c r="C57" s="135" t="s">
        <v>12</v>
      </c>
      <c r="D57" s="135" t="s">
        <v>12</v>
      </c>
      <c r="E57" s="6">
        <v>5.93</v>
      </c>
      <c r="F57" s="135" t="s">
        <v>12</v>
      </c>
      <c r="G57" s="135" t="s">
        <v>12</v>
      </c>
      <c r="H57" s="135" t="s">
        <v>12</v>
      </c>
      <c r="I57" s="6">
        <v>8.4</v>
      </c>
      <c r="J57" s="6">
        <v>0.97</v>
      </c>
      <c r="K57" s="6">
        <v>41.75</v>
      </c>
      <c r="L57" s="6">
        <v>25.37</v>
      </c>
      <c r="M57" s="6">
        <v>48.24</v>
      </c>
      <c r="N57" s="6">
        <v>357</v>
      </c>
      <c r="O57" s="6">
        <v>0</v>
      </c>
      <c r="P57" s="135" t="s">
        <v>12</v>
      </c>
      <c r="Q57" s="6">
        <v>4.82</v>
      </c>
    </row>
    <row r="58" spans="1:17" customFormat="1">
      <c r="A58" s="6" t="s">
        <v>768</v>
      </c>
      <c r="B58" s="135" t="s">
        <v>12</v>
      </c>
      <c r="C58" s="135" t="s">
        <v>12</v>
      </c>
      <c r="D58" s="135" t="s">
        <v>12</v>
      </c>
      <c r="E58" s="6">
        <v>6.46</v>
      </c>
      <c r="F58" s="135" t="s">
        <v>12</v>
      </c>
      <c r="G58" s="135" t="s">
        <v>12</v>
      </c>
      <c r="H58" s="135" t="s">
        <v>12</v>
      </c>
      <c r="I58" s="6">
        <v>11.29</v>
      </c>
      <c r="J58" s="6">
        <v>0.92</v>
      </c>
      <c r="K58" s="6">
        <v>33.51</v>
      </c>
      <c r="L58" s="6">
        <v>25.67</v>
      </c>
      <c r="M58" s="6">
        <v>46.93</v>
      </c>
      <c r="N58" s="6">
        <v>357.1</v>
      </c>
      <c r="O58" s="6">
        <v>0</v>
      </c>
      <c r="P58" s="6">
        <v>0.21</v>
      </c>
      <c r="Q58" s="6">
        <v>4.8099999999999996</v>
      </c>
    </row>
    <row r="59" spans="1:17" customFormat="1">
      <c r="A59" s="6" t="s">
        <v>769</v>
      </c>
      <c r="B59" s="6">
        <v>3.19</v>
      </c>
      <c r="C59" s="6">
        <v>24.41</v>
      </c>
      <c r="D59" s="6">
        <v>16.53</v>
      </c>
      <c r="E59" s="6">
        <v>6.52</v>
      </c>
      <c r="F59" s="6">
        <v>7.5</v>
      </c>
      <c r="G59" s="135" t="s">
        <v>12</v>
      </c>
      <c r="H59" s="135" t="s">
        <v>12</v>
      </c>
      <c r="I59" s="6">
        <v>17.53</v>
      </c>
      <c r="J59" s="6">
        <v>1.3</v>
      </c>
      <c r="K59" s="6">
        <v>39.07</v>
      </c>
      <c r="L59" s="6">
        <v>25.38</v>
      </c>
      <c r="M59" s="6">
        <v>47.15</v>
      </c>
      <c r="N59" s="6">
        <v>160.6</v>
      </c>
      <c r="O59" s="6">
        <v>0</v>
      </c>
      <c r="P59" s="6">
        <v>0.59</v>
      </c>
      <c r="Q59" s="6">
        <v>4.79</v>
      </c>
    </row>
    <row r="60" spans="1:17" customFormat="1">
      <c r="A60" s="6" t="s">
        <v>770</v>
      </c>
      <c r="B60" s="6">
        <v>4.0199999999999996</v>
      </c>
      <c r="C60" s="6">
        <v>23.63</v>
      </c>
      <c r="D60" s="6">
        <v>16.920000000000002</v>
      </c>
      <c r="E60" s="6">
        <v>7.09</v>
      </c>
      <c r="F60" s="6">
        <v>9.84</v>
      </c>
      <c r="G60" s="6">
        <v>114.12</v>
      </c>
      <c r="H60" s="6">
        <v>24.12</v>
      </c>
      <c r="I60" s="6">
        <v>21.54</v>
      </c>
      <c r="J60" s="6">
        <v>0.98</v>
      </c>
      <c r="K60" s="6">
        <v>31.49</v>
      </c>
      <c r="L60" s="6">
        <v>25.18</v>
      </c>
      <c r="M60" s="6">
        <v>47.94</v>
      </c>
      <c r="N60" s="6">
        <v>159</v>
      </c>
      <c r="O60" s="6">
        <v>0</v>
      </c>
      <c r="P60" s="6">
        <v>0.62</v>
      </c>
      <c r="Q60" s="6">
        <v>4.8</v>
      </c>
    </row>
    <row r="61" spans="1:17" customFormat="1">
      <c r="A61" s="6" t="s">
        <v>771</v>
      </c>
      <c r="B61" s="6">
        <v>3.68</v>
      </c>
      <c r="C61" s="6">
        <v>25.01</v>
      </c>
      <c r="D61" s="6">
        <v>17.37</v>
      </c>
      <c r="E61" s="6">
        <v>6.31</v>
      </c>
      <c r="F61" s="6">
        <v>9.59</v>
      </c>
      <c r="G61" s="6">
        <v>114.12</v>
      </c>
      <c r="H61" s="6">
        <v>24.12</v>
      </c>
      <c r="I61" s="6">
        <v>20.85</v>
      </c>
      <c r="J61" s="6">
        <v>1.1399999999999999</v>
      </c>
      <c r="K61" s="6">
        <v>39.71</v>
      </c>
      <c r="L61" s="6">
        <v>25.33</v>
      </c>
      <c r="M61" s="6">
        <v>48.32</v>
      </c>
      <c r="N61" s="6">
        <v>238.7</v>
      </c>
      <c r="O61" s="6">
        <v>0</v>
      </c>
      <c r="P61" s="6">
        <v>0.6</v>
      </c>
      <c r="Q61" s="6">
        <v>4.83</v>
      </c>
    </row>
    <row r="62" spans="1:17" customFormat="1">
      <c r="A62" s="6" t="s">
        <v>772</v>
      </c>
      <c r="B62" s="6">
        <v>2.76</v>
      </c>
      <c r="C62" s="6">
        <v>24.24</v>
      </c>
      <c r="D62" s="6">
        <v>16.23</v>
      </c>
      <c r="E62" s="6">
        <v>6.73</v>
      </c>
      <c r="F62" s="6">
        <v>12.58</v>
      </c>
      <c r="G62" s="6">
        <v>114.12</v>
      </c>
      <c r="H62" s="6">
        <v>24.12</v>
      </c>
      <c r="I62" s="6">
        <v>18.420000000000002</v>
      </c>
      <c r="J62" s="6">
        <v>1.36</v>
      </c>
      <c r="K62" s="6">
        <v>38.840000000000003</v>
      </c>
      <c r="L62" s="6">
        <v>25.58</v>
      </c>
      <c r="M62" s="6">
        <v>47.2</v>
      </c>
      <c r="N62" s="6">
        <v>305.5</v>
      </c>
      <c r="O62" s="6">
        <v>0</v>
      </c>
      <c r="P62" s="6">
        <v>0.59</v>
      </c>
      <c r="Q62" s="6">
        <v>4.88</v>
      </c>
    </row>
    <row r="63" spans="1:17" customFormat="1">
      <c r="A63" s="6" t="s">
        <v>773</v>
      </c>
      <c r="B63" s="6">
        <v>2.7</v>
      </c>
      <c r="C63" s="6">
        <v>23.25</v>
      </c>
      <c r="D63" s="6">
        <v>15.67</v>
      </c>
      <c r="E63" s="6">
        <v>7.82</v>
      </c>
      <c r="F63" s="6">
        <v>13.48</v>
      </c>
      <c r="G63" s="6">
        <v>114.12</v>
      </c>
      <c r="H63" s="6">
        <v>24.12</v>
      </c>
      <c r="I63" s="6">
        <v>16.54</v>
      </c>
      <c r="J63" s="6">
        <v>1.19</v>
      </c>
      <c r="K63" s="6">
        <v>39.99</v>
      </c>
      <c r="L63" s="6">
        <v>25.88</v>
      </c>
      <c r="M63" s="6">
        <v>46.61</v>
      </c>
      <c r="N63" s="6">
        <v>309.10000000000002</v>
      </c>
      <c r="O63" s="6">
        <v>0</v>
      </c>
      <c r="P63" s="6">
        <v>0.59</v>
      </c>
      <c r="Q63" s="6">
        <v>4.88</v>
      </c>
    </row>
    <row r="64" spans="1:17" customFormat="1">
      <c r="A64" s="6" t="s">
        <v>774</v>
      </c>
      <c r="B64" s="6">
        <v>2.29</v>
      </c>
      <c r="C64" s="6">
        <v>22.77</v>
      </c>
      <c r="D64" s="6">
        <v>15.08</v>
      </c>
      <c r="E64" s="6">
        <v>6.33</v>
      </c>
      <c r="F64" s="6">
        <v>10.23</v>
      </c>
      <c r="G64" s="6">
        <v>112.16</v>
      </c>
      <c r="H64" s="6">
        <v>24.75</v>
      </c>
      <c r="I64" s="6">
        <v>14.06</v>
      </c>
      <c r="J64" s="6">
        <v>1.48</v>
      </c>
      <c r="K64" s="6">
        <v>42.68</v>
      </c>
      <c r="L64" s="6">
        <v>25.58</v>
      </c>
      <c r="M64" s="6">
        <v>47.48</v>
      </c>
      <c r="N64" s="6">
        <v>252.2</v>
      </c>
      <c r="O64" s="6">
        <v>0</v>
      </c>
      <c r="P64" s="6">
        <v>0.59</v>
      </c>
      <c r="Q64" s="6">
        <v>4.88</v>
      </c>
    </row>
    <row r="65" spans="1:17" customFormat="1">
      <c r="A65" s="6" t="s">
        <v>775</v>
      </c>
      <c r="B65" s="6">
        <v>2.2999999999999998</v>
      </c>
      <c r="C65" s="6">
        <v>23.1</v>
      </c>
      <c r="D65" s="6">
        <v>15.27</v>
      </c>
      <c r="E65" s="6">
        <v>6.33</v>
      </c>
      <c r="F65" s="6">
        <v>9.44</v>
      </c>
      <c r="G65" s="6">
        <v>103.74</v>
      </c>
      <c r="H65" s="6">
        <v>26.71</v>
      </c>
      <c r="I65" s="6">
        <v>11.37</v>
      </c>
      <c r="J65" s="6">
        <v>1.35</v>
      </c>
      <c r="K65" s="6">
        <v>35.450000000000003</v>
      </c>
      <c r="L65" s="6">
        <v>25.27</v>
      </c>
      <c r="M65" s="6">
        <v>50.35</v>
      </c>
      <c r="N65" s="6">
        <v>175.2</v>
      </c>
      <c r="O65" s="6">
        <v>0</v>
      </c>
      <c r="P65" s="6">
        <v>0.57999999999999996</v>
      </c>
      <c r="Q65" s="6">
        <v>4.87</v>
      </c>
    </row>
    <row r="66" spans="1:17" customFormat="1">
      <c r="A66" s="6" t="s">
        <v>776</v>
      </c>
      <c r="B66" s="6">
        <v>2.42</v>
      </c>
      <c r="C66" s="6">
        <v>23.34</v>
      </c>
      <c r="D66" s="6">
        <v>15.49</v>
      </c>
      <c r="E66" s="6">
        <v>6.09</v>
      </c>
      <c r="F66" s="6">
        <v>7.18</v>
      </c>
      <c r="G66" s="6">
        <v>103.74</v>
      </c>
      <c r="H66" s="6">
        <v>26.71</v>
      </c>
      <c r="I66" s="6">
        <v>9.7899999999999991</v>
      </c>
      <c r="J66" s="6">
        <v>1.37</v>
      </c>
      <c r="K66" s="6">
        <v>44.43</v>
      </c>
      <c r="L66" s="6">
        <v>25.2</v>
      </c>
      <c r="M66" s="6">
        <v>49.73</v>
      </c>
      <c r="N66" s="6">
        <v>154.1</v>
      </c>
      <c r="O66" s="6">
        <v>0</v>
      </c>
      <c r="P66" s="6">
        <v>0.63</v>
      </c>
      <c r="Q66" s="6">
        <v>4.87</v>
      </c>
    </row>
    <row r="67" spans="1:17" customFormat="1">
      <c r="A67" s="6" t="s">
        <v>777</v>
      </c>
      <c r="B67" s="6">
        <v>2.77</v>
      </c>
      <c r="C67" s="6">
        <v>22.86</v>
      </c>
      <c r="D67" s="6">
        <v>15.52</v>
      </c>
      <c r="E67" s="6">
        <v>5.58</v>
      </c>
      <c r="F67" s="6">
        <v>5.27</v>
      </c>
      <c r="G67" s="6">
        <v>103.74</v>
      </c>
      <c r="H67" s="6">
        <v>26.71</v>
      </c>
      <c r="I67" s="6">
        <v>9.0399999999999991</v>
      </c>
      <c r="J67" s="6">
        <v>1.45</v>
      </c>
      <c r="K67" s="6">
        <v>45.58</v>
      </c>
      <c r="L67" s="6">
        <v>25.07</v>
      </c>
      <c r="M67" s="6">
        <v>49.78</v>
      </c>
      <c r="N67" s="6">
        <v>139.80000000000001</v>
      </c>
      <c r="O67" s="6">
        <v>0</v>
      </c>
      <c r="P67" s="6">
        <v>0.63</v>
      </c>
      <c r="Q67" s="6">
        <v>4.8600000000000003</v>
      </c>
    </row>
    <row r="68" spans="1:17" customFormat="1">
      <c r="A68" s="6" t="s">
        <v>778</v>
      </c>
      <c r="B68" s="6">
        <v>3.05</v>
      </c>
      <c r="C68" s="6">
        <v>22.59</v>
      </c>
      <c r="D68" s="6">
        <v>15.6</v>
      </c>
      <c r="E68" s="6">
        <v>4.88</v>
      </c>
      <c r="F68" s="6">
        <v>4.12</v>
      </c>
      <c r="G68" s="6">
        <v>102.74</v>
      </c>
      <c r="H68" s="6">
        <v>27.45</v>
      </c>
      <c r="I68" s="6">
        <v>8.73</v>
      </c>
      <c r="J68" s="6">
        <v>1.18</v>
      </c>
      <c r="K68" s="6">
        <v>46.58</v>
      </c>
      <c r="L68" s="6">
        <v>25.08</v>
      </c>
      <c r="M68" s="6">
        <v>49.08</v>
      </c>
      <c r="N68" s="6">
        <v>94.9</v>
      </c>
      <c r="O68" s="6">
        <v>0</v>
      </c>
      <c r="P68" s="6">
        <v>0.63</v>
      </c>
      <c r="Q68" s="6">
        <v>4.88</v>
      </c>
    </row>
    <row r="69" spans="1:17" customFormat="1">
      <c r="A69" s="6" t="s">
        <v>779</v>
      </c>
      <c r="B69" s="6">
        <v>3.32</v>
      </c>
      <c r="C69" s="6">
        <v>22.04</v>
      </c>
      <c r="D69" s="6">
        <v>15.53</v>
      </c>
      <c r="E69" s="6">
        <v>5.47</v>
      </c>
      <c r="F69" s="6">
        <v>3.66</v>
      </c>
      <c r="G69" s="6">
        <v>98.43</v>
      </c>
      <c r="H69" s="6">
        <v>29.77</v>
      </c>
      <c r="I69" s="6">
        <v>8.67</v>
      </c>
      <c r="J69" s="6">
        <v>0.89</v>
      </c>
      <c r="K69" s="6">
        <v>38.75</v>
      </c>
      <c r="L69" s="6">
        <v>24.85</v>
      </c>
      <c r="M69" s="6">
        <v>51.29</v>
      </c>
      <c r="N69" s="6">
        <v>83.8</v>
      </c>
      <c r="O69" s="6">
        <v>0</v>
      </c>
      <c r="P69" s="6">
        <v>0.61</v>
      </c>
      <c r="Q69" s="6">
        <v>4.8600000000000003</v>
      </c>
    </row>
    <row r="70" spans="1:17" customFormat="1">
      <c r="A70" s="6" t="s">
        <v>780</v>
      </c>
      <c r="B70" s="6">
        <v>3.59</v>
      </c>
      <c r="C70" s="6">
        <v>22.23</v>
      </c>
      <c r="D70" s="6">
        <v>15.84</v>
      </c>
      <c r="E70" s="6">
        <v>4.75</v>
      </c>
      <c r="F70" s="6">
        <v>3.64</v>
      </c>
      <c r="G70" s="6">
        <v>98.43</v>
      </c>
      <c r="H70" s="6">
        <v>29.77</v>
      </c>
      <c r="I70" s="6">
        <v>8.6</v>
      </c>
      <c r="J70" s="6">
        <v>1.06</v>
      </c>
      <c r="K70" s="6">
        <v>36.21</v>
      </c>
      <c r="L70" s="6">
        <v>24.64</v>
      </c>
      <c r="M70" s="6">
        <v>53.21</v>
      </c>
      <c r="N70" s="6">
        <v>74</v>
      </c>
      <c r="O70" s="6">
        <v>0</v>
      </c>
      <c r="P70" s="6">
        <v>0.62</v>
      </c>
      <c r="Q70" s="6">
        <v>4.87</v>
      </c>
    </row>
    <row r="71" spans="1:17" customFormat="1">
      <c r="A71" s="6" t="s">
        <v>781</v>
      </c>
      <c r="B71" s="6">
        <v>3.69</v>
      </c>
      <c r="C71" s="6">
        <v>23.64</v>
      </c>
      <c r="D71" s="6">
        <v>16.66</v>
      </c>
      <c r="E71" s="6">
        <v>5.04</v>
      </c>
      <c r="F71" s="6">
        <v>3.79</v>
      </c>
      <c r="G71" s="6">
        <v>98.43</v>
      </c>
      <c r="H71" s="6">
        <v>29.77</v>
      </c>
      <c r="I71" s="6">
        <v>8.52</v>
      </c>
      <c r="J71" s="6">
        <v>1.06</v>
      </c>
      <c r="K71" s="6">
        <v>39.24</v>
      </c>
      <c r="L71" s="6">
        <v>24.62</v>
      </c>
      <c r="M71" s="6">
        <v>53.35</v>
      </c>
      <c r="N71" s="6">
        <v>70</v>
      </c>
      <c r="O71" s="6">
        <v>0</v>
      </c>
      <c r="P71" s="6">
        <v>0.63</v>
      </c>
      <c r="Q71" s="6">
        <v>4.8600000000000003</v>
      </c>
    </row>
    <row r="72" spans="1:17" customFormat="1">
      <c r="A72" s="6" t="s">
        <v>782</v>
      </c>
      <c r="B72" s="6">
        <v>3.9</v>
      </c>
      <c r="C72" s="6">
        <v>24.43</v>
      </c>
      <c r="D72" s="6">
        <v>17.239999999999998</v>
      </c>
      <c r="E72" s="6">
        <v>5.18</v>
      </c>
      <c r="F72" s="6">
        <v>3.74</v>
      </c>
      <c r="G72" s="6">
        <v>97.74</v>
      </c>
      <c r="H72" s="6">
        <v>30.82</v>
      </c>
      <c r="I72" s="6">
        <v>8.4700000000000006</v>
      </c>
      <c r="J72" s="6">
        <v>1.03</v>
      </c>
      <c r="K72" s="6">
        <v>37.119999999999997</v>
      </c>
      <c r="L72" s="6">
        <v>24.24</v>
      </c>
      <c r="M72" s="6">
        <v>54.23</v>
      </c>
      <c r="N72" s="6">
        <v>41.3</v>
      </c>
      <c r="O72" s="6">
        <v>0</v>
      </c>
      <c r="P72" s="6">
        <v>0.65</v>
      </c>
      <c r="Q72" s="6">
        <v>4.88</v>
      </c>
    </row>
    <row r="73" spans="1:17" customFormat="1">
      <c r="A73" s="6" t="s">
        <v>783</v>
      </c>
      <c r="B73" s="6">
        <v>4.04</v>
      </c>
      <c r="C73" s="6">
        <v>24.97</v>
      </c>
      <c r="D73" s="6">
        <v>17.64</v>
      </c>
      <c r="E73" s="6">
        <v>4.82</v>
      </c>
      <c r="F73" s="6">
        <v>3.71</v>
      </c>
      <c r="G73" s="6">
        <v>94.79</v>
      </c>
      <c r="H73" s="6">
        <v>34.119999999999997</v>
      </c>
      <c r="I73" s="6">
        <v>8.43</v>
      </c>
      <c r="J73" s="6">
        <v>0.8</v>
      </c>
      <c r="K73" s="6">
        <v>40.049999999999997</v>
      </c>
      <c r="L73" s="6">
        <v>24.09</v>
      </c>
      <c r="M73" s="6">
        <v>54.81</v>
      </c>
      <c r="N73" s="6">
        <v>24.8</v>
      </c>
      <c r="O73" s="6">
        <v>0</v>
      </c>
      <c r="P73" s="6">
        <v>0.67</v>
      </c>
      <c r="Q73" s="6">
        <v>4.87</v>
      </c>
    </row>
    <row r="74" spans="1:17" customFormat="1">
      <c r="A74" s="6" t="s">
        <v>784</v>
      </c>
      <c r="B74" s="6">
        <v>4.2699999999999996</v>
      </c>
      <c r="C74" s="6">
        <v>25.57</v>
      </c>
      <c r="D74" s="6">
        <v>18.13</v>
      </c>
      <c r="E74" s="6">
        <v>4.6100000000000003</v>
      </c>
      <c r="F74" s="6">
        <v>3.69</v>
      </c>
      <c r="G74" s="6">
        <v>94.79</v>
      </c>
      <c r="H74" s="6">
        <v>34.119999999999997</v>
      </c>
      <c r="I74" s="6">
        <v>8.36</v>
      </c>
      <c r="J74" s="6">
        <v>1.06</v>
      </c>
      <c r="K74" s="6">
        <v>45.96</v>
      </c>
      <c r="L74" s="6">
        <v>23.92</v>
      </c>
      <c r="M74" s="6">
        <v>54.98</v>
      </c>
      <c r="N74" s="6">
        <v>17.7</v>
      </c>
      <c r="O74" s="6">
        <v>0</v>
      </c>
      <c r="P74" s="6">
        <v>0.68</v>
      </c>
      <c r="Q74" s="6">
        <v>4.87</v>
      </c>
    </row>
    <row r="75" spans="1:17" customFormat="1">
      <c r="A75" s="6" t="s">
        <v>785</v>
      </c>
      <c r="B75" s="6">
        <v>4.47</v>
      </c>
      <c r="C75" s="6">
        <v>26.25</v>
      </c>
      <c r="D75" s="6">
        <v>18.649999999999999</v>
      </c>
      <c r="E75" s="6">
        <v>4.88</v>
      </c>
      <c r="F75" s="6">
        <v>3.65</v>
      </c>
      <c r="G75" s="6">
        <v>94.79</v>
      </c>
      <c r="H75" s="6">
        <v>34.119999999999997</v>
      </c>
      <c r="I75" s="6">
        <v>8.25</v>
      </c>
      <c r="J75" s="6">
        <v>0.82</v>
      </c>
      <c r="K75" s="6">
        <v>48.94</v>
      </c>
      <c r="L75" s="6">
        <v>23.61</v>
      </c>
      <c r="M75" s="6">
        <v>56.4</v>
      </c>
      <c r="N75" s="6">
        <v>9.1999999999999993</v>
      </c>
      <c r="O75" s="6">
        <v>0</v>
      </c>
      <c r="P75" s="6">
        <v>0.69</v>
      </c>
      <c r="Q75" s="6">
        <v>4.8899999999999997</v>
      </c>
    </row>
    <row r="76" spans="1:17" customFormat="1">
      <c r="A76" s="6" t="s">
        <v>786</v>
      </c>
      <c r="B76" s="6">
        <v>4.8</v>
      </c>
      <c r="C76" s="6">
        <v>26.8</v>
      </c>
      <c r="D76" s="6">
        <v>19.2</v>
      </c>
      <c r="E76" s="6">
        <v>4.49</v>
      </c>
      <c r="F76" s="6">
        <v>3.16</v>
      </c>
      <c r="G76" s="6">
        <v>95.07</v>
      </c>
      <c r="H76" s="6">
        <v>34.020000000000003</v>
      </c>
      <c r="I76" s="6">
        <v>8.15</v>
      </c>
      <c r="J76" s="6">
        <v>0.77</v>
      </c>
      <c r="K76" s="6">
        <v>53.21</v>
      </c>
      <c r="L76" s="6">
        <v>23.44</v>
      </c>
      <c r="M76" s="6">
        <v>57.33</v>
      </c>
      <c r="N76" s="6">
        <v>3.6</v>
      </c>
      <c r="O76" s="6">
        <v>0</v>
      </c>
      <c r="P76" s="6">
        <v>0.7</v>
      </c>
      <c r="Q76" s="6">
        <v>4.9000000000000004</v>
      </c>
    </row>
    <row r="77" spans="1:17" customFormat="1">
      <c r="A77" s="6" t="s">
        <v>787</v>
      </c>
      <c r="B77" s="6">
        <v>5.32</v>
      </c>
      <c r="C77" s="6">
        <v>27.46</v>
      </c>
      <c r="D77" s="6">
        <v>19.97</v>
      </c>
      <c r="E77" s="6">
        <v>4.8099999999999996</v>
      </c>
      <c r="F77" s="6">
        <v>2.9</v>
      </c>
      <c r="G77" s="6">
        <v>96.29</v>
      </c>
      <c r="H77" s="6">
        <v>33.700000000000003</v>
      </c>
      <c r="I77" s="6">
        <v>8.16</v>
      </c>
      <c r="J77" s="6">
        <v>0.86</v>
      </c>
      <c r="K77" s="6">
        <v>49.61</v>
      </c>
      <c r="L77" s="6">
        <v>23.27</v>
      </c>
      <c r="M77" s="6">
        <v>58</v>
      </c>
      <c r="N77" s="6">
        <v>0</v>
      </c>
      <c r="O77" s="6">
        <v>0</v>
      </c>
      <c r="P77" s="6">
        <v>0.72</v>
      </c>
      <c r="Q77" s="6">
        <v>4.88</v>
      </c>
    </row>
    <row r="78" spans="1:17" customFormat="1">
      <c r="A78" s="6" t="s">
        <v>788</v>
      </c>
      <c r="B78" s="6">
        <v>5.94</v>
      </c>
      <c r="C78" s="6">
        <v>28.29</v>
      </c>
      <c r="D78" s="6">
        <v>20.89</v>
      </c>
      <c r="E78" s="6">
        <v>4.74</v>
      </c>
      <c r="F78" s="6">
        <v>2.79</v>
      </c>
      <c r="G78" s="6">
        <v>96.29</v>
      </c>
      <c r="H78" s="6">
        <v>33.700000000000003</v>
      </c>
      <c r="I78" s="6">
        <v>8.18</v>
      </c>
      <c r="J78" s="6">
        <v>0.88</v>
      </c>
      <c r="K78" s="6">
        <v>50.11</v>
      </c>
      <c r="L78" s="6">
        <v>23.1</v>
      </c>
      <c r="M78" s="6">
        <v>58.18</v>
      </c>
      <c r="N78" s="6">
        <v>0</v>
      </c>
      <c r="O78" s="6">
        <v>0</v>
      </c>
      <c r="P78" s="6">
        <v>0.74</v>
      </c>
      <c r="Q78" s="6">
        <v>4.88</v>
      </c>
    </row>
    <row r="79" spans="1:17" customFormat="1">
      <c r="A79" s="6" t="s">
        <v>789</v>
      </c>
      <c r="B79" s="6">
        <v>6.48</v>
      </c>
      <c r="C79" s="6">
        <v>28.95</v>
      </c>
      <c r="D79" s="6">
        <v>21.67</v>
      </c>
      <c r="E79" s="6">
        <v>5.0999999999999996</v>
      </c>
      <c r="F79" s="6">
        <v>2.5499999999999998</v>
      </c>
      <c r="G79" s="6">
        <v>96.29</v>
      </c>
      <c r="H79" s="6">
        <v>33.700000000000003</v>
      </c>
      <c r="I79" s="6">
        <v>8.59</v>
      </c>
      <c r="J79" s="6">
        <v>0.72</v>
      </c>
      <c r="K79" s="6">
        <v>53.99</v>
      </c>
      <c r="L79" s="6">
        <v>22.85</v>
      </c>
      <c r="M79" s="6">
        <v>59.76</v>
      </c>
      <c r="N79" s="6">
        <v>0</v>
      </c>
      <c r="O79" s="6">
        <v>0</v>
      </c>
      <c r="P79" s="6">
        <v>0.77</v>
      </c>
      <c r="Q79" s="6">
        <v>4.88</v>
      </c>
    </row>
    <row r="80" spans="1:17" customFormat="1">
      <c r="A80" s="6" t="s">
        <v>790</v>
      </c>
      <c r="B80" s="6">
        <v>7.12</v>
      </c>
      <c r="C80" s="6">
        <v>29.8</v>
      </c>
      <c r="D80" s="6">
        <v>22.63</v>
      </c>
      <c r="E80" s="6">
        <v>4.5199999999999996</v>
      </c>
      <c r="F80" s="6">
        <v>2.56</v>
      </c>
      <c r="G80" s="6">
        <v>97.58</v>
      </c>
      <c r="H80" s="6">
        <v>34.549999999999997</v>
      </c>
      <c r="I80" s="6">
        <v>8.86</v>
      </c>
      <c r="J80" s="6">
        <v>0.79</v>
      </c>
      <c r="K80" s="6">
        <v>59.14</v>
      </c>
      <c r="L80" s="6">
        <v>22.69</v>
      </c>
      <c r="M80" s="6">
        <v>60.51</v>
      </c>
      <c r="N80" s="6">
        <v>0</v>
      </c>
      <c r="O80" s="6">
        <v>0</v>
      </c>
      <c r="P80" s="6">
        <v>0.8</v>
      </c>
      <c r="Q80" s="6">
        <v>4.9000000000000004</v>
      </c>
    </row>
    <row r="81" spans="1:17" customFormat="1">
      <c r="A81" s="6" t="s">
        <v>791</v>
      </c>
      <c r="B81" s="6">
        <v>7.72</v>
      </c>
      <c r="C81" s="6">
        <v>30.37</v>
      </c>
      <c r="D81" s="6">
        <v>23.41</v>
      </c>
      <c r="E81" s="6">
        <v>5.37</v>
      </c>
      <c r="F81" s="6">
        <v>2.54</v>
      </c>
      <c r="G81" s="6">
        <v>103.11</v>
      </c>
      <c r="H81" s="6">
        <v>38.79</v>
      </c>
      <c r="I81" s="6">
        <v>8.8699999999999992</v>
      </c>
      <c r="J81" s="6">
        <v>0.6</v>
      </c>
      <c r="K81" s="6">
        <v>56.43</v>
      </c>
      <c r="L81" s="6">
        <v>22.29</v>
      </c>
      <c r="M81" s="6">
        <v>62.68</v>
      </c>
      <c r="N81" s="6">
        <v>0</v>
      </c>
      <c r="O81" s="6">
        <v>0</v>
      </c>
      <c r="P81" s="6">
        <v>0.81</v>
      </c>
      <c r="Q81" s="6">
        <v>4.9000000000000004</v>
      </c>
    </row>
    <row r="82" spans="1:17" customFormat="1">
      <c r="A82" s="6" t="s">
        <v>792</v>
      </c>
      <c r="B82" s="6">
        <v>8.3699999999999992</v>
      </c>
      <c r="C82" s="6">
        <v>31.06</v>
      </c>
      <c r="D82" s="6">
        <v>24.29</v>
      </c>
      <c r="E82" s="6">
        <v>5.87</v>
      </c>
      <c r="F82" s="6">
        <v>2.48</v>
      </c>
      <c r="G82" s="6">
        <v>103.11</v>
      </c>
      <c r="H82" s="6">
        <v>38.79</v>
      </c>
      <c r="I82" s="6">
        <v>8.9</v>
      </c>
      <c r="J82" s="6">
        <v>0.21</v>
      </c>
      <c r="K82" s="6">
        <v>169.09</v>
      </c>
      <c r="L82" s="6">
        <v>21.97</v>
      </c>
      <c r="M82" s="6">
        <v>66.7</v>
      </c>
      <c r="N82" s="6">
        <v>0</v>
      </c>
      <c r="O82" s="6">
        <v>0</v>
      </c>
      <c r="P82" s="6">
        <v>0.83</v>
      </c>
      <c r="Q82" s="6">
        <v>4.91</v>
      </c>
    </row>
    <row r="83" spans="1:17" customFormat="1">
      <c r="A83" s="6" t="s">
        <v>793</v>
      </c>
      <c r="B83" s="6">
        <v>8.34</v>
      </c>
      <c r="C83" s="6">
        <v>31.11</v>
      </c>
      <c r="D83" s="6">
        <v>24.29</v>
      </c>
      <c r="E83" s="6">
        <v>6.29</v>
      </c>
      <c r="F83" s="6">
        <v>2.4500000000000002</v>
      </c>
      <c r="G83" s="6">
        <v>103.11</v>
      </c>
      <c r="H83" s="6">
        <v>38.79</v>
      </c>
      <c r="I83" s="6">
        <v>8.9600000000000009</v>
      </c>
      <c r="J83" s="6">
        <v>0.19</v>
      </c>
      <c r="K83" s="6">
        <v>170.67</v>
      </c>
      <c r="L83" s="6">
        <v>21.71</v>
      </c>
      <c r="M83" s="6">
        <v>69.08</v>
      </c>
      <c r="N83" s="6">
        <v>0</v>
      </c>
      <c r="O83" s="6">
        <v>0</v>
      </c>
      <c r="P83" s="6">
        <v>0.85</v>
      </c>
      <c r="Q83" s="6">
        <v>4.9000000000000004</v>
      </c>
    </row>
    <row r="84" spans="1:17" customFormat="1">
      <c r="A84" s="6" t="s">
        <v>794</v>
      </c>
      <c r="B84" s="6">
        <v>8.1999999999999993</v>
      </c>
      <c r="C84" s="6">
        <v>30.7</v>
      </c>
      <c r="D84" s="6">
        <v>23.96</v>
      </c>
      <c r="E84" s="6">
        <v>6.53</v>
      </c>
      <c r="F84" s="6">
        <v>2.48</v>
      </c>
      <c r="G84" s="6">
        <v>105.12</v>
      </c>
      <c r="H84" s="6">
        <v>39.93</v>
      </c>
      <c r="I84" s="6">
        <v>9.07</v>
      </c>
      <c r="J84" s="6">
        <v>0.13</v>
      </c>
      <c r="K84" s="6">
        <v>193.41</v>
      </c>
      <c r="L84" s="6">
        <v>21.57</v>
      </c>
      <c r="M84" s="6">
        <v>70.180000000000007</v>
      </c>
      <c r="N84" s="6">
        <v>0</v>
      </c>
      <c r="O84" s="6">
        <v>0</v>
      </c>
      <c r="P84" s="6">
        <v>0.86</v>
      </c>
      <c r="Q84" s="6">
        <v>4.8899999999999997</v>
      </c>
    </row>
    <row r="85" spans="1:17" customFormat="1">
      <c r="A85" s="6" t="s">
        <v>795</v>
      </c>
      <c r="B85" s="6">
        <v>7.88</v>
      </c>
      <c r="C85" s="6">
        <v>30.19</v>
      </c>
      <c r="D85" s="6">
        <v>23.44</v>
      </c>
      <c r="E85" s="6">
        <v>6.52</v>
      </c>
      <c r="F85" s="6">
        <v>2.6</v>
      </c>
      <c r="G85" s="6">
        <v>113.77</v>
      </c>
      <c r="H85" s="6">
        <v>43.47</v>
      </c>
      <c r="I85" s="6">
        <v>9.18</v>
      </c>
      <c r="J85" s="6">
        <v>0.21</v>
      </c>
      <c r="K85" s="6">
        <v>189.73</v>
      </c>
      <c r="L85" s="6">
        <v>21.57</v>
      </c>
      <c r="M85" s="6">
        <v>69.31</v>
      </c>
      <c r="N85" s="6">
        <v>0</v>
      </c>
      <c r="O85" s="6">
        <v>0</v>
      </c>
      <c r="P85" s="6">
        <v>0.87</v>
      </c>
      <c r="Q85" s="6">
        <v>4.8899999999999997</v>
      </c>
    </row>
    <row r="86" spans="1:17" customFormat="1">
      <c r="A86" s="6" t="s">
        <v>796</v>
      </c>
      <c r="B86" s="6">
        <v>7.64</v>
      </c>
      <c r="C86" s="6">
        <v>29.72</v>
      </c>
      <c r="D86" s="6">
        <v>23</v>
      </c>
      <c r="E86" s="6">
        <v>6.65</v>
      </c>
      <c r="F86" s="6">
        <v>2.57</v>
      </c>
      <c r="G86" s="6">
        <v>113.77</v>
      </c>
      <c r="H86" s="6">
        <v>43.47</v>
      </c>
      <c r="I86" s="6">
        <v>9.26</v>
      </c>
      <c r="J86" s="6">
        <v>0.05</v>
      </c>
      <c r="K86" s="6">
        <v>67.14</v>
      </c>
      <c r="L86" s="6">
        <v>21.43</v>
      </c>
      <c r="M86" s="6">
        <v>69.72</v>
      </c>
      <c r="N86" s="6">
        <v>0</v>
      </c>
      <c r="O86" s="6">
        <v>0</v>
      </c>
      <c r="P86" s="6">
        <v>0.87</v>
      </c>
      <c r="Q86" s="6">
        <v>4.8600000000000003</v>
      </c>
    </row>
    <row r="87" spans="1:17" customFormat="1">
      <c r="A87" s="6" t="s">
        <v>797</v>
      </c>
      <c r="B87" s="6">
        <v>7.76</v>
      </c>
      <c r="C87" s="6">
        <v>29.88</v>
      </c>
      <c r="D87" s="6">
        <v>23.18</v>
      </c>
      <c r="E87" s="6">
        <v>6.61</v>
      </c>
      <c r="F87" s="6">
        <v>2.46</v>
      </c>
      <c r="G87" s="6">
        <v>113.77</v>
      </c>
      <c r="H87" s="6">
        <v>43.47</v>
      </c>
      <c r="I87" s="6">
        <v>9.33</v>
      </c>
      <c r="J87" s="6">
        <v>0.27</v>
      </c>
      <c r="K87" s="6">
        <v>25.97</v>
      </c>
      <c r="L87" s="6">
        <v>21.59</v>
      </c>
      <c r="M87" s="6">
        <v>66.33</v>
      </c>
      <c r="N87" s="6">
        <v>0</v>
      </c>
      <c r="O87" s="6">
        <v>0</v>
      </c>
      <c r="P87" s="6">
        <v>0.88</v>
      </c>
      <c r="Q87" s="6">
        <v>4.8499999999999996</v>
      </c>
    </row>
    <row r="88" spans="1:17" customFormat="1">
      <c r="A88" s="6" t="s">
        <v>798</v>
      </c>
      <c r="B88" s="6">
        <v>8.2200000000000006</v>
      </c>
      <c r="C88" s="6">
        <v>30.32</v>
      </c>
      <c r="D88" s="6">
        <v>23.78</v>
      </c>
      <c r="E88" s="6">
        <v>6.54</v>
      </c>
      <c r="F88" s="6">
        <v>2.58</v>
      </c>
      <c r="G88" s="6">
        <v>115.62</v>
      </c>
      <c r="H88" s="6">
        <v>43.95</v>
      </c>
      <c r="I88" s="6">
        <v>9.36</v>
      </c>
      <c r="J88" s="6">
        <v>7.0000000000000007E-2</v>
      </c>
      <c r="K88" s="6">
        <v>120.02</v>
      </c>
      <c r="L88" s="6">
        <v>21.21</v>
      </c>
      <c r="M88" s="6">
        <v>69.64</v>
      </c>
      <c r="N88" s="6">
        <v>0</v>
      </c>
      <c r="O88" s="6">
        <v>0</v>
      </c>
      <c r="P88" s="6">
        <v>0.91</v>
      </c>
      <c r="Q88" s="6">
        <v>4.8499999999999996</v>
      </c>
    </row>
    <row r="89" spans="1:17" customFormat="1">
      <c r="A89" s="6" t="s">
        <v>799</v>
      </c>
      <c r="B89" s="6">
        <v>8.75</v>
      </c>
      <c r="C89" s="6">
        <v>30.91</v>
      </c>
      <c r="D89" s="6">
        <v>24.52</v>
      </c>
      <c r="E89" s="6">
        <v>6.51</v>
      </c>
      <c r="F89" s="6">
        <v>2.36</v>
      </c>
      <c r="G89" s="6">
        <v>123.59</v>
      </c>
      <c r="H89" s="6">
        <v>45.47</v>
      </c>
      <c r="I89" s="6">
        <v>9.42</v>
      </c>
      <c r="J89" s="6">
        <v>0.67</v>
      </c>
      <c r="K89" s="6">
        <v>45.81</v>
      </c>
      <c r="L89" s="6">
        <v>21.23</v>
      </c>
      <c r="M89" s="6">
        <v>68.459999999999994</v>
      </c>
      <c r="N89" s="6">
        <v>0</v>
      </c>
      <c r="O89" s="6">
        <v>0</v>
      </c>
      <c r="P89" s="6">
        <v>0.94</v>
      </c>
      <c r="Q89" s="6">
        <v>4.8499999999999996</v>
      </c>
    </row>
    <row r="90" spans="1:17" customFormat="1">
      <c r="A90" s="6" t="s">
        <v>800</v>
      </c>
      <c r="B90" s="6">
        <v>9.7799999999999994</v>
      </c>
      <c r="C90" s="6">
        <v>31.33</v>
      </c>
      <c r="D90" s="6">
        <v>25.56</v>
      </c>
      <c r="E90" s="6">
        <v>7.11</v>
      </c>
      <c r="F90" s="6">
        <v>2.33</v>
      </c>
      <c r="G90" s="6">
        <v>123.59</v>
      </c>
      <c r="H90" s="6">
        <v>45.47</v>
      </c>
      <c r="I90" s="6">
        <v>9.5399999999999991</v>
      </c>
      <c r="J90" s="6">
        <v>0.88</v>
      </c>
      <c r="K90" s="6">
        <v>43.82</v>
      </c>
      <c r="L90" s="6">
        <v>21.06</v>
      </c>
      <c r="M90" s="6">
        <v>69.08</v>
      </c>
      <c r="N90" s="6">
        <v>0</v>
      </c>
      <c r="O90" s="6">
        <v>0</v>
      </c>
      <c r="P90" s="6">
        <v>0.97</v>
      </c>
      <c r="Q90" s="6">
        <v>4.87</v>
      </c>
    </row>
    <row r="91" spans="1:17" customFormat="1">
      <c r="A91" s="6" t="s">
        <v>801</v>
      </c>
      <c r="B91" s="6">
        <v>10.59</v>
      </c>
      <c r="C91" s="6">
        <v>32.28</v>
      </c>
      <c r="D91" s="6">
        <v>26.71</v>
      </c>
      <c r="E91" s="6">
        <v>6.83</v>
      </c>
      <c r="F91" s="6">
        <v>2.27</v>
      </c>
      <c r="G91" s="6">
        <v>123.59</v>
      </c>
      <c r="H91" s="6">
        <v>45.47</v>
      </c>
      <c r="I91" s="6">
        <v>9.7200000000000006</v>
      </c>
      <c r="J91" s="6">
        <v>0.99</v>
      </c>
      <c r="K91" s="6">
        <v>49.73</v>
      </c>
      <c r="L91" s="6">
        <v>20.75</v>
      </c>
      <c r="M91" s="6">
        <v>70.86</v>
      </c>
      <c r="N91" s="6">
        <v>0</v>
      </c>
      <c r="O91" s="6">
        <v>0</v>
      </c>
      <c r="P91" s="6">
        <v>0.99</v>
      </c>
      <c r="Q91" s="6">
        <v>4.8600000000000003</v>
      </c>
    </row>
    <row r="92" spans="1:17" customFormat="1">
      <c r="A92" s="6" t="s">
        <v>802</v>
      </c>
      <c r="B92" s="6">
        <v>11.05</v>
      </c>
      <c r="C92" s="6">
        <v>30.24</v>
      </c>
      <c r="D92" s="6">
        <v>26.01</v>
      </c>
      <c r="E92" s="6">
        <v>6.02</v>
      </c>
      <c r="F92" s="6">
        <v>2.54</v>
      </c>
      <c r="G92" s="6">
        <v>126.77</v>
      </c>
      <c r="H92" s="6">
        <v>48.24</v>
      </c>
      <c r="I92" s="6">
        <v>9.98</v>
      </c>
      <c r="J92" s="6">
        <v>0.97</v>
      </c>
      <c r="K92" s="6">
        <v>47.35</v>
      </c>
      <c r="L92" s="6">
        <v>20.41</v>
      </c>
      <c r="M92" s="6">
        <v>73.33</v>
      </c>
      <c r="N92" s="6">
        <v>0</v>
      </c>
      <c r="O92" s="6">
        <v>0</v>
      </c>
      <c r="P92" s="6">
        <v>1</v>
      </c>
      <c r="Q92" s="6">
        <v>4.88</v>
      </c>
    </row>
    <row r="93" spans="1:17" customFormat="1">
      <c r="A93" s="6" t="s">
        <v>803</v>
      </c>
      <c r="B93" s="6">
        <v>11.53</v>
      </c>
      <c r="C93" s="6">
        <v>26.93</v>
      </c>
      <c r="D93" s="6">
        <v>24.67</v>
      </c>
      <c r="E93" s="6">
        <v>6.31</v>
      </c>
      <c r="F93" s="6">
        <v>2.62</v>
      </c>
      <c r="G93" s="6">
        <v>140.44</v>
      </c>
      <c r="H93" s="6">
        <v>56.91</v>
      </c>
      <c r="I93" s="6">
        <v>10.11</v>
      </c>
      <c r="J93" s="6">
        <v>1.1000000000000001</v>
      </c>
      <c r="K93" s="6">
        <v>38.08</v>
      </c>
      <c r="L93" s="6">
        <v>20.11</v>
      </c>
      <c r="M93" s="6">
        <v>76.37</v>
      </c>
      <c r="N93" s="6">
        <v>0</v>
      </c>
      <c r="O93" s="6">
        <v>0</v>
      </c>
      <c r="P93" s="6">
        <v>1</v>
      </c>
      <c r="Q93" s="6">
        <v>4.87</v>
      </c>
    </row>
    <row r="94" spans="1:17" customFormat="1">
      <c r="A94" s="6" t="s">
        <v>804</v>
      </c>
      <c r="B94" s="6">
        <v>11.74</v>
      </c>
      <c r="C94" s="6">
        <v>25.12</v>
      </c>
      <c r="D94" s="6">
        <v>23.89</v>
      </c>
      <c r="E94" s="6">
        <v>6.6</v>
      </c>
      <c r="F94" s="6">
        <v>2.4900000000000002</v>
      </c>
      <c r="G94" s="6">
        <v>140.44</v>
      </c>
      <c r="H94" s="6">
        <v>56.91</v>
      </c>
      <c r="I94" s="6">
        <v>10.16</v>
      </c>
      <c r="J94" s="6">
        <v>0.86</v>
      </c>
      <c r="K94" s="6">
        <v>43.07</v>
      </c>
      <c r="L94" s="6">
        <v>19.86</v>
      </c>
      <c r="M94" s="6">
        <v>77.989999999999995</v>
      </c>
      <c r="N94" s="6">
        <v>0</v>
      </c>
      <c r="O94" s="6">
        <v>0</v>
      </c>
      <c r="P94" s="6">
        <v>0.99</v>
      </c>
      <c r="Q94" s="6">
        <v>4.8600000000000003</v>
      </c>
    </row>
    <row r="95" spans="1:17" customFormat="1">
      <c r="A95" s="6" t="s">
        <v>805</v>
      </c>
      <c r="B95" s="6">
        <v>11.89</v>
      </c>
      <c r="C95" s="6">
        <v>25.29</v>
      </c>
      <c r="D95" s="6">
        <v>24.1</v>
      </c>
      <c r="E95" s="6">
        <v>6.44</v>
      </c>
      <c r="F95" s="6">
        <v>2.37</v>
      </c>
      <c r="G95" s="6">
        <v>140.44</v>
      </c>
      <c r="H95" s="6">
        <v>56.91</v>
      </c>
      <c r="I95" s="6">
        <v>10.17</v>
      </c>
      <c r="J95" s="6">
        <v>0.71</v>
      </c>
      <c r="K95" s="6">
        <v>41.57</v>
      </c>
      <c r="L95" s="6">
        <v>19.600000000000001</v>
      </c>
      <c r="M95" s="6">
        <v>79.22</v>
      </c>
      <c r="N95" s="6">
        <v>0</v>
      </c>
      <c r="O95" s="6">
        <v>0</v>
      </c>
      <c r="P95" s="6">
        <v>1</v>
      </c>
      <c r="Q95" s="6">
        <v>4.8899999999999997</v>
      </c>
    </row>
    <row r="96" spans="1:17" customFormat="1">
      <c r="A96" s="6" t="s">
        <v>806</v>
      </c>
      <c r="B96" s="6">
        <v>11.98</v>
      </c>
      <c r="C96" s="6">
        <v>26.19</v>
      </c>
      <c r="D96" s="6">
        <v>24.64</v>
      </c>
      <c r="E96" s="6">
        <v>6.18</v>
      </c>
      <c r="F96" s="6">
        <v>2.27</v>
      </c>
      <c r="G96" s="6">
        <v>139.15</v>
      </c>
      <c r="H96" s="6">
        <v>56.61</v>
      </c>
      <c r="I96" s="6">
        <v>10.14</v>
      </c>
      <c r="J96" s="6">
        <v>0.87</v>
      </c>
      <c r="K96" s="6">
        <v>41.23</v>
      </c>
      <c r="L96" s="6">
        <v>19.440000000000001</v>
      </c>
      <c r="M96" s="6">
        <v>80.03</v>
      </c>
      <c r="N96" s="6">
        <v>0</v>
      </c>
      <c r="O96" s="6">
        <v>0</v>
      </c>
      <c r="P96" s="6">
        <v>1.01</v>
      </c>
      <c r="Q96" s="6">
        <v>4.91</v>
      </c>
    </row>
    <row r="97" spans="1:22" customFormat="1">
      <c r="A97" s="6" t="s">
        <v>807</v>
      </c>
      <c r="B97" s="6">
        <v>12.12</v>
      </c>
      <c r="C97" s="6">
        <v>26.65</v>
      </c>
      <c r="D97" s="6">
        <v>24.99</v>
      </c>
      <c r="E97" s="6">
        <v>6.27</v>
      </c>
      <c r="F97" s="6">
        <v>2.31</v>
      </c>
      <c r="G97" s="6">
        <v>133.59</v>
      </c>
      <c r="H97" s="6">
        <v>55.73</v>
      </c>
      <c r="I97" s="6">
        <v>10.1</v>
      </c>
      <c r="J97" s="6">
        <v>0.92</v>
      </c>
      <c r="K97" s="6">
        <v>39.619999999999997</v>
      </c>
      <c r="L97" s="6">
        <v>19.27</v>
      </c>
      <c r="M97" s="6">
        <v>81.08</v>
      </c>
      <c r="N97" s="6">
        <v>0</v>
      </c>
      <c r="O97" s="6">
        <v>0</v>
      </c>
      <c r="P97" s="6">
        <v>1.01</v>
      </c>
      <c r="Q97" s="6">
        <v>4.93</v>
      </c>
    </row>
    <row r="98" spans="1:22" customFormat="1">
      <c r="A98" s="6" t="s">
        <v>808</v>
      </c>
      <c r="B98" s="6">
        <v>12.42</v>
      </c>
      <c r="C98" s="6">
        <v>26.49</v>
      </c>
      <c r="D98" s="6">
        <v>25.15</v>
      </c>
      <c r="E98" s="6">
        <v>6.2</v>
      </c>
      <c r="F98" s="6">
        <v>2.33</v>
      </c>
      <c r="G98" s="6">
        <v>133.59</v>
      </c>
      <c r="H98" s="6">
        <v>55.73</v>
      </c>
      <c r="I98" s="6">
        <v>10.07</v>
      </c>
      <c r="J98" s="6">
        <v>0.83</v>
      </c>
      <c r="K98" s="6">
        <v>35.92</v>
      </c>
      <c r="L98" s="6">
        <v>19.13</v>
      </c>
      <c r="M98" s="6">
        <v>81.97</v>
      </c>
      <c r="N98" s="6">
        <v>0</v>
      </c>
      <c r="O98" s="6">
        <v>0</v>
      </c>
      <c r="P98" s="6">
        <v>1.01</v>
      </c>
      <c r="Q98" s="6">
        <v>4.9400000000000004</v>
      </c>
    </row>
    <row r="99" spans="1:22" customFormat="1">
      <c r="A99" s="6" t="s">
        <v>809</v>
      </c>
      <c r="B99" s="6">
        <v>12.99</v>
      </c>
      <c r="C99" s="6">
        <v>24.66</v>
      </c>
      <c r="D99" s="6">
        <v>24.65</v>
      </c>
      <c r="E99" s="6">
        <v>6.76</v>
      </c>
      <c r="F99" s="6">
        <v>2.56</v>
      </c>
      <c r="G99" s="6">
        <v>133.59</v>
      </c>
      <c r="H99" s="6">
        <v>55.73</v>
      </c>
      <c r="I99" s="6">
        <v>10.050000000000001</v>
      </c>
      <c r="J99" s="6">
        <v>0.87</v>
      </c>
      <c r="K99" s="6">
        <v>52.78</v>
      </c>
      <c r="L99" s="6">
        <v>19</v>
      </c>
      <c r="M99" s="6">
        <v>82.58</v>
      </c>
      <c r="N99" s="6">
        <v>0</v>
      </c>
      <c r="O99" s="6">
        <v>0</v>
      </c>
      <c r="P99" s="6">
        <v>1.01</v>
      </c>
      <c r="Q99" s="6">
        <v>4.9800000000000004</v>
      </c>
    </row>
    <row r="100" spans="1:22" customFormat="1">
      <c r="A100" s="6" t="s">
        <v>810</v>
      </c>
      <c r="B100" s="6">
        <v>13.41</v>
      </c>
      <c r="C100" s="6">
        <v>23.36</v>
      </c>
      <c r="D100" s="6">
        <v>24.31</v>
      </c>
      <c r="E100" s="6">
        <v>6.51</v>
      </c>
      <c r="F100" s="6">
        <v>2.5099999999999998</v>
      </c>
      <c r="G100" s="6">
        <v>130.86000000000001</v>
      </c>
      <c r="H100" s="6">
        <v>55.98</v>
      </c>
      <c r="I100" s="6">
        <v>10.02</v>
      </c>
      <c r="J100" s="6">
        <v>0.89</v>
      </c>
      <c r="K100" s="6">
        <v>54.12</v>
      </c>
      <c r="L100" s="6">
        <v>18.829999999999998</v>
      </c>
      <c r="M100" s="6">
        <v>83.42</v>
      </c>
      <c r="N100" s="6">
        <v>0</v>
      </c>
      <c r="O100" s="6">
        <v>0</v>
      </c>
      <c r="P100" s="6">
        <v>0.99</v>
      </c>
      <c r="Q100" s="6">
        <v>4.97</v>
      </c>
    </row>
    <row r="101" spans="1:22" customFormat="1">
      <c r="A101" s="6" t="s">
        <v>811</v>
      </c>
      <c r="B101" s="6">
        <v>13.81</v>
      </c>
      <c r="C101" s="6">
        <v>23.68</v>
      </c>
      <c r="D101" s="6">
        <v>24.8</v>
      </c>
      <c r="E101" s="6">
        <v>5.51</v>
      </c>
      <c r="F101" s="6">
        <v>2.4300000000000002</v>
      </c>
      <c r="G101" s="6">
        <v>119.16</v>
      </c>
      <c r="H101" s="6">
        <v>56.71</v>
      </c>
      <c r="I101" s="6">
        <v>9.9600000000000009</v>
      </c>
      <c r="J101" s="6">
        <v>0.82</v>
      </c>
      <c r="K101" s="6">
        <v>46.45</v>
      </c>
      <c r="L101" s="6">
        <v>18.7</v>
      </c>
      <c r="M101" s="6">
        <v>84.06</v>
      </c>
      <c r="N101" s="6">
        <v>0</v>
      </c>
      <c r="O101" s="6">
        <v>0</v>
      </c>
      <c r="P101" s="6">
        <v>0.99</v>
      </c>
      <c r="Q101" s="6">
        <v>4.96</v>
      </c>
    </row>
    <row r="102" spans="1:22" customFormat="1">
      <c r="A102" s="6" t="s">
        <v>812</v>
      </c>
      <c r="B102" s="6">
        <v>14.44</v>
      </c>
      <c r="C102" s="6">
        <v>24.78</v>
      </c>
      <c r="D102" s="6">
        <v>25.88</v>
      </c>
      <c r="E102" s="6">
        <v>5.95</v>
      </c>
      <c r="F102" s="6">
        <v>2.29</v>
      </c>
      <c r="G102" s="6">
        <v>119.16</v>
      </c>
      <c r="H102" s="6">
        <v>56.71</v>
      </c>
      <c r="I102" s="6">
        <v>9.9499999999999993</v>
      </c>
      <c r="J102" s="6">
        <v>0.83</v>
      </c>
      <c r="K102" s="6">
        <v>48.53</v>
      </c>
      <c r="L102" s="6">
        <v>18.54</v>
      </c>
      <c r="M102" s="6">
        <v>84.91</v>
      </c>
      <c r="N102" s="6">
        <v>0</v>
      </c>
      <c r="O102" s="6">
        <v>0</v>
      </c>
      <c r="P102" s="6">
        <v>0.99</v>
      </c>
      <c r="Q102" s="6">
        <v>4.96</v>
      </c>
    </row>
    <row r="103" spans="1:22" customFormat="1">
      <c r="A103" s="6" t="s">
        <v>813</v>
      </c>
      <c r="B103" s="6">
        <v>15.19</v>
      </c>
      <c r="C103" s="6">
        <v>24</v>
      </c>
      <c r="D103" s="6">
        <v>26.07</v>
      </c>
      <c r="E103" s="6">
        <v>6</v>
      </c>
      <c r="F103" s="6">
        <v>2.38</v>
      </c>
      <c r="G103" s="6">
        <v>119.16</v>
      </c>
      <c r="H103" s="6">
        <v>56.71</v>
      </c>
      <c r="I103" s="6">
        <v>9.9</v>
      </c>
      <c r="J103" s="6">
        <v>0.71</v>
      </c>
      <c r="K103" s="6">
        <v>41.66</v>
      </c>
      <c r="L103" s="6">
        <v>18.37</v>
      </c>
      <c r="M103" s="6">
        <v>85.82</v>
      </c>
      <c r="N103" s="6">
        <v>0</v>
      </c>
      <c r="O103" s="6">
        <v>0</v>
      </c>
      <c r="P103" s="6">
        <v>0.98</v>
      </c>
      <c r="Q103" s="6">
        <v>4.9800000000000004</v>
      </c>
    </row>
    <row r="104" spans="1:22" customFormat="1">
      <c r="A104" s="6" t="s">
        <v>814</v>
      </c>
      <c r="B104" s="6">
        <v>15.78</v>
      </c>
      <c r="C104" s="6">
        <v>24.49</v>
      </c>
      <c r="D104" s="6">
        <v>26.8</v>
      </c>
      <c r="E104" s="6">
        <v>6.2</v>
      </c>
      <c r="F104" s="6">
        <v>2.2799999999999998</v>
      </c>
      <c r="G104" s="6">
        <v>115.79</v>
      </c>
      <c r="H104" s="6">
        <v>56.33</v>
      </c>
      <c r="I104" s="6">
        <v>9.84</v>
      </c>
      <c r="J104" s="6">
        <v>0.51</v>
      </c>
      <c r="K104" s="6">
        <v>47.41</v>
      </c>
      <c r="L104" s="6">
        <v>18.23</v>
      </c>
      <c r="M104" s="6">
        <v>86.59</v>
      </c>
      <c r="N104" s="6">
        <v>0</v>
      </c>
      <c r="O104" s="6">
        <v>0</v>
      </c>
      <c r="P104" s="6">
        <v>0.98</v>
      </c>
      <c r="Q104" s="6">
        <v>5.01</v>
      </c>
    </row>
    <row r="106" spans="1:22">
      <c r="A106" s="156" t="s">
        <v>48</v>
      </c>
      <c r="B106" s="157">
        <f>MIN(B9:B104)</f>
        <v>2.29</v>
      </c>
      <c r="C106" s="157">
        <f>MIN(C9:C104)</f>
        <v>19.46</v>
      </c>
      <c r="D106" s="157">
        <f t="shared" ref="D106:Q106" si="0">MIN(D9:D104)</f>
        <v>15.08</v>
      </c>
      <c r="E106" s="157">
        <f t="shared" si="0"/>
        <v>4.49</v>
      </c>
      <c r="F106" s="157">
        <f t="shared" si="0"/>
        <v>2.27</v>
      </c>
      <c r="G106" s="157">
        <f t="shared" si="0"/>
        <v>47.27</v>
      </c>
      <c r="H106" s="157">
        <f t="shared" si="0"/>
        <v>24.12</v>
      </c>
      <c r="I106" s="157">
        <f t="shared" si="0"/>
        <v>6.9</v>
      </c>
      <c r="J106" s="157">
        <f t="shared" si="0"/>
        <v>0.02</v>
      </c>
      <c r="K106" s="157">
        <f t="shared" si="0"/>
        <v>13.53</v>
      </c>
      <c r="L106" s="157">
        <f t="shared" si="0"/>
        <v>16.16</v>
      </c>
      <c r="M106" s="157">
        <f t="shared" si="0"/>
        <v>46.61</v>
      </c>
      <c r="N106" s="157">
        <f t="shared" si="0"/>
        <v>0</v>
      </c>
      <c r="O106" s="157">
        <f t="shared" si="0"/>
        <v>0</v>
      </c>
      <c r="P106" s="157">
        <f t="shared" si="0"/>
        <v>0.02</v>
      </c>
      <c r="Q106" s="157">
        <f t="shared" si="0"/>
        <v>4.76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23.49</v>
      </c>
      <c r="C107" s="156">
        <f t="shared" ref="C107:Q107" si="1">MAX(C9:C104)</f>
        <v>32.28</v>
      </c>
      <c r="D107" s="156">
        <f t="shared" si="1"/>
        <v>35.36</v>
      </c>
      <c r="E107" s="156">
        <f t="shared" si="1"/>
        <v>9.01</v>
      </c>
      <c r="F107" s="156">
        <f t="shared" si="1"/>
        <v>13.48</v>
      </c>
      <c r="G107" s="156">
        <f t="shared" si="1"/>
        <v>140.44</v>
      </c>
      <c r="H107" s="156">
        <f t="shared" si="1"/>
        <v>56.91</v>
      </c>
      <c r="I107" s="156">
        <f t="shared" si="1"/>
        <v>21.54</v>
      </c>
      <c r="J107" s="156">
        <f t="shared" si="1"/>
        <v>1.48</v>
      </c>
      <c r="K107" s="156">
        <f t="shared" si="1"/>
        <v>344.79</v>
      </c>
      <c r="L107" s="156">
        <f t="shared" si="1"/>
        <v>25.88</v>
      </c>
      <c r="M107" s="156">
        <f t="shared" si="1"/>
        <v>90.42</v>
      </c>
      <c r="N107" s="156">
        <f t="shared" si="1"/>
        <v>357.1</v>
      </c>
      <c r="O107" s="156">
        <f t="shared" si="1"/>
        <v>0</v>
      </c>
      <c r="P107" s="156">
        <f t="shared" si="1"/>
        <v>1.01</v>
      </c>
      <c r="Q107" s="156">
        <f t="shared" si="1"/>
        <v>5.1100000000000003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11.763695652173915</v>
      </c>
      <c r="C108" s="157">
        <f t="shared" ref="C108:Q108" si="2">AVERAGE(C9:C104)</f>
        <v>26.001847826086941</v>
      </c>
      <c r="D108" s="157">
        <f t="shared" si="2"/>
        <v>24.368043478260887</v>
      </c>
      <c r="E108" s="157">
        <f t="shared" si="2"/>
        <v>6.6978125000000004</v>
      </c>
      <c r="F108" s="157">
        <f t="shared" si="2"/>
        <v>3.4164130434782609</v>
      </c>
      <c r="G108" s="157">
        <f t="shared" si="2"/>
        <v>93.719890109890088</v>
      </c>
      <c r="H108" s="157">
        <f t="shared" si="2"/>
        <v>40.050659340659315</v>
      </c>
      <c r="I108" s="157">
        <f t="shared" si="2"/>
        <v>9.1542708333333334</v>
      </c>
      <c r="J108" s="157">
        <f t="shared" si="2"/>
        <v>0.55656250000000018</v>
      </c>
      <c r="K108" s="157">
        <f t="shared" si="2"/>
        <v>83.349791666666633</v>
      </c>
      <c r="L108" s="157">
        <f t="shared" si="2"/>
        <v>20.546145833333327</v>
      </c>
      <c r="M108" s="157">
        <f t="shared" si="2"/>
        <v>71.265520833333341</v>
      </c>
      <c r="N108" s="157">
        <f t="shared" si="2"/>
        <v>69.885416666666671</v>
      </c>
      <c r="O108" s="157">
        <f t="shared" si="2"/>
        <v>0</v>
      </c>
      <c r="P108" s="157">
        <f t="shared" si="2"/>
        <v>0.7522340425531916</v>
      </c>
      <c r="Q108" s="157">
        <f t="shared" si="2"/>
        <v>4.9162500000000016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6.5935005822652766</v>
      </c>
      <c r="C109" s="157">
        <f t="shared" ref="C109:Q109" si="3">STDEV(C9:C104)</f>
        <v>3.0287842297950212</v>
      </c>
      <c r="D109" s="157">
        <f t="shared" si="3"/>
        <v>5.91699308086186</v>
      </c>
      <c r="E109" s="157">
        <f t="shared" si="3"/>
        <v>1.2326814615002257</v>
      </c>
      <c r="F109" s="157">
        <f t="shared" si="3"/>
        <v>2.1763815021509729</v>
      </c>
      <c r="G109" s="157">
        <f t="shared" si="3"/>
        <v>26.569280736908876</v>
      </c>
      <c r="H109" s="157">
        <f t="shared" si="3"/>
        <v>9.1573154487059636</v>
      </c>
      <c r="I109" s="157">
        <f t="shared" si="3"/>
        <v>2.6322588837613221</v>
      </c>
      <c r="J109" s="157">
        <f t="shared" si="3"/>
        <v>0.40476589237678956</v>
      </c>
      <c r="K109" s="157">
        <f t="shared" si="3"/>
        <v>70.373441296814164</v>
      </c>
      <c r="L109" s="157">
        <f t="shared" si="3"/>
        <v>3.2451571593738375</v>
      </c>
      <c r="M109" s="157">
        <f t="shared" si="3"/>
        <v>15.294779010794253</v>
      </c>
      <c r="N109" s="157">
        <f t="shared" si="3"/>
        <v>111.75111913172495</v>
      </c>
      <c r="O109" s="157">
        <f t="shared" si="3"/>
        <v>0</v>
      </c>
      <c r="P109" s="157">
        <f t="shared" si="3"/>
        <v>0.16021594470017581</v>
      </c>
      <c r="Q109" s="157">
        <f t="shared" si="3"/>
        <v>9.5941319785091891E-2</v>
      </c>
      <c r="R109" s="157"/>
      <c r="S109" s="157"/>
      <c r="T109" s="157"/>
      <c r="U109" s="157"/>
    </row>
    <row r="110" spans="1:22">
      <c r="A110" s="156" t="s">
        <v>52</v>
      </c>
      <c r="B110" s="156">
        <v>96</v>
      </c>
      <c r="C110" s="156">
        <v>96</v>
      </c>
      <c r="D110" s="156">
        <v>96</v>
      </c>
      <c r="E110" s="156">
        <v>96</v>
      </c>
      <c r="F110" s="156">
        <v>96</v>
      </c>
      <c r="G110" s="156">
        <v>96</v>
      </c>
      <c r="H110" s="156">
        <v>96</v>
      </c>
      <c r="I110" s="156">
        <v>96</v>
      </c>
      <c r="J110" s="156">
        <v>96</v>
      </c>
      <c r="K110" s="156">
        <v>96</v>
      </c>
      <c r="L110" s="156">
        <v>96</v>
      </c>
      <c r="M110" s="156">
        <v>96</v>
      </c>
      <c r="N110" s="156">
        <v>96</v>
      </c>
      <c r="O110" s="156">
        <v>96</v>
      </c>
      <c r="P110" s="156">
        <v>96</v>
      </c>
      <c r="Q110" s="156"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4">IF(C110&gt;=87,"&gt;90%",IF(C110&lt;=87,"&lt;90%"))</f>
        <v>&gt;90%</v>
      </c>
      <c r="D111" s="132" t="str">
        <f t="shared" si="4"/>
        <v>&gt;90%</v>
      </c>
      <c r="E111" s="132" t="str">
        <f t="shared" si="4"/>
        <v>&gt;90%</v>
      </c>
      <c r="F111" s="132" t="str">
        <f t="shared" si="4"/>
        <v>&gt;90%</v>
      </c>
      <c r="G111" s="132" t="str">
        <f t="shared" si="4"/>
        <v>&gt;90%</v>
      </c>
      <c r="H111" s="132" t="str">
        <f t="shared" si="4"/>
        <v>&gt;90%</v>
      </c>
      <c r="I111" s="132" t="str">
        <f t="shared" si="4"/>
        <v>&gt;90%</v>
      </c>
      <c r="J111" s="132" t="str">
        <f t="shared" si="4"/>
        <v>&gt;90%</v>
      </c>
      <c r="K111" s="132" t="str">
        <f t="shared" si="4"/>
        <v>&gt;90%</v>
      </c>
      <c r="L111" s="132" t="str">
        <f t="shared" si="4"/>
        <v>&gt;90%</v>
      </c>
      <c r="M111" s="132" t="str">
        <f t="shared" si="4"/>
        <v>&gt;90%</v>
      </c>
      <c r="N111" s="132" t="str">
        <f t="shared" si="4"/>
        <v>&gt;90%</v>
      </c>
      <c r="O111" s="132" t="str">
        <f t="shared" si="4"/>
        <v>&gt;90%</v>
      </c>
      <c r="P111" s="132" t="str">
        <f t="shared" si="4"/>
        <v>&gt;90%</v>
      </c>
      <c r="Q111" s="132" t="str">
        <f t="shared" si="4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5">IF(C110&gt;=87,"OK",IF(C110&lt;=87,"LESS"))</f>
        <v>OK</v>
      </c>
      <c r="D112" s="132" t="str">
        <f t="shared" si="5"/>
        <v>OK</v>
      </c>
      <c r="E112" s="132" t="str">
        <f t="shared" si="5"/>
        <v>OK</v>
      </c>
      <c r="F112" s="132" t="str">
        <f t="shared" si="5"/>
        <v>OK</v>
      </c>
      <c r="G112" s="132" t="str">
        <f t="shared" si="5"/>
        <v>OK</v>
      </c>
      <c r="H112" s="132" t="str">
        <f t="shared" si="5"/>
        <v>OK</v>
      </c>
      <c r="I112" s="132" t="str">
        <f t="shared" si="5"/>
        <v>OK</v>
      </c>
      <c r="J112" s="132" t="str">
        <f t="shared" si="5"/>
        <v>OK</v>
      </c>
      <c r="K112" s="132" t="str">
        <f t="shared" si="5"/>
        <v>OK</v>
      </c>
      <c r="L112" s="132" t="str">
        <f t="shared" si="5"/>
        <v>OK</v>
      </c>
      <c r="M112" s="132" t="str">
        <f t="shared" si="5"/>
        <v>OK</v>
      </c>
      <c r="N112" s="132" t="str">
        <f t="shared" si="5"/>
        <v>OK</v>
      </c>
      <c r="O112" s="132" t="str">
        <f t="shared" si="5"/>
        <v>OK</v>
      </c>
      <c r="P112" s="132" t="str">
        <f t="shared" si="5"/>
        <v>OK</v>
      </c>
      <c r="Q112" s="132" t="str">
        <f t="shared" si="5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815</v>
      </c>
      <c r="B9" s="6">
        <v>16.71</v>
      </c>
      <c r="C9" s="6">
        <v>26.18</v>
      </c>
      <c r="D9" s="6">
        <v>28.42</v>
      </c>
      <c r="E9" s="6">
        <v>6.26</v>
      </c>
      <c r="F9" s="6">
        <v>2.15</v>
      </c>
      <c r="G9" s="6">
        <v>101.33</v>
      </c>
      <c r="H9" s="6">
        <v>54.61</v>
      </c>
      <c r="I9" s="6">
        <v>9.8000000000000007</v>
      </c>
      <c r="J9" s="6">
        <v>0.59</v>
      </c>
      <c r="K9" s="6">
        <v>50.73</v>
      </c>
      <c r="L9" s="6">
        <v>18.149999999999999</v>
      </c>
      <c r="M9" s="6">
        <v>87.13</v>
      </c>
      <c r="N9" s="6">
        <v>0</v>
      </c>
      <c r="O9" s="6">
        <v>0</v>
      </c>
      <c r="P9" s="6">
        <v>0.98</v>
      </c>
      <c r="Q9" s="6">
        <v>5.01</v>
      </c>
    </row>
    <row r="10" spans="1:21" customFormat="1">
      <c r="A10" s="6" t="s">
        <v>816</v>
      </c>
      <c r="B10" s="6">
        <v>17.399999999999999</v>
      </c>
      <c r="C10" s="6">
        <v>24.25</v>
      </c>
      <c r="D10" s="6">
        <v>27.97</v>
      </c>
      <c r="E10" s="6">
        <v>6.63</v>
      </c>
      <c r="F10" s="6">
        <v>2.31</v>
      </c>
      <c r="G10" s="6">
        <v>101.33</v>
      </c>
      <c r="H10" s="6">
        <v>54.61</v>
      </c>
      <c r="I10" s="6">
        <v>9.73</v>
      </c>
      <c r="J10" s="6">
        <v>0.57999999999999996</v>
      </c>
      <c r="K10" s="6">
        <v>44.38</v>
      </c>
      <c r="L10" s="6">
        <v>18.13</v>
      </c>
      <c r="M10" s="6">
        <v>87.26</v>
      </c>
      <c r="N10" s="6">
        <v>0</v>
      </c>
      <c r="O10" s="6">
        <v>0</v>
      </c>
      <c r="P10" s="6">
        <v>0.96</v>
      </c>
      <c r="Q10" s="6">
        <v>4.9800000000000004</v>
      </c>
    </row>
    <row r="11" spans="1:21" customFormat="1">
      <c r="A11" s="6" t="s">
        <v>817</v>
      </c>
      <c r="B11" s="6">
        <v>18.010000000000002</v>
      </c>
      <c r="C11" s="6">
        <v>24.23</v>
      </c>
      <c r="D11" s="6">
        <v>28.45</v>
      </c>
      <c r="E11" s="6">
        <v>6.55</v>
      </c>
      <c r="F11" s="6">
        <v>2.2400000000000002</v>
      </c>
      <c r="G11" s="6">
        <v>101.33</v>
      </c>
      <c r="H11" s="6">
        <v>54.61</v>
      </c>
      <c r="I11" s="6">
        <v>9.69</v>
      </c>
      <c r="J11" s="6">
        <v>0.47</v>
      </c>
      <c r="K11" s="6">
        <v>48.26</v>
      </c>
      <c r="L11" s="6">
        <v>18.05</v>
      </c>
      <c r="M11" s="6">
        <v>87.93</v>
      </c>
      <c r="N11" s="6">
        <v>0</v>
      </c>
      <c r="O11" s="6">
        <v>0</v>
      </c>
      <c r="P11" s="6">
        <v>0.96</v>
      </c>
      <c r="Q11" s="6">
        <v>5.01</v>
      </c>
    </row>
    <row r="12" spans="1:21" customFormat="1">
      <c r="A12" s="6" t="s">
        <v>818</v>
      </c>
      <c r="B12" s="6">
        <v>18.2</v>
      </c>
      <c r="C12" s="6">
        <v>24.15</v>
      </c>
      <c r="D12" s="6">
        <v>28.57</v>
      </c>
      <c r="E12" s="6">
        <v>6.4</v>
      </c>
      <c r="F12" s="6">
        <v>2.2999999999999998</v>
      </c>
      <c r="G12" s="6">
        <v>100.38</v>
      </c>
      <c r="H12" s="6">
        <v>54.29</v>
      </c>
      <c r="I12" s="6">
        <v>9.66</v>
      </c>
      <c r="J12" s="6">
        <v>0.56999999999999995</v>
      </c>
      <c r="K12" s="6">
        <v>48.88</v>
      </c>
      <c r="L12" s="6">
        <v>17.98</v>
      </c>
      <c r="M12" s="6">
        <v>88.22</v>
      </c>
      <c r="N12" s="6">
        <v>0</v>
      </c>
      <c r="O12" s="6">
        <v>0</v>
      </c>
      <c r="P12" s="6">
        <v>0.96</v>
      </c>
      <c r="Q12" s="6">
        <v>5.01</v>
      </c>
    </row>
    <row r="13" spans="1:21" customFormat="1">
      <c r="A13" s="6" t="s">
        <v>819</v>
      </c>
      <c r="B13" s="6">
        <v>18.48</v>
      </c>
      <c r="C13" s="6">
        <v>24.01</v>
      </c>
      <c r="D13" s="6">
        <v>28.72</v>
      </c>
      <c r="E13" s="6">
        <v>6.62</v>
      </c>
      <c r="F13" s="6">
        <v>2.36</v>
      </c>
      <c r="G13" s="6">
        <v>96.32</v>
      </c>
      <c r="H13" s="6">
        <v>53.35</v>
      </c>
      <c r="I13" s="6">
        <v>9.59</v>
      </c>
      <c r="J13" s="6">
        <v>0.71</v>
      </c>
      <c r="K13" s="6">
        <v>42.75</v>
      </c>
      <c r="L13" s="6">
        <v>17.72</v>
      </c>
      <c r="M13" s="6">
        <v>89.28</v>
      </c>
      <c r="N13" s="6">
        <v>0</v>
      </c>
      <c r="O13" s="6">
        <v>0</v>
      </c>
      <c r="P13" s="6">
        <v>0.95</v>
      </c>
      <c r="Q13" s="6">
        <v>5.01</v>
      </c>
    </row>
    <row r="14" spans="1:21" customFormat="1">
      <c r="A14" s="6" t="s">
        <v>820</v>
      </c>
      <c r="B14" s="6">
        <v>18.68</v>
      </c>
      <c r="C14" s="6">
        <v>24.15</v>
      </c>
      <c r="D14" s="6">
        <v>28.95</v>
      </c>
      <c r="E14" s="6">
        <v>6.49</v>
      </c>
      <c r="F14" s="6">
        <v>2.2200000000000002</v>
      </c>
      <c r="G14" s="6">
        <v>96.32</v>
      </c>
      <c r="H14" s="6">
        <v>53.35</v>
      </c>
      <c r="I14" s="6">
        <v>9.5500000000000007</v>
      </c>
      <c r="J14" s="6">
        <v>0.67</v>
      </c>
      <c r="K14" s="6">
        <v>51.78</v>
      </c>
      <c r="L14" s="6">
        <v>17.59</v>
      </c>
      <c r="M14" s="6">
        <v>89.98</v>
      </c>
      <c r="N14" s="6">
        <v>0</v>
      </c>
      <c r="O14" s="6">
        <v>0</v>
      </c>
      <c r="P14" s="6">
        <v>0.96</v>
      </c>
      <c r="Q14" s="6">
        <v>5.01</v>
      </c>
    </row>
    <row r="15" spans="1:21" customFormat="1">
      <c r="A15" s="6" t="s">
        <v>821</v>
      </c>
      <c r="B15" s="6">
        <v>18.489999999999998</v>
      </c>
      <c r="C15" s="6">
        <v>23.88</v>
      </c>
      <c r="D15" s="6">
        <v>28.66</v>
      </c>
      <c r="E15" s="6">
        <v>6.65</v>
      </c>
      <c r="F15" s="6">
        <v>2.27</v>
      </c>
      <c r="G15" s="6">
        <v>96.32</v>
      </c>
      <c r="H15" s="6">
        <v>53.35</v>
      </c>
      <c r="I15" s="6">
        <v>9.56</v>
      </c>
      <c r="J15" s="6">
        <v>0.7</v>
      </c>
      <c r="K15" s="6">
        <v>48.6</v>
      </c>
      <c r="L15" s="6">
        <v>17.57</v>
      </c>
      <c r="M15" s="6">
        <v>89.79</v>
      </c>
      <c r="N15" s="6">
        <v>0</v>
      </c>
      <c r="O15" s="6">
        <v>0</v>
      </c>
      <c r="P15" s="6">
        <v>0.95</v>
      </c>
      <c r="Q15" s="6">
        <v>5.01</v>
      </c>
    </row>
    <row r="16" spans="1:21" customFormat="1">
      <c r="A16" s="6" t="s">
        <v>822</v>
      </c>
      <c r="B16" s="6">
        <v>18.39</v>
      </c>
      <c r="C16" s="6">
        <v>24.27</v>
      </c>
      <c r="D16" s="6">
        <v>28.78</v>
      </c>
      <c r="E16" s="6">
        <v>6.67</v>
      </c>
      <c r="F16" s="6">
        <v>2.36</v>
      </c>
      <c r="G16" s="6">
        <v>96.58</v>
      </c>
      <c r="H16" s="6">
        <v>52.97</v>
      </c>
      <c r="I16" s="6">
        <v>9.52</v>
      </c>
      <c r="J16" s="6">
        <v>0.83</v>
      </c>
      <c r="K16" s="6">
        <v>52.36</v>
      </c>
      <c r="L16" s="6">
        <v>17.47</v>
      </c>
      <c r="M16" s="6">
        <v>90.08</v>
      </c>
      <c r="N16" s="6">
        <v>0</v>
      </c>
      <c r="O16" s="6">
        <v>0</v>
      </c>
      <c r="P16" s="6">
        <v>0.95</v>
      </c>
      <c r="Q16" s="6">
        <v>5.04</v>
      </c>
    </row>
    <row r="17" spans="1:17" customFormat="1">
      <c r="A17" s="6" t="s">
        <v>823</v>
      </c>
      <c r="B17" s="6">
        <v>18.260000000000002</v>
      </c>
      <c r="C17" s="6">
        <v>24.6</v>
      </c>
      <c r="D17" s="6">
        <v>28.85</v>
      </c>
      <c r="E17" s="6">
        <v>4.82</v>
      </c>
      <c r="F17" s="6">
        <v>2.3199999999999998</v>
      </c>
      <c r="G17" s="6">
        <v>97.71</v>
      </c>
      <c r="H17" s="6">
        <v>51.77</v>
      </c>
      <c r="I17" s="6">
        <v>9.48</v>
      </c>
      <c r="J17" s="6">
        <v>0.82</v>
      </c>
      <c r="K17" s="6">
        <v>57.61</v>
      </c>
      <c r="L17" s="6">
        <v>17.399999999999999</v>
      </c>
      <c r="M17" s="6">
        <v>90.58</v>
      </c>
      <c r="N17" s="6">
        <v>0</v>
      </c>
      <c r="O17" s="6">
        <v>0</v>
      </c>
      <c r="P17" s="6">
        <v>0.95</v>
      </c>
      <c r="Q17" s="6">
        <v>5</v>
      </c>
    </row>
    <row r="18" spans="1:17" customFormat="1">
      <c r="A18" s="6" t="s">
        <v>824</v>
      </c>
      <c r="B18" s="6">
        <v>18.3</v>
      </c>
      <c r="C18" s="6">
        <v>25.17</v>
      </c>
      <c r="D18" s="6">
        <v>29.17</v>
      </c>
      <c r="E18" s="6">
        <v>5.91</v>
      </c>
      <c r="F18" s="6">
        <v>2.31</v>
      </c>
      <c r="G18" s="6">
        <v>97.71</v>
      </c>
      <c r="H18" s="6">
        <v>51.77</v>
      </c>
      <c r="I18" s="6">
        <v>9.43</v>
      </c>
      <c r="J18" s="6">
        <v>0.49</v>
      </c>
      <c r="K18" s="6">
        <v>38.28</v>
      </c>
      <c r="L18" s="6">
        <v>17.309999999999999</v>
      </c>
      <c r="M18" s="6">
        <v>91.03</v>
      </c>
      <c r="N18" s="6">
        <v>0</v>
      </c>
      <c r="O18" s="6">
        <v>0</v>
      </c>
      <c r="P18" s="6">
        <v>0.96</v>
      </c>
      <c r="Q18" s="6">
        <v>5.0199999999999996</v>
      </c>
    </row>
    <row r="19" spans="1:17" customFormat="1">
      <c r="A19" s="6" t="s">
        <v>825</v>
      </c>
      <c r="B19" s="6">
        <v>18.829999999999998</v>
      </c>
      <c r="C19" s="6">
        <v>25.14</v>
      </c>
      <c r="D19" s="6">
        <v>29.59</v>
      </c>
      <c r="E19" s="6">
        <v>5.79</v>
      </c>
      <c r="F19" s="6">
        <v>2.39</v>
      </c>
      <c r="G19" s="6">
        <v>97.71</v>
      </c>
      <c r="H19" s="6">
        <v>51.77</v>
      </c>
      <c r="I19" s="6">
        <v>9.41</v>
      </c>
      <c r="J19" s="6">
        <v>0.55000000000000004</v>
      </c>
      <c r="K19" s="6">
        <v>47.78</v>
      </c>
      <c r="L19" s="6">
        <v>17.16</v>
      </c>
      <c r="M19" s="6">
        <v>91.74</v>
      </c>
      <c r="N19" s="6">
        <v>0</v>
      </c>
      <c r="O19" s="6">
        <v>0</v>
      </c>
      <c r="P19" s="6">
        <v>0.97</v>
      </c>
      <c r="Q19" s="6">
        <v>5</v>
      </c>
    </row>
    <row r="20" spans="1:17" customFormat="1">
      <c r="A20" s="6" t="s">
        <v>826</v>
      </c>
      <c r="B20" s="6">
        <v>19.079999999999998</v>
      </c>
      <c r="C20" s="6">
        <v>25.37</v>
      </c>
      <c r="D20" s="6">
        <v>29.91</v>
      </c>
      <c r="E20" s="6">
        <v>5.62</v>
      </c>
      <c r="F20" s="6">
        <v>2.35</v>
      </c>
      <c r="G20" s="6">
        <v>97.95</v>
      </c>
      <c r="H20" s="6">
        <v>52.19</v>
      </c>
      <c r="I20" s="6">
        <v>9.39</v>
      </c>
      <c r="J20" s="6">
        <v>0.4</v>
      </c>
      <c r="K20" s="6">
        <v>53.64</v>
      </c>
      <c r="L20" s="6">
        <v>17.12</v>
      </c>
      <c r="M20" s="6">
        <v>92.08</v>
      </c>
      <c r="N20" s="6">
        <v>0</v>
      </c>
      <c r="O20" s="6">
        <v>0</v>
      </c>
      <c r="P20" s="6">
        <v>0.95</v>
      </c>
      <c r="Q20" s="6">
        <v>5</v>
      </c>
    </row>
    <row r="21" spans="1:17" customFormat="1">
      <c r="A21" s="6" t="s">
        <v>827</v>
      </c>
      <c r="B21" s="6">
        <v>19.09</v>
      </c>
      <c r="C21" s="6">
        <v>25.6</v>
      </c>
      <c r="D21" s="6">
        <v>30.04</v>
      </c>
      <c r="E21" s="6">
        <v>6.29</v>
      </c>
      <c r="F21" s="6">
        <v>2.34</v>
      </c>
      <c r="G21" s="6">
        <v>98.99</v>
      </c>
      <c r="H21" s="6">
        <v>53.48</v>
      </c>
      <c r="I21" s="6">
        <v>9.34</v>
      </c>
      <c r="J21" s="6">
        <v>0.32</v>
      </c>
      <c r="K21" s="6">
        <v>56.66</v>
      </c>
      <c r="L21" s="6">
        <v>16.989999999999998</v>
      </c>
      <c r="M21" s="6">
        <v>92.51</v>
      </c>
      <c r="N21" s="6">
        <v>0</v>
      </c>
      <c r="O21" s="6">
        <v>0</v>
      </c>
      <c r="P21" s="6">
        <v>0.95</v>
      </c>
      <c r="Q21" s="6">
        <v>5</v>
      </c>
    </row>
    <row r="22" spans="1:17" customFormat="1">
      <c r="A22" s="6" t="s">
        <v>828</v>
      </c>
      <c r="B22" s="6">
        <v>20.05</v>
      </c>
      <c r="C22" s="6">
        <v>25.95</v>
      </c>
      <c r="D22" s="6">
        <v>30.98</v>
      </c>
      <c r="E22" s="6">
        <v>6.14</v>
      </c>
      <c r="F22" s="6">
        <v>2.37</v>
      </c>
      <c r="G22" s="6">
        <v>98.99</v>
      </c>
      <c r="H22" s="6">
        <v>53.48</v>
      </c>
      <c r="I22" s="6">
        <v>9.2799999999999994</v>
      </c>
      <c r="J22" s="6">
        <v>0.23</v>
      </c>
      <c r="K22" s="6">
        <v>51</v>
      </c>
      <c r="L22" s="6">
        <v>16.920000000000002</v>
      </c>
      <c r="M22" s="6">
        <v>92.76</v>
      </c>
      <c r="N22" s="6">
        <v>0</v>
      </c>
      <c r="O22" s="6">
        <v>0</v>
      </c>
      <c r="P22" s="6">
        <v>0.95</v>
      </c>
      <c r="Q22" s="6">
        <v>5</v>
      </c>
    </row>
    <row r="23" spans="1:17" customFormat="1">
      <c r="A23" s="6" t="s">
        <v>829</v>
      </c>
      <c r="B23" s="6">
        <v>21.13</v>
      </c>
      <c r="C23" s="6">
        <v>25.99</v>
      </c>
      <c r="D23" s="6">
        <v>31.88</v>
      </c>
      <c r="E23" s="6">
        <v>5.93</v>
      </c>
      <c r="F23" s="6">
        <v>2.27</v>
      </c>
      <c r="G23" s="6">
        <v>98.99</v>
      </c>
      <c r="H23" s="6">
        <v>53.48</v>
      </c>
      <c r="I23" s="6">
        <v>9.2799999999999994</v>
      </c>
      <c r="J23" s="6">
        <v>0.55000000000000004</v>
      </c>
      <c r="K23" s="6">
        <v>57.88</v>
      </c>
      <c r="L23" s="6">
        <v>16.73</v>
      </c>
      <c r="M23" s="6">
        <v>93.55</v>
      </c>
      <c r="N23" s="6">
        <v>0</v>
      </c>
      <c r="O23" s="6">
        <v>0</v>
      </c>
      <c r="P23" s="6">
        <v>0.96</v>
      </c>
      <c r="Q23" s="6">
        <v>5.03</v>
      </c>
    </row>
    <row r="24" spans="1:17" customFormat="1">
      <c r="A24" s="6" t="s">
        <v>830</v>
      </c>
      <c r="B24" s="6">
        <v>21.5</v>
      </c>
      <c r="C24" s="6">
        <v>26.22</v>
      </c>
      <c r="D24" s="6">
        <v>32.29</v>
      </c>
      <c r="E24" s="6">
        <v>5.96</v>
      </c>
      <c r="F24" s="6">
        <v>2.2999999999999998</v>
      </c>
      <c r="G24" s="6">
        <v>99.57</v>
      </c>
      <c r="H24" s="6">
        <v>53.54</v>
      </c>
      <c r="I24" s="6">
        <v>9.4</v>
      </c>
      <c r="J24" s="6">
        <v>0.39</v>
      </c>
      <c r="K24" s="6">
        <v>37.32</v>
      </c>
      <c r="L24" s="6">
        <v>16.66</v>
      </c>
      <c r="M24" s="6">
        <v>94.17</v>
      </c>
      <c r="N24" s="6">
        <v>0</v>
      </c>
      <c r="O24" s="6">
        <v>0</v>
      </c>
      <c r="P24" s="6">
        <v>0.96</v>
      </c>
      <c r="Q24" s="6">
        <v>5.0599999999999996</v>
      </c>
    </row>
    <row r="25" spans="1:17" customFormat="1">
      <c r="A25" s="6" t="s">
        <v>831</v>
      </c>
      <c r="B25" s="6">
        <v>21.86</v>
      </c>
      <c r="C25" s="6">
        <v>26.45</v>
      </c>
      <c r="D25" s="6">
        <v>32.700000000000003</v>
      </c>
      <c r="E25" s="6">
        <v>6.14</v>
      </c>
      <c r="F25" s="6">
        <v>2.27</v>
      </c>
      <c r="G25" s="6">
        <v>102.05</v>
      </c>
      <c r="H25" s="6">
        <v>53.75</v>
      </c>
      <c r="I25" s="6">
        <v>9.5</v>
      </c>
      <c r="J25" s="6">
        <v>0.44</v>
      </c>
      <c r="K25" s="6">
        <v>31.46</v>
      </c>
      <c r="L25" s="6">
        <v>16.510000000000002</v>
      </c>
      <c r="M25" s="6">
        <v>94.64</v>
      </c>
      <c r="N25" s="6">
        <v>0</v>
      </c>
      <c r="O25" s="6">
        <v>0</v>
      </c>
      <c r="P25" s="6">
        <v>0.95</v>
      </c>
      <c r="Q25" s="6">
        <v>5</v>
      </c>
    </row>
    <row r="26" spans="1:17" customFormat="1">
      <c r="A26" s="6" t="s">
        <v>832</v>
      </c>
      <c r="B26" s="6">
        <v>22.36</v>
      </c>
      <c r="C26" s="6">
        <v>26.54</v>
      </c>
      <c r="D26" s="6">
        <v>33.15</v>
      </c>
      <c r="E26" s="6">
        <v>6.6</v>
      </c>
      <c r="F26" s="6">
        <v>2.36</v>
      </c>
      <c r="G26" s="6">
        <v>102.05</v>
      </c>
      <c r="H26" s="6">
        <v>53.75</v>
      </c>
      <c r="I26" s="6">
        <v>9.52</v>
      </c>
      <c r="J26" s="6">
        <v>0.46</v>
      </c>
      <c r="K26" s="6">
        <v>50.3</v>
      </c>
      <c r="L26" s="6">
        <v>16.5</v>
      </c>
      <c r="M26" s="6">
        <v>95.08</v>
      </c>
      <c r="N26" s="6">
        <v>0</v>
      </c>
      <c r="O26" s="6">
        <v>0</v>
      </c>
      <c r="P26" s="6">
        <v>0.95</v>
      </c>
      <c r="Q26" s="6">
        <v>5.03</v>
      </c>
    </row>
    <row r="27" spans="1:17" customFormat="1">
      <c r="A27" s="6" t="s">
        <v>833</v>
      </c>
      <c r="B27" s="6">
        <v>22.89</v>
      </c>
      <c r="C27" s="6">
        <v>26.46</v>
      </c>
      <c r="D27" s="6">
        <v>33.53</v>
      </c>
      <c r="E27" s="6">
        <v>6.06</v>
      </c>
      <c r="F27" s="6">
        <v>2.4300000000000002</v>
      </c>
      <c r="G27" s="6">
        <v>102.05</v>
      </c>
      <c r="H27" s="6">
        <v>53.75</v>
      </c>
      <c r="I27" s="6">
        <v>9.5500000000000007</v>
      </c>
      <c r="J27" s="6">
        <v>0.62</v>
      </c>
      <c r="K27" s="6">
        <v>50.86</v>
      </c>
      <c r="L27" s="6">
        <v>16.46</v>
      </c>
      <c r="M27" s="6">
        <v>95.09</v>
      </c>
      <c r="N27" s="6">
        <v>0</v>
      </c>
      <c r="O27" s="6">
        <v>0</v>
      </c>
      <c r="P27" s="6">
        <v>0.95</v>
      </c>
      <c r="Q27" s="6">
        <v>5.04</v>
      </c>
    </row>
    <row r="28" spans="1:17" customFormat="1">
      <c r="A28" s="6" t="s">
        <v>834</v>
      </c>
      <c r="B28" s="6">
        <v>23.25</v>
      </c>
      <c r="C28" s="6">
        <v>26.26</v>
      </c>
      <c r="D28" s="6">
        <v>33.72</v>
      </c>
      <c r="E28" s="6">
        <v>6.93</v>
      </c>
      <c r="F28" s="6">
        <v>2.36</v>
      </c>
      <c r="G28" s="6">
        <v>101.36</v>
      </c>
      <c r="H28" s="6">
        <v>53.46</v>
      </c>
      <c r="I28" s="6">
        <v>9.56</v>
      </c>
      <c r="J28" s="6">
        <v>0.72</v>
      </c>
      <c r="K28" s="6">
        <v>54.98</v>
      </c>
      <c r="L28" s="6">
        <v>16.36</v>
      </c>
      <c r="M28" s="6">
        <v>95.54</v>
      </c>
      <c r="N28" s="6">
        <v>0</v>
      </c>
      <c r="O28" s="6">
        <v>0</v>
      </c>
      <c r="P28" s="6">
        <v>0.95</v>
      </c>
      <c r="Q28" s="6">
        <v>5.0199999999999996</v>
      </c>
    </row>
    <row r="29" spans="1:17" customFormat="1">
      <c r="A29" s="6" t="s">
        <v>835</v>
      </c>
      <c r="B29" s="6">
        <v>23.4</v>
      </c>
      <c r="C29" s="6">
        <v>26.38</v>
      </c>
      <c r="D29" s="6">
        <v>33.9</v>
      </c>
      <c r="E29" s="6">
        <v>6.46</v>
      </c>
      <c r="F29" s="6">
        <v>2.23</v>
      </c>
      <c r="G29" s="6">
        <v>98.39</v>
      </c>
      <c r="H29" s="6">
        <v>52.53</v>
      </c>
      <c r="I29" s="6">
        <v>9.57</v>
      </c>
      <c r="J29" s="6">
        <v>0.82</v>
      </c>
      <c r="K29" s="6">
        <v>46.69</v>
      </c>
      <c r="L29" s="6">
        <v>16.29</v>
      </c>
      <c r="M29" s="6">
        <v>95.99</v>
      </c>
      <c r="N29" s="6">
        <v>0</v>
      </c>
      <c r="O29" s="6">
        <v>0</v>
      </c>
      <c r="P29" s="6">
        <v>0.95</v>
      </c>
      <c r="Q29" s="6">
        <v>5.0199999999999996</v>
      </c>
    </row>
    <row r="30" spans="1:17" customFormat="1">
      <c r="A30" s="6" t="s">
        <v>836</v>
      </c>
      <c r="B30" s="6">
        <v>23.76</v>
      </c>
      <c r="C30" s="6">
        <v>26.53</v>
      </c>
      <c r="D30" s="6">
        <v>34.270000000000003</v>
      </c>
      <c r="E30" s="6">
        <v>6.1</v>
      </c>
      <c r="F30" s="6">
        <v>2.27</v>
      </c>
      <c r="G30" s="6">
        <v>98.39</v>
      </c>
      <c r="H30" s="6">
        <v>52.53</v>
      </c>
      <c r="I30" s="6">
        <v>9.6</v>
      </c>
      <c r="J30" s="6">
        <v>0.55000000000000004</v>
      </c>
      <c r="K30" s="6">
        <v>47.86</v>
      </c>
      <c r="L30" s="6">
        <v>16.11</v>
      </c>
      <c r="M30" s="6">
        <v>96.31</v>
      </c>
      <c r="N30" s="6">
        <v>0</v>
      </c>
      <c r="O30" s="6">
        <v>0</v>
      </c>
      <c r="P30" s="6">
        <v>0.95</v>
      </c>
      <c r="Q30" s="6">
        <v>5.0199999999999996</v>
      </c>
    </row>
    <row r="31" spans="1:17" customFormat="1">
      <c r="A31" s="6" t="s">
        <v>837</v>
      </c>
      <c r="B31" s="6">
        <v>24.13</v>
      </c>
      <c r="C31" s="6">
        <v>26.76</v>
      </c>
      <c r="D31" s="6">
        <v>34.68</v>
      </c>
      <c r="E31" s="6">
        <v>6.6</v>
      </c>
      <c r="F31" s="6">
        <v>2.2200000000000002</v>
      </c>
      <c r="G31" s="6">
        <v>98.39</v>
      </c>
      <c r="H31" s="6">
        <v>52.53</v>
      </c>
      <c r="I31" s="6">
        <v>9.66</v>
      </c>
      <c r="J31" s="6">
        <v>0.67</v>
      </c>
      <c r="K31" s="6">
        <v>44</v>
      </c>
      <c r="L31" s="6">
        <v>16.07</v>
      </c>
      <c r="M31" s="6">
        <v>96.62</v>
      </c>
      <c r="N31" s="6">
        <v>0</v>
      </c>
      <c r="O31" s="6">
        <v>0</v>
      </c>
      <c r="P31" s="6">
        <v>0.95</v>
      </c>
      <c r="Q31" s="6">
        <v>5.0199999999999996</v>
      </c>
    </row>
    <row r="32" spans="1:17" customFormat="1">
      <c r="A32" s="6" t="s">
        <v>838</v>
      </c>
      <c r="B32" s="6">
        <v>24.9</v>
      </c>
      <c r="C32" s="6">
        <v>26.76</v>
      </c>
      <c r="D32" s="6">
        <v>35.299999999999997</v>
      </c>
      <c r="E32" s="6">
        <v>6.91</v>
      </c>
      <c r="F32" s="6">
        <v>2.13</v>
      </c>
      <c r="G32" s="6">
        <v>97.78</v>
      </c>
      <c r="H32" s="6">
        <v>51.98</v>
      </c>
      <c r="I32" s="6">
        <v>9.82</v>
      </c>
      <c r="J32" s="6">
        <v>0.49</v>
      </c>
      <c r="K32" s="6">
        <v>42.64</v>
      </c>
      <c r="L32" s="6">
        <v>16.03</v>
      </c>
      <c r="M32" s="6">
        <v>96.79</v>
      </c>
      <c r="N32" s="6">
        <v>0</v>
      </c>
      <c r="O32" s="6">
        <v>0</v>
      </c>
      <c r="P32" s="6">
        <v>0.97</v>
      </c>
      <c r="Q32" s="6">
        <v>5.0199999999999996</v>
      </c>
    </row>
    <row r="33" spans="1:17" customFormat="1">
      <c r="A33" s="6" t="s">
        <v>839</v>
      </c>
      <c r="B33" s="6">
        <v>26.29</v>
      </c>
      <c r="C33" s="6">
        <v>27.03</v>
      </c>
      <c r="D33" s="6">
        <v>36.549999999999997</v>
      </c>
      <c r="E33" s="6">
        <v>6.36</v>
      </c>
      <c r="F33" s="6">
        <v>2.12</v>
      </c>
      <c r="G33" s="6">
        <v>95.15</v>
      </c>
      <c r="H33" s="6">
        <v>49.48</v>
      </c>
      <c r="I33" s="6">
        <v>10.02</v>
      </c>
      <c r="J33" s="6">
        <v>0.57999999999999996</v>
      </c>
      <c r="K33" s="6">
        <v>41.17</v>
      </c>
      <c r="L33" s="6">
        <v>15.95</v>
      </c>
      <c r="M33" s="6">
        <v>96.83</v>
      </c>
      <c r="N33" s="6">
        <v>0</v>
      </c>
      <c r="O33" s="6">
        <v>0</v>
      </c>
      <c r="P33" s="6">
        <v>0.97</v>
      </c>
      <c r="Q33" s="6">
        <v>5.04</v>
      </c>
    </row>
    <row r="34" spans="1:17" customFormat="1">
      <c r="A34" s="6" t="s">
        <v>840</v>
      </c>
      <c r="B34" s="6">
        <v>27.69</v>
      </c>
      <c r="C34" s="6">
        <v>27.32</v>
      </c>
      <c r="D34" s="6">
        <v>37.83</v>
      </c>
      <c r="E34" s="6">
        <v>6.26</v>
      </c>
      <c r="F34" s="6">
        <v>2.19</v>
      </c>
      <c r="G34" s="6">
        <v>95.15</v>
      </c>
      <c r="H34" s="6">
        <v>49.48</v>
      </c>
      <c r="I34" s="6">
        <v>10.14</v>
      </c>
      <c r="J34" s="6">
        <v>0.32</v>
      </c>
      <c r="K34" s="6">
        <v>52.4</v>
      </c>
      <c r="L34" s="6">
        <v>15.92</v>
      </c>
      <c r="M34" s="6">
        <v>96.98</v>
      </c>
      <c r="N34" s="6">
        <v>0</v>
      </c>
      <c r="O34" s="6">
        <v>0</v>
      </c>
      <c r="P34" s="6">
        <v>0.97</v>
      </c>
      <c r="Q34" s="6">
        <v>5.0599999999999996</v>
      </c>
    </row>
    <row r="35" spans="1:17" customFormat="1">
      <c r="A35" s="6" t="s">
        <v>841</v>
      </c>
      <c r="B35" s="6">
        <v>28.37</v>
      </c>
      <c r="C35" s="6">
        <v>27.88</v>
      </c>
      <c r="D35" s="6">
        <v>38.67</v>
      </c>
      <c r="E35" s="6">
        <v>6.62</v>
      </c>
      <c r="F35" s="6">
        <v>2.1800000000000002</v>
      </c>
      <c r="G35" s="6">
        <v>95.15</v>
      </c>
      <c r="H35" s="6">
        <v>49.48</v>
      </c>
      <c r="I35" s="6">
        <v>10.199999999999999</v>
      </c>
      <c r="J35" s="6">
        <v>0.05</v>
      </c>
      <c r="K35" s="6">
        <v>143.09</v>
      </c>
      <c r="L35" s="6">
        <v>15.87</v>
      </c>
      <c r="M35" s="6">
        <v>97.02</v>
      </c>
      <c r="N35" s="6">
        <v>0</v>
      </c>
      <c r="O35" s="6">
        <v>0</v>
      </c>
      <c r="P35" s="6">
        <v>0.97</v>
      </c>
      <c r="Q35" s="6">
        <v>5.03</v>
      </c>
    </row>
    <row r="36" spans="1:17" customFormat="1">
      <c r="A36" s="6" t="s">
        <v>842</v>
      </c>
      <c r="B36" s="6">
        <v>28.53</v>
      </c>
      <c r="C36" s="6">
        <v>24.69</v>
      </c>
      <c r="D36" s="6">
        <v>37.130000000000003</v>
      </c>
      <c r="E36" s="6">
        <v>5.99</v>
      </c>
      <c r="F36" s="6">
        <v>2.4700000000000002</v>
      </c>
      <c r="G36" s="6">
        <v>94.89</v>
      </c>
      <c r="H36" s="6">
        <v>48.78</v>
      </c>
      <c r="I36" s="6">
        <v>10.24</v>
      </c>
      <c r="J36" s="6">
        <v>0.06</v>
      </c>
      <c r="K36" s="6">
        <v>359.07</v>
      </c>
      <c r="L36" s="6">
        <v>15.81</v>
      </c>
      <c r="M36" s="6">
        <v>97.09</v>
      </c>
      <c r="N36" s="6">
        <v>2.2999999999999998</v>
      </c>
      <c r="O36" s="6">
        <v>0</v>
      </c>
      <c r="P36" s="6">
        <v>0.97</v>
      </c>
      <c r="Q36" s="6">
        <v>5.05</v>
      </c>
    </row>
    <row r="37" spans="1:17" customFormat="1">
      <c r="A37" s="6" t="s">
        <v>843</v>
      </c>
      <c r="B37" s="6">
        <v>28.67</v>
      </c>
      <c r="C37" s="6">
        <v>24.22</v>
      </c>
      <c r="D37" s="6">
        <v>36.99</v>
      </c>
      <c r="E37" s="6">
        <v>6.22</v>
      </c>
      <c r="F37" s="6">
        <v>2.42</v>
      </c>
      <c r="G37" s="6">
        <v>93.75</v>
      </c>
      <c r="H37" s="6">
        <v>46.63</v>
      </c>
      <c r="I37" s="6">
        <v>10.24</v>
      </c>
      <c r="J37" s="6">
        <v>0.65</v>
      </c>
      <c r="K37" s="6">
        <v>54.19</v>
      </c>
      <c r="L37" s="6">
        <v>16.059999999999999</v>
      </c>
      <c r="M37" s="6">
        <v>97.06</v>
      </c>
      <c r="N37" s="6">
        <v>11.9</v>
      </c>
      <c r="O37" s="6">
        <v>0</v>
      </c>
      <c r="P37" s="6">
        <v>0.97</v>
      </c>
      <c r="Q37" s="6">
        <v>5.05</v>
      </c>
    </row>
    <row r="38" spans="1:17" customFormat="1">
      <c r="A38" s="6" t="s">
        <v>844</v>
      </c>
      <c r="B38" s="6">
        <v>29.59</v>
      </c>
      <c r="C38" s="6">
        <v>23.95</v>
      </c>
      <c r="D38" s="6">
        <v>37.590000000000003</v>
      </c>
      <c r="E38" s="6">
        <v>6.35</v>
      </c>
      <c r="F38" s="6">
        <v>2.3199999999999998</v>
      </c>
      <c r="G38" s="6">
        <v>93.75</v>
      </c>
      <c r="H38" s="6">
        <v>46.63</v>
      </c>
      <c r="I38" s="6">
        <v>10.25</v>
      </c>
      <c r="J38" s="6">
        <v>0.57999999999999996</v>
      </c>
      <c r="K38" s="6">
        <v>60.85</v>
      </c>
      <c r="L38" s="6">
        <v>16.309999999999999</v>
      </c>
      <c r="M38" s="6">
        <v>96.21</v>
      </c>
      <c r="N38" s="6">
        <v>25.5</v>
      </c>
      <c r="O38" s="6">
        <v>0</v>
      </c>
      <c r="P38" s="6">
        <v>0.97</v>
      </c>
      <c r="Q38" s="6">
        <v>5.09</v>
      </c>
    </row>
    <row r="39" spans="1:17" customFormat="1">
      <c r="A39" s="6" t="s">
        <v>845</v>
      </c>
      <c r="B39" s="6">
        <v>29.7</v>
      </c>
      <c r="C39" s="6">
        <v>24.63</v>
      </c>
      <c r="D39" s="6">
        <v>38.04</v>
      </c>
      <c r="E39" s="6">
        <v>5.91</v>
      </c>
      <c r="F39" s="6">
        <v>2.25</v>
      </c>
      <c r="G39" s="6">
        <v>93.75</v>
      </c>
      <c r="H39" s="6">
        <v>46.63</v>
      </c>
      <c r="I39" s="6">
        <v>10.33</v>
      </c>
      <c r="J39" s="6">
        <v>0.86</v>
      </c>
      <c r="K39" s="6">
        <v>53.72</v>
      </c>
      <c r="L39" s="6">
        <v>16.559999999999999</v>
      </c>
      <c r="M39" s="6">
        <v>95.04</v>
      </c>
      <c r="N39" s="6">
        <v>35.6</v>
      </c>
      <c r="O39" s="6">
        <v>0</v>
      </c>
      <c r="P39" s="6">
        <v>0.97</v>
      </c>
      <c r="Q39" s="6">
        <v>5.0999999999999996</v>
      </c>
    </row>
    <row r="40" spans="1:17" customFormat="1">
      <c r="A40" s="6" t="s">
        <v>846</v>
      </c>
      <c r="B40" s="6">
        <v>29.81</v>
      </c>
      <c r="C40" s="6">
        <v>25.29</v>
      </c>
      <c r="D40" s="6">
        <v>38.47</v>
      </c>
      <c r="E40" s="6">
        <v>5.86</v>
      </c>
      <c r="F40" s="6">
        <v>2.2000000000000002</v>
      </c>
      <c r="G40" s="6">
        <v>94.81</v>
      </c>
      <c r="H40" s="6">
        <v>47.84</v>
      </c>
      <c r="I40" s="6">
        <v>10.43</v>
      </c>
      <c r="J40" s="6">
        <v>0.45</v>
      </c>
      <c r="K40" s="6">
        <v>68.989999999999995</v>
      </c>
      <c r="L40" s="6">
        <v>16.96</v>
      </c>
      <c r="M40" s="6">
        <v>93.52</v>
      </c>
      <c r="N40" s="6">
        <v>45.3</v>
      </c>
      <c r="O40" s="6">
        <v>0</v>
      </c>
      <c r="P40" s="6">
        <v>0.99</v>
      </c>
      <c r="Q40" s="6">
        <v>5.08</v>
      </c>
    </row>
    <row r="41" spans="1:17" customFormat="1">
      <c r="A41" s="6" t="s">
        <v>847</v>
      </c>
      <c r="B41" s="6">
        <v>29.5</v>
      </c>
      <c r="C41" s="6">
        <v>24.66</v>
      </c>
      <c r="D41" s="6">
        <v>37.89</v>
      </c>
      <c r="E41" s="6">
        <v>6.08</v>
      </c>
      <c r="F41" s="6">
        <v>2.2200000000000002</v>
      </c>
      <c r="G41" s="6">
        <v>99.34</v>
      </c>
      <c r="H41" s="6">
        <v>51.62</v>
      </c>
      <c r="I41" s="6">
        <v>10.54</v>
      </c>
      <c r="J41" s="6">
        <v>0.32</v>
      </c>
      <c r="K41" s="6">
        <v>84.82</v>
      </c>
      <c r="L41" s="6">
        <v>17.600000000000001</v>
      </c>
      <c r="M41" s="6">
        <v>90.01</v>
      </c>
      <c r="N41" s="6">
        <v>82.5</v>
      </c>
      <c r="O41" s="6">
        <v>0</v>
      </c>
      <c r="P41" s="6">
        <v>1</v>
      </c>
      <c r="Q41" s="6">
        <v>5.1100000000000003</v>
      </c>
    </row>
    <row r="42" spans="1:17" customFormat="1">
      <c r="A42" s="6" t="s">
        <v>848</v>
      </c>
      <c r="B42" s="6">
        <v>28.71</v>
      </c>
      <c r="C42" s="6">
        <v>23.98</v>
      </c>
      <c r="D42" s="6">
        <v>36.9</v>
      </c>
      <c r="E42" s="6">
        <v>6.12</v>
      </c>
      <c r="F42" s="6">
        <v>2.3199999999999998</v>
      </c>
      <c r="G42" s="6">
        <v>99.34</v>
      </c>
      <c r="H42" s="6">
        <v>51.62</v>
      </c>
      <c r="I42" s="6">
        <v>10.64</v>
      </c>
      <c r="J42" s="6">
        <v>0.5</v>
      </c>
      <c r="K42" s="6">
        <v>76.42</v>
      </c>
      <c r="L42" s="6">
        <v>18.2</v>
      </c>
      <c r="M42" s="6">
        <v>86.27</v>
      </c>
      <c r="N42" s="6">
        <v>115</v>
      </c>
      <c r="O42" s="6">
        <v>0</v>
      </c>
      <c r="P42" s="6">
        <v>1</v>
      </c>
      <c r="Q42" s="6">
        <v>5.09</v>
      </c>
    </row>
    <row r="43" spans="1:17" customFormat="1">
      <c r="A43" s="6" t="s">
        <v>849</v>
      </c>
      <c r="B43" s="6">
        <v>27.51</v>
      </c>
      <c r="C43" s="6">
        <v>24.63</v>
      </c>
      <c r="D43" s="6">
        <v>36.28</v>
      </c>
      <c r="E43" s="6">
        <v>6.37</v>
      </c>
      <c r="F43" s="6">
        <v>2.38</v>
      </c>
      <c r="G43" s="6">
        <v>99.34</v>
      </c>
      <c r="H43" s="6">
        <v>51.62</v>
      </c>
      <c r="I43" s="6">
        <v>10.79</v>
      </c>
      <c r="J43" s="6">
        <v>0.7</v>
      </c>
      <c r="K43" s="6">
        <v>74.06</v>
      </c>
      <c r="L43" s="6">
        <v>18.89</v>
      </c>
      <c r="M43" s="6">
        <v>82.7</v>
      </c>
      <c r="N43" s="6">
        <v>138.30000000000001</v>
      </c>
      <c r="O43" s="6">
        <v>0</v>
      </c>
      <c r="P43" s="6">
        <v>1.01</v>
      </c>
      <c r="Q43" s="6">
        <v>5.07</v>
      </c>
    </row>
    <row r="44" spans="1:17" customFormat="1">
      <c r="A44" s="6" t="s">
        <v>850</v>
      </c>
      <c r="B44" s="6">
        <v>26.44</v>
      </c>
      <c r="C44" s="6">
        <v>24.03</v>
      </c>
      <c r="D44" s="6">
        <v>35.11</v>
      </c>
      <c r="E44" s="6">
        <v>6.37</v>
      </c>
      <c r="F44" s="6">
        <v>2.4500000000000002</v>
      </c>
      <c r="G44" s="6">
        <v>99.08</v>
      </c>
      <c r="H44" s="6">
        <v>51.71</v>
      </c>
      <c r="I44" s="6">
        <v>10.9</v>
      </c>
      <c r="J44" s="6">
        <v>1.18</v>
      </c>
      <c r="K44" s="6">
        <v>56.81</v>
      </c>
      <c r="L44" s="6">
        <v>19.440000000000001</v>
      </c>
      <c r="M44" s="6">
        <v>79.650000000000006</v>
      </c>
      <c r="N44" s="6">
        <v>165.9</v>
      </c>
      <c r="O44" s="6">
        <v>0</v>
      </c>
      <c r="P44" s="6">
        <v>1</v>
      </c>
      <c r="Q44" s="6">
        <v>5.07</v>
      </c>
    </row>
    <row r="45" spans="1:17" customFormat="1">
      <c r="A45" s="6" t="s">
        <v>851</v>
      </c>
      <c r="B45" s="6">
        <v>25.3</v>
      </c>
      <c r="C45" s="6">
        <v>24.58</v>
      </c>
      <c r="D45" s="6">
        <v>34.479999999999997</v>
      </c>
      <c r="E45" s="6">
        <v>6.55</v>
      </c>
      <c r="F45" s="6">
        <v>2.42</v>
      </c>
      <c r="G45" s="6">
        <v>97.96</v>
      </c>
      <c r="H45" s="6">
        <v>51.98</v>
      </c>
      <c r="I45" s="6">
        <v>11</v>
      </c>
      <c r="J45" s="6">
        <v>0.97</v>
      </c>
      <c r="K45" s="6">
        <v>56.92</v>
      </c>
      <c r="L45" s="6">
        <v>20.22</v>
      </c>
      <c r="M45" s="6">
        <v>76.430000000000007</v>
      </c>
      <c r="N45" s="6">
        <v>154.69999999999999</v>
      </c>
      <c r="O45" s="6">
        <v>0</v>
      </c>
      <c r="P45" s="6">
        <v>0.99</v>
      </c>
      <c r="Q45" s="6">
        <v>5.0599999999999996</v>
      </c>
    </row>
    <row r="46" spans="1:17" customFormat="1">
      <c r="A46" s="6" t="s">
        <v>852</v>
      </c>
      <c r="B46" s="6">
        <v>24.43</v>
      </c>
      <c r="C46" s="6">
        <v>23.49</v>
      </c>
      <c r="D46" s="6">
        <v>33.21</v>
      </c>
      <c r="E46" s="6">
        <v>6.55</v>
      </c>
      <c r="F46" s="6">
        <v>2.56</v>
      </c>
      <c r="G46" s="6">
        <v>97.96</v>
      </c>
      <c r="H46" s="6">
        <v>51.98</v>
      </c>
      <c r="I46" s="6">
        <v>11</v>
      </c>
      <c r="J46" s="6">
        <v>1.41</v>
      </c>
      <c r="K46" s="6">
        <v>60.91</v>
      </c>
      <c r="L46" s="6">
        <v>20.54</v>
      </c>
      <c r="M46" s="6">
        <v>74.2</v>
      </c>
      <c r="N46" s="6">
        <v>126.2</v>
      </c>
      <c r="O46" s="6">
        <v>0</v>
      </c>
      <c r="P46" s="6">
        <v>0.98</v>
      </c>
      <c r="Q46" s="6">
        <v>5.04</v>
      </c>
    </row>
    <row r="47" spans="1:17" customFormat="1">
      <c r="A47" s="6" t="s">
        <v>853</v>
      </c>
      <c r="B47" s="6">
        <v>23.31</v>
      </c>
      <c r="C47" s="6">
        <v>23.79</v>
      </c>
      <c r="D47" s="6">
        <v>32.479999999999997</v>
      </c>
      <c r="E47" s="6">
        <v>6.32</v>
      </c>
      <c r="F47" s="6">
        <v>2.4500000000000002</v>
      </c>
      <c r="G47" s="6">
        <v>97.96</v>
      </c>
      <c r="H47" s="6">
        <v>51.98</v>
      </c>
      <c r="I47" s="6">
        <v>10.92</v>
      </c>
      <c r="J47" s="6">
        <v>0.54</v>
      </c>
      <c r="K47" s="6">
        <v>99.3</v>
      </c>
      <c r="L47" s="6">
        <v>21.57</v>
      </c>
      <c r="M47" s="6">
        <v>68.45</v>
      </c>
      <c r="N47" s="6">
        <v>130.5</v>
      </c>
      <c r="O47" s="6">
        <v>0</v>
      </c>
      <c r="P47" s="6">
        <v>0.98</v>
      </c>
      <c r="Q47" s="6">
        <v>5.04</v>
      </c>
    </row>
    <row r="48" spans="1:17" customFormat="1">
      <c r="A48" s="6" t="s">
        <v>854</v>
      </c>
      <c r="B48" s="6">
        <v>22.22</v>
      </c>
      <c r="C48" s="6">
        <v>22.31</v>
      </c>
      <c r="D48" s="6">
        <v>30.82</v>
      </c>
      <c r="E48" s="6">
        <v>6.12</v>
      </c>
      <c r="F48" s="6">
        <v>2.73</v>
      </c>
      <c r="G48" s="6">
        <v>97.82</v>
      </c>
      <c r="H48" s="6">
        <v>51.56</v>
      </c>
      <c r="I48" s="6">
        <v>10.85</v>
      </c>
      <c r="J48" s="6">
        <v>1.02</v>
      </c>
      <c r="K48" s="6">
        <v>58.06</v>
      </c>
      <c r="L48" s="6">
        <v>22.22</v>
      </c>
      <c r="M48" s="6">
        <v>66.489999999999995</v>
      </c>
      <c r="N48" s="6">
        <v>187.1</v>
      </c>
      <c r="O48" s="6">
        <v>0</v>
      </c>
      <c r="P48" s="6">
        <v>0.97</v>
      </c>
      <c r="Q48" s="6">
        <v>5.03</v>
      </c>
    </row>
    <row r="49" spans="1:17" customFormat="1">
      <c r="A49" s="6" t="s">
        <v>855</v>
      </c>
      <c r="B49" s="6">
        <v>21.33</v>
      </c>
      <c r="C49" s="6">
        <v>23.45</v>
      </c>
      <c r="D49" s="6">
        <v>30.71</v>
      </c>
      <c r="E49" s="6">
        <v>7.29</v>
      </c>
      <c r="F49" s="6">
        <v>2.48</v>
      </c>
      <c r="G49" s="6">
        <v>97.19</v>
      </c>
      <c r="H49" s="6">
        <v>50.25</v>
      </c>
      <c r="I49" s="6">
        <v>10.75</v>
      </c>
      <c r="J49" s="6">
        <v>1.19</v>
      </c>
      <c r="K49" s="6">
        <v>60.53</v>
      </c>
      <c r="L49" s="6">
        <v>22.53</v>
      </c>
      <c r="M49" s="6">
        <v>64.27</v>
      </c>
      <c r="N49" s="6">
        <v>289.5</v>
      </c>
      <c r="O49" s="6">
        <v>0</v>
      </c>
      <c r="P49" s="6">
        <v>0.98</v>
      </c>
      <c r="Q49" s="6">
        <v>5.0199999999999996</v>
      </c>
    </row>
    <row r="50" spans="1:17" customFormat="1">
      <c r="A50" s="6" t="s">
        <v>856</v>
      </c>
      <c r="B50" s="6">
        <v>20.37</v>
      </c>
      <c r="C50" s="6">
        <v>23.57</v>
      </c>
      <c r="D50" s="6">
        <v>30</v>
      </c>
      <c r="E50" s="6">
        <v>8.69</v>
      </c>
      <c r="F50" s="6">
        <v>2.56</v>
      </c>
      <c r="G50" s="6">
        <v>97.19</v>
      </c>
      <c r="H50" s="6">
        <v>50.25</v>
      </c>
      <c r="I50" s="6">
        <v>10.66</v>
      </c>
      <c r="J50" s="6">
        <v>0.64</v>
      </c>
      <c r="K50" s="6">
        <v>61.93</v>
      </c>
      <c r="L50" s="6">
        <v>23.39</v>
      </c>
      <c r="M50" s="6">
        <v>60.82</v>
      </c>
      <c r="N50" s="6">
        <v>299.8</v>
      </c>
      <c r="O50" s="6">
        <v>0</v>
      </c>
      <c r="P50" s="6">
        <v>0.96</v>
      </c>
      <c r="Q50" s="6">
        <v>5.01</v>
      </c>
    </row>
    <row r="51" spans="1:17" customFormat="1">
      <c r="A51" s="6" t="s">
        <v>857</v>
      </c>
      <c r="B51" s="6">
        <v>19.46</v>
      </c>
      <c r="C51" s="6">
        <v>22.35</v>
      </c>
      <c r="D51" s="6">
        <v>28.63</v>
      </c>
      <c r="E51" s="6">
        <v>8.2100000000000009</v>
      </c>
      <c r="F51" s="6">
        <v>2.58</v>
      </c>
      <c r="G51" s="6">
        <v>97.19</v>
      </c>
      <c r="H51" s="6">
        <v>50.25</v>
      </c>
      <c r="I51" s="6">
        <v>10.6</v>
      </c>
      <c r="J51" s="6">
        <v>0.81</v>
      </c>
      <c r="K51" s="6">
        <v>60.22</v>
      </c>
      <c r="L51" s="6">
        <v>24.03</v>
      </c>
      <c r="M51" s="6">
        <v>57.6</v>
      </c>
      <c r="N51" s="6">
        <v>321.3</v>
      </c>
      <c r="O51" s="6">
        <v>0</v>
      </c>
      <c r="P51" s="6">
        <v>0.95</v>
      </c>
      <c r="Q51" s="6">
        <v>5.01</v>
      </c>
    </row>
    <row r="52" spans="1:17" customFormat="1">
      <c r="A52" s="6" t="s">
        <v>858</v>
      </c>
      <c r="B52" s="6">
        <v>18.41</v>
      </c>
      <c r="C52" s="6">
        <v>23.52</v>
      </c>
      <c r="D52" s="6">
        <v>28.4</v>
      </c>
      <c r="E52" s="6">
        <v>8.19</v>
      </c>
      <c r="F52" s="6">
        <v>2.4500000000000002</v>
      </c>
      <c r="G52" s="6">
        <v>96.61</v>
      </c>
      <c r="H52" s="6">
        <v>49.68</v>
      </c>
      <c r="I52" s="6">
        <v>10.57</v>
      </c>
      <c r="J52" s="6">
        <v>0.62</v>
      </c>
      <c r="K52" s="6">
        <v>73.239999999999995</v>
      </c>
      <c r="L52" s="6">
        <v>24.55</v>
      </c>
      <c r="M52" s="6">
        <v>53.99</v>
      </c>
      <c r="N52" s="6">
        <v>343</v>
      </c>
      <c r="O52" s="6">
        <v>0</v>
      </c>
      <c r="P52" s="6">
        <v>0.96</v>
      </c>
      <c r="Q52" s="6">
        <v>4.99</v>
      </c>
    </row>
    <row r="53" spans="1:17" customFormat="1">
      <c r="A53" s="6" t="s">
        <v>859</v>
      </c>
      <c r="B53" s="6">
        <v>17.170000000000002</v>
      </c>
      <c r="C53" s="6">
        <v>22.66</v>
      </c>
      <c r="D53" s="6">
        <v>26.96</v>
      </c>
      <c r="E53" s="6">
        <v>8.18</v>
      </c>
      <c r="F53" s="6">
        <v>2.76</v>
      </c>
      <c r="G53" s="6">
        <v>94.09</v>
      </c>
      <c r="H53" s="6">
        <v>47.87</v>
      </c>
      <c r="I53" s="6">
        <v>10.54</v>
      </c>
      <c r="J53" s="6">
        <v>1.07</v>
      </c>
      <c r="K53" s="6">
        <v>51.16</v>
      </c>
      <c r="L53" s="6">
        <v>24.98</v>
      </c>
      <c r="M53" s="6">
        <v>51.57</v>
      </c>
      <c r="N53" s="6">
        <v>330.2</v>
      </c>
      <c r="O53" s="6">
        <v>0</v>
      </c>
      <c r="P53" s="6">
        <v>0.95</v>
      </c>
      <c r="Q53" s="6">
        <v>5</v>
      </c>
    </row>
    <row r="54" spans="1:17" customFormat="1">
      <c r="A54" s="6" t="s">
        <v>860</v>
      </c>
      <c r="B54" s="6">
        <v>15.66</v>
      </c>
      <c r="C54" s="6">
        <v>22.76</v>
      </c>
      <c r="D54" s="6">
        <v>25.8</v>
      </c>
      <c r="E54" s="6">
        <v>9.32</v>
      </c>
      <c r="F54" s="6">
        <v>3.63</v>
      </c>
      <c r="G54" s="6">
        <v>94.09</v>
      </c>
      <c r="H54" s="6">
        <v>47.87</v>
      </c>
      <c r="I54" s="6">
        <v>10.44</v>
      </c>
      <c r="J54" s="6">
        <v>1.24</v>
      </c>
      <c r="K54" s="6">
        <v>40.83</v>
      </c>
      <c r="L54" s="6">
        <v>25.09</v>
      </c>
      <c r="M54" s="6">
        <v>48.87</v>
      </c>
      <c r="N54" s="6">
        <v>367.6</v>
      </c>
      <c r="O54" s="6">
        <v>0</v>
      </c>
      <c r="P54" s="6">
        <v>0.94</v>
      </c>
      <c r="Q54" s="6">
        <v>4.99</v>
      </c>
    </row>
    <row r="55" spans="1:17" customFormat="1">
      <c r="A55" s="6" t="s">
        <v>861</v>
      </c>
      <c r="B55" s="6">
        <v>13.75</v>
      </c>
      <c r="C55" s="6">
        <v>24</v>
      </c>
      <c r="D55" s="6">
        <v>24.92</v>
      </c>
      <c r="E55" s="6">
        <v>8.5500000000000007</v>
      </c>
      <c r="F55" s="6">
        <v>3.43</v>
      </c>
      <c r="G55" s="6">
        <v>94.09</v>
      </c>
      <c r="H55" s="6">
        <v>47.87</v>
      </c>
      <c r="I55" s="6">
        <v>10.32</v>
      </c>
      <c r="J55" s="6">
        <v>1.1399999999999999</v>
      </c>
      <c r="K55" s="6">
        <v>56.09</v>
      </c>
      <c r="L55" s="6">
        <v>25.42</v>
      </c>
      <c r="M55" s="6">
        <v>47.86</v>
      </c>
      <c r="N55" s="6">
        <v>378.1</v>
      </c>
      <c r="O55" s="6">
        <v>0</v>
      </c>
      <c r="P55" s="6">
        <v>0.93</v>
      </c>
      <c r="Q55" s="6">
        <v>4.9800000000000004</v>
      </c>
    </row>
    <row r="56" spans="1:17" customFormat="1">
      <c r="A56" s="6" t="s">
        <v>862</v>
      </c>
      <c r="B56" s="6">
        <v>12.02</v>
      </c>
      <c r="C56" s="6">
        <v>24.73</v>
      </c>
      <c r="D56" s="6">
        <v>23.91</v>
      </c>
      <c r="E56" s="6">
        <v>7.89</v>
      </c>
      <c r="F56" s="6">
        <v>3.14</v>
      </c>
      <c r="G56" s="6">
        <v>93.18</v>
      </c>
      <c r="H56" s="6">
        <v>47.66</v>
      </c>
      <c r="I56" s="6">
        <v>10.15</v>
      </c>
      <c r="J56" s="6">
        <v>0.65</v>
      </c>
      <c r="K56" s="6">
        <v>66.22</v>
      </c>
      <c r="L56" s="6">
        <v>26.25</v>
      </c>
      <c r="M56" s="6">
        <v>45.99</v>
      </c>
      <c r="N56" s="6">
        <v>380</v>
      </c>
      <c r="O56" s="6">
        <v>0</v>
      </c>
      <c r="P56" s="6">
        <v>0.92</v>
      </c>
      <c r="Q56" s="6">
        <v>4.96</v>
      </c>
    </row>
    <row r="57" spans="1:17" customFormat="1">
      <c r="A57" s="6" t="s">
        <v>863</v>
      </c>
      <c r="B57" s="6">
        <v>10.27</v>
      </c>
      <c r="C57" s="6">
        <v>25.42</v>
      </c>
      <c r="D57" s="6">
        <v>22.87</v>
      </c>
      <c r="E57" s="6">
        <v>8.43</v>
      </c>
      <c r="F57" s="6">
        <v>3.23</v>
      </c>
      <c r="G57" s="6">
        <v>89.27</v>
      </c>
      <c r="H57" s="6">
        <v>46.59</v>
      </c>
      <c r="I57" s="6">
        <v>9.93</v>
      </c>
      <c r="J57" s="6">
        <v>0.88</v>
      </c>
      <c r="K57" s="6">
        <v>64.569999999999993</v>
      </c>
      <c r="L57" s="6">
        <v>26.66</v>
      </c>
      <c r="M57" s="6">
        <v>43.66</v>
      </c>
      <c r="N57" s="6">
        <v>389.5</v>
      </c>
      <c r="O57" s="6">
        <v>0</v>
      </c>
      <c r="P57" s="6">
        <v>0.91</v>
      </c>
      <c r="Q57" s="6">
        <v>4.96</v>
      </c>
    </row>
    <row r="58" spans="1:17" customFormat="1">
      <c r="A58" s="6" t="s">
        <v>864</v>
      </c>
      <c r="B58" s="6">
        <v>8.85</v>
      </c>
      <c r="C58" s="6">
        <v>25.53</v>
      </c>
      <c r="D58" s="6">
        <v>21.79</v>
      </c>
      <c r="E58" s="6">
        <v>8.1199999999999992</v>
      </c>
      <c r="F58" s="6">
        <v>3.49</v>
      </c>
      <c r="G58" s="6">
        <v>89.27</v>
      </c>
      <c r="H58" s="6">
        <v>46.59</v>
      </c>
      <c r="I58" s="6">
        <v>9.7200000000000006</v>
      </c>
      <c r="J58" s="6">
        <v>0.95</v>
      </c>
      <c r="K58" s="6">
        <v>55.24</v>
      </c>
      <c r="L58" s="6">
        <v>26.94</v>
      </c>
      <c r="M58" s="6">
        <v>42.9</v>
      </c>
      <c r="N58" s="6">
        <v>392.5</v>
      </c>
      <c r="O58" s="6">
        <v>0</v>
      </c>
      <c r="P58" s="6">
        <v>0.9</v>
      </c>
      <c r="Q58" s="6">
        <v>4.92</v>
      </c>
    </row>
    <row r="59" spans="1:17" customFormat="1">
      <c r="A59" s="6" t="s">
        <v>865</v>
      </c>
      <c r="B59" s="6">
        <v>7.83</v>
      </c>
      <c r="C59" s="6">
        <v>25.56</v>
      </c>
      <c r="D59" s="6">
        <v>20.99</v>
      </c>
      <c r="E59" s="6">
        <v>8.44</v>
      </c>
      <c r="F59" s="6">
        <v>3.56</v>
      </c>
      <c r="G59" s="6">
        <v>89.27</v>
      </c>
      <c r="H59" s="6">
        <v>46.59</v>
      </c>
      <c r="I59" s="6">
        <v>9.5399999999999991</v>
      </c>
      <c r="J59" s="6">
        <v>0.56999999999999995</v>
      </c>
      <c r="K59" s="6">
        <v>63.27</v>
      </c>
      <c r="L59" s="6">
        <v>27.41</v>
      </c>
      <c r="M59" s="6">
        <v>39.71</v>
      </c>
      <c r="N59" s="6">
        <v>393.6</v>
      </c>
      <c r="O59" s="6">
        <v>0</v>
      </c>
      <c r="P59" s="6">
        <v>0.88</v>
      </c>
      <c r="Q59" s="6">
        <v>4.8899999999999997</v>
      </c>
    </row>
    <row r="60" spans="1:17" customFormat="1">
      <c r="A60" s="6" t="s">
        <v>866</v>
      </c>
      <c r="B60" s="6">
        <v>7.02</v>
      </c>
      <c r="C60" s="6">
        <v>25.15</v>
      </c>
      <c r="D60" s="6">
        <v>20.12</v>
      </c>
      <c r="E60" s="6">
        <v>8.1</v>
      </c>
      <c r="F60" s="6">
        <v>4.05</v>
      </c>
      <c r="G60" s="6">
        <v>87.43</v>
      </c>
      <c r="H60" s="6">
        <v>44.99</v>
      </c>
      <c r="I60" s="6">
        <v>9.3699999999999992</v>
      </c>
      <c r="J60" s="6">
        <v>0.7</v>
      </c>
      <c r="K60" s="6">
        <v>65.39</v>
      </c>
      <c r="L60" s="6">
        <v>27.44</v>
      </c>
      <c r="M60" s="6">
        <v>40</v>
      </c>
      <c r="N60" s="6">
        <v>380.7</v>
      </c>
      <c r="O60" s="6">
        <v>0</v>
      </c>
      <c r="P60" s="6">
        <v>0.86</v>
      </c>
      <c r="Q60" s="6">
        <v>4.88</v>
      </c>
    </row>
    <row r="61" spans="1:17" customFormat="1">
      <c r="A61" s="6" t="s">
        <v>867</v>
      </c>
      <c r="B61" s="6">
        <v>6.42</v>
      </c>
      <c r="C61" s="6">
        <v>24.73</v>
      </c>
      <c r="D61" s="6">
        <v>19.420000000000002</v>
      </c>
      <c r="E61" s="6">
        <v>7.71</v>
      </c>
      <c r="F61" s="6">
        <v>4.0599999999999996</v>
      </c>
      <c r="G61" s="6">
        <v>79.510000000000005</v>
      </c>
      <c r="H61" s="6">
        <v>40</v>
      </c>
      <c r="I61" s="6">
        <v>9.16</v>
      </c>
      <c r="J61" s="6">
        <v>0.51</v>
      </c>
      <c r="K61" s="6">
        <v>79.23</v>
      </c>
      <c r="L61" s="6">
        <v>27.91</v>
      </c>
      <c r="M61" s="6">
        <v>40.049999999999997</v>
      </c>
      <c r="N61" s="6">
        <v>355.5</v>
      </c>
      <c r="O61" s="6">
        <v>0</v>
      </c>
      <c r="P61" s="6">
        <v>0.85</v>
      </c>
      <c r="Q61" s="6">
        <v>4.87</v>
      </c>
    </row>
    <row r="62" spans="1:17" customFormat="1">
      <c r="A62" s="6" t="s">
        <v>868</v>
      </c>
      <c r="B62" s="6">
        <v>5.94</v>
      </c>
      <c r="C62" s="6">
        <v>24.06</v>
      </c>
      <c r="D62" s="6">
        <v>18.68</v>
      </c>
      <c r="E62" s="6">
        <v>7.48</v>
      </c>
      <c r="F62" s="6">
        <v>4.21</v>
      </c>
      <c r="G62" s="6">
        <v>79.510000000000005</v>
      </c>
      <c r="H62" s="6">
        <v>40</v>
      </c>
      <c r="I62" s="6">
        <v>8.94</v>
      </c>
      <c r="J62" s="6">
        <v>0.43</v>
      </c>
      <c r="K62" s="6">
        <v>72.88</v>
      </c>
      <c r="L62" s="6">
        <v>28.34</v>
      </c>
      <c r="M62" s="6">
        <v>38.82</v>
      </c>
      <c r="N62" s="6">
        <v>350</v>
      </c>
      <c r="O62" s="6">
        <v>0</v>
      </c>
      <c r="P62" s="6">
        <v>0.83</v>
      </c>
      <c r="Q62" s="6">
        <v>4.84</v>
      </c>
    </row>
    <row r="63" spans="1:17" customFormat="1">
      <c r="A63" s="6" t="s">
        <v>869</v>
      </c>
      <c r="B63" s="6">
        <v>5.55</v>
      </c>
      <c r="C63" s="6">
        <v>23.45</v>
      </c>
      <c r="D63" s="6">
        <v>18.059999999999999</v>
      </c>
      <c r="E63" s="6">
        <v>7.86</v>
      </c>
      <c r="F63" s="6">
        <v>4.25</v>
      </c>
      <c r="G63" s="6">
        <v>79.510000000000005</v>
      </c>
      <c r="H63" s="6">
        <v>40</v>
      </c>
      <c r="I63" s="6">
        <v>8.7200000000000006</v>
      </c>
      <c r="J63" s="6">
        <v>0.46</v>
      </c>
      <c r="K63" s="6">
        <v>88.06</v>
      </c>
      <c r="L63" s="6">
        <v>28.39</v>
      </c>
      <c r="M63" s="6">
        <v>38.08</v>
      </c>
      <c r="N63" s="6">
        <v>340.4</v>
      </c>
      <c r="O63" s="6">
        <v>0</v>
      </c>
      <c r="P63" s="6">
        <v>0.82</v>
      </c>
      <c r="Q63" s="6">
        <v>4.83</v>
      </c>
    </row>
    <row r="64" spans="1:17" customFormat="1">
      <c r="A64" s="6" t="s">
        <v>870</v>
      </c>
      <c r="B64" s="6">
        <v>5.36</v>
      </c>
      <c r="C64" s="6">
        <v>22.72</v>
      </c>
      <c r="D64" s="6">
        <v>17.52</v>
      </c>
      <c r="E64" s="6">
        <v>7.8</v>
      </c>
      <c r="F64" s="6">
        <v>4.33</v>
      </c>
      <c r="G64" s="6">
        <v>78.5</v>
      </c>
      <c r="H64" s="6">
        <v>39.369999999999997</v>
      </c>
      <c r="I64" s="6">
        <v>8.5399999999999991</v>
      </c>
      <c r="J64" s="6">
        <v>0.28999999999999998</v>
      </c>
      <c r="K64" s="6">
        <v>107.03</v>
      </c>
      <c r="L64" s="6">
        <v>28.27</v>
      </c>
      <c r="M64" s="6">
        <v>38.75</v>
      </c>
      <c r="N64" s="6">
        <v>316.7</v>
      </c>
      <c r="O64" s="6">
        <v>0</v>
      </c>
      <c r="P64" s="6">
        <v>0.79</v>
      </c>
      <c r="Q64" s="6">
        <v>4.83</v>
      </c>
    </row>
    <row r="65" spans="1:17" customFormat="1">
      <c r="A65" s="6" t="s">
        <v>871</v>
      </c>
      <c r="B65" s="6">
        <v>5.25</v>
      </c>
      <c r="C65" s="6">
        <v>22.12</v>
      </c>
      <c r="D65" s="6">
        <v>17.12</v>
      </c>
      <c r="E65" s="6">
        <v>8.14</v>
      </c>
      <c r="F65" s="6">
        <v>4.38</v>
      </c>
      <c r="G65" s="6">
        <v>74.16</v>
      </c>
      <c r="H65" s="6">
        <v>37.4</v>
      </c>
      <c r="I65" s="6">
        <v>8.33</v>
      </c>
      <c r="J65" s="6">
        <v>0.69</v>
      </c>
      <c r="K65" s="6">
        <v>66.33</v>
      </c>
      <c r="L65" s="6">
        <v>28.36</v>
      </c>
      <c r="M65" s="6">
        <v>38.61</v>
      </c>
      <c r="N65" s="6">
        <v>255.3</v>
      </c>
      <c r="O65" s="6">
        <v>0</v>
      </c>
      <c r="P65" s="6">
        <v>0.75</v>
      </c>
      <c r="Q65" s="6">
        <v>4.8099999999999996</v>
      </c>
    </row>
    <row r="66" spans="1:17" customFormat="1">
      <c r="A66" s="6" t="s">
        <v>872</v>
      </c>
      <c r="B66" s="6">
        <v>5.14</v>
      </c>
      <c r="C66" s="6">
        <v>21.77</v>
      </c>
      <c r="D66" s="6">
        <v>16.84</v>
      </c>
      <c r="E66" s="6">
        <v>7.91</v>
      </c>
      <c r="F66" s="6">
        <v>4.62</v>
      </c>
      <c r="G66" s="6">
        <v>74.16</v>
      </c>
      <c r="H66" s="6">
        <v>37.4</v>
      </c>
      <c r="I66" s="6">
        <v>8.1300000000000008</v>
      </c>
      <c r="J66" s="6">
        <v>0.6</v>
      </c>
      <c r="K66" s="6">
        <v>81</v>
      </c>
      <c r="L66" s="6">
        <v>27.81</v>
      </c>
      <c r="M66" s="6">
        <v>39.159999999999997</v>
      </c>
      <c r="N66" s="6">
        <v>134.69999999999999</v>
      </c>
      <c r="O66" s="6">
        <v>0</v>
      </c>
      <c r="P66" s="6">
        <v>0.76</v>
      </c>
      <c r="Q66" s="6">
        <v>4.8099999999999996</v>
      </c>
    </row>
    <row r="67" spans="1:17" customFormat="1">
      <c r="A67" s="6" t="s">
        <v>873</v>
      </c>
      <c r="B67" s="6">
        <v>5.21</v>
      </c>
      <c r="C67" s="6">
        <v>21.6</v>
      </c>
      <c r="D67" s="6">
        <v>16.809999999999999</v>
      </c>
      <c r="E67" s="6">
        <v>8.35</v>
      </c>
      <c r="F67" s="6">
        <v>4.8099999999999996</v>
      </c>
      <c r="G67" s="6">
        <v>74.16</v>
      </c>
      <c r="H67" s="6">
        <v>37.4</v>
      </c>
      <c r="I67" s="6">
        <v>7.97</v>
      </c>
      <c r="J67" s="6">
        <v>0.96</v>
      </c>
      <c r="K67" s="6">
        <v>60.49</v>
      </c>
      <c r="L67" s="6">
        <v>27.76</v>
      </c>
      <c r="M67" s="6">
        <v>38.69</v>
      </c>
      <c r="N67" s="6">
        <v>113.5</v>
      </c>
      <c r="O67" s="6">
        <v>0</v>
      </c>
      <c r="P67" s="6">
        <v>0.75</v>
      </c>
      <c r="Q67" s="6">
        <v>4.8099999999999996</v>
      </c>
    </row>
    <row r="68" spans="1:17" customFormat="1">
      <c r="A68" s="6" t="s">
        <v>874</v>
      </c>
      <c r="B68" s="6">
        <v>5.17</v>
      </c>
      <c r="C68" s="6">
        <v>21.51</v>
      </c>
      <c r="D68" s="6">
        <v>16.739999999999998</v>
      </c>
      <c r="E68" s="6">
        <v>8.16</v>
      </c>
      <c r="F68" s="6">
        <v>4.8899999999999997</v>
      </c>
      <c r="G68" s="6">
        <v>73.349999999999994</v>
      </c>
      <c r="H68" s="6">
        <v>36.85</v>
      </c>
      <c r="I68" s="6">
        <v>7.79</v>
      </c>
      <c r="J68" s="6">
        <v>0.54</v>
      </c>
      <c r="K68" s="6">
        <v>81.099999999999994</v>
      </c>
      <c r="L68" s="6">
        <v>27.78</v>
      </c>
      <c r="M68" s="6">
        <v>38.81</v>
      </c>
      <c r="N68" s="6">
        <v>91.3</v>
      </c>
      <c r="O68" s="6">
        <v>0</v>
      </c>
      <c r="P68" s="6">
        <v>0.74</v>
      </c>
      <c r="Q68" s="6">
        <v>4.78</v>
      </c>
    </row>
    <row r="69" spans="1:17" customFormat="1">
      <c r="A69" s="6" t="s">
        <v>875</v>
      </c>
      <c r="B69" s="6">
        <v>5.31</v>
      </c>
      <c r="C69" s="6">
        <v>21.37</v>
      </c>
      <c r="D69" s="6">
        <v>16.78</v>
      </c>
      <c r="E69" s="6">
        <v>8.14</v>
      </c>
      <c r="F69" s="6">
        <v>5.0199999999999996</v>
      </c>
      <c r="G69" s="6">
        <v>69.86</v>
      </c>
      <c r="H69" s="6">
        <v>35.26</v>
      </c>
      <c r="I69" s="6">
        <v>7.64</v>
      </c>
      <c r="J69" s="6">
        <v>1.03</v>
      </c>
      <c r="K69" s="6">
        <v>57.88</v>
      </c>
      <c r="L69" s="6">
        <v>27.48</v>
      </c>
      <c r="M69" s="6">
        <v>38.880000000000003</v>
      </c>
      <c r="N69" s="6">
        <v>80.099999999999994</v>
      </c>
      <c r="O69" s="6">
        <v>0</v>
      </c>
      <c r="P69" s="6">
        <v>0.72</v>
      </c>
      <c r="Q69" s="6">
        <v>4.8</v>
      </c>
    </row>
    <row r="70" spans="1:17" customFormat="1">
      <c r="A70" s="6" t="s">
        <v>876</v>
      </c>
      <c r="B70" s="6">
        <v>5.36</v>
      </c>
      <c r="C70" s="6">
        <v>21.45</v>
      </c>
      <c r="D70" s="6">
        <v>16.86</v>
      </c>
      <c r="E70" s="6">
        <v>8.61</v>
      </c>
      <c r="F70" s="6">
        <v>5.24</v>
      </c>
      <c r="G70" s="6">
        <v>69.86</v>
      </c>
      <c r="H70" s="6">
        <v>35.26</v>
      </c>
      <c r="I70" s="6">
        <v>7.47</v>
      </c>
      <c r="J70" s="6">
        <v>0.4</v>
      </c>
      <c r="K70" s="6">
        <v>92.79</v>
      </c>
      <c r="L70" s="6">
        <v>27.56</v>
      </c>
      <c r="M70" s="6">
        <v>39.119999999999997</v>
      </c>
      <c r="N70" s="6">
        <v>70.599999999999994</v>
      </c>
      <c r="O70" s="6">
        <v>0</v>
      </c>
      <c r="P70" s="6">
        <v>0.72</v>
      </c>
      <c r="Q70" s="6">
        <v>4.82</v>
      </c>
    </row>
    <row r="71" spans="1:17" customFormat="1">
      <c r="A71" s="6" t="s">
        <v>877</v>
      </c>
      <c r="B71" s="6">
        <v>5.35</v>
      </c>
      <c r="C71" s="6">
        <v>21.36</v>
      </c>
      <c r="D71" s="6">
        <v>16.809999999999999</v>
      </c>
      <c r="E71" s="6">
        <v>8.1300000000000008</v>
      </c>
      <c r="F71" s="6">
        <v>5.22</v>
      </c>
      <c r="G71" s="6">
        <v>69.86</v>
      </c>
      <c r="H71" s="6">
        <v>35.26</v>
      </c>
      <c r="I71" s="6">
        <v>7.36</v>
      </c>
      <c r="J71" s="6">
        <v>1.01</v>
      </c>
      <c r="K71" s="6">
        <v>62.52</v>
      </c>
      <c r="L71" s="6">
        <v>27.28</v>
      </c>
      <c r="M71" s="6">
        <v>39.06</v>
      </c>
      <c r="N71" s="6">
        <v>61.8</v>
      </c>
      <c r="O71" s="6">
        <v>0</v>
      </c>
      <c r="P71" s="6">
        <v>0.71</v>
      </c>
      <c r="Q71" s="6">
        <v>4.79</v>
      </c>
    </row>
    <row r="72" spans="1:17" customFormat="1">
      <c r="A72" s="6" t="s">
        <v>878</v>
      </c>
      <c r="B72" s="6">
        <v>5.3</v>
      </c>
      <c r="C72" s="6">
        <v>21.63</v>
      </c>
      <c r="D72" s="6">
        <v>16.899999999999999</v>
      </c>
      <c r="E72" s="6">
        <v>8.23</v>
      </c>
      <c r="F72" s="6">
        <v>4.6399999999999997</v>
      </c>
      <c r="G72" s="6">
        <v>69.03</v>
      </c>
      <c r="H72" s="6">
        <v>34.82</v>
      </c>
      <c r="I72" s="6">
        <v>7.27</v>
      </c>
      <c r="J72" s="6">
        <v>0.84</v>
      </c>
      <c r="K72" s="6">
        <v>62.37</v>
      </c>
      <c r="L72" s="6">
        <v>27.15</v>
      </c>
      <c r="M72" s="6">
        <v>39.909999999999997</v>
      </c>
      <c r="N72" s="6">
        <v>50.7</v>
      </c>
      <c r="O72" s="6">
        <v>0</v>
      </c>
      <c r="P72" s="6">
        <v>0.71</v>
      </c>
      <c r="Q72" s="6">
        <v>4.78</v>
      </c>
    </row>
    <row r="73" spans="1:17" customFormat="1">
      <c r="A73" s="6" t="s">
        <v>879</v>
      </c>
      <c r="B73" s="6">
        <v>5.45</v>
      </c>
      <c r="C73" s="6">
        <v>22.04</v>
      </c>
      <c r="D73" s="6">
        <v>17.239999999999998</v>
      </c>
      <c r="E73" s="6">
        <v>8.58</v>
      </c>
      <c r="F73" s="6">
        <v>4.29</v>
      </c>
      <c r="G73" s="6">
        <v>65.5</v>
      </c>
      <c r="H73" s="6">
        <v>33.46</v>
      </c>
      <c r="I73" s="6">
        <v>7.13</v>
      </c>
      <c r="J73" s="6">
        <v>1.25</v>
      </c>
      <c r="K73" s="6">
        <v>53.44</v>
      </c>
      <c r="L73" s="6">
        <v>26.72</v>
      </c>
      <c r="M73" s="6">
        <v>42.17</v>
      </c>
      <c r="N73" s="6">
        <v>40.1</v>
      </c>
      <c r="O73" s="6">
        <v>0</v>
      </c>
      <c r="P73" s="6">
        <v>0.7</v>
      </c>
      <c r="Q73" s="6">
        <v>4.79</v>
      </c>
    </row>
    <row r="74" spans="1:17" customFormat="1">
      <c r="A74" s="6" t="s">
        <v>880</v>
      </c>
      <c r="B74" s="6">
        <v>5.56</v>
      </c>
      <c r="C74" s="6">
        <v>23.32</v>
      </c>
      <c r="D74" s="6">
        <v>17.989999999999998</v>
      </c>
      <c r="E74" s="6">
        <v>8.5</v>
      </c>
      <c r="F74" s="6">
        <v>3.81</v>
      </c>
      <c r="G74" s="6">
        <v>65.5</v>
      </c>
      <c r="H74" s="6">
        <v>33.46</v>
      </c>
      <c r="I74" s="6">
        <v>7.01</v>
      </c>
      <c r="J74" s="6">
        <v>1.21</v>
      </c>
      <c r="K74" s="6">
        <v>51.91</v>
      </c>
      <c r="L74" s="6">
        <v>26.4</v>
      </c>
      <c r="M74" s="6">
        <v>43.27</v>
      </c>
      <c r="N74" s="6">
        <v>29.8</v>
      </c>
      <c r="O74" s="6">
        <v>0</v>
      </c>
      <c r="P74" s="6">
        <v>0.71</v>
      </c>
      <c r="Q74" s="6">
        <v>4.78</v>
      </c>
    </row>
    <row r="75" spans="1:17" customFormat="1">
      <c r="A75" s="6" t="s">
        <v>881</v>
      </c>
      <c r="B75" s="6">
        <v>5.76</v>
      </c>
      <c r="C75" s="6">
        <v>22.51</v>
      </c>
      <c r="D75" s="6">
        <v>17.73</v>
      </c>
      <c r="E75" s="6">
        <v>7.55</v>
      </c>
      <c r="F75" s="6">
        <v>3.34</v>
      </c>
      <c r="G75" s="6">
        <v>65.5</v>
      </c>
      <c r="H75" s="6">
        <v>33.46</v>
      </c>
      <c r="I75" s="6">
        <v>6.97</v>
      </c>
      <c r="J75" s="6">
        <v>1.0900000000000001</v>
      </c>
      <c r="K75" s="6">
        <v>54.54</v>
      </c>
      <c r="L75" s="6">
        <v>26.07</v>
      </c>
      <c r="M75" s="6">
        <v>44.48</v>
      </c>
      <c r="N75" s="6">
        <v>18.3</v>
      </c>
      <c r="O75" s="6">
        <v>0</v>
      </c>
      <c r="P75" s="6">
        <v>0.72</v>
      </c>
      <c r="Q75" s="6">
        <v>4.76</v>
      </c>
    </row>
    <row r="76" spans="1:17" customFormat="1">
      <c r="A76" s="6" t="s">
        <v>882</v>
      </c>
      <c r="B76" s="6">
        <v>6.06</v>
      </c>
      <c r="C76" s="6">
        <v>20.74</v>
      </c>
      <c r="D76" s="6">
        <v>17.05</v>
      </c>
      <c r="E76" s="6">
        <v>7.77</v>
      </c>
      <c r="F76" s="6">
        <v>3.12</v>
      </c>
      <c r="G76" s="6">
        <v>67.56</v>
      </c>
      <c r="H76" s="6">
        <v>34.4</v>
      </c>
      <c r="I76" s="6">
        <v>6.95</v>
      </c>
      <c r="J76" s="6">
        <v>0.96</v>
      </c>
      <c r="K76" s="6">
        <v>52.9</v>
      </c>
      <c r="L76" s="6">
        <v>25.7</v>
      </c>
      <c r="M76" s="6">
        <v>45.63</v>
      </c>
      <c r="N76" s="6">
        <v>8.1</v>
      </c>
      <c r="O76" s="6">
        <v>0</v>
      </c>
      <c r="P76" s="6">
        <v>0.72</v>
      </c>
      <c r="Q76" s="6">
        <v>4.7699999999999996</v>
      </c>
    </row>
    <row r="77" spans="1:17" customFormat="1">
      <c r="A77" s="6" t="s">
        <v>883</v>
      </c>
      <c r="B77" s="6">
        <v>6.4</v>
      </c>
      <c r="C77" s="6">
        <v>19.649999999999999</v>
      </c>
      <c r="D77" s="6">
        <v>16.75</v>
      </c>
      <c r="E77" s="6">
        <v>7.34</v>
      </c>
      <c r="F77" s="6">
        <v>2.97</v>
      </c>
      <c r="G77" s="6">
        <v>76.44</v>
      </c>
      <c r="H77" s="6">
        <v>37.15</v>
      </c>
      <c r="I77" s="6">
        <v>6.94</v>
      </c>
      <c r="J77" s="6">
        <v>0.73</v>
      </c>
      <c r="K77" s="6">
        <v>54.86</v>
      </c>
      <c r="L77" s="6">
        <v>25.28</v>
      </c>
      <c r="M77" s="6">
        <v>47.04</v>
      </c>
      <c r="N77" s="6">
        <v>0.8</v>
      </c>
      <c r="O77" s="6">
        <v>0</v>
      </c>
      <c r="P77" s="6">
        <v>0.72</v>
      </c>
      <c r="Q77" s="6">
        <v>4.79</v>
      </c>
    </row>
    <row r="78" spans="1:17" customFormat="1">
      <c r="A78" s="6" t="s">
        <v>884</v>
      </c>
      <c r="B78" s="6">
        <v>6.74</v>
      </c>
      <c r="C78" s="6">
        <v>19.48</v>
      </c>
      <c r="D78" s="6">
        <v>16.93</v>
      </c>
      <c r="E78" s="6">
        <v>6.86</v>
      </c>
      <c r="F78" s="6">
        <v>2.8</v>
      </c>
      <c r="G78" s="6">
        <v>76.44</v>
      </c>
      <c r="H78" s="6">
        <v>37.15</v>
      </c>
      <c r="I78" s="6">
        <v>6.96</v>
      </c>
      <c r="J78" s="6">
        <v>0.7</v>
      </c>
      <c r="K78" s="6">
        <v>60</v>
      </c>
      <c r="L78" s="6">
        <v>24.73</v>
      </c>
      <c r="M78" s="6">
        <v>49.5</v>
      </c>
      <c r="N78" s="6">
        <v>0</v>
      </c>
      <c r="O78" s="6">
        <v>0</v>
      </c>
      <c r="P78" s="6">
        <v>0.72</v>
      </c>
      <c r="Q78" s="6">
        <v>4.79</v>
      </c>
    </row>
    <row r="79" spans="1:17" customFormat="1">
      <c r="A79" s="6" t="s">
        <v>885</v>
      </c>
      <c r="B79" s="6">
        <v>7.19</v>
      </c>
      <c r="C79" s="6">
        <v>19.899999999999999</v>
      </c>
      <c r="D79" s="6">
        <v>17.510000000000002</v>
      </c>
      <c r="E79" s="6">
        <v>7.15</v>
      </c>
      <c r="F79" s="6">
        <v>2.7</v>
      </c>
      <c r="G79" s="6">
        <v>76.44</v>
      </c>
      <c r="H79" s="6">
        <v>37.15</v>
      </c>
      <c r="I79" s="6">
        <v>7</v>
      </c>
      <c r="J79" s="6">
        <v>0.55000000000000004</v>
      </c>
      <c r="K79" s="6">
        <v>57.13</v>
      </c>
      <c r="L79" s="6">
        <v>24.22</v>
      </c>
      <c r="M79" s="6">
        <v>51.42</v>
      </c>
      <c r="N79" s="6">
        <v>0</v>
      </c>
      <c r="O79" s="6">
        <v>0</v>
      </c>
      <c r="P79" s="6">
        <v>0.74</v>
      </c>
      <c r="Q79" s="6">
        <v>4.79</v>
      </c>
    </row>
    <row r="80" spans="1:17" customFormat="1">
      <c r="A80" s="6" t="s">
        <v>886</v>
      </c>
      <c r="B80" s="6">
        <v>7.41</v>
      </c>
      <c r="C80" s="6">
        <v>20.94</v>
      </c>
      <c r="D80" s="6">
        <v>18.239999999999998</v>
      </c>
      <c r="E80" s="6">
        <v>7.12</v>
      </c>
      <c r="F80" s="6">
        <v>2.52</v>
      </c>
      <c r="G80" s="6">
        <v>80.209999999999994</v>
      </c>
      <c r="H80" s="6">
        <v>37.81</v>
      </c>
      <c r="I80" s="6">
        <v>7.07</v>
      </c>
      <c r="J80" s="6">
        <v>0.34</v>
      </c>
      <c r="K80" s="6">
        <v>63.24</v>
      </c>
      <c r="L80" s="6">
        <v>23.39</v>
      </c>
      <c r="M80" s="6">
        <v>57.08</v>
      </c>
      <c r="N80" s="6">
        <v>0</v>
      </c>
      <c r="O80" s="6">
        <v>0</v>
      </c>
      <c r="P80" s="6">
        <v>0.76</v>
      </c>
      <c r="Q80" s="6">
        <v>4.79</v>
      </c>
    </row>
    <row r="81" spans="1:17" customFormat="1">
      <c r="A81" s="6" t="s">
        <v>887</v>
      </c>
      <c r="B81" s="6">
        <v>7.72</v>
      </c>
      <c r="C81" s="6">
        <v>21.44</v>
      </c>
      <c r="D81" s="6">
        <v>18.75</v>
      </c>
      <c r="E81" s="6">
        <v>6.09</v>
      </c>
      <c r="F81" s="6">
        <v>2.4500000000000002</v>
      </c>
      <c r="G81" s="6">
        <v>96.41</v>
      </c>
      <c r="H81" s="6">
        <v>41.09</v>
      </c>
      <c r="I81" s="6">
        <v>7.13</v>
      </c>
      <c r="J81" s="6">
        <v>0.57999999999999996</v>
      </c>
      <c r="K81" s="6">
        <v>54.24</v>
      </c>
      <c r="L81" s="6">
        <v>23.1</v>
      </c>
      <c r="M81" s="6">
        <v>55.95</v>
      </c>
      <c r="N81" s="6">
        <v>0</v>
      </c>
      <c r="O81" s="6">
        <v>0</v>
      </c>
      <c r="P81" s="6">
        <v>0.77</v>
      </c>
      <c r="Q81" s="6">
        <v>4.83</v>
      </c>
    </row>
    <row r="82" spans="1:17" customFormat="1">
      <c r="A82" s="6" t="s">
        <v>888</v>
      </c>
      <c r="B82" s="6">
        <v>8.1199999999999992</v>
      </c>
      <c r="C82" s="6">
        <v>22.12</v>
      </c>
      <c r="D82" s="6">
        <v>19.420000000000002</v>
      </c>
      <c r="E82" s="6">
        <v>6.58</v>
      </c>
      <c r="F82" s="6">
        <v>2.36</v>
      </c>
      <c r="G82" s="6">
        <v>96.41</v>
      </c>
      <c r="H82" s="6">
        <v>41.09</v>
      </c>
      <c r="I82" s="6">
        <v>7.18</v>
      </c>
      <c r="J82" s="6">
        <v>0.61</v>
      </c>
      <c r="K82" s="6">
        <v>58.6</v>
      </c>
      <c r="L82" s="6">
        <v>22.97</v>
      </c>
      <c r="M82" s="6">
        <v>55.11</v>
      </c>
      <c r="N82" s="6">
        <v>0</v>
      </c>
      <c r="O82" s="6">
        <v>0</v>
      </c>
      <c r="P82" s="6">
        <v>0.78</v>
      </c>
      <c r="Q82" s="6">
        <v>4.8499999999999996</v>
      </c>
    </row>
    <row r="83" spans="1:17" customFormat="1">
      <c r="A83" s="6" t="s">
        <v>889</v>
      </c>
      <c r="B83" s="6">
        <v>8.5399999999999991</v>
      </c>
      <c r="C83" s="6">
        <v>22.54</v>
      </c>
      <c r="D83" s="6">
        <v>19.97</v>
      </c>
      <c r="E83" s="6">
        <v>6.69</v>
      </c>
      <c r="F83" s="6">
        <v>2.5499999999999998</v>
      </c>
      <c r="G83" s="6">
        <v>96.41</v>
      </c>
      <c r="H83" s="6">
        <v>41.09</v>
      </c>
      <c r="I83" s="6">
        <v>7.27</v>
      </c>
      <c r="J83" s="6">
        <v>0.6</v>
      </c>
      <c r="K83" s="6">
        <v>62.71</v>
      </c>
      <c r="L83" s="6">
        <v>22.75</v>
      </c>
      <c r="M83" s="6">
        <v>54.77</v>
      </c>
      <c r="N83" s="6">
        <v>0</v>
      </c>
      <c r="O83" s="6">
        <v>0</v>
      </c>
      <c r="P83" s="6">
        <v>0.8</v>
      </c>
      <c r="Q83" s="6">
        <v>4.8499999999999996</v>
      </c>
    </row>
    <row r="84" spans="1:17" customFormat="1">
      <c r="A84" s="6" t="s">
        <v>890</v>
      </c>
      <c r="B84" s="6">
        <v>8.81</v>
      </c>
      <c r="C84" s="6">
        <v>22.44</v>
      </c>
      <c r="D84" s="6">
        <v>20.14</v>
      </c>
      <c r="E84" s="6">
        <v>6.87</v>
      </c>
      <c r="F84" s="6">
        <v>2.54</v>
      </c>
      <c r="G84" s="6">
        <v>97.87</v>
      </c>
      <c r="H84" s="6">
        <v>41.24</v>
      </c>
      <c r="I84" s="6">
        <v>7.4</v>
      </c>
      <c r="J84" s="6">
        <v>0.24</v>
      </c>
      <c r="K84" s="6">
        <v>91.25</v>
      </c>
      <c r="L84" s="6">
        <v>22.44</v>
      </c>
      <c r="M84" s="6">
        <v>56.41</v>
      </c>
      <c r="N84" s="6">
        <v>0</v>
      </c>
      <c r="O84" s="6">
        <v>0</v>
      </c>
      <c r="P84" s="6">
        <v>0.81</v>
      </c>
      <c r="Q84" s="6">
        <v>4.88</v>
      </c>
    </row>
    <row r="85" spans="1:17" customFormat="1">
      <c r="A85" s="6" t="s">
        <v>891</v>
      </c>
      <c r="B85" s="6">
        <v>8.9</v>
      </c>
      <c r="C85" s="6">
        <v>21.24</v>
      </c>
      <c r="D85" s="6">
        <v>19.579999999999998</v>
      </c>
      <c r="E85" s="6">
        <v>7.08</v>
      </c>
      <c r="F85" s="6">
        <v>2.71</v>
      </c>
      <c r="G85" s="6">
        <v>104.17</v>
      </c>
      <c r="H85" s="6">
        <v>41.71</v>
      </c>
      <c r="I85" s="6">
        <v>7.51</v>
      </c>
      <c r="J85" s="6">
        <v>0.28000000000000003</v>
      </c>
      <c r="K85" s="6">
        <v>87.11</v>
      </c>
      <c r="L85" s="6">
        <v>22.07</v>
      </c>
      <c r="M85" s="6">
        <v>57.69</v>
      </c>
      <c r="N85" s="6">
        <v>0</v>
      </c>
      <c r="O85" s="6">
        <v>0</v>
      </c>
      <c r="P85" s="6">
        <v>0.81</v>
      </c>
      <c r="Q85" s="6">
        <v>4.9000000000000004</v>
      </c>
    </row>
    <row r="86" spans="1:17" customFormat="1">
      <c r="A86" s="6" t="s">
        <v>892</v>
      </c>
      <c r="B86" s="6">
        <v>9.0399999999999991</v>
      </c>
      <c r="C86" s="6">
        <v>20.47</v>
      </c>
      <c r="D86" s="6">
        <v>19.29</v>
      </c>
      <c r="E86" s="6">
        <v>6.53</v>
      </c>
      <c r="F86" s="6">
        <v>2.62</v>
      </c>
      <c r="G86" s="6">
        <v>104.17</v>
      </c>
      <c r="H86" s="6">
        <v>41.71</v>
      </c>
      <c r="I86" s="6">
        <v>7.57</v>
      </c>
      <c r="J86" s="6">
        <v>0.48</v>
      </c>
      <c r="K86" s="6">
        <v>61.73</v>
      </c>
      <c r="L86" s="6">
        <v>21.95</v>
      </c>
      <c r="M86" s="6">
        <v>57.29</v>
      </c>
      <c r="N86" s="6">
        <v>0</v>
      </c>
      <c r="O86" s="6">
        <v>0</v>
      </c>
      <c r="P86" s="6">
        <v>0.8</v>
      </c>
      <c r="Q86" s="6">
        <v>4.88</v>
      </c>
    </row>
    <row r="87" spans="1:17" customFormat="1">
      <c r="A87" s="6" t="s">
        <v>893</v>
      </c>
      <c r="B87" s="6">
        <v>9.3800000000000008</v>
      </c>
      <c r="C87" s="6">
        <v>21.14</v>
      </c>
      <c r="D87" s="6">
        <v>19.920000000000002</v>
      </c>
      <c r="E87" s="6">
        <v>7.01</v>
      </c>
      <c r="F87" s="6">
        <v>2.4700000000000002</v>
      </c>
      <c r="G87" s="6">
        <v>104.17</v>
      </c>
      <c r="H87" s="6">
        <v>41.71</v>
      </c>
      <c r="I87" s="6">
        <v>7.65</v>
      </c>
      <c r="J87" s="6">
        <v>0.39</v>
      </c>
      <c r="K87" s="6">
        <v>61.47</v>
      </c>
      <c r="L87" s="6">
        <v>21.76</v>
      </c>
      <c r="M87" s="6">
        <v>58.07</v>
      </c>
      <c r="N87" s="6">
        <v>0</v>
      </c>
      <c r="O87" s="6">
        <v>0</v>
      </c>
      <c r="P87" s="6">
        <v>0.84</v>
      </c>
      <c r="Q87" s="6">
        <v>4.8600000000000003</v>
      </c>
    </row>
    <row r="88" spans="1:17" customFormat="1">
      <c r="A88" s="6" t="s">
        <v>894</v>
      </c>
      <c r="B88" s="6">
        <v>9.9</v>
      </c>
      <c r="C88" s="6">
        <v>23.15</v>
      </c>
      <c r="D88" s="6">
        <v>21.38</v>
      </c>
      <c r="E88" s="6">
        <v>7.39</v>
      </c>
      <c r="F88" s="6">
        <v>2.38</v>
      </c>
      <c r="G88" s="6">
        <v>121.22</v>
      </c>
      <c r="H88" s="6">
        <v>43.9</v>
      </c>
      <c r="I88" s="6">
        <v>7.78</v>
      </c>
      <c r="J88" s="6">
        <v>0.7</v>
      </c>
      <c r="K88" s="6">
        <v>57.1</v>
      </c>
      <c r="L88" s="6">
        <v>21.45</v>
      </c>
      <c r="M88" s="6">
        <v>59.06</v>
      </c>
      <c r="N88" s="6">
        <v>0</v>
      </c>
      <c r="O88" s="6">
        <v>0</v>
      </c>
      <c r="P88" s="6">
        <v>0.86</v>
      </c>
      <c r="Q88" s="6">
        <v>4.87</v>
      </c>
    </row>
    <row r="89" spans="1:17" customFormat="1">
      <c r="A89" s="6" t="s">
        <v>895</v>
      </c>
      <c r="B89" s="6">
        <v>10.7</v>
      </c>
      <c r="C89" s="6">
        <v>24.86</v>
      </c>
      <c r="D89" s="6">
        <v>22.92</v>
      </c>
      <c r="E89" s="6">
        <v>7.38</v>
      </c>
      <c r="F89" s="6">
        <v>2.36</v>
      </c>
      <c r="G89" s="6">
        <v>194.44</v>
      </c>
      <c r="H89" s="6">
        <v>50.75</v>
      </c>
      <c r="I89" s="6">
        <v>7.93</v>
      </c>
      <c r="J89" s="6">
        <v>0.57999999999999996</v>
      </c>
      <c r="K89" s="6">
        <v>55.19</v>
      </c>
      <c r="L89" s="6">
        <v>21.08</v>
      </c>
      <c r="M89" s="6">
        <v>60.48</v>
      </c>
      <c r="N89" s="6">
        <v>0</v>
      </c>
      <c r="O89" s="6">
        <v>0</v>
      </c>
      <c r="P89" s="6">
        <v>0.88</v>
      </c>
      <c r="Q89" s="6">
        <v>4.8899999999999997</v>
      </c>
    </row>
    <row r="90" spans="1:17" customFormat="1">
      <c r="A90" s="6" t="s">
        <v>896</v>
      </c>
      <c r="B90" s="6">
        <v>11.21</v>
      </c>
      <c r="C90" s="6">
        <v>25.43</v>
      </c>
      <c r="D90" s="6">
        <v>23.63</v>
      </c>
      <c r="E90" s="6">
        <v>7.08</v>
      </c>
      <c r="F90" s="6">
        <v>2.48</v>
      </c>
      <c r="G90" s="6">
        <v>194.44</v>
      </c>
      <c r="H90" s="6">
        <v>50.75</v>
      </c>
      <c r="I90" s="6">
        <v>8.09</v>
      </c>
      <c r="J90" s="6">
        <v>0.95</v>
      </c>
      <c r="K90" s="6">
        <v>51.47</v>
      </c>
      <c r="L90" s="6">
        <v>21.17</v>
      </c>
      <c r="M90" s="6">
        <v>61.65</v>
      </c>
      <c r="N90" s="6">
        <v>0</v>
      </c>
      <c r="O90" s="6">
        <v>0</v>
      </c>
      <c r="P90" s="6">
        <v>0.89</v>
      </c>
      <c r="Q90" s="6">
        <v>4.92</v>
      </c>
    </row>
    <row r="91" spans="1:17" customFormat="1">
      <c r="A91" s="6" t="s">
        <v>897</v>
      </c>
      <c r="B91" s="6">
        <v>11.27</v>
      </c>
      <c r="C91" s="6">
        <v>23.78</v>
      </c>
      <c r="D91" s="6">
        <v>22.82</v>
      </c>
      <c r="E91" s="6">
        <v>7.5</v>
      </c>
      <c r="F91" s="6">
        <v>2.63</v>
      </c>
      <c r="G91" s="6">
        <v>194.44</v>
      </c>
      <c r="H91" s="6">
        <v>50.75</v>
      </c>
      <c r="I91" s="6">
        <v>8.2100000000000009</v>
      </c>
      <c r="J91" s="6">
        <v>0.61</v>
      </c>
      <c r="K91" s="6">
        <v>54.82</v>
      </c>
      <c r="L91" s="6">
        <v>20.96</v>
      </c>
      <c r="M91" s="6">
        <v>63.65</v>
      </c>
      <c r="N91" s="6">
        <v>0</v>
      </c>
      <c r="O91" s="6">
        <v>0</v>
      </c>
      <c r="P91" s="6">
        <v>0.89</v>
      </c>
      <c r="Q91" s="6">
        <v>4.9400000000000004</v>
      </c>
    </row>
    <row r="92" spans="1:17" customFormat="1">
      <c r="A92" s="6" t="s">
        <v>898</v>
      </c>
      <c r="B92" s="6">
        <v>11.29</v>
      </c>
      <c r="C92" s="6">
        <v>24.02</v>
      </c>
      <c r="D92" s="6">
        <v>22.95</v>
      </c>
      <c r="E92" s="6">
        <v>7.25</v>
      </c>
      <c r="F92" s="6">
        <v>2.38</v>
      </c>
      <c r="G92" s="6">
        <v>186.03</v>
      </c>
      <c r="H92" s="6">
        <v>51.88</v>
      </c>
      <c r="I92" s="6">
        <v>8.27</v>
      </c>
      <c r="J92" s="6">
        <v>0.86</v>
      </c>
      <c r="K92" s="6">
        <v>56.84</v>
      </c>
      <c r="L92" s="6">
        <v>20.82</v>
      </c>
      <c r="M92" s="6">
        <v>64.760000000000005</v>
      </c>
      <c r="N92" s="6">
        <v>0</v>
      </c>
      <c r="O92" s="6">
        <v>0</v>
      </c>
      <c r="P92" s="6">
        <v>0.9</v>
      </c>
      <c r="Q92" s="6">
        <v>4.9400000000000004</v>
      </c>
    </row>
    <row r="93" spans="1:17" customFormat="1">
      <c r="A93" s="6" t="s">
        <v>899</v>
      </c>
      <c r="B93" s="6">
        <v>11.46</v>
      </c>
      <c r="C93" s="6">
        <v>25.23</v>
      </c>
      <c r="D93" s="6">
        <v>23.72</v>
      </c>
      <c r="E93" s="6">
        <v>7.28</v>
      </c>
      <c r="F93" s="6">
        <v>2.36</v>
      </c>
      <c r="G93" s="6">
        <v>149.91999999999999</v>
      </c>
      <c r="H93" s="6">
        <v>55.19</v>
      </c>
      <c r="I93" s="6">
        <v>8.3000000000000007</v>
      </c>
      <c r="J93" s="6">
        <v>0.95</v>
      </c>
      <c r="K93" s="6">
        <v>52.49</v>
      </c>
      <c r="L93" s="6">
        <v>20.55</v>
      </c>
      <c r="M93" s="6">
        <v>66.38</v>
      </c>
      <c r="N93" s="6">
        <v>0</v>
      </c>
      <c r="O93" s="6">
        <v>0</v>
      </c>
      <c r="P93" s="6">
        <v>0.9</v>
      </c>
      <c r="Q93" s="6">
        <v>4.95</v>
      </c>
    </row>
    <row r="94" spans="1:17" customFormat="1">
      <c r="A94" s="6" t="s">
        <v>900</v>
      </c>
      <c r="B94" s="6">
        <v>11.64</v>
      </c>
      <c r="C94" s="6">
        <v>26.13</v>
      </c>
      <c r="D94" s="6">
        <v>24.34</v>
      </c>
      <c r="E94" s="6">
        <v>7.43</v>
      </c>
      <c r="F94" s="6">
        <v>2.5499999999999998</v>
      </c>
      <c r="G94" s="6">
        <v>149.91999999999999</v>
      </c>
      <c r="H94" s="6">
        <v>55.19</v>
      </c>
      <c r="I94" s="6">
        <v>8.36</v>
      </c>
      <c r="J94" s="6">
        <v>0.91</v>
      </c>
      <c r="K94" s="6">
        <v>54.24</v>
      </c>
      <c r="L94" s="6">
        <v>20.37</v>
      </c>
      <c r="M94" s="6">
        <v>68.33</v>
      </c>
      <c r="N94" s="6">
        <v>0</v>
      </c>
      <c r="O94" s="6">
        <v>0</v>
      </c>
      <c r="P94" s="6">
        <v>0.92</v>
      </c>
      <c r="Q94" s="6">
        <v>4.95</v>
      </c>
    </row>
    <row r="95" spans="1:17" customFormat="1">
      <c r="A95" s="6" t="s">
        <v>901</v>
      </c>
      <c r="B95" s="6">
        <v>11.17</v>
      </c>
      <c r="C95" s="6">
        <v>27.16</v>
      </c>
      <c r="D95" s="6">
        <v>24.5</v>
      </c>
      <c r="E95" s="6">
        <v>7.25</v>
      </c>
      <c r="F95" s="6">
        <v>2.64</v>
      </c>
      <c r="G95" s="6">
        <v>149.91999999999999</v>
      </c>
      <c r="H95" s="6">
        <v>55.19</v>
      </c>
      <c r="I95" s="6">
        <v>8.4499999999999993</v>
      </c>
      <c r="J95" s="6">
        <v>1.1200000000000001</v>
      </c>
      <c r="K95" s="6">
        <v>53.31</v>
      </c>
      <c r="L95" s="6">
        <v>20.16</v>
      </c>
      <c r="M95" s="6">
        <v>70.38</v>
      </c>
      <c r="N95" s="6">
        <v>0</v>
      </c>
      <c r="O95" s="6">
        <v>0</v>
      </c>
      <c r="P95" s="6">
        <v>0.94</v>
      </c>
      <c r="Q95" s="6">
        <v>4.96</v>
      </c>
    </row>
    <row r="96" spans="1:17" customFormat="1">
      <c r="A96" s="6" t="s">
        <v>902</v>
      </c>
      <c r="B96" s="6">
        <v>10.74</v>
      </c>
      <c r="C96" s="6">
        <v>27.53</v>
      </c>
      <c r="D96" s="6">
        <v>24.35</v>
      </c>
      <c r="E96" s="6">
        <v>7.6</v>
      </c>
      <c r="F96" s="6">
        <v>2.64</v>
      </c>
      <c r="G96" s="6">
        <v>149.59</v>
      </c>
      <c r="H96" s="6">
        <v>56.25</v>
      </c>
      <c r="I96" s="6">
        <v>8.5299999999999994</v>
      </c>
      <c r="J96" s="6">
        <v>0.88</v>
      </c>
      <c r="K96" s="6">
        <v>56.81</v>
      </c>
      <c r="L96" s="6">
        <v>19.97</v>
      </c>
      <c r="M96" s="6">
        <v>72</v>
      </c>
      <c r="N96" s="6">
        <v>0</v>
      </c>
      <c r="O96" s="6">
        <v>0</v>
      </c>
      <c r="P96" s="6">
        <v>0.94</v>
      </c>
      <c r="Q96" s="6">
        <v>4.95</v>
      </c>
    </row>
    <row r="97" spans="1:22" customFormat="1">
      <c r="A97" s="6" t="s">
        <v>903</v>
      </c>
      <c r="B97" s="6">
        <v>10.54</v>
      </c>
      <c r="C97" s="6">
        <v>28.21</v>
      </c>
      <c r="D97" s="6">
        <v>24.54</v>
      </c>
      <c r="E97" s="6">
        <v>7.47</v>
      </c>
      <c r="F97" s="6">
        <v>2.5099999999999998</v>
      </c>
      <c r="G97" s="6">
        <v>148.19</v>
      </c>
      <c r="H97" s="6">
        <v>59.35</v>
      </c>
      <c r="I97" s="6">
        <v>8.57</v>
      </c>
      <c r="J97" s="6">
        <v>0.71</v>
      </c>
      <c r="K97" s="6">
        <v>52.47</v>
      </c>
      <c r="L97" s="6">
        <v>19.61</v>
      </c>
      <c r="M97" s="6">
        <v>74.13</v>
      </c>
      <c r="N97" s="6">
        <v>0</v>
      </c>
      <c r="O97" s="6">
        <v>0</v>
      </c>
      <c r="P97" s="6">
        <v>0.95</v>
      </c>
      <c r="Q97" s="6">
        <v>4.97</v>
      </c>
    </row>
    <row r="98" spans="1:22" customFormat="1">
      <c r="A98" s="6" t="s">
        <v>904</v>
      </c>
      <c r="B98" s="6">
        <v>10.7</v>
      </c>
      <c r="C98" s="6">
        <v>28.59</v>
      </c>
      <c r="D98" s="6">
        <v>24.87</v>
      </c>
      <c r="E98" s="6">
        <v>7.27</v>
      </c>
      <c r="F98" s="6">
        <v>2.56</v>
      </c>
      <c r="G98" s="6">
        <v>148.19</v>
      </c>
      <c r="H98" s="6">
        <v>59.35</v>
      </c>
      <c r="I98" s="6">
        <v>8.59</v>
      </c>
      <c r="J98" s="6">
        <v>0.66</v>
      </c>
      <c r="K98" s="6">
        <v>58.5</v>
      </c>
      <c r="L98" s="6">
        <v>19.399999999999999</v>
      </c>
      <c r="M98" s="6">
        <v>75.16</v>
      </c>
      <c r="N98" s="6">
        <v>0</v>
      </c>
      <c r="O98" s="6">
        <v>0</v>
      </c>
      <c r="P98" s="6">
        <v>0.97</v>
      </c>
      <c r="Q98" s="6">
        <v>4.96</v>
      </c>
    </row>
    <row r="99" spans="1:22" customFormat="1">
      <c r="A99" s="6" t="s">
        <v>905</v>
      </c>
      <c r="B99" s="6">
        <v>10.75</v>
      </c>
      <c r="C99" s="6">
        <v>29.11</v>
      </c>
      <c r="D99" s="6">
        <v>25.18</v>
      </c>
      <c r="E99" s="6">
        <v>7.61</v>
      </c>
      <c r="F99" s="6">
        <v>2.41</v>
      </c>
      <c r="G99" s="6">
        <v>148.19</v>
      </c>
      <c r="H99" s="6">
        <v>59.35</v>
      </c>
      <c r="I99" s="6">
        <v>8.6300000000000008</v>
      </c>
      <c r="J99" s="6">
        <v>0.83</v>
      </c>
      <c r="K99" s="6">
        <v>51.95</v>
      </c>
      <c r="L99" s="6">
        <v>19.36</v>
      </c>
      <c r="M99" s="6">
        <v>75.67</v>
      </c>
      <c r="N99" s="6">
        <v>0</v>
      </c>
      <c r="O99" s="6">
        <v>0</v>
      </c>
      <c r="P99" s="6">
        <v>0.96</v>
      </c>
      <c r="Q99" s="6">
        <v>4.95</v>
      </c>
    </row>
    <row r="100" spans="1:22" customFormat="1">
      <c r="A100" s="6" t="s">
        <v>906</v>
      </c>
      <c r="B100" s="6">
        <v>11.06</v>
      </c>
      <c r="C100" s="6">
        <v>29.41</v>
      </c>
      <c r="D100" s="6">
        <v>25.59</v>
      </c>
      <c r="E100" s="6">
        <v>7.13</v>
      </c>
      <c r="F100" s="6">
        <v>2.35</v>
      </c>
      <c r="G100" s="6">
        <v>144.46</v>
      </c>
      <c r="H100" s="6">
        <v>58.8</v>
      </c>
      <c r="I100" s="6">
        <v>8.68</v>
      </c>
      <c r="J100" s="6">
        <v>0.89</v>
      </c>
      <c r="K100" s="6">
        <v>51.23</v>
      </c>
      <c r="L100" s="6">
        <v>19.2</v>
      </c>
      <c r="M100" s="6">
        <v>76.77</v>
      </c>
      <c r="N100" s="6">
        <v>0</v>
      </c>
      <c r="O100" s="6">
        <v>0</v>
      </c>
      <c r="P100" s="6">
        <v>0.98</v>
      </c>
      <c r="Q100" s="6">
        <v>4.9400000000000004</v>
      </c>
    </row>
    <row r="101" spans="1:22" customFormat="1">
      <c r="A101" s="6" t="s">
        <v>907</v>
      </c>
      <c r="B101" s="6">
        <v>11.6</v>
      </c>
      <c r="C101" s="6">
        <v>29.77</v>
      </c>
      <c r="D101" s="6">
        <v>26.21</v>
      </c>
      <c r="E101" s="6">
        <v>7.01</v>
      </c>
      <c r="F101" s="6">
        <v>2.34</v>
      </c>
      <c r="G101" s="6">
        <v>128.44999999999999</v>
      </c>
      <c r="H101" s="6">
        <v>57.07</v>
      </c>
      <c r="I101" s="6">
        <v>8.73</v>
      </c>
      <c r="J101" s="6">
        <v>0.85</v>
      </c>
      <c r="K101" s="6">
        <v>57.56</v>
      </c>
      <c r="L101" s="6">
        <v>19.05</v>
      </c>
      <c r="M101" s="6">
        <v>77.73</v>
      </c>
      <c r="N101" s="6">
        <v>0</v>
      </c>
      <c r="O101" s="6">
        <v>0</v>
      </c>
      <c r="P101" s="6">
        <v>0.99</v>
      </c>
      <c r="Q101" s="6">
        <v>4.9400000000000004</v>
      </c>
    </row>
    <row r="102" spans="1:22" customFormat="1">
      <c r="A102" s="6" t="s">
        <v>908</v>
      </c>
      <c r="B102" s="6">
        <v>12.07</v>
      </c>
      <c r="C102" s="6">
        <v>29.97</v>
      </c>
      <c r="D102" s="6">
        <v>26.69</v>
      </c>
      <c r="E102" s="6">
        <v>7.19</v>
      </c>
      <c r="F102" s="6">
        <v>2.35</v>
      </c>
      <c r="G102" s="6">
        <v>128.44999999999999</v>
      </c>
      <c r="H102" s="6">
        <v>57.07</v>
      </c>
      <c r="I102" s="6">
        <v>8.75</v>
      </c>
      <c r="J102" s="6">
        <v>0.76</v>
      </c>
      <c r="K102" s="6">
        <v>58.22</v>
      </c>
      <c r="L102" s="6">
        <v>18.829999999999998</v>
      </c>
      <c r="M102" s="6">
        <v>78.77</v>
      </c>
      <c r="N102" s="6">
        <v>0</v>
      </c>
      <c r="O102" s="6">
        <v>0</v>
      </c>
      <c r="P102" s="6">
        <v>0.98</v>
      </c>
      <c r="Q102" s="6">
        <v>4.96</v>
      </c>
    </row>
    <row r="103" spans="1:22" customFormat="1">
      <c r="A103" s="6" t="s">
        <v>909</v>
      </c>
      <c r="B103" s="6">
        <v>12.38</v>
      </c>
      <c r="C103" s="6">
        <v>30.25</v>
      </c>
      <c r="D103" s="6">
        <v>27.08</v>
      </c>
      <c r="E103" s="6">
        <v>7.12</v>
      </c>
      <c r="F103" s="6">
        <v>2.38</v>
      </c>
      <c r="G103" s="6">
        <v>128.44999999999999</v>
      </c>
      <c r="H103" s="6">
        <v>57.07</v>
      </c>
      <c r="I103" s="6">
        <v>8.7899999999999991</v>
      </c>
      <c r="J103" s="6">
        <v>0.56000000000000005</v>
      </c>
      <c r="K103" s="6">
        <v>57.81</v>
      </c>
      <c r="L103" s="6">
        <v>18.75</v>
      </c>
      <c r="M103" s="6">
        <v>79.34</v>
      </c>
      <c r="N103" s="6">
        <v>0</v>
      </c>
      <c r="O103" s="6">
        <v>0</v>
      </c>
      <c r="P103" s="6">
        <v>0.98</v>
      </c>
      <c r="Q103" s="6">
        <v>4.9400000000000004</v>
      </c>
    </row>
    <row r="104" spans="1:22" customFormat="1">
      <c r="A104" s="6" t="s">
        <v>910</v>
      </c>
      <c r="B104" s="6">
        <v>12.22</v>
      </c>
      <c r="C104" s="6">
        <v>30.14</v>
      </c>
      <c r="D104" s="6">
        <v>26.9</v>
      </c>
      <c r="E104" s="6">
        <v>7.11</v>
      </c>
      <c r="F104" s="6">
        <v>2.33</v>
      </c>
      <c r="G104" s="6">
        <v>126.36</v>
      </c>
      <c r="H104" s="6">
        <v>57.07</v>
      </c>
      <c r="I104" s="6">
        <v>8.84</v>
      </c>
      <c r="J104" s="6">
        <v>0.14000000000000001</v>
      </c>
      <c r="K104" s="6">
        <v>188.36</v>
      </c>
      <c r="L104" s="6">
        <v>18.57</v>
      </c>
      <c r="M104" s="6">
        <v>81.150000000000006</v>
      </c>
      <c r="N104" s="6">
        <v>0</v>
      </c>
      <c r="O104" s="6">
        <v>0</v>
      </c>
      <c r="P104" s="6">
        <v>0.98</v>
      </c>
      <c r="Q104" s="6">
        <v>4.96</v>
      </c>
    </row>
    <row r="106" spans="1:22">
      <c r="A106" s="156" t="s">
        <v>48</v>
      </c>
      <c r="B106" s="157">
        <f>MIN(B9:B104)</f>
        <v>5.14</v>
      </c>
      <c r="C106" s="157">
        <f>MIN(C9:C104)</f>
        <v>19.48</v>
      </c>
      <c r="D106" s="157">
        <f t="shared" ref="D106:Q106" si="0">MIN(D9:D104)</f>
        <v>16.739999999999998</v>
      </c>
      <c r="E106" s="157">
        <f t="shared" si="0"/>
        <v>4.82</v>
      </c>
      <c r="F106" s="157">
        <f t="shared" si="0"/>
        <v>2.12</v>
      </c>
      <c r="G106" s="157">
        <f t="shared" si="0"/>
        <v>65.5</v>
      </c>
      <c r="H106" s="157">
        <f t="shared" si="0"/>
        <v>33.46</v>
      </c>
      <c r="I106" s="157">
        <f t="shared" si="0"/>
        <v>6.94</v>
      </c>
      <c r="J106" s="157">
        <f t="shared" si="0"/>
        <v>0.05</v>
      </c>
      <c r="K106" s="157">
        <f t="shared" si="0"/>
        <v>31.46</v>
      </c>
      <c r="L106" s="157">
        <f t="shared" si="0"/>
        <v>15.81</v>
      </c>
      <c r="M106" s="157">
        <f t="shared" si="0"/>
        <v>38.08</v>
      </c>
      <c r="N106" s="157">
        <f t="shared" si="0"/>
        <v>0</v>
      </c>
      <c r="O106" s="157">
        <f t="shared" si="0"/>
        <v>0</v>
      </c>
      <c r="P106" s="157">
        <f t="shared" si="0"/>
        <v>0.7</v>
      </c>
      <c r="Q106" s="157">
        <f t="shared" si="0"/>
        <v>4.76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29.81</v>
      </c>
      <c r="C107" s="156">
        <f t="shared" ref="C107:Q107" si="1">MAX(C9:C104)</f>
        <v>30.25</v>
      </c>
      <c r="D107" s="156">
        <f t="shared" si="1"/>
        <v>38.67</v>
      </c>
      <c r="E107" s="156">
        <f t="shared" si="1"/>
        <v>9.32</v>
      </c>
      <c r="F107" s="156">
        <f t="shared" si="1"/>
        <v>5.24</v>
      </c>
      <c r="G107" s="156">
        <f t="shared" si="1"/>
        <v>194.44</v>
      </c>
      <c r="H107" s="156">
        <f t="shared" si="1"/>
        <v>59.35</v>
      </c>
      <c r="I107" s="156">
        <f t="shared" si="1"/>
        <v>11</v>
      </c>
      <c r="J107" s="156">
        <f t="shared" si="1"/>
        <v>1.41</v>
      </c>
      <c r="K107" s="156">
        <f t="shared" si="1"/>
        <v>359.07</v>
      </c>
      <c r="L107" s="156">
        <f t="shared" si="1"/>
        <v>28.39</v>
      </c>
      <c r="M107" s="156">
        <f t="shared" si="1"/>
        <v>97.09</v>
      </c>
      <c r="N107" s="156">
        <f t="shared" si="1"/>
        <v>393.6</v>
      </c>
      <c r="O107" s="156">
        <f t="shared" si="1"/>
        <v>0</v>
      </c>
      <c r="P107" s="156">
        <f t="shared" si="1"/>
        <v>1.01</v>
      </c>
      <c r="Q107" s="156">
        <f t="shared" si="1"/>
        <v>5.1100000000000003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15.234375</v>
      </c>
      <c r="C108" s="157">
        <f t="shared" ref="C108:Q108" si="2">AVERAGE(C9:C104)</f>
        <v>24.447500000000002</v>
      </c>
      <c r="D108" s="157">
        <f t="shared" si="2"/>
        <v>26.341041666666666</v>
      </c>
      <c r="E108" s="157">
        <f t="shared" si="2"/>
        <v>7.0656250000000034</v>
      </c>
      <c r="F108" s="157">
        <f t="shared" si="2"/>
        <v>2.8202083333333339</v>
      </c>
      <c r="G108" s="157">
        <f t="shared" si="2"/>
        <v>102.05614583333336</v>
      </c>
      <c r="H108" s="157">
        <f t="shared" si="2"/>
        <v>48.021458333333356</v>
      </c>
      <c r="I108" s="157">
        <f t="shared" si="2"/>
        <v>9.0471875000000033</v>
      </c>
      <c r="J108" s="157">
        <f t="shared" si="2"/>
        <v>0.67729166666666674</v>
      </c>
      <c r="K108" s="157">
        <f t="shared" si="2"/>
        <v>64.38906249999998</v>
      </c>
      <c r="L108" s="157">
        <f t="shared" si="2"/>
        <v>21.198229166666668</v>
      </c>
      <c r="M108" s="157">
        <f t="shared" si="2"/>
        <v>69.318437499999973</v>
      </c>
      <c r="N108" s="157">
        <f t="shared" si="2"/>
        <v>81.294791666666683</v>
      </c>
      <c r="O108" s="157">
        <f t="shared" si="2"/>
        <v>0</v>
      </c>
      <c r="P108" s="157">
        <f t="shared" si="2"/>
        <v>0.89843749999999989</v>
      </c>
      <c r="Q108" s="157">
        <f t="shared" si="2"/>
        <v>4.9484374999999989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7.8293748910248651</v>
      </c>
      <c r="C109" s="157">
        <f t="shared" ref="C109:Q109" si="3">STDEV(C9:C104)</f>
        <v>2.4298633273239223</v>
      </c>
      <c r="D109" s="157">
        <f t="shared" si="3"/>
        <v>6.8347558350361943</v>
      </c>
      <c r="E109" s="157">
        <f t="shared" si="3"/>
        <v>0.87462931997982263</v>
      </c>
      <c r="F109" s="157">
        <f t="shared" si="3"/>
        <v>0.81467588539591296</v>
      </c>
      <c r="G109" s="157">
        <f t="shared" si="3"/>
        <v>27.559911441679983</v>
      </c>
      <c r="H109" s="157">
        <f t="shared" si="3"/>
        <v>7.1892243896374932</v>
      </c>
      <c r="I109" s="157">
        <f t="shared" si="3"/>
        <v>1.2039642442015326</v>
      </c>
      <c r="J109" s="157">
        <f t="shared" si="3"/>
        <v>0.27607580639598389</v>
      </c>
      <c r="K109" s="157">
        <f t="shared" si="3"/>
        <v>36.609437238249335</v>
      </c>
      <c r="L109" s="157">
        <f t="shared" si="3"/>
        <v>4.1375148897277958</v>
      </c>
      <c r="M109" s="157">
        <f t="shared" si="3"/>
        <v>21.041057924580006</v>
      </c>
      <c r="N109" s="157">
        <f t="shared" si="3"/>
        <v>131.79876396656394</v>
      </c>
      <c r="O109" s="157">
        <f t="shared" si="3"/>
        <v>0</v>
      </c>
      <c r="P109" s="157">
        <f t="shared" si="3"/>
        <v>9.3789553059805603E-2</v>
      </c>
      <c r="Q109" s="157">
        <f t="shared" si="3"/>
        <v>9.5788452496002582E-2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911</v>
      </c>
      <c r="B9" s="6">
        <v>11.08</v>
      </c>
      <c r="C9" s="6">
        <v>29.52</v>
      </c>
      <c r="D9" s="6">
        <v>25.65</v>
      </c>
      <c r="E9" s="6">
        <v>7.47</v>
      </c>
      <c r="F9" s="6">
        <v>2.37</v>
      </c>
      <c r="G9" s="6">
        <v>117.37</v>
      </c>
      <c r="H9" s="6">
        <v>57.03</v>
      </c>
      <c r="I9" s="6">
        <v>8.86</v>
      </c>
      <c r="J9" s="6">
        <v>0.11</v>
      </c>
      <c r="K9" s="6">
        <v>91.3</v>
      </c>
      <c r="L9" s="6">
        <v>18.3</v>
      </c>
      <c r="M9" s="6">
        <v>82.88</v>
      </c>
      <c r="N9" s="6">
        <v>0</v>
      </c>
      <c r="O9" s="6">
        <v>0</v>
      </c>
      <c r="P9" s="6">
        <v>0.99</v>
      </c>
      <c r="Q9" s="6">
        <v>4.96</v>
      </c>
    </row>
    <row r="10" spans="1:21" customFormat="1">
      <c r="A10" s="6" t="s">
        <v>912</v>
      </c>
      <c r="B10" s="6">
        <v>11.35</v>
      </c>
      <c r="C10" s="6">
        <v>29.34</v>
      </c>
      <c r="D10" s="6">
        <v>25.78</v>
      </c>
      <c r="E10" s="6">
        <v>7.02</v>
      </c>
      <c r="F10" s="6">
        <v>2.23</v>
      </c>
      <c r="G10" s="6">
        <v>117.37</v>
      </c>
      <c r="H10" s="6">
        <v>57.03</v>
      </c>
      <c r="I10" s="6">
        <v>8.84</v>
      </c>
      <c r="J10" s="6">
        <v>7.0000000000000007E-2</v>
      </c>
      <c r="K10" s="6">
        <v>141.80000000000001</v>
      </c>
      <c r="L10" s="6">
        <v>18.149999999999999</v>
      </c>
      <c r="M10" s="6">
        <v>83.77</v>
      </c>
      <c r="N10" s="6">
        <v>0</v>
      </c>
      <c r="O10" s="6">
        <v>0</v>
      </c>
      <c r="P10" s="6">
        <v>0.97</v>
      </c>
      <c r="Q10" s="6">
        <v>4.97</v>
      </c>
    </row>
    <row r="11" spans="1:21" customFormat="1">
      <c r="A11" s="6" t="s">
        <v>913</v>
      </c>
      <c r="B11" s="6">
        <v>11.61</v>
      </c>
      <c r="C11" s="6">
        <v>29.4</v>
      </c>
      <c r="D11" s="6">
        <v>26.02</v>
      </c>
      <c r="E11" s="6">
        <v>7.05</v>
      </c>
      <c r="F11" s="6">
        <v>2.27</v>
      </c>
      <c r="G11" s="6">
        <v>117.37</v>
      </c>
      <c r="H11" s="6">
        <v>57.03</v>
      </c>
      <c r="I11" s="6">
        <v>8.85</v>
      </c>
      <c r="J11" s="6">
        <v>0.13</v>
      </c>
      <c r="K11" s="6">
        <v>152.32</v>
      </c>
      <c r="L11" s="6">
        <v>17.940000000000001</v>
      </c>
      <c r="M11" s="6">
        <v>84.95</v>
      </c>
      <c r="N11" s="6">
        <v>0</v>
      </c>
      <c r="O11" s="6">
        <v>0</v>
      </c>
      <c r="P11" s="6">
        <v>0.97</v>
      </c>
      <c r="Q11" s="6">
        <v>4.95</v>
      </c>
    </row>
    <row r="12" spans="1:21" customFormat="1">
      <c r="A12" s="6" t="s">
        <v>914</v>
      </c>
      <c r="B12" s="6">
        <v>11.79</v>
      </c>
      <c r="C12" s="6">
        <v>29.26</v>
      </c>
      <c r="D12" s="6">
        <v>26.09</v>
      </c>
      <c r="E12" s="6">
        <v>7.23</v>
      </c>
      <c r="F12" s="6">
        <v>2.19</v>
      </c>
      <c r="G12" s="6">
        <v>116.32</v>
      </c>
      <c r="H12" s="6">
        <v>56.59</v>
      </c>
      <c r="I12" s="6">
        <v>8.86</v>
      </c>
      <c r="J12" s="6">
        <v>0.36</v>
      </c>
      <c r="K12" s="6">
        <v>49.73</v>
      </c>
      <c r="L12" s="6">
        <v>17.84</v>
      </c>
      <c r="M12" s="6">
        <v>85.61</v>
      </c>
      <c r="N12" s="6">
        <v>0</v>
      </c>
      <c r="O12" s="6">
        <v>0</v>
      </c>
      <c r="P12" s="6">
        <v>0.97</v>
      </c>
      <c r="Q12" s="6">
        <v>4.9400000000000004</v>
      </c>
    </row>
    <row r="13" spans="1:21" customFormat="1">
      <c r="A13" s="6" t="s">
        <v>915</v>
      </c>
      <c r="B13" s="6">
        <v>12.21</v>
      </c>
      <c r="C13" s="6">
        <v>29.01</v>
      </c>
      <c r="D13" s="6">
        <v>26.3</v>
      </c>
      <c r="E13" s="6">
        <v>7.25</v>
      </c>
      <c r="F13" s="6">
        <v>2.42</v>
      </c>
      <c r="G13" s="6">
        <v>111.77</v>
      </c>
      <c r="H13" s="6">
        <v>55.3</v>
      </c>
      <c r="I13" s="6">
        <v>8.8699999999999992</v>
      </c>
      <c r="J13" s="6">
        <v>0.59</v>
      </c>
      <c r="K13" s="6">
        <v>50.82</v>
      </c>
      <c r="L13" s="6">
        <v>17.93</v>
      </c>
      <c r="M13" s="6">
        <v>84.78</v>
      </c>
      <c r="N13" s="6">
        <v>0</v>
      </c>
      <c r="O13" s="6">
        <v>0</v>
      </c>
      <c r="P13" s="6">
        <v>0.95</v>
      </c>
      <c r="Q13" s="6">
        <v>4.9400000000000004</v>
      </c>
    </row>
    <row r="14" spans="1:21" customFormat="1">
      <c r="A14" s="6" t="s">
        <v>916</v>
      </c>
      <c r="B14" s="6">
        <v>12.83</v>
      </c>
      <c r="C14" s="6">
        <v>29.16</v>
      </c>
      <c r="D14" s="6">
        <v>26.88</v>
      </c>
      <c r="E14" s="6">
        <v>6.56</v>
      </c>
      <c r="F14" s="6">
        <v>2.3199999999999998</v>
      </c>
      <c r="G14" s="6">
        <v>111.77</v>
      </c>
      <c r="H14" s="6">
        <v>55.3</v>
      </c>
      <c r="I14" s="6">
        <v>8.92</v>
      </c>
      <c r="J14" s="6">
        <v>0.37</v>
      </c>
      <c r="K14" s="6">
        <v>65.64</v>
      </c>
      <c r="L14" s="6">
        <v>17.829999999999998</v>
      </c>
      <c r="M14" s="6">
        <v>85.39</v>
      </c>
      <c r="N14" s="6">
        <v>0</v>
      </c>
      <c r="O14" s="6">
        <v>0</v>
      </c>
      <c r="P14" s="6">
        <v>0.95</v>
      </c>
      <c r="Q14" s="6">
        <v>4.93</v>
      </c>
    </row>
    <row r="15" spans="1:21" customFormat="1">
      <c r="A15" s="6" t="s">
        <v>917</v>
      </c>
      <c r="B15" s="6">
        <v>13.13</v>
      </c>
      <c r="C15" s="6">
        <v>29.14</v>
      </c>
      <c r="D15" s="6">
        <v>27.11</v>
      </c>
      <c r="E15" s="6">
        <v>7.01</v>
      </c>
      <c r="F15" s="6">
        <v>2.2999999999999998</v>
      </c>
      <c r="G15" s="6">
        <v>111.77</v>
      </c>
      <c r="H15" s="6">
        <v>55.3</v>
      </c>
      <c r="I15" s="6">
        <v>8.93</v>
      </c>
      <c r="J15" s="6">
        <v>0.4</v>
      </c>
      <c r="K15" s="6">
        <v>60.2</v>
      </c>
      <c r="L15" s="6">
        <v>17.73</v>
      </c>
      <c r="M15" s="6">
        <v>85.95</v>
      </c>
      <c r="N15" s="6">
        <v>0</v>
      </c>
      <c r="O15" s="6">
        <v>0</v>
      </c>
      <c r="P15" s="6">
        <v>0.93</v>
      </c>
      <c r="Q15" s="6">
        <v>4.93</v>
      </c>
    </row>
    <row r="16" spans="1:21" customFormat="1">
      <c r="A16" s="6" t="s">
        <v>918</v>
      </c>
      <c r="B16" s="6">
        <v>13.37</v>
      </c>
      <c r="C16" s="6">
        <v>28.87</v>
      </c>
      <c r="D16" s="6">
        <v>27.16</v>
      </c>
      <c r="E16" s="6">
        <v>7.03</v>
      </c>
      <c r="F16" s="6">
        <v>2.27</v>
      </c>
      <c r="G16" s="6">
        <v>111.56</v>
      </c>
      <c r="H16" s="6">
        <v>54.98</v>
      </c>
      <c r="I16" s="6">
        <v>8.93</v>
      </c>
      <c r="J16" s="6">
        <v>0.59</v>
      </c>
      <c r="K16" s="6">
        <v>44.67</v>
      </c>
      <c r="L16" s="6">
        <v>17.600000000000001</v>
      </c>
      <c r="M16" s="6">
        <v>86.43</v>
      </c>
      <c r="N16" s="6">
        <v>0</v>
      </c>
      <c r="O16" s="6">
        <v>0</v>
      </c>
      <c r="P16" s="6">
        <v>0.94</v>
      </c>
      <c r="Q16" s="6">
        <v>4.95</v>
      </c>
    </row>
    <row r="17" spans="1:17" customFormat="1">
      <c r="A17" s="6" t="s">
        <v>919</v>
      </c>
      <c r="B17" s="6">
        <v>13.29</v>
      </c>
      <c r="C17" s="6">
        <v>29.05</v>
      </c>
      <c r="D17" s="6">
        <v>27.18</v>
      </c>
      <c r="E17" s="6">
        <v>6.8</v>
      </c>
      <c r="F17" s="6">
        <v>2.19</v>
      </c>
      <c r="G17" s="6">
        <v>110.62</v>
      </c>
      <c r="H17" s="6">
        <v>53.99</v>
      </c>
      <c r="I17" s="6">
        <v>8.9700000000000006</v>
      </c>
      <c r="J17" s="6">
        <v>0.39</v>
      </c>
      <c r="K17" s="6">
        <v>49.24</v>
      </c>
      <c r="L17" s="6">
        <v>17.38</v>
      </c>
      <c r="M17" s="6">
        <v>87.81</v>
      </c>
      <c r="N17" s="6">
        <v>0</v>
      </c>
      <c r="O17" s="6">
        <v>0</v>
      </c>
      <c r="P17" s="6">
        <v>0.94</v>
      </c>
      <c r="Q17" s="6">
        <v>4.9400000000000004</v>
      </c>
    </row>
    <row r="18" spans="1:17" customFormat="1">
      <c r="A18" s="6" t="s">
        <v>920</v>
      </c>
      <c r="B18" s="6">
        <v>13.3</v>
      </c>
      <c r="C18" s="6">
        <v>29.24</v>
      </c>
      <c r="D18" s="6">
        <v>27.3</v>
      </c>
      <c r="E18" s="6">
        <v>8.0500000000000007</v>
      </c>
      <c r="F18" s="6">
        <v>2.35</v>
      </c>
      <c r="G18" s="6">
        <v>110.62</v>
      </c>
      <c r="H18" s="6">
        <v>53.99</v>
      </c>
      <c r="I18" s="6">
        <v>9.0399999999999991</v>
      </c>
      <c r="J18" s="6">
        <v>0.4</v>
      </c>
      <c r="K18" s="6">
        <v>101</v>
      </c>
      <c r="L18" s="6">
        <v>17.28</v>
      </c>
      <c r="M18" s="6">
        <v>88.33</v>
      </c>
      <c r="N18" s="6">
        <v>0</v>
      </c>
      <c r="O18" s="6">
        <v>0</v>
      </c>
      <c r="P18" s="6">
        <v>0.92</v>
      </c>
      <c r="Q18" s="6">
        <v>4.8899999999999997</v>
      </c>
    </row>
    <row r="19" spans="1:17" customFormat="1">
      <c r="A19" s="6" t="s">
        <v>921</v>
      </c>
      <c r="B19" s="6">
        <v>13.16</v>
      </c>
      <c r="C19" s="6">
        <v>26.18</v>
      </c>
      <c r="D19" s="6">
        <v>25.58</v>
      </c>
      <c r="E19" s="6">
        <v>7.61</v>
      </c>
      <c r="F19" s="6">
        <v>2.56</v>
      </c>
      <c r="G19" s="6">
        <v>110.62</v>
      </c>
      <c r="H19" s="6">
        <v>53.99</v>
      </c>
      <c r="I19" s="6">
        <v>9.11</v>
      </c>
      <c r="J19" s="6">
        <v>0.66</v>
      </c>
      <c r="K19" s="6">
        <v>69.260000000000005</v>
      </c>
      <c r="L19" s="6">
        <v>17.3</v>
      </c>
      <c r="M19" s="6">
        <v>88.22</v>
      </c>
      <c r="N19" s="6">
        <v>0</v>
      </c>
      <c r="O19" s="6">
        <v>0</v>
      </c>
      <c r="P19" s="6">
        <v>0.91</v>
      </c>
      <c r="Q19" s="6">
        <v>4.9000000000000004</v>
      </c>
    </row>
    <row r="20" spans="1:17" customFormat="1">
      <c r="A20" s="6" t="s">
        <v>922</v>
      </c>
      <c r="B20" s="6">
        <v>12.84</v>
      </c>
      <c r="C20" s="6">
        <v>24.23</v>
      </c>
      <c r="D20" s="6">
        <v>24.31</v>
      </c>
      <c r="E20" s="6">
        <v>7.41</v>
      </c>
      <c r="F20" s="6">
        <v>2.5499999999999998</v>
      </c>
      <c r="G20" s="6">
        <v>109.71</v>
      </c>
      <c r="H20" s="6">
        <v>53.89</v>
      </c>
      <c r="I20" s="6">
        <v>9.09</v>
      </c>
      <c r="J20" s="6">
        <v>0.73</v>
      </c>
      <c r="K20" s="6">
        <v>67.13</v>
      </c>
      <c r="L20" s="6">
        <v>17.489999999999998</v>
      </c>
      <c r="M20" s="6">
        <v>87.3</v>
      </c>
      <c r="N20" s="6">
        <v>0</v>
      </c>
      <c r="O20" s="6">
        <v>0</v>
      </c>
      <c r="P20" s="6">
        <v>0.89</v>
      </c>
      <c r="Q20" s="6">
        <v>4.8899999999999997</v>
      </c>
    </row>
    <row r="21" spans="1:17" customFormat="1">
      <c r="A21" s="6" t="s">
        <v>923</v>
      </c>
      <c r="B21" s="6">
        <v>12.43</v>
      </c>
      <c r="C21" s="6">
        <v>23.74</v>
      </c>
      <c r="D21" s="6">
        <v>23.73</v>
      </c>
      <c r="E21" s="6">
        <v>7.15</v>
      </c>
      <c r="F21" s="6">
        <v>2.4900000000000002</v>
      </c>
      <c r="G21" s="6">
        <v>105.84</v>
      </c>
      <c r="H21" s="6">
        <v>53.55</v>
      </c>
      <c r="I21" s="6">
        <v>9.07</v>
      </c>
      <c r="J21" s="6">
        <v>0.77</v>
      </c>
      <c r="K21" s="6">
        <v>60.32</v>
      </c>
      <c r="L21" s="6">
        <v>17.440000000000001</v>
      </c>
      <c r="M21" s="6">
        <v>87.48</v>
      </c>
      <c r="N21" s="6">
        <v>0</v>
      </c>
      <c r="O21" s="6">
        <v>0</v>
      </c>
      <c r="P21" s="6">
        <v>0.89</v>
      </c>
      <c r="Q21" s="6">
        <v>4.8899999999999997</v>
      </c>
    </row>
    <row r="22" spans="1:17" customFormat="1">
      <c r="A22" s="6" t="s">
        <v>924</v>
      </c>
      <c r="B22" s="6">
        <v>12.02</v>
      </c>
      <c r="C22" s="6">
        <v>23.45</v>
      </c>
      <c r="D22" s="6">
        <v>23.24</v>
      </c>
      <c r="E22" s="6">
        <v>7.29</v>
      </c>
      <c r="F22" s="6">
        <v>2.31</v>
      </c>
      <c r="G22" s="6">
        <v>105.84</v>
      </c>
      <c r="H22" s="6">
        <v>53.55</v>
      </c>
      <c r="I22" s="6">
        <v>9.08</v>
      </c>
      <c r="J22" s="6">
        <v>0.62</v>
      </c>
      <c r="K22" s="6">
        <v>55.66</v>
      </c>
      <c r="L22" s="6">
        <v>17.32</v>
      </c>
      <c r="M22" s="6">
        <v>87.73</v>
      </c>
      <c r="N22" s="6">
        <v>0</v>
      </c>
      <c r="O22" s="6">
        <v>0</v>
      </c>
      <c r="P22" s="6">
        <v>0.87</v>
      </c>
      <c r="Q22" s="6">
        <v>4.8899999999999997</v>
      </c>
    </row>
    <row r="23" spans="1:17" customFormat="1">
      <c r="A23" s="6" t="s">
        <v>925</v>
      </c>
      <c r="B23" s="6">
        <v>11.74</v>
      </c>
      <c r="C23" s="6">
        <v>23.35</v>
      </c>
      <c r="D23" s="6">
        <v>22.97</v>
      </c>
      <c r="E23" s="6">
        <v>6.88</v>
      </c>
      <c r="F23" s="6">
        <v>2.4300000000000002</v>
      </c>
      <c r="G23" s="6">
        <v>105.84</v>
      </c>
      <c r="H23" s="6">
        <v>53.55</v>
      </c>
      <c r="I23" s="6">
        <v>9.11</v>
      </c>
      <c r="J23" s="6">
        <v>0.76</v>
      </c>
      <c r="K23" s="6">
        <v>47.44</v>
      </c>
      <c r="L23" s="6">
        <v>17.18</v>
      </c>
      <c r="M23" s="6">
        <v>88.1</v>
      </c>
      <c r="N23" s="6">
        <v>0</v>
      </c>
      <c r="O23" s="6">
        <v>0</v>
      </c>
      <c r="P23" s="6">
        <v>0.88</v>
      </c>
      <c r="Q23" s="6">
        <v>4.8899999999999997</v>
      </c>
    </row>
    <row r="24" spans="1:17" customFormat="1">
      <c r="A24" s="6" t="s">
        <v>926</v>
      </c>
      <c r="B24" s="6">
        <v>11.72</v>
      </c>
      <c r="C24" s="6">
        <v>23.55</v>
      </c>
      <c r="D24" s="6">
        <v>23.05</v>
      </c>
      <c r="E24" s="6">
        <v>7.26</v>
      </c>
      <c r="F24" s="6">
        <v>2.41</v>
      </c>
      <c r="G24" s="6">
        <v>101.59</v>
      </c>
      <c r="H24" s="6">
        <v>52.85</v>
      </c>
      <c r="I24" s="6">
        <v>9.1</v>
      </c>
      <c r="J24" s="6">
        <v>0.62</v>
      </c>
      <c r="K24" s="6">
        <v>41.07</v>
      </c>
      <c r="L24" s="6">
        <v>16.899999999999999</v>
      </c>
      <c r="M24" s="6">
        <v>89.59</v>
      </c>
      <c r="N24" s="6">
        <v>0</v>
      </c>
      <c r="O24" s="6">
        <v>0</v>
      </c>
      <c r="P24" s="6">
        <v>0.87</v>
      </c>
      <c r="Q24" s="6">
        <v>4.9000000000000004</v>
      </c>
    </row>
    <row r="25" spans="1:17" customFormat="1">
      <c r="A25" s="6" t="s">
        <v>927</v>
      </c>
      <c r="B25" s="6">
        <v>12.28</v>
      </c>
      <c r="C25" s="6">
        <v>23.37</v>
      </c>
      <c r="D25" s="6">
        <v>23.41</v>
      </c>
      <c r="E25" s="6">
        <v>7.43</v>
      </c>
      <c r="F25" s="6">
        <v>2.42</v>
      </c>
      <c r="G25" s="6">
        <v>83.33</v>
      </c>
      <c r="H25" s="6">
        <v>50.67</v>
      </c>
      <c r="I25" s="6">
        <v>9.11</v>
      </c>
      <c r="J25" s="6">
        <v>0.37</v>
      </c>
      <c r="K25" s="6">
        <v>44.47</v>
      </c>
      <c r="L25" s="6">
        <v>16.8</v>
      </c>
      <c r="M25" s="6">
        <v>89.95</v>
      </c>
      <c r="N25" s="6">
        <v>0</v>
      </c>
      <c r="O25" s="6">
        <v>0</v>
      </c>
      <c r="P25" s="6">
        <v>0.86</v>
      </c>
      <c r="Q25" s="6">
        <v>4.91</v>
      </c>
    </row>
    <row r="26" spans="1:17" customFormat="1">
      <c r="A26" s="6" t="s">
        <v>928</v>
      </c>
      <c r="B26" s="6">
        <v>12.73</v>
      </c>
      <c r="C26" s="6">
        <v>23.57</v>
      </c>
      <c r="D26" s="6">
        <v>23.87</v>
      </c>
      <c r="E26" s="6">
        <v>7.55</v>
      </c>
      <c r="F26" s="6">
        <v>2.2999999999999998</v>
      </c>
      <c r="G26" s="6">
        <v>83.33</v>
      </c>
      <c r="H26" s="6">
        <v>50.67</v>
      </c>
      <c r="I26" s="6">
        <v>9.11</v>
      </c>
      <c r="J26" s="6">
        <v>0.4</v>
      </c>
      <c r="K26" s="6">
        <v>42.69</v>
      </c>
      <c r="L26" s="6">
        <v>16.73</v>
      </c>
      <c r="M26" s="6">
        <v>90.28</v>
      </c>
      <c r="N26" s="6">
        <v>0</v>
      </c>
      <c r="O26" s="6">
        <v>0</v>
      </c>
      <c r="P26" s="6">
        <v>0.86</v>
      </c>
      <c r="Q26" s="6">
        <v>4.9000000000000004</v>
      </c>
    </row>
    <row r="27" spans="1:17" customFormat="1">
      <c r="A27" s="6" t="s">
        <v>929</v>
      </c>
      <c r="B27" s="6">
        <v>13.14</v>
      </c>
      <c r="C27" s="6">
        <v>23.74</v>
      </c>
      <c r="D27" s="6">
        <v>24.29</v>
      </c>
      <c r="E27" s="6">
        <v>7.35</v>
      </c>
      <c r="F27" s="6">
        <v>2.2599999999999998</v>
      </c>
      <c r="G27" s="6">
        <v>83.33</v>
      </c>
      <c r="H27" s="6">
        <v>50.67</v>
      </c>
      <c r="I27" s="6">
        <v>9.09</v>
      </c>
      <c r="J27" s="6">
        <v>0.26</v>
      </c>
      <c r="K27" s="6">
        <v>54.13</v>
      </c>
      <c r="L27" s="6">
        <v>16.61</v>
      </c>
      <c r="M27" s="6">
        <v>90.88</v>
      </c>
      <c r="N27" s="6">
        <v>0</v>
      </c>
      <c r="O27" s="6">
        <v>0</v>
      </c>
      <c r="P27" s="6">
        <v>0.86</v>
      </c>
      <c r="Q27" s="6">
        <v>4.91</v>
      </c>
    </row>
    <row r="28" spans="1:17" customFormat="1">
      <c r="A28" s="6" t="s">
        <v>930</v>
      </c>
      <c r="B28" s="6">
        <v>13.6</v>
      </c>
      <c r="C28" s="6">
        <v>23.74</v>
      </c>
      <c r="D28" s="6">
        <v>24.67</v>
      </c>
      <c r="E28" s="6">
        <v>7.17</v>
      </c>
      <c r="F28" s="6">
        <v>2.2999999999999998</v>
      </c>
      <c r="G28" s="6">
        <v>83.15</v>
      </c>
      <c r="H28" s="6">
        <v>50.29</v>
      </c>
      <c r="I28" s="6">
        <v>9.07</v>
      </c>
      <c r="J28" s="6">
        <v>0.36</v>
      </c>
      <c r="K28" s="6">
        <v>55.36</v>
      </c>
      <c r="L28" s="6">
        <v>16.47</v>
      </c>
      <c r="M28" s="6">
        <v>91.71</v>
      </c>
      <c r="N28" s="6">
        <v>0</v>
      </c>
      <c r="O28" s="6">
        <v>0</v>
      </c>
      <c r="P28" s="6">
        <v>0.85</v>
      </c>
      <c r="Q28" s="6">
        <v>4.92</v>
      </c>
    </row>
    <row r="29" spans="1:17" customFormat="1">
      <c r="A29" s="6" t="s">
        <v>931</v>
      </c>
      <c r="B29" s="6">
        <v>14.52</v>
      </c>
      <c r="C29" s="6">
        <v>24.03</v>
      </c>
      <c r="D29" s="6">
        <v>25.55</v>
      </c>
      <c r="E29" s="6">
        <v>7.22</v>
      </c>
      <c r="F29" s="6">
        <v>2.25</v>
      </c>
      <c r="G29" s="6">
        <v>82.39</v>
      </c>
      <c r="H29" s="6">
        <v>49.1</v>
      </c>
      <c r="I29" s="6">
        <v>9.06</v>
      </c>
      <c r="J29" s="6">
        <v>0.45</v>
      </c>
      <c r="K29" s="6">
        <v>45.91</v>
      </c>
      <c r="L29" s="6">
        <v>16.399999999999999</v>
      </c>
      <c r="M29" s="6">
        <v>92.16</v>
      </c>
      <c r="N29" s="6">
        <v>0</v>
      </c>
      <c r="O29" s="6">
        <v>0</v>
      </c>
      <c r="P29" s="6">
        <v>0.85</v>
      </c>
      <c r="Q29" s="6">
        <v>4.9400000000000004</v>
      </c>
    </row>
    <row r="30" spans="1:17" customFormat="1">
      <c r="A30" s="6" t="s">
        <v>932</v>
      </c>
      <c r="B30" s="6">
        <v>15.34</v>
      </c>
      <c r="C30" s="6">
        <v>23.99</v>
      </c>
      <c r="D30" s="6">
        <v>26.19</v>
      </c>
      <c r="E30" s="6">
        <v>7.42</v>
      </c>
      <c r="F30" s="6">
        <v>2.31</v>
      </c>
      <c r="G30" s="6">
        <v>82.39</v>
      </c>
      <c r="H30" s="6">
        <v>49.1</v>
      </c>
      <c r="I30" s="6">
        <v>9.08</v>
      </c>
      <c r="J30" s="6">
        <v>0.59</v>
      </c>
      <c r="K30" s="6">
        <v>45.48</v>
      </c>
      <c r="L30" s="6">
        <v>16.329999999999998</v>
      </c>
      <c r="M30" s="6">
        <v>92.63</v>
      </c>
      <c r="N30" s="6">
        <v>0</v>
      </c>
      <c r="O30" s="6">
        <v>0</v>
      </c>
      <c r="P30" s="6">
        <v>0.86</v>
      </c>
      <c r="Q30" s="6">
        <v>4.95</v>
      </c>
    </row>
    <row r="31" spans="1:17" customFormat="1">
      <c r="A31" s="6" t="s">
        <v>933</v>
      </c>
      <c r="B31" s="6">
        <v>16.059999999999999</v>
      </c>
      <c r="C31" s="6">
        <v>24.3</v>
      </c>
      <c r="D31" s="6">
        <v>26.93</v>
      </c>
      <c r="E31" s="6">
        <v>7.3</v>
      </c>
      <c r="F31" s="6">
        <v>2.27</v>
      </c>
      <c r="G31" s="6">
        <v>82.39</v>
      </c>
      <c r="H31" s="6">
        <v>49.1</v>
      </c>
      <c r="I31" s="6">
        <v>9.14</v>
      </c>
      <c r="J31" s="6">
        <v>0.55000000000000004</v>
      </c>
      <c r="K31" s="6">
        <v>47.55</v>
      </c>
      <c r="L31" s="6">
        <v>16.329999999999998</v>
      </c>
      <c r="M31" s="6">
        <v>92.68</v>
      </c>
      <c r="N31" s="6">
        <v>0</v>
      </c>
      <c r="O31" s="6">
        <v>0</v>
      </c>
      <c r="P31" s="6">
        <v>0.85</v>
      </c>
      <c r="Q31" s="6">
        <v>4.96</v>
      </c>
    </row>
    <row r="32" spans="1:17" customFormat="1">
      <c r="A32" s="6" t="s">
        <v>934</v>
      </c>
      <c r="B32" s="6">
        <v>16.489999999999998</v>
      </c>
      <c r="C32" s="6">
        <v>24.25</v>
      </c>
      <c r="D32" s="6">
        <v>27.24</v>
      </c>
      <c r="E32" s="6">
        <v>7.63</v>
      </c>
      <c r="F32" s="6">
        <v>2.14</v>
      </c>
      <c r="G32" s="6">
        <v>82.6</v>
      </c>
      <c r="H32" s="6">
        <v>49</v>
      </c>
      <c r="I32" s="6">
        <v>9.18</v>
      </c>
      <c r="J32" s="6">
        <v>7.0000000000000007E-2</v>
      </c>
      <c r="K32" s="6">
        <v>123.69</v>
      </c>
      <c r="L32" s="6">
        <v>16.190000000000001</v>
      </c>
      <c r="M32" s="6">
        <v>93.12</v>
      </c>
      <c r="N32" s="6">
        <v>0</v>
      </c>
      <c r="O32" s="6">
        <v>0</v>
      </c>
      <c r="P32" s="6">
        <v>0.87</v>
      </c>
      <c r="Q32" s="6">
        <v>4.96</v>
      </c>
    </row>
    <row r="33" spans="1:17" customFormat="1">
      <c r="A33" s="6" t="s">
        <v>935</v>
      </c>
      <c r="B33" s="6">
        <v>16.79</v>
      </c>
      <c r="C33" s="6">
        <v>24.38</v>
      </c>
      <c r="D33" s="6">
        <v>27.55</v>
      </c>
      <c r="E33" s="6">
        <v>7.77</v>
      </c>
      <c r="F33" s="6">
        <v>2.1800000000000002</v>
      </c>
      <c r="G33" s="6">
        <v>83.53</v>
      </c>
      <c r="H33" s="6">
        <v>48.49</v>
      </c>
      <c r="I33" s="6">
        <v>9.1999999999999993</v>
      </c>
      <c r="J33" s="6">
        <v>0.15</v>
      </c>
      <c r="K33" s="6">
        <v>175.36</v>
      </c>
      <c r="L33" s="6">
        <v>16.010000000000002</v>
      </c>
      <c r="M33" s="6">
        <v>94.21</v>
      </c>
      <c r="N33" s="6">
        <v>0</v>
      </c>
      <c r="O33" s="6">
        <v>0</v>
      </c>
      <c r="P33" s="6">
        <v>0.88</v>
      </c>
      <c r="Q33" s="6">
        <v>4.9800000000000004</v>
      </c>
    </row>
    <row r="34" spans="1:17" customFormat="1">
      <c r="A34" s="6" t="s">
        <v>936</v>
      </c>
      <c r="B34" s="6">
        <v>16.62</v>
      </c>
      <c r="C34" s="6">
        <v>23.95</v>
      </c>
      <c r="D34" s="6">
        <v>27.19</v>
      </c>
      <c r="E34" s="6">
        <v>7.52</v>
      </c>
      <c r="F34" s="6">
        <v>2.29</v>
      </c>
      <c r="G34" s="6">
        <v>83.53</v>
      </c>
      <c r="H34" s="6">
        <v>48.49</v>
      </c>
      <c r="I34" s="6">
        <v>9.27</v>
      </c>
      <c r="J34" s="6">
        <v>0.11</v>
      </c>
      <c r="K34" s="6">
        <v>264.45999999999998</v>
      </c>
      <c r="L34" s="6">
        <v>15.73</v>
      </c>
      <c r="M34" s="6">
        <v>95.14</v>
      </c>
      <c r="N34" s="6">
        <v>0</v>
      </c>
      <c r="O34" s="6">
        <v>0</v>
      </c>
      <c r="P34" s="6">
        <v>0.88</v>
      </c>
      <c r="Q34" s="6">
        <v>4.9800000000000004</v>
      </c>
    </row>
    <row r="35" spans="1:17" customFormat="1">
      <c r="A35" s="6" t="s">
        <v>937</v>
      </c>
      <c r="B35" s="6">
        <v>16.39</v>
      </c>
      <c r="C35" s="6">
        <v>23.88</v>
      </c>
      <c r="D35" s="6">
        <v>26.97</v>
      </c>
      <c r="E35" s="6">
        <v>7.6</v>
      </c>
      <c r="F35" s="6">
        <v>2.25</v>
      </c>
      <c r="G35" s="6">
        <v>83.53</v>
      </c>
      <c r="H35" s="6">
        <v>48.49</v>
      </c>
      <c r="I35" s="6">
        <v>9.35</v>
      </c>
      <c r="J35" s="6">
        <v>7.0000000000000007E-2</v>
      </c>
      <c r="K35" s="6">
        <v>193.91</v>
      </c>
      <c r="L35" s="6">
        <v>15.66</v>
      </c>
      <c r="M35" s="6">
        <v>95.76</v>
      </c>
      <c r="N35" s="6">
        <v>0</v>
      </c>
      <c r="O35" s="6">
        <v>0</v>
      </c>
      <c r="P35" s="6">
        <v>0.89</v>
      </c>
      <c r="Q35" s="6">
        <v>4.95</v>
      </c>
    </row>
    <row r="36" spans="1:17" customFormat="1">
      <c r="A36" s="6" t="s">
        <v>938</v>
      </c>
      <c r="B36" s="6">
        <v>17.11</v>
      </c>
      <c r="C36" s="6">
        <v>23.68</v>
      </c>
      <c r="D36" s="6">
        <v>27.45</v>
      </c>
      <c r="E36" s="6">
        <v>7.48</v>
      </c>
      <c r="F36" s="6">
        <v>2.35</v>
      </c>
      <c r="G36" s="6">
        <v>84.26</v>
      </c>
      <c r="H36" s="6">
        <v>48.38</v>
      </c>
      <c r="I36" s="6">
        <v>9.4</v>
      </c>
      <c r="J36" s="6">
        <v>0.18</v>
      </c>
      <c r="K36" s="6">
        <v>80.25</v>
      </c>
      <c r="L36" s="6">
        <v>15.84</v>
      </c>
      <c r="M36" s="6">
        <v>95.55</v>
      </c>
      <c r="N36" s="6">
        <v>1.5</v>
      </c>
      <c r="O36" s="6">
        <v>0</v>
      </c>
      <c r="P36" s="6">
        <v>0.91</v>
      </c>
      <c r="Q36" s="6">
        <v>4.96</v>
      </c>
    </row>
    <row r="37" spans="1:17" customFormat="1">
      <c r="A37" s="6" t="s">
        <v>939</v>
      </c>
      <c r="B37" s="6">
        <v>18.79</v>
      </c>
      <c r="C37" s="6">
        <v>24.75</v>
      </c>
      <c r="D37" s="6">
        <v>29.35</v>
      </c>
      <c r="E37" s="6">
        <v>7.74</v>
      </c>
      <c r="F37" s="6">
        <v>2.21</v>
      </c>
      <c r="G37" s="6">
        <v>87.43</v>
      </c>
      <c r="H37" s="6">
        <v>48.05</v>
      </c>
      <c r="I37" s="6">
        <v>9.4499999999999993</v>
      </c>
      <c r="J37" s="6">
        <v>0.47</v>
      </c>
      <c r="K37" s="6">
        <v>55.01</v>
      </c>
      <c r="L37" s="6">
        <v>16.09</v>
      </c>
      <c r="M37" s="6">
        <v>95.09</v>
      </c>
      <c r="N37" s="6">
        <v>9</v>
      </c>
      <c r="O37" s="6">
        <v>0</v>
      </c>
      <c r="P37" s="6">
        <v>0.92</v>
      </c>
      <c r="Q37" s="6">
        <v>5</v>
      </c>
    </row>
    <row r="38" spans="1:17" customFormat="1">
      <c r="A38" s="6" t="s">
        <v>940</v>
      </c>
      <c r="B38" s="6">
        <v>20.239999999999998</v>
      </c>
      <c r="C38" s="6">
        <v>25.42</v>
      </c>
      <c r="D38" s="6">
        <v>30.86</v>
      </c>
      <c r="E38" s="6">
        <v>8.2200000000000006</v>
      </c>
      <c r="F38" s="6">
        <v>2.31</v>
      </c>
      <c r="G38" s="6">
        <v>87.43</v>
      </c>
      <c r="H38" s="6">
        <v>48.05</v>
      </c>
      <c r="I38" s="6">
        <v>9.57</v>
      </c>
      <c r="J38" s="6">
        <v>0.86</v>
      </c>
      <c r="K38" s="6">
        <v>55.17</v>
      </c>
      <c r="L38" s="6">
        <v>16.350000000000001</v>
      </c>
      <c r="M38" s="6">
        <v>93.86</v>
      </c>
      <c r="N38" s="6">
        <v>19.2</v>
      </c>
      <c r="O38" s="6">
        <v>0</v>
      </c>
      <c r="P38" s="6">
        <v>0.95</v>
      </c>
      <c r="Q38" s="6">
        <v>5.03</v>
      </c>
    </row>
    <row r="39" spans="1:17" customFormat="1">
      <c r="A39" s="6" t="s">
        <v>941</v>
      </c>
      <c r="B39" s="6">
        <v>21.77</v>
      </c>
      <c r="C39" s="6">
        <v>26</v>
      </c>
      <c r="D39" s="6">
        <v>32.39</v>
      </c>
      <c r="E39" s="6">
        <v>7.68</v>
      </c>
      <c r="F39" s="6">
        <v>2.2999999999999998</v>
      </c>
      <c r="G39" s="6">
        <v>87.43</v>
      </c>
      <c r="H39" s="6">
        <v>48.05</v>
      </c>
      <c r="I39" s="6">
        <v>9.75</v>
      </c>
      <c r="J39" s="6">
        <v>0.78</v>
      </c>
      <c r="K39" s="6">
        <v>44.87</v>
      </c>
      <c r="L39" s="6">
        <v>16.52</v>
      </c>
      <c r="M39" s="6">
        <v>93.18</v>
      </c>
      <c r="N39" s="6">
        <v>31.5</v>
      </c>
      <c r="O39" s="6">
        <v>0</v>
      </c>
      <c r="P39" s="6">
        <v>0.97</v>
      </c>
      <c r="Q39" s="6">
        <v>5.05</v>
      </c>
    </row>
    <row r="40" spans="1:17" customFormat="1">
      <c r="A40" s="6" t="s">
        <v>942</v>
      </c>
      <c r="B40" s="6">
        <v>22.84</v>
      </c>
      <c r="C40" s="6">
        <v>26.55</v>
      </c>
      <c r="D40" s="6">
        <v>33.54</v>
      </c>
      <c r="E40" s="6">
        <v>7.66</v>
      </c>
      <c r="F40" s="6">
        <v>2.4</v>
      </c>
      <c r="G40" s="6">
        <v>92.95</v>
      </c>
      <c r="H40" s="6">
        <v>48.95</v>
      </c>
      <c r="I40" s="6">
        <v>9.9700000000000006</v>
      </c>
      <c r="J40" s="6">
        <v>1.07</v>
      </c>
      <c r="K40" s="6">
        <v>50.36</v>
      </c>
      <c r="L40" s="6">
        <v>16.8</v>
      </c>
      <c r="M40" s="6">
        <v>92.45</v>
      </c>
      <c r="N40" s="6">
        <v>44.6</v>
      </c>
      <c r="O40" s="6">
        <v>0</v>
      </c>
      <c r="P40" s="6">
        <v>0.99</v>
      </c>
      <c r="Q40" s="6">
        <v>5.05</v>
      </c>
    </row>
    <row r="41" spans="1:17" customFormat="1">
      <c r="A41" s="6" t="s">
        <v>943</v>
      </c>
      <c r="B41" s="6">
        <v>23.33</v>
      </c>
      <c r="C41" s="6">
        <v>27.02</v>
      </c>
      <c r="D41" s="6">
        <v>34.17</v>
      </c>
      <c r="E41" s="6">
        <v>8.51</v>
      </c>
      <c r="F41" s="6">
        <v>2.23</v>
      </c>
      <c r="G41" s="6">
        <v>116.67</v>
      </c>
      <c r="H41" s="6">
        <v>51.77</v>
      </c>
      <c r="I41" s="6">
        <v>10.24</v>
      </c>
      <c r="J41" s="6">
        <v>1.1200000000000001</v>
      </c>
      <c r="K41" s="6">
        <v>48.45</v>
      </c>
      <c r="L41" s="6">
        <v>17.28</v>
      </c>
      <c r="M41" s="6">
        <v>91.16</v>
      </c>
      <c r="N41" s="6">
        <v>87.9</v>
      </c>
      <c r="O41" s="6">
        <v>0</v>
      </c>
      <c r="P41" s="6">
        <v>1.02</v>
      </c>
      <c r="Q41" s="6">
        <v>5.0599999999999996</v>
      </c>
    </row>
    <row r="42" spans="1:17" customFormat="1">
      <c r="A42" s="6" t="s">
        <v>944</v>
      </c>
      <c r="B42" s="6">
        <v>23.51</v>
      </c>
      <c r="C42" s="6">
        <v>27.21</v>
      </c>
      <c r="D42" s="6">
        <v>34.43</v>
      </c>
      <c r="E42" s="6">
        <v>8.2799999999999994</v>
      </c>
      <c r="F42" s="6">
        <v>2.34</v>
      </c>
      <c r="G42" s="6">
        <v>116.67</v>
      </c>
      <c r="H42" s="6">
        <v>51.77</v>
      </c>
      <c r="I42" s="6">
        <v>10.54</v>
      </c>
      <c r="J42" s="6">
        <v>1.18</v>
      </c>
      <c r="K42" s="6">
        <v>56.26</v>
      </c>
      <c r="L42" s="6">
        <v>17.79</v>
      </c>
      <c r="M42" s="6">
        <v>88.5</v>
      </c>
      <c r="N42" s="6">
        <v>121.4</v>
      </c>
      <c r="O42" s="6">
        <v>0</v>
      </c>
      <c r="P42" s="6">
        <v>1.02</v>
      </c>
      <c r="Q42" s="6">
        <v>5.07</v>
      </c>
    </row>
    <row r="43" spans="1:17" customFormat="1">
      <c r="A43" s="6" t="s">
        <v>945</v>
      </c>
      <c r="B43" s="6">
        <v>23.34</v>
      </c>
      <c r="C43" s="6">
        <v>27.69</v>
      </c>
      <c r="D43" s="6">
        <v>34.54</v>
      </c>
      <c r="E43" s="6">
        <v>7.9</v>
      </c>
      <c r="F43" s="6">
        <v>2.3199999999999998</v>
      </c>
      <c r="G43" s="6">
        <v>116.67</v>
      </c>
      <c r="H43" s="6">
        <v>51.77</v>
      </c>
      <c r="I43" s="6">
        <v>10.75</v>
      </c>
      <c r="J43" s="6">
        <v>1.46</v>
      </c>
      <c r="K43" s="6">
        <v>52.59</v>
      </c>
      <c r="L43" s="6">
        <v>18.3</v>
      </c>
      <c r="M43" s="6">
        <v>85.75</v>
      </c>
      <c r="N43" s="6">
        <v>143.80000000000001</v>
      </c>
      <c r="O43" s="6">
        <v>0</v>
      </c>
      <c r="P43" s="6">
        <v>1.03</v>
      </c>
      <c r="Q43" s="6">
        <v>5.0599999999999996</v>
      </c>
    </row>
    <row r="44" spans="1:17" customFormat="1">
      <c r="A44" s="6" t="s">
        <v>946</v>
      </c>
      <c r="B44" s="6">
        <v>22.88</v>
      </c>
      <c r="C44" s="6">
        <v>28.18</v>
      </c>
      <c r="D44" s="6">
        <v>34.42</v>
      </c>
      <c r="E44" s="6">
        <v>8.16</v>
      </c>
      <c r="F44" s="6">
        <v>2.34</v>
      </c>
      <c r="G44" s="6">
        <v>117.46</v>
      </c>
      <c r="H44" s="6">
        <v>51.55</v>
      </c>
      <c r="I44" s="6">
        <v>10.86</v>
      </c>
      <c r="J44" s="6">
        <v>1.48</v>
      </c>
      <c r="K44" s="6">
        <v>47.76</v>
      </c>
      <c r="L44" s="6">
        <v>18.91</v>
      </c>
      <c r="M44" s="6">
        <v>83.39</v>
      </c>
      <c r="N44" s="6">
        <v>165.7</v>
      </c>
      <c r="O44" s="6">
        <v>0</v>
      </c>
      <c r="P44" s="6">
        <v>1.04</v>
      </c>
      <c r="Q44" s="6">
        <v>5.0599999999999996</v>
      </c>
    </row>
    <row r="45" spans="1:17" customFormat="1">
      <c r="A45" s="6" t="s">
        <v>947</v>
      </c>
      <c r="B45" s="6">
        <v>22.25</v>
      </c>
      <c r="C45" s="6">
        <v>28.43</v>
      </c>
      <c r="D45" s="6">
        <v>34.04</v>
      </c>
      <c r="E45" s="6">
        <v>8.4</v>
      </c>
      <c r="F45" s="6">
        <v>2.37</v>
      </c>
      <c r="G45" s="6">
        <v>121.08</v>
      </c>
      <c r="H45" s="6">
        <v>50.87</v>
      </c>
      <c r="I45" s="6">
        <v>10.92</v>
      </c>
      <c r="J45" s="6">
        <v>1.47</v>
      </c>
      <c r="K45" s="6">
        <v>54.17</v>
      </c>
      <c r="L45" s="6">
        <v>19.46</v>
      </c>
      <c r="M45" s="6">
        <v>80.12</v>
      </c>
      <c r="N45" s="6">
        <v>160.19999999999999</v>
      </c>
      <c r="O45" s="6">
        <v>0</v>
      </c>
      <c r="P45" s="6">
        <v>1.04</v>
      </c>
      <c r="Q45" s="6">
        <v>5.05</v>
      </c>
    </row>
    <row r="46" spans="1:17" customFormat="1">
      <c r="A46" s="6" t="s">
        <v>948</v>
      </c>
      <c r="B46" s="6">
        <v>21.1</v>
      </c>
      <c r="C46" s="6">
        <v>28.69</v>
      </c>
      <c r="D46" s="6">
        <v>33.26</v>
      </c>
      <c r="E46" s="6">
        <v>8.15</v>
      </c>
      <c r="F46" s="6">
        <v>2.4300000000000002</v>
      </c>
      <c r="G46" s="6">
        <v>121.08</v>
      </c>
      <c r="H46" s="6">
        <v>50.87</v>
      </c>
      <c r="I46" s="6">
        <v>10.94</v>
      </c>
      <c r="J46" s="6">
        <v>0.76</v>
      </c>
      <c r="K46" s="6">
        <v>69.34</v>
      </c>
      <c r="L46" s="6">
        <v>20.55</v>
      </c>
      <c r="M46" s="6">
        <v>75.150000000000006</v>
      </c>
      <c r="N46" s="6">
        <v>120.7</v>
      </c>
      <c r="O46" s="6">
        <v>0</v>
      </c>
      <c r="P46" s="6">
        <v>1.03</v>
      </c>
      <c r="Q46" s="6">
        <v>5.04</v>
      </c>
    </row>
    <row r="47" spans="1:17" customFormat="1">
      <c r="A47" s="6" t="s">
        <v>949</v>
      </c>
      <c r="B47" s="6">
        <v>19.71</v>
      </c>
      <c r="C47" s="6">
        <v>28.66</v>
      </c>
      <c r="D47" s="6">
        <v>32.130000000000003</v>
      </c>
      <c r="E47" s="6">
        <v>8.75</v>
      </c>
      <c r="F47" s="6">
        <v>2.46</v>
      </c>
      <c r="G47" s="6">
        <v>121.08</v>
      </c>
      <c r="H47" s="6">
        <v>50.87</v>
      </c>
      <c r="I47" s="6">
        <v>10.92</v>
      </c>
      <c r="J47" s="6">
        <v>0.91</v>
      </c>
      <c r="K47" s="6">
        <v>69.73</v>
      </c>
      <c r="L47" s="6">
        <v>21.35</v>
      </c>
      <c r="M47" s="6">
        <v>71.37</v>
      </c>
      <c r="N47" s="6">
        <v>125.9</v>
      </c>
      <c r="O47" s="6">
        <v>0</v>
      </c>
      <c r="P47" s="6">
        <v>1.03</v>
      </c>
      <c r="Q47" s="6">
        <v>5.01</v>
      </c>
    </row>
    <row r="48" spans="1:17" customFormat="1">
      <c r="A48" s="6" t="s">
        <v>950</v>
      </c>
      <c r="B48" s="6">
        <v>18.36</v>
      </c>
      <c r="C48" s="6">
        <v>29.29</v>
      </c>
      <c r="D48" s="6">
        <v>31.38</v>
      </c>
      <c r="E48" s="6">
        <v>8.64</v>
      </c>
      <c r="F48" s="6">
        <v>2.4300000000000002</v>
      </c>
      <c r="G48" s="6">
        <v>122.04</v>
      </c>
      <c r="H48" s="6">
        <v>51.06</v>
      </c>
      <c r="I48" s="6">
        <v>10.9</v>
      </c>
      <c r="J48" s="6">
        <v>0.88</v>
      </c>
      <c r="K48" s="6">
        <v>61.79</v>
      </c>
      <c r="L48" s="6">
        <v>22.06</v>
      </c>
      <c r="M48" s="6">
        <v>68.180000000000007</v>
      </c>
      <c r="N48" s="6">
        <v>189.3</v>
      </c>
      <c r="O48" s="6">
        <v>0</v>
      </c>
      <c r="P48" s="6">
        <v>1.03</v>
      </c>
      <c r="Q48" s="6">
        <v>5</v>
      </c>
    </row>
    <row r="49" spans="1:17" customFormat="1">
      <c r="A49" s="6" t="s">
        <v>951</v>
      </c>
      <c r="B49" s="6">
        <v>17.02</v>
      </c>
      <c r="C49" s="6">
        <v>29.46</v>
      </c>
      <c r="D49" s="6">
        <v>30.4</v>
      </c>
      <c r="E49" s="6">
        <v>4.49</v>
      </c>
      <c r="F49" s="6">
        <v>2.6</v>
      </c>
      <c r="G49" s="6">
        <v>126.17</v>
      </c>
      <c r="H49" s="6">
        <v>51.66</v>
      </c>
      <c r="I49" s="6">
        <v>10.94</v>
      </c>
      <c r="J49" s="6">
        <v>0.97</v>
      </c>
      <c r="K49" s="6">
        <v>56.38</v>
      </c>
      <c r="L49" s="6">
        <v>22.54</v>
      </c>
      <c r="M49" s="6">
        <v>66.34</v>
      </c>
      <c r="N49" s="6">
        <v>296</v>
      </c>
      <c r="O49" s="6">
        <v>0</v>
      </c>
      <c r="P49" s="6">
        <v>1.03</v>
      </c>
      <c r="Q49" s="6">
        <v>4.9800000000000004</v>
      </c>
    </row>
    <row r="50" spans="1:17" customFormat="1">
      <c r="A50" s="6" t="s">
        <v>952</v>
      </c>
      <c r="B50" s="6">
        <v>15.73</v>
      </c>
      <c r="C50" s="6">
        <v>29.98</v>
      </c>
      <c r="D50" s="6">
        <v>29.63</v>
      </c>
      <c r="E50" s="6">
        <v>4.45</v>
      </c>
      <c r="F50" s="6">
        <v>2.57</v>
      </c>
      <c r="G50" s="6">
        <v>126.17</v>
      </c>
      <c r="H50" s="6">
        <v>51.66</v>
      </c>
      <c r="I50" s="6">
        <v>10.95</v>
      </c>
      <c r="J50" s="6">
        <v>0.92</v>
      </c>
      <c r="K50" s="6">
        <v>50.25</v>
      </c>
      <c r="L50" s="6">
        <v>23.25</v>
      </c>
      <c r="M50" s="6">
        <v>63.62</v>
      </c>
      <c r="N50" s="6">
        <v>316.8</v>
      </c>
      <c r="O50" s="6">
        <v>0</v>
      </c>
      <c r="P50" s="6">
        <v>1.02</v>
      </c>
      <c r="Q50" s="6">
        <v>4.9400000000000004</v>
      </c>
    </row>
    <row r="51" spans="1:17" customFormat="1">
      <c r="A51" s="6" t="s">
        <v>953</v>
      </c>
      <c r="B51" s="6">
        <v>14.38</v>
      </c>
      <c r="C51" s="6">
        <v>30.11</v>
      </c>
      <c r="D51" s="6">
        <v>28.61</v>
      </c>
      <c r="E51" s="6">
        <v>4.05</v>
      </c>
      <c r="F51" s="6">
        <v>2.67</v>
      </c>
      <c r="G51" s="6">
        <v>126.17</v>
      </c>
      <c r="H51" s="6">
        <v>51.66</v>
      </c>
      <c r="I51" s="6">
        <v>10.93</v>
      </c>
      <c r="J51" s="6">
        <v>1.06</v>
      </c>
      <c r="K51" s="6">
        <v>58.08</v>
      </c>
      <c r="L51" s="6">
        <v>24.02</v>
      </c>
      <c r="M51" s="6">
        <v>60.18</v>
      </c>
      <c r="N51" s="6">
        <v>336.2</v>
      </c>
      <c r="O51" s="6">
        <v>0</v>
      </c>
      <c r="P51" s="6">
        <v>1.02</v>
      </c>
      <c r="Q51" s="6">
        <v>4.93</v>
      </c>
    </row>
    <row r="52" spans="1:17" customFormat="1">
      <c r="A52" s="6" t="s">
        <v>954</v>
      </c>
      <c r="B52" s="6">
        <v>12.91</v>
      </c>
      <c r="C52" s="6">
        <v>30.25</v>
      </c>
      <c r="D52" s="6">
        <v>27.51</v>
      </c>
      <c r="E52" s="6">
        <v>4.9000000000000004</v>
      </c>
      <c r="F52" s="6">
        <v>2.7</v>
      </c>
      <c r="G52" s="6">
        <v>127.01</v>
      </c>
      <c r="H52" s="6">
        <v>51.47</v>
      </c>
      <c r="I52" s="6">
        <v>10.95</v>
      </c>
      <c r="J52" s="6">
        <v>1.1399999999999999</v>
      </c>
      <c r="K52" s="6">
        <v>50.27</v>
      </c>
      <c r="L52" s="6">
        <v>24.22</v>
      </c>
      <c r="M52" s="6">
        <v>57.74</v>
      </c>
      <c r="N52" s="6">
        <v>356.9</v>
      </c>
      <c r="O52" s="6">
        <v>0</v>
      </c>
      <c r="P52" s="6">
        <v>1.02</v>
      </c>
      <c r="Q52" s="6">
        <v>4.91</v>
      </c>
    </row>
    <row r="53" spans="1:17" customFormat="1">
      <c r="A53" s="6" t="s">
        <v>955</v>
      </c>
      <c r="B53" s="6">
        <v>11.54</v>
      </c>
      <c r="C53" s="6">
        <v>29.97</v>
      </c>
      <c r="D53" s="6">
        <v>26.26</v>
      </c>
      <c r="E53" s="6">
        <v>4.83</v>
      </c>
      <c r="F53" s="6">
        <v>4.3</v>
      </c>
      <c r="G53" s="6">
        <v>130.63</v>
      </c>
      <c r="H53" s="6">
        <v>50.89</v>
      </c>
      <c r="I53" s="6">
        <v>11.03</v>
      </c>
      <c r="J53" s="6">
        <v>1.1000000000000001</v>
      </c>
      <c r="K53" s="6">
        <v>44.94</v>
      </c>
      <c r="L53" s="6">
        <v>24.68</v>
      </c>
      <c r="M53" s="6">
        <v>55.7</v>
      </c>
      <c r="N53" s="6">
        <v>344.2</v>
      </c>
      <c r="O53" s="6">
        <v>0</v>
      </c>
      <c r="P53" s="6">
        <v>1.01</v>
      </c>
      <c r="Q53" s="6">
        <v>4.8899999999999997</v>
      </c>
    </row>
    <row r="54" spans="1:17" customFormat="1">
      <c r="A54" s="6" t="s">
        <v>956</v>
      </c>
      <c r="B54" s="6">
        <v>10.33</v>
      </c>
      <c r="C54" s="6">
        <v>30.27</v>
      </c>
      <c r="D54" s="6">
        <v>25.45</v>
      </c>
      <c r="E54" s="6">
        <v>4.2300000000000004</v>
      </c>
      <c r="F54" s="6">
        <v>3.37</v>
      </c>
      <c r="G54" s="6">
        <v>130.63</v>
      </c>
      <c r="H54" s="6">
        <v>50.89</v>
      </c>
      <c r="I54" s="6">
        <v>11.01</v>
      </c>
      <c r="J54" s="6">
        <v>0.39</v>
      </c>
      <c r="K54" s="6">
        <v>84.78</v>
      </c>
      <c r="L54" s="6">
        <v>25.59</v>
      </c>
      <c r="M54" s="6">
        <v>52.36</v>
      </c>
      <c r="N54" s="6">
        <v>381.8</v>
      </c>
      <c r="O54" s="6">
        <v>0</v>
      </c>
      <c r="P54" s="6">
        <v>1.01</v>
      </c>
      <c r="Q54" s="6">
        <v>4.87</v>
      </c>
    </row>
    <row r="55" spans="1:17" customFormat="1">
      <c r="A55" s="6" t="s">
        <v>957</v>
      </c>
      <c r="B55" s="6">
        <v>8.74</v>
      </c>
      <c r="C55" s="6">
        <v>30.1</v>
      </c>
      <c r="D55" s="6">
        <v>24.09</v>
      </c>
      <c r="E55" s="6">
        <v>4.66</v>
      </c>
      <c r="F55" s="6">
        <v>3.31</v>
      </c>
      <c r="G55" s="6">
        <v>130.63</v>
      </c>
      <c r="H55" s="6">
        <v>50.89</v>
      </c>
      <c r="I55" s="6">
        <v>10.95</v>
      </c>
      <c r="J55" s="6">
        <v>0.8</v>
      </c>
      <c r="K55" s="6">
        <v>52.91</v>
      </c>
      <c r="L55" s="6">
        <v>26.12</v>
      </c>
      <c r="M55" s="6">
        <v>49.58</v>
      </c>
      <c r="N55" s="6">
        <v>395.8</v>
      </c>
      <c r="O55" s="6">
        <v>0</v>
      </c>
      <c r="P55" s="6">
        <v>0.98</v>
      </c>
      <c r="Q55" s="6">
        <v>4.87</v>
      </c>
    </row>
    <row r="56" spans="1:17" customFormat="1">
      <c r="A56" s="6" t="s">
        <v>958</v>
      </c>
      <c r="B56" s="6">
        <v>7.6</v>
      </c>
      <c r="C56" s="6">
        <v>29.67</v>
      </c>
      <c r="D56" s="6">
        <v>22.95</v>
      </c>
      <c r="E56" s="6">
        <v>4.3899999999999997</v>
      </c>
      <c r="F56" s="6">
        <v>3.54</v>
      </c>
      <c r="G56" s="6">
        <v>126.57</v>
      </c>
      <c r="H56" s="6">
        <v>50.6</v>
      </c>
      <c r="I56" s="6">
        <v>10.82</v>
      </c>
      <c r="J56" s="6">
        <v>0.74</v>
      </c>
      <c r="K56" s="6">
        <v>52.36</v>
      </c>
      <c r="L56" s="6">
        <v>26.08</v>
      </c>
      <c r="M56" s="6">
        <v>48.83</v>
      </c>
      <c r="N56" s="6">
        <v>399.6</v>
      </c>
      <c r="O56" s="6">
        <v>0</v>
      </c>
      <c r="P56" s="6">
        <v>0.97</v>
      </c>
      <c r="Q56" s="6">
        <v>4.82</v>
      </c>
    </row>
    <row r="57" spans="1:17" customFormat="1">
      <c r="A57" s="6" t="s">
        <v>959</v>
      </c>
      <c r="B57" s="6">
        <v>6.87</v>
      </c>
      <c r="C57" s="6">
        <v>29.47</v>
      </c>
      <c r="D57" s="6">
        <v>22.25</v>
      </c>
      <c r="E57" s="6">
        <v>4.67</v>
      </c>
      <c r="F57" s="6">
        <v>3.49</v>
      </c>
      <c r="G57" s="6">
        <v>109.15</v>
      </c>
      <c r="H57" s="6">
        <v>49.17</v>
      </c>
      <c r="I57" s="6">
        <v>10.6</v>
      </c>
      <c r="J57" s="6">
        <v>0.83</v>
      </c>
      <c r="K57" s="6">
        <v>46.76</v>
      </c>
      <c r="L57" s="6">
        <v>26.75</v>
      </c>
      <c r="M57" s="6">
        <v>46.76</v>
      </c>
      <c r="N57" s="6">
        <v>401.5</v>
      </c>
      <c r="O57" s="6">
        <v>0</v>
      </c>
      <c r="P57" s="6">
        <v>0.96</v>
      </c>
      <c r="Q57" s="6">
        <v>4.78</v>
      </c>
    </row>
    <row r="58" spans="1:17" customFormat="1">
      <c r="A58" s="6" t="s">
        <v>960</v>
      </c>
      <c r="B58" s="6">
        <v>6.66</v>
      </c>
      <c r="C58" s="6">
        <v>27.57</v>
      </c>
      <c r="D58" s="6">
        <v>21.1</v>
      </c>
      <c r="E58" s="6">
        <v>4.49</v>
      </c>
      <c r="F58" s="6">
        <v>3.85</v>
      </c>
      <c r="G58" s="6">
        <v>109.15</v>
      </c>
      <c r="H58" s="6">
        <v>49.17</v>
      </c>
      <c r="I58" s="6">
        <v>10.4</v>
      </c>
      <c r="J58" s="6">
        <v>0.94</v>
      </c>
      <c r="K58" s="6">
        <v>42.01</v>
      </c>
      <c r="L58" s="6">
        <v>26.8</v>
      </c>
      <c r="M58" s="6">
        <v>45.29</v>
      </c>
      <c r="N58" s="6">
        <v>402.8</v>
      </c>
      <c r="O58" s="6">
        <v>0</v>
      </c>
      <c r="P58" s="6">
        <v>0.94</v>
      </c>
      <c r="Q58" s="6">
        <v>4.7699999999999996</v>
      </c>
    </row>
    <row r="59" spans="1:17" customFormat="1">
      <c r="A59" s="6" t="s">
        <v>961</v>
      </c>
      <c r="B59" s="6">
        <v>6.4</v>
      </c>
      <c r="C59" s="6">
        <v>24.83</v>
      </c>
      <c r="D59" s="6">
        <v>19.46</v>
      </c>
      <c r="E59" s="6">
        <v>4.16</v>
      </c>
      <c r="F59" s="6">
        <v>3.81</v>
      </c>
      <c r="G59" s="6">
        <v>109.15</v>
      </c>
      <c r="H59" s="6">
        <v>49.17</v>
      </c>
      <c r="I59" s="6">
        <v>10.26</v>
      </c>
      <c r="J59" s="6">
        <v>0.64</v>
      </c>
      <c r="K59" s="6">
        <v>62.67</v>
      </c>
      <c r="L59" s="6">
        <v>27.2</v>
      </c>
      <c r="M59" s="6">
        <v>41.46</v>
      </c>
      <c r="N59" s="6">
        <v>409.9</v>
      </c>
      <c r="O59" s="6">
        <v>0</v>
      </c>
      <c r="P59" s="6">
        <v>0.94</v>
      </c>
      <c r="Q59" s="6">
        <v>4.7699999999999996</v>
      </c>
    </row>
    <row r="60" spans="1:17" customFormat="1">
      <c r="A60" s="6" t="s">
        <v>962</v>
      </c>
      <c r="B60" s="6">
        <v>6.24</v>
      </c>
      <c r="C60" s="6">
        <v>22.94</v>
      </c>
      <c r="D60" s="6">
        <v>18.34</v>
      </c>
      <c r="E60" s="6">
        <v>3.71</v>
      </c>
      <c r="F60" s="6">
        <v>3.48</v>
      </c>
      <c r="G60" s="6">
        <v>105.96</v>
      </c>
      <c r="H60" s="6">
        <v>47.28</v>
      </c>
      <c r="I60" s="6">
        <v>10.11</v>
      </c>
      <c r="J60" s="6">
        <v>0.24</v>
      </c>
      <c r="K60" s="6">
        <v>77.56</v>
      </c>
      <c r="L60" s="6">
        <v>27.83</v>
      </c>
      <c r="M60" s="6">
        <v>40.97</v>
      </c>
      <c r="N60" s="6">
        <v>390.6</v>
      </c>
      <c r="O60" s="6">
        <v>0</v>
      </c>
      <c r="P60" s="6">
        <v>0.92</v>
      </c>
      <c r="Q60" s="6">
        <v>4.78</v>
      </c>
    </row>
    <row r="61" spans="1:17" customFormat="1">
      <c r="A61" s="6" t="s">
        <v>963</v>
      </c>
      <c r="B61" s="6">
        <v>5.97</v>
      </c>
      <c r="C61" s="6">
        <v>21.6</v>
      </c>
      <c r="D61" s="6">
        <v>17.43</v>
      </c>
      <c r="E61" s="6">
        <v>4.05</v>
      </c>
      <c r="F61" s="6">
        <v>3.58</v>
      </c>
      <c r="G61" s="6">
        <v>92.25</v>
      </c>
      <c r="H61" s="6">
        <v>41.37</v>
      </c>
      <c r="I61" s="6">
        <v>9.98</v>
      </c>
      <c r="J61" s="6">
        <v>0.28000000000000003</v>
      </c>
      <c r="K61" s="6">
        <v>108.73</v>
      </c>
      <c r="L61" s="6">
        <v>27.9</v>
      </c>
      <c r="M61" s="6">
        <v>39.85</v>
      </c>
      <c r="N61" s="6">
        <v>362.2</v>
      </c>
      <c r="O61" s="6">
        <v>0</v>
      </c>
      <c r="P61" s="6">
        <v>0.9</v>
      </c>
      <c r="Q61" s="6">
        <v>4.7699999999999996</v>
      </c>
    </row>
    <row r="62" spans="1:17" customFormat="1">
      <c r="A62" s="6" t="s">
        <v>964</v>
      </c>
      <c r="B62" s="6">
        <v>5.75</v>
      </c>
      <c r="C62" s="6">
        <v>20.53</v>
      </c>
      <c r="D62" s="6">
        <v>16.690000000000001</v>
      </c>
      <c r="E62" s="6">
        <v>3.42</v>
      </c>
      <c r="F62" s="6">
        <v>3.54</v>
      </c>
      <c r="G62" s="6">
        <v>92.25</v>
      </c>
      <c r="H62" s="6">
        <v>41.37</v>
      </c>
      <c r="I62" s="6">
        <v>9.83</v>
      </c>
      <c r="J62" s="6">
        <v>0.93</v>
      </c>
      <c r="K62" s="6">
        <v>43.46</v>
      </c>
      <c r="L62" s="6">
        <v>27.93</v>
      </c>
      <c r="M62" s="6">
        <v>39.92</v>
      </c>
      <c r="N62" s="6">
        <v>351.8</v>
      </c>
      <c r="O62" s="6">
        <v>0</v>
      </c>
      <c r="P62" s="6">
        <v>0.89</v>
      </c>
      <c r="Q62" s="6">
        <v>4.7699999999999996</v>
      </c>
    </row>
    <row r="63" spans="1:17" customFormat="1">
      <c r="A63" s="6" t="s">
        <v>965</v>
      </c>
      <c r="B63" s="6">
        <v>5.57</v>
      </c>
      <c r="C63" s="6">
        <v>20.079999999999998</v>
      </c>
      <c r="D63" s="6">
        <v>16.309999999999999</v>
      </c>
      <c r="E63" s="6">
        <v>3.45</v>
      </c>
      <c r="F63" s="6">
        <v>3.62</v>
      </c>
      <c r="G63" s="6">
        <v>92.25</v>
      </c>
      <c r="H63" s="6">
        <v>41.37</v>
      </c>
      <c r="I63" s="6">
        <v>9.67</v>
      </c>
      <c r="J63" s="6">
        <v>0.49</v>
      </c>
      <c r="K63" s="6">
        <v>36.799999999999997</v>
      </c>
      <c r="L63" s="6">
        <v>28.32</v>
      </c>
      <c r="M63" s="6">
        <v>37.25</v>
      </c>
      <c r="N63" s="6">
        <v>341</v>
      </c>
      <c r="O63" s="6">
        <v>0</v>
      </c>
      <c r="P63" s="6">
        <v>0.87</v>
      </c>
      <c r="Q63" s="6">
        <v>4.76</v>
      </c>
    </row>
    <row r="64" spans="1:17" customFormat="1">
      <c r="A64" s="6" t="s">
        <v>966</v>
      </c>
      <c r="B64" s="6">
        <v>5.38</v>
      </c>
      <c r="C64" s="6">
        <v>19.43</v>
      </c>
      <c r="D64" s="6">
        <v>15.82</v>
      </c>
      <c r="E64" s="6">
        <v>3.51</v>
      </c>
      <c r="F64" s="6">
        <v>3.48</v>
      </c>
      <c r="G64" s="6">
        <v>90.27</v>
      </c>
      <c r="H64" s="6">
        <v>40.950000000000003</v>
      </c>
      <c r="I64" s="6">
        <v>9.5299999999999994</v>
      </c>
      <c r="J64" s="6">
        <v>0.63</v>
      </c>
      <c r="K64" s="6">
        <v>66.989999999999995</v>
      </c>
      <c r="L64" s="6">
        <v>28.64</v>
      </c>
      <c r="M64" s="6">
        <v>35.450000000000003</v>
      </c>
      <c r="N64" s="6">
        <v>334.5</v>
      </c>
      <c r="O64" s="6">
        <v>0</v>
      </c>
      <c r="P64" s="6">
        <v>0.87</v>
      </c>
      <c r="Q64" s="6">
        <v>4.7699999999999996</v>
      </c>
    </row>
    <row r="65" spans="1:17" customFormat="1">
      <c r="A65" s="6" t="s">
        <v>967</v>
      </c>
      <c r="B65" s="6">
        <v>5.27</v>
      </c>
      <c r="C65" s="6">
        <v>19.05</v>
      </c>
      <c r="D65" s="6">
        <v>15.53</v>
      </c>
      <c r="E65" s="6">
        <v>3.62</v>
      </c>
      <c r="F65" s="6">
        <v>3.43</v>
      </c>
      <c r="G65" s="6">
        <v>81.72</v>
      </c>
      <c r="H65" s="6">
        <v>39.65</v>
      </c>
      <c r="I65" s="6">
        <v>9.42</v>
      </c>
      <c r="J65" s="6">
        <v>0.55000000000000004</v>
      </c>
      <c r="K65" s="6">
        <v>71.98</v>
      </c>
      <c r="L65" s="6">
        <v>28.28</v>
      </c>
      <c r="M65" s="6">
        <v>37.450000000000003</v>
      </c>
      <c r="N65" s="6">
        <v>276.2</v>
      </c>
      <c r="O65" s="6">
        <v>0</v>
      </c>
      <c r="P65" s="6">
        <v>0.75</v>
      </c>
      <c r="Q65" s="6">
        <v>4.78</v>
      </c>
    </row>
    <row r="66" spans="1:17" customFormat="1">
      <c r="A66" s="6" t="s">
        <v>968</v>
      </c>
      <c r="B66" s="6">
        <v>5.0599999999999996</v>
      </c>
      <c r="C66" s="6">
        <v>18.75</v>
      </c>
      <c r="D66" s="6">
        <v>15.2</v>
      </c>
      <c r="E66" s="6">
        <v>3.13</v>
      </c>
      <c r="F66" s="6">
        <v>3.36</v>
      </c>
      <c r="G66" s="6">
        <v>81.72</v>
      </c>
      <c r="H66" s="6">
        <v>39.65</v>
      </c>
      <c r="I66" s="6">
        <v>9.25</v>
      </c>
      <c r="J66" s="6">
        <v>0.17</v>
      </c>
      <c r="K66" s="6">
        <v>186.01</v>
      </c>
      <c r="L66" s="6">
        <v>27.96</v>
      </c>
      <c r="M66" s="6">
        <v>39.380000000000003</v>
      </c>
      <c r="N66" s="6">
        <v>123.8</v>
      </c>
      <c r="O66" s="6">
        <v>0</v>
      </c>
      <c r="P66" s="6">
        <v>0.78</v>
      </c>
      <c r="Q66" s="6">
        <v>4.8</v>
      </c>
    </row>
    <row r="67" spans="1:17" customFormat="1">
      <c r="A67" s="6" t="s">
        <v>969</v>
      </c>
      <c r="B67" s="6">
        <v>4.92</v>
      </c>
      <c r="C67" s="6">
        <v>18.239999999999998</v>
      </c>
      <c r="D67" s="6">
        <v>14.83</v>
      </c>
      <c r="E67" s="6">
        <v>3.15</v>
      </c>
      <c r="F67" s="6">
        <v>3.44</v>
      </c>
      <c r="G67" s="6">
        <v>81.72</v>
      </c>
      <c r="H67" s="6">
        <v>39.65</v>
      </c>
      <c r="I67" s="6">
        <v>9.11</v>
      </c>
      <c r="J67" s="6">
        <v>0.46</v>
      </c>
      <c r="K67" s="6">
        <v>84.07</v>
      </c>
      <c r="L67" s="6">
        <v>28.07</v>
      </c>
      <c r="M67" s="6">
        <v>37.5</v>
      </c>
      <c r="N67" s="6">
        <v>105.2</v>
      </c>
      <c r="O67" s="6">
        <v>0</v>
      </c>
      <c r="P67" s="6">
        <v>0.77</v>
      </c>
      <c r="Q67" s="6">
        <v>4.84</v>
      </c>
    </row>
    <row r="68" spans="1:17" customFormat="1">
      <c r="A68" s="6" t="s">
        <v>970</v>
      </c>
      <c r="B68" s="6">
        <v>4.95</v>
      </c>
      <c r="C68" s="6">
        <v>17.64</v>
      </c>
      <c r="D68" s="6">
        <v>14.54</v>
      </c>
      <c r="E68" s="6">
        <v>3.55</v>
      </c>
      <c r="F68" s="6">
        <v>4.25</v>
      </c>
      <c r="G68" s="6">
        <v>79.2</v>
      </c>
      <c r="H68" s="6">
        <v>39.11</v>
      </c>
      <c r="I68" s="6">
        <v>9</v>
      </c>
      <c r="J68" s="6">
        <v>0.38</v>
      </c>
      <c r="K68" s="6">
        <v>352.09</v>
      </c>
      <c r="L68" s="6">
        <v>27.98</v>
      </c>
      <c r="M68" s="6">
        <v>38.4</v>
      </c>
      <c r="N68" s="6">
        <v>81.7</v>
      </c>
      <c r="O68" s="6">
        <v>0</v>
      </c>
      <c r="P68" s="6">
        <v>0.76</v>
      </c>
      <c r="Q68" s="6">
        <v>4.8600000000000003</v>
      </c>
    </row>
    <row r="69" spans="1:17" customFormat="1">
      <c r="A69" s="6" t="s">
        <v>971</v>
      </c>
      <c r="B69" s="6">
        <v>4.95</v>
      </c>
      <c r="C69" s="6">
        <v>17.53</v>
      </c>
      <c r="D69" s="6">
        <v>14.47</v>
      </c>
      <c r="E69" s="6">
        <v>3.49</v>
      </c>
      <c r="F69" s="6">
        <v>4.33</v>
      </c>
      <c r="G69" s="6">
        <v>68.38</v>
      </c>
      <c r="H69" s="6">
        <v>37.42</v>
      </c>
      <c r="I69" s="6">
        <v>8.8699999999999992</v>
      </c>
      <c r="J69" s="6">
        <v>0.59</v>
      </c>
      <c r="K69" s="6">
        <v>66.41</v>
      </c>
      <c r="L69" s="6">
        <v>27.93</v>
      </c>
      <c r="M69" s="6">
        <v>38.61</v>
      </c>
      <c r="N69" s="6">
        <v>71.8</v>
      </c>
      <c r="O69" s="6">
        <v>0</v>
      </c>
      <c r="P69" s="6">
        <v>0.76</v>
      </c>
      <c r="Q69" s="6">
        <v>4.8600000000000003</v>
      </c>
    </row>
    <row r="70" spans="1:17" customFormat="1">
      <c r="A70" s="6" t="s">
        <v>972</v>
      </c>
      <c r="B70" s="6">
        <v>4.79</v>
      </c>
      <c r="C70" s="6">
        <v>17.55</v>
      </c>
      <c r="D70" s="6">
        <v>14.36</v>
      </c>
      <c r="E70" s="6">
        <v>3.84</v>
      </c>
      <c r="F70" s="6">
        <v>3.55</v>
      </c>
      <c r="G70" s="6">
        <v>68.38</v>
      </c>
      <c r="H70" s="6">
        <v>37.42</v>
      </c>
      <c r="I70" s="6">
        <v>8.73</v>
      </c>
      <c r="J70" s="6">
        <v>0.42</v>
      </c>
      <c r="K70" s="6">
        <v>89.61</v>
      </c>
      <c r="L70" s="6">
        <v>27.79</v>
      </c>
      <c r="M70" s="6">
        <v>38.270000000000003</v>
      </c>
      <c r="N70" s="6">
        <v>64.3</v>
      </c>
      <c r="O70" s="6">
        <v>0</v>
      </c>
      <c r="P70" s="6">
        <v>0.74</v>
      </c>
      <c r="Q70" s="6">
        <v>4.87</v>
      </c>
    </row>
    <row r="71" spans="1:17" customFormat="1">
      <c r="A71" s="6" t="s">
        <v>973</v>
      </c>
      <c r="B71" s="6">
        <v>4.84</v>
      </c>
      <c r="C71" s="6">
        <v>17.010000000000002</v>
      </c>
      <c r="D71" s="6">
        <v>14.12</v>
      </c>
      <c r="E71" s="6">
        <v>3.19</v>
      </c>
      <c r="F71" s="6">
        <v>3.38</v>
      </c>
      <c r="G71" s="6">
        <v>68.38</v>
      </c>
      <c r="H71" s="6">
        <v>37.42</v>
      </c>
      <c r="I71" s="6">
        <v>8.66</v>
      </c>
      <c r="J71" s="6">
        <v>0.72</v>
      </c>
      <c r="K71" s="6">
        <v>76.47</v>
      </c>
      <c r="L71" s="6">
        <v>27.74</v>
      </c>
      <c r="M71" s="6">
        <v>38.19</v>
      </c>
      <c r="N71" s="6">
        <v>55.8</v>
      </c>
      <c r="O71" s="6">
        <v>0</v>
      </c>
      <c r="P71" s="6">
        <v>0.74</v>
      </c>
      <c r="Q71" s="6">
        <v>4.8499999999999996</v>
      </c>
    </row>
    <row r="72" spans="1:17" customFormat="1">
      <c r="A72" s="6" t="s">
        <v>974</v>
      </c>
      <c r="B72" s="6">
        <v>4.91</v>
      </c>
      <c r="C72" s="6">
        <v>17.010000000000002</v>
      </c>
      <c r="D72" s="6">
        <v>14.18</v>
      </c>
      <c r="E72" s="6">
        <v>3.81</v>
      </c>
      <c r="F72" s="6">
        <v>5.1100000000000003</v>
      </c>
      <c r="G72" s="6">
        <v>69.19</v>
      </c>
      <c r="H72" s="6">
        <v>37.28</v>
      </c>
      <c r="I72" s="6">
        <v>8.57</v>
      </c>
      <c r="J72" s="6">
        <v>0.73</v>
      </c>
      <c r="K72" s="6">
        <v>52.82</v>
      </c>
      <c r="L72" s="6">
        <v>27.67</v>
      </c>
      <c r="M72" s="6">
        <v>38.049999999999997</v>
      </c>
      <c r="N72" s="6">
        <v>46.2</v>
      </c>
      <c r="O72" s="6">
        <v>0</v>
      </c>
      <c r="P72" s="6">
        <v>0.74</v>
      </c>
      <c r="Q72" s="6">
        <v>4.8499999999999996</v>
      </c>
    </row>
    <row r="73" spans="1:17" customFormat="1">
      <c r="A73" s="6" t="s">
        <v>975</v>
      </c>
      <c r="B73" s="6">
        <v>5.1100000000000003</v>
      </c>
      <c r="C73" s="6">
        <v>16.899999999999999</v>
      </c>
      <c r="D73" s="6">
        <v>14.28</v>
      </c>
      <c r="E73" s="6">
        <v>3.66</v>
      </c>
      <c r="F73" s="6">
        <v>4.25</v>
      </c>
      <c r="G73" s="6">
        <v>72.67</v>
      </c>
      <c r="H73" s="6">
        <v>36.85</v>
      </c>
      <c r="I73" s="6">
        <v>8.49</v>
      </c>
      <c r="J73" s="6">
        <v>0.66</v>
      </c>
      <c r="K73" s="6">
        <v>55.46</v>
      </c>
      <c r="L73" s="6">
        <v>27.57</v>
      </c>
      <c r="M73" s="6">
        <v>38.840000000000003</v>
      </c>
      <c r="N73" s="6">
        <v>37</v>
      </c>
      <c r="O73" s="6">
        <v>0</v>
      </c>
      <c r="P73" s="6">
        <v>0.73</v>
      </c>
      <c r="Q73" s="6">
        <v>4.83</v>
      </c>
    </row>
    <row r="74" spans="1:17" customFormat="1">
      <c r="A74" s="6" t="s">
        <v>976</v>
      </c>
      <c r="B74" s="6">
        <v>5.17</v>
      </c>
      <c r="C74" s="6">
        <v>17</v>
      </c>
      <c r="D74" s="6">
        <v>14.38</v>
      </c>
      <c r="E74" s="6">
        <v>3.1</v>
      </c>
      <c r="F74" s="6">
        <v>3.17</v>
      </c>
      <c r="G74" s="6">
        <v>72.67</v>
      </c>
      <c r="H74" s="6">
        <v>36.85</v>
      </c>
      <c r="I74" s="6">
        <v>8.3800000000000008</v>
      </c>
      <c r="J74" s="6">
        <v>0.46</v>
      </c>
      <c r="K74" s="6">
        <v>65.47</v>
      </c>
      <c r="L74" s="6">
        <v>27.22</v>
      </c>
      <c r="M74" s="6">
        <v>40.32</v>
      </c>
      <c r="N74" s="6">
        <v>28.1</v>
      </c>
      <c r="O74" s="6">
        <v>0</v>
      </c>
      <c r="P74" s="6">
        <v>0.73</v>
      </c>
      <c r="Q74" s="6">
        <v>4.83</v>
      </c>
    </row>
    <row r="75" spans="1:17" customFormat="1">
      <c r="A75" s="6" t="s">
        <v>977</v>
      </c>
      <c r="B75" s="6">
        <v>5.27</v>
      </c>
      <c r="C75" s="6">
        <v>17.059999999999999</v>
      </c>
      <c r="D75" s="6">
        <v>14.49</v>
      </c>
      <c r="E75" s="6">
        <v>3.49</v>
      </c>
      <c r="F75" s="6">
        <v>3.02</v>
      </c>
      <c r="G75" s="6">
        <v>72.67</v>
      </c>
      <c r="H75" s="6">
        <v>36.85</v>
      </c>
      <c r="I75" s="6">
        <v>8.34</v>
      </c>
      <c r="J75" s="6">
        <v>0.61</v>
      </c>
      <c r="K75" s="6">
        <v>62.61</v>
      </c>
      <c r="L75" s="6">
        <v>26.99</v>
      </c>
      <c r="M75" s="6">
        <v>40.229999999999997</v>
      </c>
      <c r="N75" s="6">
        <v>18.3</v>
      </c>
      <c r="O75" s="6">
        <v>0</v>
      </c>
      <c r="P75" s="6">
        <v>0.72</v>
      </c>
      <c r="Q75" s="6">
        <v>4.83</v>
      </c>
    </row>
    <row r="76" spans="1:17" customFormat="1">
      <c r="A76" s="6" t="s">
        <v>978</v>
      </c>
      <c r="B76" s="6">
        <v>5.46</v>
      </c>
      <c r="C76" s="6">
        <v>17.239999999999998</v>
      </c>
      <c r="D76" s="6">
        <v>14.73</v>
      </c>
      <c r="E76" s="6">
        <v>3.82</v>
      </c>
      <c r="F76" s="6">
        <v>2.97</v>
      </c>
      <c r="G76" s="6">
        <v>75.7</v>
      </c>
      <c r="H76" s="6">
        <v>37.130000000000003</v>
      </c>
      <c r="I76" s="6">
        <v>8.31</v>
      </c>
      <c r="J76" s="6">
        <v>0.38</v>
      </c>
      <c r="K76" s="6">
        <v>64.05</v>
      </c>
      <c r="L76" s="6">
        <v>26.54</v>
      </c>
      <c r="M76" s="6">
        <v>42.78</v>
      </c>
      <c r="N76" s="6">
        <v>9</v>
      </c>
      <c r="O76" s="6">
        <v>0</v>
      </c>
      <c r="P76" s="6">
        <v>0.72</v>
      </c>
      <c r="Q76" s="6">
        <v>4.84</v>
      </c>
    </row>
    <row r="77" spans="1:17" customFormat="1">
      <c r="A77" s="6" t="s">
        <v>979</v>
      </c>
      <c r="B77" s="6">
        <v>5.58</v>
      </c>
      <c r="C77" s="6">
        <v>18.39</v>
      </c>
      <c r="D77" s="6">
        <v>15.43</v>
      </c>
      <c r="E77" s="6">
        <v>3.82</v>
      </c>
      <c r="F77" s="6">
        <v>3.09</v>
      </c>
      <c r="G77" s="6">
        <v>88.7</v>
      </c>
      <c r="H77" s="6">
        <v>37.96</v>
      </c>
      <c r="I77" s="6">
        <v>8.27</v>
      </c>
      <c r="J77" s="6">
        <v>0.18</v>
      </c>
      <c r="K77" s="6">
        <v>138.38999999999999</v>
      </c>
      <c r="L77" s="6">
        <v>25.57</v>
      </c>
      <c r="M77" s="6">
        <v>48.97</v>
      </c>
      <c r="N77" s="6">
        <v>1.2</v>
      </c>
      <c r="O77" s="6">
        <v>0</v>
      </c>
      <c r="P77" s="6">
        <v>0.73</v>
      </c>
      <c r="Q77" s="6">
        <v>4.8499999999999996</v>
      </c>
    </row>
    <row r="78" spans="1:17" customFormat="1">
      <c r="A78" s="6" t="s">
        <v>980</v>
      </c>
      <c r="B78" s="6">
        <v>5.71</v>
      </c>
      <c r="C78" s="6">
        <v>19.86</v>
      </c>
      <c r="D78" s="6">
        <v>16.309999999999999</v>
      </c>
      <c r="E78" s="6">
        <v>3.46</v>
      </c>
      <c r="F78" s="6">
        <v>3.07</v>
      </c>
      <c r="G78" s="6">
        <v>88.7</v>
      </c>
      <c r="H78" s="6">
        <v>37.96</v>
      </c>
      <c r="I78" s="6">
        <v>8.24</v>
      </c>
      <c r="J78" s="6">
        <v>0.25</v>
      </c>
      <c r="K78" s="6">
        <v>156.55000000000001</v>
      </c>
      <c r="L78" s="6">
        <v>24.71</v>
      </c>
      <c r="M78" s="6">
        <v>52.11</v>
      </c>
      <c r="N78" s="6">
        <v>0</v>
      </c>
      <c r="O78" s="6">
        <v>0</v>
      </c>
      <c r="P78" s="6">
        <v>0.74</v>
      </c>
      <c r="Q78" s="6">
        <v>4.8499999999999996</v>
      </c>
    </row>
    <row r="79" spans="1:17" customFormat="1">
      <c r="A79" s="6" t="s">
        <v>981</v>
      </c>
      <c r="B79" s="6">
        <v>5.79</v>
      </c>
      <c r="C79" s="6">
        <v>21.69</v>
      </c>
      <c r="D79" s="6">
        <v>17.32</v>
      </c>
      <c r="E79" s="6">
        <v>3.49</v>
      </c>
      <c r="F79" s="6">
        <v>2.74</v>
      </c>
      <c r="G79" s="6">
        <v>88.7</v>
      </c>
      <c r="H79" s="6">
        <v>37.96</v>
      </c>
      <c r="I79" s="6">
        <v>8.1999999999999993</v>
      </c>
      <c r="J79" s="6">
        <v>0.21</v>
      </c>
      <c r="K79" s="6">
        <v>154.94</v>
      </c>
      <c r="L79" s="6">
        <v>24.02</v>
      </c>
      <c r="M79" s="6">
        <v>54.8</v>
      </c>
      <c r="N79" s="6">
        <v>0</v>
      </c>
      <c r="O79" s="6">
        <v>0</v>
      </c>
      <c r="P79" s="6">
        <v>0.77</v>
      </c>
      <c r="Q79" s="6">
        <v>4.8600000000000003</v>
      </c>
    </row>
    <row r="80" spans="1:17" customFormat="1">
      <c r="A80" s="6" t="s">
        <v>982</v>
      </c>
      <c r="B80" s="6">
        <v>7</v>
      </c>
      <c r="C80" s="6">
        <v>24.26</v>
      </c>
      <c r="D80" s="6">
        <v>19.64</v>
      </c>
      <c r="E80" s="6">
        <v>3.34</v>
      </c>
      <c r="F80" s="6">
        <v>2.58</v>
      </c>
      <c r="G80" s="6">
        <v>95.66</v>
      </c>
      <c r="H80" s="6">
        <v>38.119999999999997</v>
      </c>
      <c r="I80" s="6">
        <v>8.2100000000000009</v>
      </c>
      <c r="J80" s="6">
        <v>0.16</v>
      </c>
      <c r="K80" s="6">
        <v>111.42</v>
      </c>
      <c r="L80" s="6">
        <v>23.28</v>
      </c>
      <c r="M80" s="6">
        <v>56.75</v>
      </c>
      <c r="N80" s="6">
        <v>0</v>
      </c>
      <c r="O80" s="6">
        <v>0</v>
      </c>
      <c r="P80" s="6">
        <v>0.8</v>
      </c>
      <c r="Q80" s="6">
        <v>4.88</v>
      </c>
    </row>
    <row r="81" spans="1:17" customFormat="1">
      <c r="A81" s="6" t="s">
        <v>983</v>
      </c>
      <c r="B81" s="6">
        <v>7.92</v>
      </c>
      <c r="C81" s="6">
        <v>25.14</v>
      </c>
      <c r="D81" s="6">
        <v>20.83</v>
      </c>
      <c r="E81" s="6">
        <v>5.73</v>
      </c>
      <c r="F81" s="6">
        <v>2.44</v>
      </c>
      <c r="G81" s="6">
        <v>125.55</v>
      </c>
      <c r="H81" s="6">
        <v>38.86</v>
      </c>
      <c r="I81" s="6">
        <v>8.27</v>
      </c>
      <c r="J81" s="6">
        <v>0.23</v>
      </c>
      <c r="K81" s="6">
        <v>90.27</v>
      </c>
      <c r="L81" s="6">
        <v>23.35</v>
      </c>
      <c r="M81" s="6">
        <v>55.64</v>
      </c>
      <c r="N81" s="6">
        <v>0</v>
      </c>
      <c r="O81" s="6">
        <v>0</v>
      </c>
      <c r="P81" s="6">
        <v>0.82</v>
      </c>
      <c r="Q81" s="6">
        <v>4.88</v>
      </c>
    </row>
    <row r="82" spans="1:17" customFormat="1">
      <c r="A82" s="6" t="s">
        <v>984</v>
      </c>
      <c r="B82" s="6">
        <v>9.09</v>
      </c>
      <c r="C82" s="6">
        <v>26.27</v>
      </c>
      <c r="D82" s="6">
        <v>22.37</v>
      </c>
      <c r="E82" s="6">
        <v>6.89</v>
      </c>
      <c r="F82" s="6">
        <v>2.4</v>
      </c>
      <c r="G82" s="6">
        <v>125.55</v>
      </c>
      <c r="H82" s="6">
        <v>38.86</v>
      </c>
      <c r="I82" s="6">
        <v>8.39</v>
      </c>
      <c r="J82" s="6">
        <v>0.18</v>
      </c>
      <c r="K82" s="6">
        <v>139.34</v>
      </c>
      <c r="L82" s="6">
        <v>22.87</v>
      </c>
      <c r="M82" s="6">
        <v>59</v>
      </c>
      <c r="N82" s="6">
        <v>0</v>
      </c>
      <c r="O82" s="6">
        <v>0</v>
      </c>
      <c r="P82" s="6">
        <v>0.85</v>
      </c>
      <c r="Q82" s="6">
        <v>4.91</v>
      </c>
    </row>
    <row r="83" spans="1:17" customFormat="1">
      <c r="A83" s="6" t="s">
        <v>985</v>
      </c>
      <c r="B83" s="6">
        <v>10.39</v>
      </c>
      <c r="C83" s="6">
        <v>27.55</v>
      </c>
      <c r="D83" s="6">
        <v>24.08</v>
      </c>
      <c r="E83" s="6">
        <v>7.05</v>
      </c>
      <c r="F83" s="6">
        <v>2.36</v>
      </c>
      <c r="G83" s="6">
        <v>125.55</v>
      </c>
      <c r="H83" s="6">
        <v>38.86</v>
      </c>
      <c r="I83" s="6">
        <v>8.56</v>
      </c>
      <c r="J83" s="6">
        <v>0.22</v>
      </c>
      <c r="K83" s="6">
        <v>60.15</v>
      </c>
      <c r="L83" s="6">
        <v>22.51</v>
      </c>
      <c r="M83" s="6">
        <v>58.7</v>
      </c>
      <c r="N83" s="6">
        <v>0</v>
      </c>
      <c r="O83" s="6">
        <v>0</v>
      </c>
      <c r="P83" s="6">
        <v>0.88</v>
      </c>
      <c r="Q83" s="6">
        <v>4.95</v>
      </c>
    </row>
    <row r="84" spans="1:17" customFormat="1">
      <c r="A84" s="6" t="s">
        <v>986</v>
      </c>
      <c r="B84" s="6">
        <v>12.49</v>
      </c>
      <c r="C84" s="6">
        <v>29.28</v>
      </c>
      <c r="D84" s="6">
        <v>26.67</v>
      </c>
      <c r="E84" s="6">
        <v>7.35</v>
      </c>
      <c r="F84" s="6">
        <v>2.39</v>
      </c>
      <c r="G84" s="6">
        <v>131.78</v>
      </c>
      <c r="H84" s="6">
        <v>40.4</v>
      </c>
      <c r="I84" s="6">
        <v>8.8000000000000007</v>
      </c>
      <c r="J84" s="6">
        <v>0.54</v>
      </c>
      <c r="K84" s="6">
        <v>57.89</v>
      </c>
      <c r="L84" s="6">
        <v>22.66</v>
      </c>
      <c r="M84" s="6">
        <v>57.44</v>
      </c>
      <c r="N84" s="6">
        <v>0</v>
      </c>
      <c r="O84" s="6">
        <v>0</v>
      </c>
      <c r="P84" s="6">
        <v>0.93</v>
      </c>
      <c r="Q84" s="6">
        <v>4.95</v>
      </c>
    </row>
    <row r="85" spans="1:17" customFormat="1">
      <c r="A85" s="6" t="s">
        <v>987</v>
      </c>
      <c r="B85" s="6">
        <v>13.95</v>
      </c>
      <c r="C85" s="6">
        <v>30.39</v>
      </c>
      <c r="D85" s="6">
        <v>28.41</v>
      </c>
      <c r="E85" s="6">
        <v>7.34</v>
      </c>
      <c r="F85" s="6">
        <v>2.3199999999999998</v>
      </c>
      <c r="G85" s="6">
        <v>158.57</v>
      </c>
      <c r="H85" s="6">
        <v>45.21</v>
      </c>
      <c r="I85" s="6">
        <v>9.09</v>
      </c>
      <c r="J85" s="6">
        <v>0.56999999999999995</v>
      </c>
      <c r="K85" s="6">
        <v>57.21</v>
      </c>
      <c r="L85" s="6">
        <v>22.88</v>
      </c>
      <c r="M85" s="6">
        <v>56.44</v>
      </c>
      <c r="N85" s="6">
        <v>0</v>
      </c>
      <c r="O85" s="6">
        <v>0</v>
      </c>
      <c r="P85" s="6">
        <v>0.95</v>
      </c>
      <c r="Q85" s="6">
        <v>4.9800000000000004</v>
      </c>
    </row>
    <row r="86" spans="1:17" customFormat="1">
      <c r="A86" s="6" t="s">
        <v>988</v>
      </c>
      <c r="B86" s="6">
        <v>15.71</v>
      </c>
      <c r="C86" s="6">
        <v>31.33</v>
      </c>
      <c r="D86" s="6">
        <v>30.32</v>
      </c>
      <c r="E86" s="6">
        <v>7.84</v>
      </c>
      <c r="F86" s="6">
        <v>2.37</v>
      </c>
      <c r="G86" s="6">
        <v>158.57</v>
      </c>
      <c r="H86" s="6">
        <v>45.21</v>
      </c>
      <c r="I86" s="6">
        <v>9.4</v>
      </c>
      <c r="J86" s="6">
        <v>0.5</v>
      </c>
      <c r="K86" s="6">
        <v>48.55</v>
      </c>
      <c r="L86" s="6">
        <v>22.63</v>
      </c>
      <c r="M86" s="6">
        <v>58.17</v>
      </c>
      <c r="N86" s="6">
        <v>0</v>
      </c>
      <c r="O86" s="6">
        <v>0</v>
      </c>
      <c r="P86" s="6">
        <v>0.99</v>
      </c>
      <c r="Q86" s="6">
        <v>5.0199999999999996</v>
      </c>
    </row>
    <row r="87" spans="1:17" customFormat="1">
      <c r="A87" s="6" t="s">
        <v>989</v>
      </c>
      <c r="B87" s="6">
        <v>17.68</v>
      </c>
      <c r="C87" s="6">
        <v>32.03</v>
      </c>
      <c r="D87" s="6">
        <v>32.26</v>
      </c>
      <c r="E87" s="6">
        <v>7.85</v>
      </c>
      <c r="F87" s="6">
        <v>2.4700000000000002</v>
      </c>
      <c r="G87" s="6">
        <v>158.57</v>
      </c>
      <c r="H87" s="6">
        <v>45.21</v>
      </c>
      <c r="I87" s="6">
        <v>9.6999999999999993</v>
      </c>
      <c r="J87" s="6">
        <v>0.38</v>
      </c>
      <c r="K87" s="6">
        <v>63.35</v>
      </c>
      <c r="L87" s="6">
        <v>22.1</v>
      </c>
      <c r="M87" s="6">
        <v>61.73</v>
      </c>
      <c r="N87" s="6">
        <v>0</v>
      </c>
      <c r="O87" s="6">
        <v>0</v>
      </c>
      <c r="P87" s="6">
        <v>1.01</v>
      </c>
      <c r="Q87" s="6">
        <v>5.03</v>
      </c>
    </row>
    <row r="88" spans="1:17" customFormat="1">
      <c r="A88" s="6" t="s">
        <v>990</v>
      </c>
      <c r="B88" s="6">
        <v>19.059999999999999</v>
      </c>
      <c r="C88" s="6">
        <v>32.85</v>
      </c>
      <c r="D88" s="6">
        <v>33.799999999999997</v>
      </c>
      <c r="E88" s="6">
        <v>7.71</v>
      </c>
      <c r="F88" s="6">
        <v>2.4300000000000002</v>
      </c>
      <c r="G88" s="6">
        <v>158.76</v>
      </c>
      <c r="H88" s="6">
        <v>47.13</v>
      </c>
      <c r="I88" s="6">
        <v>9.98</v>
      </c>
      <c r="J88" s="6">
        <v>0.23</v>
      </c>
      <c r="K88" s="6">
        <v>98.84</v>
      </c>
      <c r="L88" s="6">
        <v>21.78</v>
      </c>
      <c r="M88" s="6">
        <v>63.91</v>
      </c>
      <c r="N88" s="6">
        <v>0</v>
      </c>
      <c r="O88" s="6">
        <v>0</v>
      </c>
      <c r="P88" s="6">
        <v>1.04</v>
      </c>
      <c r="Q88" s="6">
        <v>5.07</v>
      </c>
    </row>
    <row r="89" spans="1:17" customFormat="1">
      <c r="A89" s="6" t="s">
        <v>991</v>
      </c>
      <c r="B89" s="6">
        <v>19.78</v>
      </c>
      <c r="C89" s="6">
        <v>32.99</v>
      </c>
      <c r="D89" s="6">
        <v>34.450000000000003</v>
      </c>
      <c r="E89" s="6">
        <v>7.14</v>
      </c>
      <c r="F89" s="6">
        <v>2.36</v>
      </c>
      <c r="G89" s="6">
        <v>159.59</v>
      </c>
      <c r="H89" s="6">
        <v>53.14</v>
      </c>
      <c r="I89" s="6">
        <v>10.25</v>
      </c>
      <c r="J89" s="6">
        <v>0.23</v>
      </c>
      <c r="K89" s="6">
        <v>167.55</v>
      </c>
      <c r="L89" s="6">
        <v>21.13</v>
      </c>
      <c r="M89" s="6">
        <v>68.040000000000006</v>
      </c>
      <c r="N89" s="6">
        <v>0</v>
      </c>
      <c r="O89" s="6">
        <v>0</v>
      </c>
      <c r="P89" s="6">
        <v>1.04</v>
      </c>
      <c r="Q89" s="6">
        <v>5.07</v>
      </c>
    </row>
    <row r="90" spans="1:17" customFormat="1">
      <c r="A90" s="6" t="s">
        <v>992</v>
      </c>
      <c r="B90" s="6">
        <v>19.66</v>
      </c>
      <c r="C90" s="6">
        <v>33.159999999999997</v>
      </c>
      <c r="D90" s="6">
        <v>34.44</v>
      </c>
      <c r="E90" s="6">
        <v>7.59</v>
      </c>
      <c r="F90" s="6">
        <v>2.4500000000000002</v>
      </c>
      <c r="G90" s="6">
        <v>159.59</v>
      </c>
      <c r="H90" s="6">
        <v>53.14</v>
      </c>
      <c r="I90" s="6">
        <v>10.44</v>
      </c>
      <c r="J90" s="6">
        <v>0.17</v>
      </c>
      <c r="K90" s="6">
        <v>179.68</v>
      </c>
      <c r="L90" s="6">
        <v>20.49</v>
      </c>
      <c r="M90" s="6">
        <v>76.260000000000005</v>
      </c>
      <c r="N90" s="6">
        <v>0</v>
      </c>
      <c r="O90" s="6">
        <v>0</v>
      </c>
      <c r="P90" s="6">
        <v>1.05</v>
      </c>
      <c r="Q90" s="6">
        <v>5.05</v>
      </c>
    </row>
    <row r="91" spans="1:17" customFormat="1">
      <c r="A91" s="6" t="s">
        <v>993</v>
      </c>
      <c r="B91" s="6">
        <v>19.38</v>
      </c>
      <c r="C91" s="6">
        <v>32.97</v>
      </c>
      <c r="D91" s="6">
        <v>34.119999999999997</v>
      </c>
      <c r="E91" s="6">
        <v>7.27</v>
      </c>
      <c r="F91" s="6">
        <v>2.31</v>
      </c>
      <c r="G91" s="6">
        <v>159.59</v>
      </c>
      <c r="H91" s="6">
        <v>53.14</v>
      </c>
      <c r="I91" s="6">
        <v>10.57</v>
      </c>
      <c r="J91" s="6">
        <v>0.17</v>
      </c>
      <c r="K91" s="6">
        <v>198.4</v>
      </c>
      <c r="L91" s="6">
        <v>19.73</v>
      </c>
      <c r="M91" s="6">
        <v>80.14</v>
      </c>
      <c r="N91" s="6">
        <v>0</v>
      </c>
      <c r="O91" s="6">
        <v>0</v>
      </c>
      <c r="P91" s="6">
        <v>1.07</v>
      </c>
      <c r="Q91" s="6">
        <v>5.05</v>
      </c>
    </row>
    <row r="92" spans="1:17" customFormat="1">
      <c r="A92" s="6" t="s">
        <v>994</v>
      </c>
      <c r="B92" s="6">
        <v>19.3</v>
      </c>
      <c r="C92" s="6">
        <v>32.97</v>
      </c>
      <c r="D92" s="6">
        <v>34.049999999999997</v>
      </c>
      <c r="E92" s="6">
        <v>7.14</v>
      </c>
      <c r="F92" s="6">
        <v>2.31</v>
      </c>
      <c r="G92" s="6">
        <v>155.99</v>
      </c>
      <c r="H92" s="6">
        <v>53.44</v>
      </c>
      <c r="I92" s="6">
        <v>10.7</v>
      </c>
      <c r="J92" s="6">
        <v>0.2</v>
      </c>
      <c r="K92" s="6">
        <v>186.66</v>
      </c>
      <c r="L92" s="6">
        <v>19.489999999999998</v>
      </c>
      <c r="M92" s="6">
        <v>79.64</v>
      </c>
      <c r="N92" s="6">
        <v>0</v>
      </c>
      <c r="O92" s="6">
        <v>0</v>
      </c>
      <c r="P92" s="6">
        <v>1.0900000000000001</v>
      </c>
      <c r="Q92" s="6">
        <v>5.04</v>
      </c>
    </row>
    <row r="93" spans="1:17" customFormat="1">
      <c r="A93" s="6" t="s">
        <v>995</v>
      </c>
      <c r="B93" s="6">
        <v>19.57</v>
      </c>
      <c r="C93" s="6">
        <v>32.78</v>
      </c>
      <c r="D93" s="6">
        <v>34.18</v>
      </c>
      <c r="E93" s="6">
        <v>7.26</v>
      </c>
      <c r="F93" s="6">
        <v>2.2999999999999998</v>
      </c>
      <c r="G93" s="6">
        <v>140.51</v>
      </c>
      <c r="H93" s="6">
        <v>54.3</v>
      </c>
      <c r="I93" s="6">
        <v>10.87</v>
      </c>
      <c r="J93" s="6">
        <v>0.18</v>
      </c>
      <c r="K93" s="6">
        <v>186.62</v>
      </c>
      <c r="L93" s="6">
        <v>19.260000000000002</v>
      </c>
      <c r="M93" s="6">
        <v>79.38</v>
      </c>
      <c r="N93" s="6">
        <v>0</v>
      </c>
      <c r="O93" s="6">
        <v>0</v>
      </c>
      <c r="P93" s="6">
        <v>1.1100000000000001</v>
      </c>
      <c r="Q93" s="6">
        <v>5.05</v>
      </c>
    </row>
    <row r="94" spans="1:17" customFormat="1">
      <c r="A94" s="6" t="s">
        <v>996</v>
      </c>
      <c r="B94" s="6">
        <v>19.809999999999999</v>
      </c>
      <c r="C94" s="6">
        <v>32.799999999999997</v>
      </c>
      <c r="D94" s="6">
        <v>34.369999999999997</v>
      </c>
      <c r="E94" s="6">
        <v>7.45</v>
      </c>
      <c r="F94" s="6">
        <v>2.25</v>
      </c>
      <c r="G94" s="6">
        <v>140.51</v>
      </c>
      <c r="H94" s="6">
        <v>54.3</v>
      </c>
      <c r="I94" s="6">
        <v>11.11</v>
      </c>
      <c r="J94" s="6">
        <v>0.22</v>
      </c>
      <c r="K94" s="6">
        <v>200.15</v>
      </c>
      <c r="L94" s="6">
        <v>19.09</v>
      </c>
      <c r="M94" s="6">
        <v>80.319999999999993</v>
      </c>
      <c r="N94" s="6">
        <v>0</v>
      </c>
      <c r="O94" s="6">
        <v>0</v>
      </c>
      <c r="P94" s="6">
        <v>1.1200000000000001</v>
      </c>
      <c r="Q94" s="6">
        <v>5.05</v>
      </c>
    </row>
    <row r="95" spans="1:17" customFormat="1">
      <c r="A95" s="6" t="s">
        <v>997</v>
      </c>
      <c r="B95" s="6">
        <v>19.78</v>
      </c>
      <c r="C95" s="6">
        <v>32.869999999999997</v>
      </c>
      <c r="D95" s="6">
        <v>34.39</v>
      </c>
      <c r="E95" s="6">
        <v>7.43</v>
      </c>
      <c r="F95" s="6">
        <v>2.27</v>
      </c>
      <c r="G95" s="6">
        <v>140.51</v>
      </c>
      <c r="H95" s="6">
        <v>54.3</v>
      </c>
      <c r="I95" s="6">
        <v>11.37</v>
      </c>
      <c r="J95" s="6">
        <v>0.19</v>
      </c>
      <c r="K95" s="6">
        <v>193.54</v>
      </c>
      <c r="L95" s="6">
        <v>18.77</v>
      </c>
      <c r="M95" s="6">
        <v>82.63</v>
      </c>
      <c r="N95" s="6">
        <v>0</v>
      </c>
      <c r="O95" s="6">
        <v>0</v>
      </c>
      <c r="P95" s="6">
        <v>1.1399999999999999</v>
      </c>
      <c r="Q95" s="6">
        <v>5.04</v>
      </c>
    </row>
    <row r="96" spans="1:17" customFormat="1">
      <c r="A96" s="6" t="s">
        <v>998</v>
      </c>
      <c r="B96" s="6">
        <v>19.71</v>
      </c>
      <c r="C96" s="6">
        <v>32.590000000000003</v>
      </c>
      <c r="D96" s="6">
        <v>34.19</v>
      </c>
      <c r="E96" s="6">
        <v>7.84</v>
      </c>
      <c r="F96" s="6">
        <v>2.29</v>
      </c>
      <c r="G96" s="6">
        <v>138.27000000000001</v>
      </c>
      <c r="H96" s="6">
        <v>53.34</v>
      </c>
      <c r="I96" s="6">
        <v>11.57</v>
      </c>
      <c r="J96" s="6">
        <v>0.13</v>
      </c>
      <c r="K96" s="6">
        <v>205.52</v>
      </c>
      <c r="L96" s="6">
        <v>18.63</v>
      </c>
      <c r="M96" s="6">
        <v>80.89</v>
      </c>
      <c r="N96" s="6">
        <v>0</v>
      </c>
      <c r="O96" s="6">
        <v>0</v>
      </c>
      <c r="P96" s="6">
        <v>1.1399999999999999</v>
      </c>
      <c r="Q96" s="6">
        <v>5.03</v>
      </c>
    </row>
    <row r="97" spans="1:22" customFormat="1">
      <c r="A97" s="6" t="s">
        <v>999</v>
      </c>
      <c r="B97" s="6">
        <v>19.399999999999999</v>
      </c>
      <c r="C97" s="6">
        <v>32.92</v>
      </c>
      <c r="D97" s="6">
        <v>34.11</v>
      </c>
      <c r="E97" s="6">
        <v>7.15</v>
      </c>
      <c r="F97" s="6">
        <v>2.41</v>
      </c>
      <c r="G97" s="6">
        <v>128.65</v>
      </c>
      <c r="H97" s="6">
        <v>50.34</v>
      </c>
      <c r="I97" s="6">
        <v>11.73</v>
      </c>
      <c r="J97" s="6">
        <v>0.14000000000000001</v>
      </c>
      <c r="K97" s="6">
        <v>215.1</v>
      </c>
      <c r="L97" s="6">
        <v>18.34</v>
      </c>
      <c r="M97" s="6">
        <v>81.17</v>
      </c>
      <c r="N97" s="6">
        <v>0</v>
      </c>
      <c r="O97" s="6">
        <v>0</v>
      </c>
      <c r="P97" s="6">
        <v>1.1399999999999999</v>
      </c>
      <c r="Q97" s="6">
        <v>5.01</v>
      </c>
    </row>
    <row r="98" spans="1:22" customFormat="1">
      <c r="A98" s="6" t="s">
        <v>1000</v>
      </c>
      <c r="B98" s="6">
        <v>19.22</v>
      </c>
      <c r="C98" s="6">
        <v>29.88</v>
      </c>
      <c r="D98" s="6">
        <v>32.380000000000003</v>
      </c>
      <c r="E98" s="6">
        <v>7.14</v>
      </c>
      <c r="F98" s="6">
        <v>2.65</v>
      </c>
      <c r="G98" s="6">
        <v>128.65</v>
      </c>
      <c r="H98" s="6">
        <v>50.34</v>
      </c>
      <c r="I98" s="6">
        <v>11.79</v>
      </c>
      <c r="J98" s="6">
        <v>0.1</v>
      </c>
      <c r="K98" s="6">
        <v>204.67</v>
      </c>
      <c r="L98" s="6">
        <v>18.22</v>
      </c>
      <c r="M98" s="6">
        <v>81.81</v>
      </c>
      <c r="N98" s="6">
        <v>0</v>
      </c>
      <c r="O98" s="6">
        <v>0</v>
      </c>
      <c r="P98" s="6">
        <v>1.1200000000000001</v>
      </c>
      <c r="Q98" s="6">
        <v>4.99</v>
      </c>
    </row>
    <row r="99" spans="1:22" customFormat="1">
      <c r="A99" s="6" t="s">
        <v>1001</v>
      </c>
      <c r="B99" s="6">
        <v>18.87</v>
      </c>
      <c r="C99" s="6">
        <v>26.55</v>
      </c>
      <c r="D99" s="6">
        <v>30.36</v>
      </c>
      <c r="E99" s="6">
        <v>7.05</v>
      </c>
      <c r="F99" s="6">
        <v>2.67</v>
      </c>
      <c r="G99" s="6">
        <v>128.65</v>
      </c>
      <c r="H99" s="6">
        <v>50.34</v>
      </c>
      <c r="I99" s="6">
        <v>11.76</v>
      </c>
      <c r="J99" s="6">
        <v>0.13</v>
      </c>
      <c r="K99" s="6">
        <v>214.81</v>
      </c>
      <c r="L99" s="6">
        <v>18.18</v>
      </c>
      <c r="M99" s="6">
        <v>81.86</v>
      </c>
      <c r="N99" s="6">
        <v>0</v>
      </c>
      <c r="O99" s="6">
        <v>0</v>
      </c>
      <c r="P99" s="6">
        <v>1.1000000000000001</v>
      </c>
      <c r="Q99" s="6">
        <v>5</v>
      </c>
    </row>
    <row r="100" spans="1:22" customFormat="1">
      <c r="A100" s="6" t="s">
        <v>1002</v>
      </c>
      <c r="B100" s="6">
        <v>18.71</v>
      </c>
      <c r="C100" s="6">
        <v>25.21</v>
      </c>
      <c r="D100" s="6">
        <v>29.53</v>
      </c>
      <c r="E100" s="6">
        <v>6.54</v>
      </c>
      <c r="F100" s="6">
        <v>2.5</v>
      </c>
      <c r="G100" s="6">
        <v>127.02</v>
      </c>
      <c r="H100" s="6">
        <v>50.39</v>
      </c>
      <c r="I100" s="6">
        <v>11.69</v>
      </c>
      <c r="J100" s="6">
        <v>0.08</v>
      </c>
      <c r="K100" s="6">
        <v>230.68</v>
      </c>
      <c r="L100" s="6">
        <v>17.98</v>
      </c>
      <c r="M100" s="6">
        <v>82.33</v>
      </c>
      <c r="N100" s="6">
        <v>0</v>
      </c>
      <c r="O100" s="6">
        <v>0</v>
      </c>
      <c r="P100" s="6">
        <v>1.0900000000000001</v>
      </c>
      <c r="Q100" s="6">
        <v>5</v>
      </c>
    </row>
    <row r="101" spans="1:22" customFormat="1">
      <c r="A101" s="6" t="s">
        <v>1003</v>
      </c>
      <c r="B101" s="6">
        <v>20.6</v>
      </c>
      <c r="C101" s="6">
        <v>26.37</v>
      </c>
      <c r="D101" s="6">
        <v>31.65</v>
      </c>
      <c r="E101" s="6">
        <v>6.75</v>
      </c>
      <c r="F101" s="6">
        <v>2.2000000000000002</v>
      </c>
      <c r="G101" s="6">
        <v>120.02</v>
      </c>
      <c r="H101" s="6">
        <v>50.56</v>
      </c>
      <c r="I101" s="6">
        <v>11.58</v>
      </c>
      <c r="J101" s="6">
        <v>0.12</v>
      </c>
      <c r="K101" s="6">
        <v>34.14</v>
      </c>
      <c r="L101" s="6">
        <v>18.149999999999999</v>
      </c>
      <c r="M101" s="6">
        <v>79.739999999999995</v>
      </c>
      <c r="N101" s="6">
        <v>0</v>
      </c>
      <c r="O101" s="6">
        <v>0</v>
      </c>
      <c r="P101" s="6">
        <v>1.0900000000000001</v>
      </c>
      <c r="Q101" s="6">
        <v>5.04</v>
      </c>
    </row>
    <row r="102" spans="1:22" customFormat="1">
      <c r="A102" s="6" t="s">
        <v>1004</v>
      </c>
      <c r="B102" s="6">
        <v>24.96</v>
      </c>
      <c r="C102" s="6">
        <v>28.26</v>
      </c>
      <c r="D102" s="6">
        <v>36.130000000000003</v>
      </c>
      <c r="E102" s="6">
        <v>7.39</v>
      </c>
      <c r="F102" s="6">
        <v>2.14</v>
      </c>
      <c r="G102" s="6">
        <v>120.02</v>
      </c>
      <c r="H102" s="6">
        <v>50.56</v>
      </c>
      <c r="I102" s="6">
        <v>11.51</v>
      </c>
      <c r="J102" s="6">
        <v>0.17</v>
      </c>
      <c r="K102" s="6">
        <v>160.18</v>
      </c>
      <c r="L102" s="6">
        <v>18.309999999999999</v>
      </c>
      <c r="M102" s="6">
        <v>79.180000000000007</v>
      </c>
      <c r="N102" s="6">
        <v>0</v>
      </c>
      <c r="O102" s="6">
        <v>0</v>
      </c>
      <c r="P102" s="6">
        <v>1.1000000000000001</v>
      </c>
      <c r="Q102" s="6">
        <v>5.07</v>
      </c>
    </row>
    <row r="103" spans="1:22" customFormat="1">
      <c r="A103" s="6" t="s">
        <v>1005</v>
      </c>
      <c r="B103" s="6">
        <v>29.19</v>
      </c>
      <c r="C103" s="6">
        <v>29.49</v>
      </c>
      <c r="D103" s="6">
        <v>40.17</v>
      </c>
      <c r="E103" s="6">
        <v>7.48</v>
      </c>
      <c r="F103" s="6">
        <v>2.2000000000000002</v>
      </c>
      <c r="G103" s="6">
        <v>120.02</v>
      </c>
      <c r="H103" s="6">
        <v>50.56</v>
      </c>
      <c r="I103" s="6">
        <v>11.5</v>
      </c>
      <c r="J103" s="6">
        <v>0.08</v>
      </c>
      <c r="K103" s="6">
        <v>163.71</v>
      </c>
      <c r="L103" s="6">
        <v>18.23</v>
      </c>
      <c r="M103" s="6">
        <v>79.37</v>
      </c>
      <c r="N103" s="6">
        <v>0</v>
      </c>
      <c r="O103" s="6">
        <v>0</v>
      </c>
      <c r="P103" s="6">
        <v>1.1000000000000001</v>
      </c>
      <c r="Q103" s="6">
        <v>5.1100000000000003</v>
      </c>
    </row>
    <row r="104" spans="1:22" customFormat="1">
      <c r="A104" s="6" t="s">
        <v>1006</v>
      </c>
      <c r="B104" s="6">
        <v>32.69</v>
      </c>
      <c r="C104" s="6">
        <v>30</v>
      </c>
      <c r="D104" s="6">
        <v>43.24</v>
      </c>
      <c r="E104" s="6">
        <v>7.46</v>
      </c>
      <c r="F104" s="6">
        <v>2.29</v>
      </c>
      <c r="G104" s="6">
        <v>119.76</v>
      </c>
      <c r="H104" s="6">
        <v>51.26</v>
      </c>
      <c r="I104" s="6">
        <v>11.54</v>
      </c>
      <c r="J104" s="6">
        <v>0.22</v>
      </c>
      <c r="K104" s="6">
        <v>58.06</v>
      </c>
      <c r="L104" s="6">
        <v>18.14</v>
      </c>
      <c r="M104" s="6">
        <v>78.56</v>
      </c>
      <c r="N104" s="6">
        <v>0</v>
      </c>
      <c r="O104" s="6">
        <v>0</v>
      </c>
      <c r="P104" s="6">
        <v>1.1200000000000001</v>
      </c>
      <c r="Q104" s="6">
        <v>5.16</v>
      </c>
    </row>
    <row r="106" spans="1:22">
      <c r="A106" s="156" t="s">
        <v>48</v>
      </c>
      <c r="B106" s="157">
        <f>MIN(B9:B104)</f>
        <v>4.79</v>
      </c>
      <c r="C106" s="157">
        <f>MIN(C9:C104)</f>
        <v>16.899999999999999</v>
      </c>
      <c r="D106" s="157">
        <f t="shared" ref="D106:Q106" si="0">MIN(D9:D104)</f>
        <v>14.12</v>
      </c>
      <c r="E106" s="157">
        <f t="shared" si="0"/>
        <v>3.1</v>
      </c>
      <c r="F106" s="157">
        <f t="shared" si="0"/>
        <v>2.14</v>
      </c>
      <c r="G106" s="157">
        <f t="shared" si="0"/>
        <v>68.38</v>
      </c>
      <c r="H106" s="157">
        <f t="shared" si="0"/>
        <v>36.85</v>
      </c>
      <c r="I106" s="157">
        <f t="shared" si="0"/>
        <v>8.1999999999999993</v>
      </c>
      <c r="J106" s="157">
        <f t="shared" si="0"/>
        <v>7.0000000000000007E-2</v>
      </c>
      <c r="K106" s="157">
        <f t="shared" si="0"/>
        <v>34.14</v>
      </c>
      <c r="L106" s="157">
        <f t="shared" si="0"/>
        <v>15.66</v>
      </c>
      <c r="M106" s="157">
        <f t="shared" si="0"/>
        <v>35.450000000000003</v>
      </c>
      <c r="N106" s="157">
        <f t="shared" si="0"/>
        <v>0</v>
      </c>
      <c r="O106" s="157">
        <f t="shared" si="0"/>
        <v>0</v>
      </c>
      <c r="P106" s="157">
        <f t="shared" si="0"/>
        <v>0.72</v>
      </c>
      <c r="Q106" s="157">
        <f t="shared" si="0"/>
        <v>4.76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32.69</v>
      </c>
      <c r="C107" s="156">
        <f t="shared" ref="C107:Q107" si="1">MAX(C9:C104)</f>
        <v>33.159999999999997</v>
      </c>
      <c r="D107" s="156">
        <f t="shared" si="1"/>
        <v>43.24</v>
      </c>
      <c r="E107" s="156">
        <f t="shared" si="1"/>
        <v>8.75</v>
      </c>
      <c r="F107" s="156">
        <f t="shared" si="1"/>
        <v>5.1100000000000003</v>
      </c>
      <c r="G107" s="156">
        <f t="shared" si="1"/>
        <v>159.59</v>
      </c>
      <c r="H107" s="156">
        <f t="shared" si="1"/>
        <v>57.03</v>
      </c>
      <c r="I107" s="156">
        <f t="shared" si="1"/>
        <v>11.79</v>
      </c>
      <c r="J107" s="156">
        <f t="shared" si="1"/>
        <v>1.48</v>
      </c>
      <c r="K107" s="156">
        <f t="shared" si="1"/>
        <v>352.09</v>
      </c>
      <c r="L107" s="156">
        <f t="shared" si="1"/>
        <v>28.64</v>
      </c>
      <c r="M107" s="156">
        <f t="shared" si="1"/>
        <v>95.76</v>
      </c>
      <c r="N107" s="156">
        <f t="shared" si="1"/>
        <v>409.9</v>
      </c>
      <c r="O107" s="156">
        <f t="shared" si="1"/>
        <v>0</v>
      </c>
      <c r="P107" s="156">
        <f t="shared" si="1"/>
        <v>1.1399999999999999</v>
      </c>
      <c r="Q107" s="156">
        <f t="shared" si="1"/>
        <v>5.16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13.706770833333332</v>
      </c>
      <c r="C108" s="157">
        <f t="shared" ref="C108:Q108" si="2">AVERAGE(C9:C104)</f>
        <v>26.034895833333334</v>
      </c>
      <c r="D108" s="157">
        <f t="shared" si="2"/>
        <v>25.945625000000003</v>
      </c>
      <c r="E108" s="157">
        <f t="shared" si="2"/>
        <v>6.2485416666666653</v>
      </c>
      <c r="F108" s="157">
        <f t="shared" si="2"/>
        <v>2.7036458333333342</v>
      </c>
      <c r="G108" s="157">
        <f t="shared" si="2"/>
        <v>109.2765625</v>
      </c>
      <c r="H108" s="157">
        <f t="shared" si="2"/>
        <v>48.167083333333352</v>
      </c>
      <c r="I108" s="157">
        <f t="shared" si="2"/>
        <v>9.7570833333333358</v>
      </c>
      <c r="J108" s="157">
        <f t="shared" si="2"/>
        <v>0.49979166666666663</v>
      </c>
      <c r="K108" s="157">
        <f t="shared" si="2"/>
        <v>95.049270833333352</v>
      </c>
      <c r="L108" s="157">
        <f t="shared" si="2"/>
        <v>21.127916666666668</v>
      </c>
      <c r="M108" s="157">
        <f t="shared" si="2"/>
        <v>70.009270833333318</v>
      </c>
      <c r="N108" s="157">
        <f t="shared" si="2"/>
        <v>82.926041666666677</v>
      </c>
      <c r="O108" s="157">
        <f t="shared" si="2"/>
        <v>0</v>
      </c>
      <c r="P108" s="157">
        <f t="shared" si="2"/>
        <v>0.93489583333333337</v>
      </c>
      <c r="Q108" s="157">
        <f t="shared" si="2"/>
        <v>4.9371875000000003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6.3588477100463328</v>
      </c>
      <c r="C109" s="157">
        <f t="shared" ref="C109:Q109" si="3">STDEV(C9:C104)</f>
        <v>4.7048593009426769</v>
      </c>
      <c r="D109" s="157">
        <f t="shared" si="3"/>
        <v>6.9490436771051982</v>
      </c>
      <c r="E109" s="157">
        <f t="shared" si="3"/>
        <v>1.7775204368751429</v>
      </c>
      <c r="F109" s="157">
        <f t="shared" si="3"/>
        <v>0.61959769594839564</v>
      </c>
      <c r="G109" s="157">
        <f t="shared" si="3"/>
        <v>24.718833255898343</v>
      </c>
      <c r="H109" s="157">
        <f t="shared" si="3"/>
        <v>6.023288997788093</v>
      </c>
      <c r="I109" s="157">
        <f t="shared" si="3"/>
        <v>1.0522296293976909</v>
      </c>
      <c r="J109" s="157">
        <f t="shared" si="3"/>
        <v>0.34715074585960093</v>
      </c>
      <c r="K109" s="157">
        <f t="shared" si="3"/>
        <v>63.291793818202628</v>
      </c>
      <c r="L109" s="157">
        <f t="shared" si="3"/>
        <v>4.2809848637327521</v>
      </c>
      <c r="M109" s="157">
        <f t="shared" si="3"/>
        <v>20.067690987455066</v>
      </c>
      <c r="N109" s="157">
        <f t="shared" si="3"/>
        <v>136.43513303111962</v>
      </c>
      <c r="O109" s="157">
        <f t="shared" si="3"/>
        <v>0</v>
      </c>
      <c r="P109" s="157">
        <f t="shared" si="3"/>
        <v>0.11596728024628002</v>
      </c>
      <c r="Q109" s="157">
        <f t="shared" si="3"/>
        <v>9.2936912671134658E-2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1007</v>
      </c>
      <c r="B9" s="6">
        <v>36.15</v>
      </c>
      <c r="C9" s="6">
        <v>30.53</v>
      </c>
      <c r="D9" s="6">
        <v>46.29</v>
      </c>
      <c r="E9" s="6">
        <v>7.03</v>
      </c>
      <c r="F9" s="6">
        <v>2.34</v>
      </c>
      <c r="G9" s="6">
        <v>118.65</v>
      </c>
      <c r="H9" s="6">
        <v>54.73</v>
      </c>
      <c r="I9" s="6">
        <v>11.56</v>
      </c>
      <c r="J9" s="6">
        <v>0.21</v>
      </c>
      <c r="K9" s="6">
        <v>54.9</v>
      </c>
      <c r="L9" s="6">
        <v>18.38</v>
      </c>
      <c r="M9" s="6">
        <v>75.489999999999995</v>
      </c>
      <c r="N9" s="6">
        <v>0</v>
      </c>
      <c r="O9" s="6">
        <v>0</v>
      </c>
      <c r="P9" s="6">
        <v>1.1100000000000001</v>
      </c>
      <c r="Q9" s="6">
        <v>5.2</v>
      </c>
    </row>
    <row r="10" spans="1:21" customFormat="1">
      <c r="A10" s="6" t="s">
        <v>1008</v>
      </c>
      <c r="B10" s="6">
        <v>36.21</v>
      </c>
      <c r="C10" s="6">
        <v>30.4</v>
      </c>
      <c r="D10" s="6">
        <v>46.27</v>
      </c>
      <c r="E10" s="6">
        <v>7.03</v>
      </c>
      <c r="F10" s="6">
        <v>2.4</v>
      </c>
      <c r="G10" s="6">
        <v>118.65</v>
      </c>
      <c r="H10" s="6">
        <v>54.73</v>
      </c>
      <c r="I10" s="6">
        <v>11.52</v>
      </c>
      <c r="J10" s="6">
        <v>0.16</v>
      </c>
      <c r="K10" s="6">
        <v>108.41</v>
      </c>
      <c r="L10" s="6">
        <v>18.37</v>
      </c>
      <c r="M10" s="6">
        <v>75.39</v>
      </c>
      <c r="N10" s="6">
        <v>0</v>
      </c>
      <c r="O10" s="6">
        <v>0</v>
      </c>
      <c r="P10" s="6">
        <v>1.0900000000000001</v>
      </c>
      <c r="Q10" s="6">
        <v>5.25</v>
      </c>
    </row>
    <row r="11" spans="1:21" customFormat="1">
      <c r="A11" s="6" t="s">
        <v>1009</v>
      </c>
      <c r="B11" s="6">
        <v>35.81</v>
      </c>
      <c r="C11" s="6">
        <v>29.03</v>
      </c>
      <c r="D11" s="6">
        <v>45.24</v>
      </c>
      <c r="E11" s="6">
        <v>7.13</v>
      </c>
      <c r="F11" s="6">
        <v>2.4900000000000002</v>
      </c>
      <c r="G11" s="6">
        <v>118.65</v>
      </c>
      <c r="H11" s="6">
        <v>54.73</v>
      </c>
      <c r="I11" s="6">
        <v>11.51</v>
      </c>
      <c r="J11" s="6">
        <v>7.0000000000000007E-2</v>
      </c>
      <c r="K11" s="6">
        <v>123.3</v>
      </c>
      <c r="L11" s="6">
        <v>17.88</v>
      </c>
      <c r="M11" s="6">
        <v>80.3</v>
      </c>
      <c r="N11" s="6">
        <v>0</v>
      </c>
      <c r="O11" s="6">
        <v>0</v>
      </c>
      <c r="P11" s="6">
        <v>1.07</v>
      </c>
      <c r="Q11" s="6">
        <v>5.25</v>
      </c>
    </row>
    <row r="12" spans="1:21" customFormat="1">
      <c r="A12" s="6" t="s">
        <v>1010</v>
      </c>
      <c r="B12" s="6">
        <v>35.53</v>
      </c>
      <c r="C12" s="6">
        <v>28.11</v>
      </c>
      <c r="D12" s="6">
        <v>44.53</v>
      </c>
      <c r="E12" s="6">
        <v>6.88</v>
      </c>
      <c r="F12" s="6">
        <v>2.35</v>
      </c>
      <c r="G12" s="6">
        <v>116.22</v>
      </c>
      <c r="H12" s="6">
        <v>53.83</v>
      </c>
      <c r="I12" s="6">
        <v>11.49</v>
      </c>
      <c r="J12" s="6">
        <v>0.16</v>
      </c>
      <c r="K12" s="6">
        <v>88.28</v>
      </c>
      <c r="L12" s="6">
        <v>17.79</v>
      </c>
      <c r="M12" s="6">
        <v>79.44</v>
      </c>
      <c r="N12" s="6">
        <v>0</v>
      </c>
      <c r="O12" s="6">
        <v>0</v>
      </c>
      <c r="P12" s="6">
        <v>1.05</v>
      </c>
      <c r="Q12" s="6">
        <v>5.23</v>
      </c>
    </row>
    <row r="13" spans="1:21" customFormat="1">
      <c r="A13" s="6" t="s">
        <v>1011</v>
      </c>
      <c r="B13" s="6">
        <v>35.29</v>
      </c>
      <c r="C13" s="6">
        <v>28.81</v>
      </c>
      <c r="D13" s="6">
        <v>44.71</v>
      </c>
      <c r="E13" s="6">
        <v>7.43</v>
      </c>
      <c r="F13" s="6">
        <v>2.38</v>
      </c>
      <c r="G13" s="6">
        <v>105.8</v>
      </c>
      <c r="H13" s="6">
        <v>51.18</v>
      </c>
      <c r="I13" s="6">
        <v>11.43</v>
      </c>
      <c r="J13" s="6">
        <v>0.25</v>
      </c>
      <c r="K13" s="6">
        <v>52.14</v>
      </c>
      <c r="L13" s="6">
        <v>17.91</v>
      </c>
      <c r="M13" s="6">
        <v>77.209999999999994</v>
      </c>
      <c r="N13" s="6">
        <v>0</v>
      </c>
      <c r="O13" s="6">
        <v>0</v>
      </c>
      <c r="P13" s="6">
        <v>1.03</v>
      </c>
      <c r="Q13" s="6">
        <v>5.25</v>
      </c>
    </row>
    <row r="14" spans="1:21" customFormat="1">
      <c r="A14" s="6" t="s">
        <v>1012</v>
      </c>
      <c r="B14" s="6">
        <v>35.07</v>
      </c>
      <c r="C14" s="6">
        <v>30.06</v>
      </c>
      <c r="D14" s="6">
        <v>45.18</v>
      </c>
      <c r="E14" s="6">
        <v>6.71</v>
      </c>
      <c r="F14" s="6">
        <v>2.2200000000000002</v>
      </c>
      <c r="G14" s="6">
        <v>105.8</v>
      </c>
      <c r="H14" s="6">
        <v>51.18</v>
      </c>
      <c r="I14" s="6">
        <v>11.39</v>
      </c>
      <c r="J14" s="6">
        <v>0.32</v>
      </c>
      <c r="K14" s="6">
        <v>36.32</v>
      </c>
      <c r="L14" s="6">
        <v>17.7</v>
      </c>
      <c r="M14" s="6">
        <v>77.94</v>
      </c>
      <c r="N14" s="6">
        <v>0</v>
      </c>
      <c r="O14" s="6">
        <v>0</v>
      </c>
      <c r="P14" s="6">
        <v>1.01</v>
      </c>
      <c r="Q14" s="6">
        <v>5.25</v>
      </c>
    </row>
    <row r="15" spans="1:21" customFormat="1">
      <c r="A15" s="6" t="s">
        <v>1013</v>
      </c>
      <c r="B15" s="6">
        <v>34.869999999999997</v>
      </c>
      <c r="C15" s="6">
        <v>29.24</v>
      </c>
      <c r="D15" s="6">
        <v>44.59</v>
      </c>
      <c r="E15" s="6">
        <v>7.43</v>
      </c>
      <c r="F15" s="6">
        <v>2.29</v>
      </c>
      <c r="G15" s="6">
        <v>105.8</v>
      </c>
      <c r="H15" s="6">
        <v>51.18</v>
      </c>
      <c r="I15" s="6">
        <v>11.32</v>
      </c>
      <c r="J15" s="6">
        <v>0.46</v>
      </c>
      <c r="K15" s="6">
        <v>50</v>
      </c>
      <c r="L15" s="6">
        <v>17.71</v>
      </c>
      <c r="M15" s="6">
        <v>77.02</v>
      </c>
      <c r="N15" s="6">
        <v>0</v>
      </c>
      <c r="O15" s="6">
        <v>0</v>
      </c>
      <c r="P15" s="6">
        <v>1</v>
      </c>
      <c r="Q15" s="6">
        <v>5.24</v>
      </c>
    </row>
    <row r="16" spans="1:21" customFormat="1">
      <c r="A16" s="6" t="s">
        <v>1014</v>
      </c>
      <c r="B16" s="6">
        <v>34.5</v>
      </c>
      <c r="C16" s="6">
        <v>29.28</v>
      </c>
      <c r="D16" s="6">
        <v>44.32</v>
      </c>
      <c r="E16" s="6">
        <v>7.15</v>
      </c>
      <c r="F16" s="6">
        <v>2.4500000000000002</v>
      </c>
      <c r="G16" s="6">
        <v>107.26</v>
      </c>
      <c r="H16" s="6">
        <v>51.05</v>
      </c>
      <c r="I16" s="6">
        <v>11.26</v>
      </c>
      <c r="J16" s="6">
        <v>0.35</v>
      </c>
      <c r="K16" s="6">
        <v>36.51</v>
      </c>
      <c r="L16" s="6">
        <v>17.68</v>
      </c>
      <c r="M16" s="6">
        <v>76.08</v>
      </c>
      <c r="N16" s="6">
        <v>0</v>
      </c>
      <c r="O16" s="6">
        <v>0</v>
      </c>
      <c r="P16" s="6">
        <v>0.98</v>
      </c>
      <c r="Q16" s="6">
        <v>5.23</v>
      </c>
    </row>
    <row r="17" spans="1:17" customFormat="1">
      <c r="A17" s="6" t="s">
        <v>1015</v>
      </c>
      <c r="B17" s="6">
        <v>34.130000000000003</v>
      </c>
      <c r="C17" s="6">
        <v>29.84</v>
      </c>
      <c r="D17" s="6">
        <v>44.31</v>
      </c>
      <c r="E17" s="6">
        <v>6.08</v>
      </c>
      <c r="F17" s="6">
        <v>2.25</v>
      </c>
      <c r="G17" s="6">
        <v>113.51</v>
      </c>
      <c r="H17" s="6">
        <v>50.62</v>
      </c>
      <c r="I17" s="6">
        <v>11.23</v>
      </c>
      <c r="J17" s="6">
        <v>0.33</v>
      </c>
      <c r="K17" s="6">
        <v>57.21</v>
      </c>
      <c r="L17" s="6">
        <v>17.54</v>
      </c>
      <c r="M17" s="6">
        <v>76.58</v>
      </c>
      <c r="N17" s="6">
        <v>0</v>
      </c>
      <c r="O17" s="6">
        <v>0</v>
      </c>
      <c r="P17" s="6">
        <v>0.97</v>
      </c>
      <c r="Q17" s="6">
        <v>5.24</v>
      </c>
    </row>
    <row r="18" spans="1:17" customFormat="1">
      <c r="A18" s="6" t="s">
        <v>1016</v>
      </c>
      <c r="B18" s="6">
        <v>33.61</v>
      </c>
      <c r="C18" s="6">
        <v>29.57</v>
      </c>
      <c r="D18" s="6">
        <v>43.75</v>
      </c>
      <c r="E18" s="6">
        <v>7.86</v>
      </c>
      <c r="F18" s="6">
        <v>2.25</v>
      </c>
      <c r="G18" s="6">
        <v>113.51</v>
      </c>
      <c r="H18" s="6">
        <v>50.62</v>
      </c>
      <c r="I18" s="6">
        <v>11.13</v>
      </c>
      <c r="J18" s="6">
        <v>0.15</v>
      </c>
      <c r="K18" s="6">
        <v>53.91</v>
      </c>
      <c r="L18" s="6">
        <v>17.420000000000002</v>
      </c>
      <c r="M18" s="6">
        <v>77.64</v>
      </c>
      <c r="N18" s="6">
        <v>0</v>
      </c>
      <c r="O18" s="6">
        <v>0</v>
      </c>
      <c r="P18" s="6">
        <v>0.95</v>
      </c>
      <c r="Q18" s="6">
        <v>5.23</v>
      </c>
    </row>
    <row r="19" spans="1:17" customFormat="1">
      <c r="A19" s="6" t="s">
        <v>1017</v>
      </c>
      <c r="B19" s="6">
        <v>32.909999999999997</v>
      </c>
      <c r="C19" s="6">
        <v>29.77</v>
      </c>
      <c r="D19" s="6">
        <v>43.3</v>
      </c>
      <c r="E19" s="6">
        <v>7.39</v>
      </c>
      <c r="F19" s="6">
        <v>2.19</v>
      </c>
      <c r="G19" s="6">
        <v>113.51</v>
      </c>
      <c r="H19" s="6">
        <v>50.62</v>
      </c>
      <c r="I19" s="6">
        <v>10.98</v>
      </c>
      <c r="J19" s="6">
        <v>0.13</v>
      </c>
      <c r="K19" s="6">
        <v>209.74</v>
      </c>
      <c r="L19" s="6">
        <v>17.079999999999998</v>
      </c>
      <c r="M19" s="6">
        <v>82.67</v>
      </c>
      <c r="N19" s="6">
        <v>0</v>
      </c>
      <c r="O19" s="6">
        <v>0</v>
      </c>
      <c r="P19" s="6">
        <v>0.94</v>
      </c>
      <c r="Q19" s="6">
        <v>5.22</v>
      </c>
    </row>
    <row r="20" spans="1:17" customFormat="1">
      <c r="A20" s="6" t="s">
        <v>1018</v>
      </c>
      <c r="B20" s="6">
        <v>31.75</v>
      </c>
      <c r="C20" s="6">
        <v>28.17</v>
      </c>
      <c r="D20" s="6">
        <v>41.54</v>
      </c>
      <c r="E20" s="6">
        <v>7.55</v>
      </c>
      <c r="F20" s="6">
        <v>2.44</v>
      </c>
      <c r="G20" s="6">
        <v>111.14</v>
      </c>
      <c r="H20" s="6">
        <v>49.78</v>
      </c>
      <c r="I20" s="6">
        <v>10.84</v>
      </c>
      <c r="J20" s="6">
        <v>0.09</v>
      </c>
      <c r="K20" s="6">
        <v>163.30000000000001</v>
      </c>
      <c r="L20" s="6">
        <v>16.64</v>
      </c>
      <c r="M20" s="6">
        <v>86.4</v>
      </c>
      <c r="N20" s="6">
        <v>0</v>
      </c>
      <c r="O20" s="6">
        <v>0</v>
      </c>
      <c r="P20" s="6">
        <v>0.92</v>
      </c>
      <c r="Q20" s="6">
        <v>5.22</v>
      </c>
    </row>
    <row r="21" spans="1:17" customFormat="1">
      <c r="A21" s="6" t="s">
        <v>1019</v>
      </c>
      <c r="B21" s="6">
        <v>30.92</v>
      </c>
      <c r="C21" s="6">
        <v>28.11</v>
      </c>
      <c r="D21" s="6">
        <v>40.83</v>
      </c>
      <c r="E21" s="6">
        <v>7.76</v>
      </c>
      <c r="F21" s="6">
        <v>2.4500000000000002</v>
      </c>
      <c r="G21" s="6">
        <v>100.96</v>
      </c>
      <c r="H21" s="6">
        <v>47.17</v>
      </c>
      <c r="I21" s="6">
        <v>10.72</v>
      </c>
      <c r="J21" s="6">
        <v>0.12</v>
      </c>
      <c r="K21" s="6">
        <v>90.03</v>
      </c>
      <c r="L21" s="6">
        <v>16.489999999999998</v>
      </c>
      <c r="M21" s="6">
        <v>85.61</v>
      </c>
      <c r="N21" s="6">
        <v>0</v>
      </c>
      <c r="O21" s="6">
        <v>0</v>
      </c>
      <c r="P21" s="6">
        <v>0.9</v>
      </c>
      <c r="Q21" s="6">
        <v>5.2</v>
      </c>
    </row>
    <row r="22" spans="1:17" customFormat="1">
      <c r="A22" s="6" t="s">
        <v>1020</v>
      </c>
      <c r="B22" s="6">
        <v>32.03</v>
      </c>
      <c r="C22" s="6">
        <v>28.81</v>
      </c>
      <c r="D22" s="6">
        <v>42.09</v>
      </c>
      <c r="E22" s="6">
        <v>7.33</v>
      </c>
      <c r="F22" s="6">
        <v>2.4</v>
      </c>
      <c r="G22" s="6">
        <v>100.96</v>
      </c>
      <c r="H22" s="6">
        <v>47.17</v>
      </c>
      <c r="I22" s="6">
        <v>10.56</v>
      </c>
      <c r="J22" s="6">
        <v>0.18</v>
      </c>
      <c r="K22" s="6">
        <v>43.94</v>
      </c>
      <c r="L22" s="6">
        <v>16.649999999999999</v>
      </c>
      <c r="M22" s="6">
        <v>82.64</v>
      </c>
      <c r="N22" s="6">
        <v>0</v>
      </c>
      <c r="O22" s="6">
        <v>0</v>
      </c>
      <c r="P22" s="6">
        <v>0.89</v>
      </c>
      <c r="Q22" s="6">
        <v>5.21</v>
      </c>
    </row>
    <row r="23" spans="1:17" customFormat="1">
      <c r="A23" s="6" t="s">
        <v>1021</v>
      </c>
      <c r="B23" s="6">
        <v>32.25</v>
      </c>
      <c r="C23" s="6">
        <v>29.76</v>
      </c>
      <c r="D23" s="6">
        <v>42.76</v>
      </c>
      <c r="E23" s="6">
        <v>7.08</v>
      </c>
      <c r="F23" s="6">
        <v>2.42</v>
      </c>
      <c r="G23" s="6">
        <v>100.96</v>
      </c>
      <c r="H23" s="6">
        <v>47.17</v>
      </c>
      <c r="I23" s="6">
        <v>10.42</v>
      </c>
      <c r="J23" s="6">
        <v>0.31</v>
      </c>
      <c r="K23" s="6">
        <v>55.36</v>
      </c>
      <c r="L23" s="6">
        <v>16.8</v>
      </c>
      <c r="M23" s="6">
        <v>81.62</v>
      </c>
      <c r="N23" s="6">
        <v>0</v>
      </c>
      <c r="O23" s="6">
        <v>0</v>
      </c>
      <c r="P23" s="6">
        <v>0.88</v>
      </c>
      <c r="Q23" s="6">
        <v>5.23</v>
      </c>
    </row>
    <row r="24" spans="1:17" customFormat="1">
      <c r="A24" s="6" t="s">
        <v>1022</v>
      </c>
      <c r="B24" s="6">
        <v>32.07</v>
      </c>
      <c r="C24" s="6">
        <v>30.16</v>
      </c>
      <c r="D24" s="6">
        <v>42.83</v>
      </c>
      <c r="E24" s="6">
        <v>7.29</v>
      </c>
      <c r="F24" s="6">
        <v>2.44</v>
      </c>
      <c r="G24" s="6">
        <v>100.58</v>
      </c>
      <c r="H24" s="6">
        <v>47.42</v>
      </c>
      <c r="I24" s="6">
        <v>10.31</v>
      </c>
      <c r="J24" s="6">
        <v>0.38</v>
      </c>
      <c r="K24" s="6">
        <v>52.9</v>
      </c>
      <c r="L24" s="6">
        <v>16.8</v>
      </c>
      <c r="M24" s="6">
        <v>81.760000000000005</v>
      </c>
      <c r="N24" s="6">
        <v>0</v>
      </c>
      <c r="O24" s="6">
        <v>0</v>
      </c>
      <c r="P24" s="6">
        <v>0.88</v>
      </c>
      <c r="Q24" s="6">
        <v>5.22</v>
      </c>
    </row>
    <row r="25" spans="1:17" customFormat="1">
      <c r="A25" s="6" t="s">
        <v>1023</v>
      </c>
      <c r="B25" s="6">
        <v>31.55</v>
      </c>
      <c r="C25" s="6">
        <v>30.8</v>
      </c>
      <c r="D25" s="6">
        <v>42.74</v>
      </c>
      <c r="E25" s="6">
        <v>7.59</v>
      </c>
      <c r="F25" s="6">
        <v>2.42</v>
      </c>
      <c r="G25" s="6">
        <v>98.94</v>
      </c>
      <c r="H25" s="6">
        <v>48.22</v>
      </c>
      <c r="I25" s="6">
        <v>10.220000000000001</v>
      </c>
      <c r="J25" s="6">
        <v>0.41</v>
      </c>
      <c r="K25" s="6">
        <v>56.2</v>
      </c>
      <c r="L25" s="6">
        <v>16.8</v>
      </c>
      <c r="M25" s="6">
        <v>82.59</v>
      </c>
      <c r="N25" s="6">
        <v>0</v>
      </c>
      <c r="O25" s="6">
        <v>0</v>
      </c>
      <c r="P25" s="6">
        <v>0.87</v>
      </c>
      <c r="Q25" s="6">
        <v>5.2</v>
      </c>
    </row>
    <row r="26" spans="1:17" customFormat="1">
      <c r="A26" s="6" t="s">
        <v>1024</v>
      </c>
      <c r="B26" s="6">
        <v>30.84</v>
      </c>
      <c r="C26" s="6">
        <v>31.09</v>
      </c>
      <c r="D26" s="6">
        <v>42.33</v>
      </c>
      <c r="E26" s="6">
        <v>7.67</v>
      </c>
      <c r="F26" s="6">
        <v>2.39</v>
      </c>
      <c r="G26" s="6">
        <v>98.94</v>
      </c>
      <c r="H26" s="6">
        <v>48.22</v>
      </c>
      <c r="I26" s="6">
        <v>10.11</v>
      </c>
      <c r="J26" s="6">
        <v>0.56999999999999995</v>
      </c>
      <c r="K26" s="6">
        <v>54.14</v>
      </c>
      <c r="L26" s="6">
        <v>16.760000000000002</v>
      </c>
      <c r="M26" s="6">
        <v>84</v>
      </c>
      <c r="N26" s="6">
        <v>0</v>
      </c>
      <c r="O26" s="6">
        <v>0</v>
      </c>
      <c r="P26" s="6">
        <v>0.86</v>
      </c>
      <c r="Q26" s="6">
        <v>5.19</v>
      </c>
    </row>
    <row r="27" spans="1:17" customFormat="1">
      <c r="A27" s="6" t="s">
        <v>1025</v>
      </c>
      <c r="B27" s="6">
        <v>30.25</v>
      </c>
      <c r="C27" s="6">
        <v>31.19</v>
      </c>
      <c r="D27" s="6">
        <v>41.91</v>
      </c>
      <c r="E27" s="6">
        <v>7.79</v>
      </c>
      <c r="F27" s="6">
        <v>2.38</v>
      </c>
      <c r="G27" s="6">
        <v>98.94</v>
      </c>
      <c r="H27" s="6">
        <v>48.22</v>
      </c>
      <c r="I27" s="6">
        <v>10.029999999999999</v>
      </c>
      <c r="J27" s="6">
        <v>0.81</v>
      </c>
      <c r="K27" s="6">
        <v>48.95</v>
      </c>
      <c r="L27" s="6">
        <v>16.72</v>
      </c>
      <c r="M27" s="6">
        <v>85.3</v>
      </c>
      <c r="N27" s="6">
        <v>0</v>
      </c>
      <c r="O27" s="6">
        <v>0</v>
      </c>
      <c r="P27" s="6">
        <v>0.87</v>
      </c>
      <c r="Q27" s="6">
        <v>5.19</v>
      </c>
    </row>
    <row r="28" spans="1:17" customFormat="1">
      <c r="A28" s="6" t="s">
        <v>1026</v>
      </c>
      <c r="B28" s="6">
        <v>29.43</v>
      </c>
      <c r="C28" s="6">
        <v>31.25</v>
      </c>
      <c r="D28" s="6">
        <v>41.27</v>
      </c>
      <c r="E28" s="6">
        <v>7.48</v>
      </c>
      <c r="F28" s="6">
        <v>2.36</v>
      </c>
      <c r="G28" s="6">
        <v>100.26</v>
      </c>
      <c r="H28" s="6">
        <v>48.53</v>
      </c>
      <c r="I28" s="6">
        <v>10.01</v>
      </c>
      <c r="J28" s="6">
        <v>0.5</v>
      </c>
      <c r="K28" s="6">
        <v>50.52</v>
      </c>
      <c r="L28" s="6">
        <v>16.62</v>
      </c>
      <c r="M28" s="6">
        <v>86.43</v>
      </c>
      <c r="N28" s="6">
        <v>0</v>
      </c>
      <c r="O28" s="6">
        <v>0</v>
      </c>
      <c r="P28" s="6">
        <v>0.86</v>
      </c>
      <c r="Q28" s="6">
        <v>5.21</v>
      </c>
    </row>
    <row r="29" spans="1:17" customFormat="1">
      <c r="A29" s="6" t="s">
        <v>1027</v>
      </c>
      <c r="B29" s="6">
        <v>28.2</v>
      </c>
      <c r="C29" s="6">
        <v>31.35</v>
      </c>
      <c r="D29" s="6">
        <v>40.340000000000003</v>
      </c>
      <c r="E29" s="6">
        <v>7.4</v>
      </c>
      <c r="F29" s="6">
        <v>2.34</v>
      </c>
      <c r="G29" s="6">
        <v>105.94</v>
      </c>
      <c r="H29" s="6">
        <v>49.52</v>
      </c>
      <c r="I29" s="6">
        <v>10.029999999999999</v>
      </c>
      <c r="J29" s="6">
        <v>0.06</v>
      </c>
      <c r="K29" s="6">
        <v>128.33000000000001</v>
      </c>
      <c r="L29" s="6">
        <v>16.489999999999998</v>
      </c>
      <c r="M29" s="6">
        <v>87.6</v>
      </c>
      <c r="N29" s="6">
        <v>0</v>
      </c>
      <c r="O29" s="6">
        <v>0</v>
      </c>
      <c r="P29" s="6">
        <v>0.86</v>
      </c>
      <c r="Q29" s="6">
        <v>5.19</v>
      </c>
    </row>
    <row r="30" spans="1:17" customFormat="1">
      <c r="A30" s="6" t="s">
        <v>1028</v>
      </c>
      <c r="B30" s="6">
        <v>27.59</v>
      </c>
      <c r="C30" s="6">
        <v>31.22</v>
      </c>
      <c r="D30" s="6">
        <v>39.79</v>
      </c>
      <c r="E30" s="6">
        <v>7.24</v>
      </c>
      <c r="F30" s="6">
        <v>2.25</v>
      </c>
      <c r="G30" s="6">
        <v>105.94</v>
      </c>
      <c r="H30" s="6">
        <v>49.52</v>
      </c>
      <c r="I30" s="6">
        <v>10.02</v>
      </c>
      <c r="J30" s="6">
        <v>0.3</v>
      </c>
      <c r="K30" s="6">
        <v>52.38</v>
      </c>
      <c r="L30" s="6">
        <v>16.34</v>
      </c>
      <c r="M30" s="6">
        <v>88.68</v>
      </c>
      <c r="N30" s="6">
        <v>0</v>
      </c>
      <c r="O30" s="6">
        <v>0</v>
      </c>
      <c r="P30" s="6">
        <v>0.85</v>
      </c>
      <c r="Q30" s="6">
        <v>5.16</v>
      </c>
    </row>
    <row r="31" spans="1:17" customFormat="1">
      <c r="A31" s="6" t="s">
        <v>1029</v>
      </c>
      <c r="B31" s="6">
        <v>27.94</v>
      </c>
      <c r="C31" s="6">
        <v>31.19</v>
      </c>
      <c r="D31" s="6">
        <v>40.049999999999997</v>
      </c>
      <c r="E31" s="6">
        <v>7.2</v>
      </c>
      <c r="F31" s="6">
        <v>2.2400000000000002</v>
      </c>
      <c r="G31" s="6">
        <v>105.94</v>
      </c>
      <c r="H31" s="6">
        <v>49.52</v>
      </c>
      <c r="I31" s="6">
        <v>10.02</v>
      </c>
      <c r="J31" s="6">
        <v>0.28000000000000003</v>
      </c>
      <c r="K31" s="6">
        <v>43.94</v>
      </c>
      <c r="L31" s="6">
        <v>16.29</v>
      </c>
      <c r="M31" s="6">
        <v>89</v>
      </c>
      <c r="N31" s="6">
        <v>0</v>
      </c>
      <c r="O31" s="6">
        <v>0</v>
      </c>
      <c r="P31" s="6">
        <v>0.86</v>
      </c>
      <c r="Q31" s="6">
        <v>5.17</v>
      </c>
    </row>
    <row r="32" spans="1:17" customFormat="1">
      <c r="A32" s="6" t="s">
        <v>1030</v>
      </c>
      <c r="B32" s="6">
        <v>28.55</v>
      </c>
      <c r="C32" s="6">
        <v>31.03</v>
      </c>
      <c r="D32" s="6">
        <v>40.450000000000003</v>
      </c>
      <c r="E32" s="6">
        <v>7.45</v>
      </c>
      <c r="F32" s="6">
        <v>2.38</v>
      </c>
      <c r="G32" s="6">
        <v>105</v>
      </c>
      <c r="H32" s="6">
        <v>49.58</v>
      </c>
      <c r="I32" s="6">
        <v>10</v>
      </c>
      <c r="J32" s="6">
        <v>0.09</v>
      </c>
      <c r="K32" s="6">
        <v>116.7</v>
      </c>
      <c r="L32" s="6">
        <v>16.23</v>
      </c>
      <c r="M32" s="6">
        <v>89.67</v>
      </c>
      <c r="N32" s="6">
        <v>0</v>
      </c>
      <c r="O32" s="6">
        <v>0</v>
      </c>
      <c r="P32" s="6">
        <v>0.86</v>
      </c>
      <c r="Q32" s="6">
        <v>5.16</v>
      </c>
    </row>
    <row r="33" spans="1:17" customFormat="1">
      <c r="A33" s="6" t="s">
        <v>1031</v>
      </c>
      <c r="B33" s="6">
        <v>28.74</v>
      </c>
      <c r="C33" s="6">
        <v>30.83</v>
      </c>
      <c r="D33" s="6">
        <v>40.51</v>
      </c>
      <c r="E33" s="6">
        <v>7.33</v>
      </c>
      <c r="F33" s="6">
        <v>2.25</v>
      </c>
      <c r="G33" s="6">
        <v>100.96</v>
      </c>
      <c r="H33" s="6">
        <v>49.86</v>
      </c>
      <c r="I33" s="6">
        <v>10</v>
      </c>
      <c r="J33" s="6">
        <v>0.24</v>
      </c>
      <c r="K33" s="6">
        <v>63.87</v>
      </c>
      <c r="L33" s="6">
        <v>16.2</v>
      </c>
      <c r="M33" s="6">
        <v>90.44</v>
      </c>
      <c r="N33" s="6">
        <v>0</v>
      </c>
      <c r="O33" s="6">
        <v>0</v>
      </c>
      <c r="P33" s="6">
        <v>0.85</v>
      </c>
      <c r="Q33" s="6">
        <v>5.15</v>
      </c>
    </row>
    <row r="34" spans="1:17" customFormat="1">
      <c r="A34" s="6" t="s">
        <v>1032</v>
      </c>
      <c r="B34" s="6">
        <v>28.74</v>
      </c>
      <c r="C34" s="6">
        <v>30.69</v>
      </c>
      <c r="D34" s="6">
        <v>40.43</v>
      </c>
      <c r="E34" s="6">
        <v>7.77</v>
      </c>
      <c r="F34" s="6">
        <v>2.15</v>
      </c>
      <c r="G34" s="6">
        <v>100.96</v>
      </c>
      <c r="H34" s="6">
        <v>49.86</v>
      </c>
      <c r="I34" s="6">
        <v>9.98</v>
      </c>
      <c r="J34" s="6">
        <v>0.14000000000000001</v>
      </c>
      <c r="K34" s="6">
        <v>71.39</v>
      </c>
      <c r="L34" s="6">
        <v>16.079999999999998</v>
      </c>
      <c r="M34" s="6">
        <v>90.99</v>
      </c>
      <c r="N34" s="6">
        <v>0</v>
      </c>
      <c r="O34" s="6">
        <v>0</v>
      </c>
      <c r="P34" s="6">
        <v>0.87</v>
      </c>
      <c r="Q34" s="6">
        <v>5.14</v>
      </c>
    </row>
    <row r="35" spans="1:17" customFormat="1">
      <c r="A35" s="6" t="s">
        <v>1033</v>
      </c>
      <c r="B35" s="6">
        <v>28.7</v>
      </c>
      <c r="C35" s="6">
        <v>30.58</v>
      </c>
      <c r="D35" s="6">
        <v>40.340000000000003</v>
      </c>
      <c r="E35" s="6">
        <v>7.18</v>
      </c>
      <c r="F35" s="6">
        <v>2.21</v>
      </c>
      <c r="G35" s="6">
        <v>100.96</v>
      </c>
      <c r="H35" s="6">
        <v>49.86</v>
      </c>
      <c r="I35" s="6">
        <v>9.9600000000000009</v>
      </c>
      <c r="J35" s="6">
        <v>0.06</v>
      </c>
      <c r="K35" s="6">
        <v>149.1</v>
      </c>
      <c r="L35" s="6">
        <v>15.94</v>
      </c>
      <c r="M35" s="6">
        <v>92.07</v>
      </c>
      <c r="N35" s="6">
        <v>0</v>
      </c>
      <c r="O35" s="6">
        <v>0</v>
      </c>
      <c r="P35" s="6">
        <v>0.87</v>
      </c>
      <c r="Q35" s="6">
        <v>5.14</v>
      </c>
    </row>
    <row r="36" spans="1:17" customFormat="1">
      <c r="A36" s="6" t="s">
        <v>1034</v>
      </c>
      <c r="B36" s="6">
        <v>28.43</v>
      </c>
      <c r="C36" s="6">
        <v>30.26</v>
      </c>
      <c r="D36" s="6">
        <v>39.97</v>
      </c>
      <c r="E36" s="6">
        <v>7.28</v>
      </c>
      <c r="F36" s="6">
        <v>2.23</v>
      </c>
      <c r="G36" s="6">
        <v>100.72</v>
      </c>
      <c r="H36" s="6">
        <v>49.98</v>
      </c>
      <c r="I36" s="6">
        <v>10.01</v>
      </c>
      <c r="J36" s="6">
        <v>0.33</v>
      </c>
      <c r="K36" s="6">
        <v>50.9</v>
      </c>
      <c r="L36" s="6">
        <v>16.010000000000002</v>
      </c>
      <c r="M36" s="6">
        <v>92.73</v>
      </c>
      <c r="N36" s="6">
        <v>1</v>
      </c>
      <c r="O36" s="6">
        <v>0</v>
      </c>
      <c r="P36" s="6">
        <v>0.88</v>
      </c>
      <c r="Q36" s="6">
        <v>5.13</v>
      </c>
    </row>
    <row r="37" spans="1:17" customFormat="1">
      <c r="A37" s="6" t="s">
        <v>1035</v>
      </c>
      <c r="B37" s="6">
        <v>28.73</v>
      </c>
      <c r="C37" s="6">
        <v>30.12</v>
      </c>
      <c r="D37" s="6">
        <v>40.130000000000003</v>
      </c>
      <c r="E37" s="6">
        <v>7.21</v>
      </c>
      <c r="F37" s="6">
        <v>2.2400000000000002</v>
      </c>
      <c r="G37" s="6">
        <v>99.7</v>
      </c>
      <c r="H37" s="6">
        <v>50.34</v>
      </c>
      <c r="I37" s="6">
        <v>10.08</v>
      </c>
      <c r="J37" s="6">
        <v>0.49</v>
      </c>
      <c r="K37" s="6">
        <v>63.51</v>
      </c>
      <c r="L37" s="6">
        <v>16.260000000000002</v>
      </c>
      <c r="M37" s="6">
        <v>91.67</v>
      </c>
      <c r="N37" s="6">
        <v>8.6</v>
      </c>
      <c r="O37" s="6">
        <v>0</v>
      </c>
      <c r="P37" s="6">
        <v>0.89</v>
      </c>
      <c r="Q37" s="6">
        <v>5.13</v>
      </c>
    </row>
    <row r="38" spans="1:17" customFormat="1">
      <c r="A38" s="6" t="s">
        <v>1036</v>
      </c>
      <c r="B38" s="6">
        <v>28.83</v>
      </c>
      <c r="C38" s="6">
        <v>30.08</v>
      </c>
      <c r="D38" s="6">
        <v>40.18</v>
      </c>
      <c r="E38" s="6">
        <v>7.44</v>
      </c>
      <c r="F38" s="6">
        <v>2.29</v>
      </c>
      <c r="G38" s="6">
        <v>99.7</v>
      </c>
      <c r="H38" s="6">
        <v>50.34</v>
      </c>
      <c r="I38" s="6">
        <v>10.14</v>
      </c>
      <c r="J38" s="6">
        <v>0.26</v>
      </c>
      <c r="K38" s="6">
        <v>77.75</v>
      </c>
      <c r="L38" s="6">
        <v>16.55</v>
      </c>
      <c r="M38" s="6">
        <v>91.05</v>
      </c>
      <c r="N38" s="6">
        <v>18.399999999999999</v>
      </c>
      <c r="O38" s="6">
        <v>0</v>
      </c>
      <c r="P38" s="6">
        <v>0.9</v>
      </c>
      <c r="Q38" s="6">
        <v>5.15</v>
      </c>
    </row>
    <row r="39" spans="1:17" customFormat="1">
      <c r="A39" s="6" t="s">
        <v>1037</v>
      </c>
      <c r="B39" s="6">
        <v>28.45</v>
      </c>
      <c r="C39" s="6">
        <v>30.12</v>
      </c>
      <c r="D39" s="6">
        <v>39.9</v>
      </c>
      <c r="E39" s="6">
        <v>7.27</v>
      </c>
      <c r="F39" s="6">
        <v>2.2400000000000002</v>
      </c>
      <c r="G39" s="6">
        <v>99.7</v>
      </c>
      <c r="H39" s="6">
        <v>50.34</v>
      </c>
      <c r="I39" s="6">
        <v>10.28</v>
      </c>
      <c r="J39" s="6">
        <v>0.64</v>
      </c>
      <c r="K39" s="6">
        <v>57.4</v>
      </c>
      <c r="L39" s="6">
        <v>16.96</v>
      </c>
      <c r="M39" s="6">
        <v>89.29</v>
      </c>
      <c r="N39" s="6">
        <v>29.7</v>
      </c>
      <c r="O39" s="6">
        <v>0</v>
      </c>
      <c r="P39" s="6">
        <v>0.92</v>
      </c>
      <c r="Q39" s="6">
        <v>5.14</v>
      </c>
    </row>
    <row r="40" spans="1:17" customFormat="1">
      <c r="A40" s="6" t="s">
        <v>1038</v>
      </c>
      <c r="B40" s="6">
        <v>28.4</v>
      </c>
      <c r="C40" s="6">
        <v>31.35</v>
      </c>
      <c r="D40" s="6">
        <v>40.51</v>
      </c>
      <c r="E40" s="6">
        <v>7.75</v>
      </c>
      <c r="F40" s="6">
        <v>2.21</v>
      </c>
      <c r="G40" s="6">
        <v>102.19</v>
      </c>
      <c r="H40" s="6">
        <v>50.69</v>
      </c>
      <c r="I40" s="6">
        <v>10.42</v>
      </c>
      <c r="J40" s="6">
        <v>0.89</v>
      </c>
      <c r="K40" s="6">
        <v>55.18</v>
      </c>
      <c r="L40" s="6">
        <v>17.37</v>
      </c>
      <c r="M40" s="6">
        <v>87.1</v>
      </c>
      <c r="N40" s="6">
        <v>41.8</v>
      </c>
      <c r="O40" s="6">
        <v>0</v>
      </c>
      <c r="P40" s="6">
        <v>0.94</v>
      </c>
      <c r="Q40" s="6">
        <v>5.1100000000000003</v>
      </c>
    </row>
    <row r="41" spans="1:17" customFormat="1">
      <c r="A41" s="6" t="s">
        <v>1039</v>
      </c>
      <c r="B41" s="6">
        <v>28.52</v>
      </c>
      <c r="C41" s="6">
        <v>31.26</v>
      </c>
      <c r="D41" s="6">
        <v>40.549999999999997</v>
      </c>
      <c r="E41" s="6">
        <v>7.96</v>
      </c>
      <c r="F41" s="6">
        <v>2.5099999999999998</v>
      </c>
      <c r="G41" s="6">
        <v>112.92</v>
      </c>
      <c r="H41" s="6">
        <v>51.81</v>
      </c>
      <c r="I41" s="6">
        <v>10.57</v>
      </c>
      <c r="J41" s="6">
        <v>0.97</v>
      </c>
      <c r="K41" s="6">
        <v>57.3</v>
      </c>
      <c r="L41" s="6">
        <v>17.84</v>
      </c>
      <c r="M41" s="6">
        <v>85.14</v>
      </c>
      <c r="N41" s="6">
        <v>87.5</v>
      </c>
      <c r="O41" s="6">
        <v>0</v>
      </c>
      <c r="P41" s="6">
        <v>0.96</v>
      </c>
      <c r="Q41" s="6">
        <v>5.0999999999999996</v>
      </c>
    </row>
    <row r="42" spans="1:17" customFormat="1">
      <c r="A42" s="6" t="s">
        <v>1040</v>
      </c>
      <c r="B42" s="6">
        <v>28.25</v>
      </c>
      <c r="C42" s="6">
        <v>28.62</v>
      </c>
      <c r="D42" s="6">
        <v>38.96</v>
      </c>
      <c r="E42" s="6">
        <v>7.02</v>
      </c>
      <c r="F42" s="6">
        <v>2.5299999999999998</v>
      </c>
      <c r="G42" s="6">
        <v>112.92</v>
      </c>
      <c r="H42" s="6">
        <v>51.81</v>
      </c>
      <c r="I42" s="6">
        <v>10.9</v>
      </c>
      <c r="J42" s="6">
        <v>0.71</v>
      </c>
      <c r="K42" s="6">
        <v>73.930000000000007</v>
      </c>
      <c r="L42" s="6">
        <v>18.45</v>
      </c>
      <c r="M42" s="6">
        <v>82.5</v>
      </c>
      <c r="N42" s="6">
        <v>121.4</v>
      </c>
      <c r="O42" s="6">
        <v>0</v>
      </c>
      <c r="P42" s="6">
        <v>0.95</v>
      </c>
      <c r="Q42" s="6">
        <v>5.12</v>
      </c>
    </row>
    <row r="43" spans="1:17" customFormat="1">
      <c r="A43" s="6" t="s">
        <v>1041</v>
      </c>
      <c r="B43" s="6">
        <v>27.45</v>
      </c>
      <c r="C43" s="6">
        <v>25.68</v>
      </c>
      <c r="D43" s="6">
        <v>36.78</v>
      </c>
      <c r="E43" s="6">
        <v>7.21</v>
      </c>
      <c r="F43" s="6">
        <v>2.56</v>
      </c>
      <c r="G43" s="6">
        <v>112.92</v>
      </c>
      <c r="H43" s="6">
        <v>51.81</v>
      </c>
      <c r="I43" s="6">
        <v>11.44</v>
      </c>
      <c r="J43" s="6">
        <v>0.8</v>
      </c>
      <c r="K43" s="6">
        <v>64.209999999999994</v>
      </c>
      <c r="L43" s="6">
        <v>19.22</v>
      </c>
      <c r="M43" s="6">
        <v>79.040000000000006</v>
      </c>
      <c r="N43" s="6">
        <v>146.80000000000001</v>
      </c>
      <c r="O43" s="6">
        <v>0</v>
      </c>
      <c r="P43" s="6">
        <v>0.95</v>
      </c>
      <c r="Q43" s="6">
        <v>5.12</v>
      </c>
    </row>
    <row r="44" spans="1:17" customFormat="1">
      <c r="A44" s="6" t="s">
        <v>1042</v>
      </c>
      <c r="B44" s="6">
        <v>26.17</v>
      </c>
      <c r="C44" s="6">
        <v>26.16</v>
      </c>
      <c r="D44" s="6">
        <v>36</v>
      </c>
      <c r="E44" s="6">
        <v>7</v>
      </c>
      <c r="F44" s="6">
        <v>2.34</v>
      </c>
      <c r="G44" s="6">
        <v>114.11</v>
      </c>
      <c r="H44" s="6">
        <v>53.67</v>
      </c>
      <c r="I44" s="6">
        <v>11.89</v>
      </c>
      <c r="J44" s="6">
        <v>0.95</v>
      </c>
      <c r="K44" s="6">
        <v>55.31</v>
      </c>
      <c r="L44" s="6">
        <v>19.920000000000002</v>
      </c>
      <c r="M44" s="6">
        <v>76.39</v>
      </c>
      <c r="N44" s="6">
        <v>170.1</v>
      </c>
      <c r="O44" s="6">
        <v>0</v>
      </c>
      <c r="P44" s="6">
        <v>0.96</v>
      </c>
      <c r="Q44" s="6">
        <v>5.0999999999999996</v>
      </c>
    </row>
    <row r="45" spans="1:17" customFormat="1">
      <c r="A45" s="6" t="s">
        <v>1043</v>
      </c>
      <c r="B45" s="6">
        <v>25.25</v>
      </c>
      <c r="C45" s="6">
        <v>27.24</v>
      </c>
      <c r="D45" s="6">
        <v>35.83</v>
      </c>
      <c r="E45" s="6">
        <v>7.69</v>
      </c>
      <c r="F45" s="6">
        <v>2.35</v>
      </c>
      <c r="G45" s="6">
        <v>119.22</v>
      </c>
      <c r="H45" s="6">
        <v>59.5</v>
      </c>
      <c r="I45" s="6">
        <v>12.04</v>
      </c>
      <c r="J45" s="6">
        <v>0.79</v>
      </c>
      <c r="K45" s="6">
        <v>57.42</v>
      </c>
      <c r="L45" s="6">
        <v>20.72</v>
      </c>
      <c r="M45" s="6">
        <v>73.11</v>
      </c>
      <c r="N45" s="6">
        <v>159.19999999999999</v>
      </c>
      <c r="O45" s="6">
        <v>0</v>
      </c>
      <c r="P45" s="6">
        <v>0.97</v>
      </c>
      <c r="Q45" s="6">
        <v>5.0999999999999996</v>
      </c>
    </row>
    <row r="46" spans="1:17" customFormat="1">
      <c r="A46" s="6" t="s">
        <v>1044</v>
      </c>
      <c r="B46" s="6">
        <v>24.65</v>
      </c>
      <c r="C46" s="6">
        <v>27.91</v>
      </c>
      <c r="D46" s="6">
        <v>35.700000000000003</v>
      </c>
      <c r="E46" s="6">
        <v>8.15</v>
      </c>
      <c r="F46" s="6">
        <v>2.2799999999999998</v>
      </c>
      <c r="G46" s="6">
        <v>119.22</v>
      </c>
      <c r="H46" s="6">
        <v>59.5</v>
      </c>
      <c r="I46" s="6">
        <v>12.01</v>
      </c>
      <c r="J46" s="6">
        <v>0.97</v>
      </c>
      <c r="K46" s="6">
        <v>52.99</v>
      </c>
      <c r="L46" s="6">
        <v>21.39</v>
      </c>
      <c r="M46" s="6">
        <v>69.8</v>
      </c>
      <c r="N46" s="6">
        <v>118.8</v>
      </c>
      <c r="O46" s="6">
        <v>0</v>
      </c>
      <c r="P46" s="6">
        <v>0.97</v>
      </c>
      <c r="Q46" s="6">
        <v>5.08</v>
      </c>
    </row>
    <row r="47" spans="1:17" customFormat="1">
      <c r="A47" s="6" t="s">
        <v>1045</v>
      </c>
      <c r="B47" s="6">
        <v>24.22</v>
      </c>
      <c r="C47" s="6">
        <v>27.27</v>
      </c>
      <c r="D47" s="6">
        <v>35.020000000000003</v>
      </c>
      <c r="E47" s="6">
        <v>8.06</v>
      </c>
      <c r="F47" s="6">
        <v>2.42</v>
      </c>
      <c r="G47" s="6">
        <v>119.22</v>
      </c>
      <c r="H47" s="6">
        <v>59.5</v>
      </c>
      <c r="I47" s="6">
        <v>11.97</v>
      </c>
      <c r="J47" s="6">
        <v>1.1000000000000001</v>
      </c>
      <c r="K47" s="6">
        <v>61.87</v>
      </c>
      <c r="L47" s="6">
        <v>21.9</v>
      </c>
      <c r="M47" s="6">
        <v>66.66</v>
      </c>
      <c r="N47" s="6">
        <v>122.9</v>
      </c>
      <c r="O47" s="6">
        <v>0</v>
      </c>
      <c r="P47" s="6">
        <v>0.98</v>
      </c>
      <c r="Q47" s="6">
        <v>5.09</v>
      </c>
    </row>
    <row r="48" spans="1:17" customFormat="1">
      <c r="A48" s="6" t="s">
        <v>1046</v>
      </c>
      <c r="B48" s="6">
        <v>23.77</v>
      </c>
      <c r="C48" s="6">
        <v>25.33</v>
      </c>
      <c r="D48" s="6">
        <v>33.65</v>
      </c>
      <c r="E48" s="6">
        <v>7.94</v>
      </c>
      <c r="F48" s="6">
        <v>2.56</v>
      </c>
      <c r="G48" s="6">
        <v>120.4</v>
      </c>
      <c r="H48" s="6">
        <v>59.72</v>
      </c>
      <c r="I48" s="6">
        <v>11.96</v>
      </c>
      <c r="J48" s="6">
        <v>0.65</v>
      </c>
      <c r="K48" s="6">
        <v>71.25</v>
      </c>
      <c r="L48" s="6">
        <v>22.95</v>
      </c>
      <c r="M48" s="6">
        <v>61.76</v>
      </c>
      <c r="N48" s="6">
        <v>190</v>
      </c>
      <c r="O48" s="6">
        <v>0</v>
      </c>
      <c r="P48" s="6">
        <v>0.98</v>
      </c>
      <c r="Q48" s="6">
        <v>5.09</v>
      </c>
    </row>
    <row r="49" spans="1:17" customFormat="1">
      <c r="A49" s="6" t="s">
        <v>1047</v>
      </c>
      <c r="B49" s="6">
        <v>22.9</v>
      </c>
      <c r="C49" s="6">
        <v>24.89</v>
      </c>
      <c r="D49" s="6">
        <v>32.72</v>
      </c>
      <c r="E49" s="6">
        <v>7.15</v>
      </c>
      <c r="F49" s="6">
        <v>2.44</v>
      </c>
      <c r="G49" s="6">
        <v>125.46</v>
      </c>
      <c r="H49" s="6">
        <v>60.43</v>
      </c>
      <c r="I49" s="6">
        <v>11.94</v>
      </c>
      <c r="J49" s="6">
        <v>0.74</v>
      </c>
      <c r="K49" s="6">
        <v>70.510000000000005</v>
      </c>
      <c r="L49" s="6">
        <v>23.74</v>
      </c>
      <c r="M49" s="6">
        <v>57.15</v>
      </c>
      <c r="N49" s="6">
        <v>295</v>
      </c>
      <c r="O49" s="6">
        <v>0</v>
      </c>
      <c r="P49" s="6">
        <v>0.98</v>
      </c>
      <c r="Q49" s="6">
        <v>5.08</v>
      </c>
    </row>
    <row r="50" spans="1:17" customFormat="1">
      <c r="A50" s="6" t="s">
        <v>1048</v>
      </c>
      <c r="B50" s="6">
        <v>21.53</v>
      </c>
      <c r="C50" s="6">
        <v>25.12</v>
      </c>
      <c r="D50" s="6">
        <v>31.74</v>
      </c>
      <c r="E50" s="6">
        <v>8.27</v>
      </c>
      <c r="F50" s="6">
        <v>2.41</v>
      </c>
      <c r="G50" s="6">
        <v>125.46</v>
      </c>
      <c r="H50" s="6">
        <v>60.43</v>
      </c>
      <c r="I50" s="6">
        <v>11.87</v>
      </c>
      <c r="J50" s="6">
        <v>0.91</v>
      </c>
      <c r="K50" s="6">
        <v>60.08</v>
      </c>
      <c r="L50" s="6">
        <v>24.24</v>
      </c>
      <c r="M50" s="6">
        <v>55.35</v>
      </c>
      <c r="N50" s="6">
        <v>321.7</v>
      </c>
      <c r="O50" s="6">
        <v>0</v>
      </c>
      <c r="P50" s="6">
        <v>0.97</v>
      </c>
      <c r="Q50" s="6">
        <v>5.07</v>
      </c>
    </row>
    <row r="51" spans="1:17" customFormat="1">
      <c r="A51" s="6" t="s">
        <v>1049</v>
      </c>
      <c r="B51" s="6">
        <v>20.21</v>
      </c>
      <c r="C51" s="6">
        <v>25.37</v>
      </c>
      <c r="D51" s="6">
        <v>30.81</v>
      </c>
      <c r="E51" s="6">
        <v>8.06</v>
      </c>
      <c r="F51" s="6">
        <v>2.5</v>
      </c>
      <c r="G51" s="6">
        <v>125.46</v>
      </c>
      <c r="H51" s="6">
        <v>60.43</v>
      </c>
      <c r="I51" s="6">
        <v>11.76</v>
      </c>
      <c r="J51" s="6">
        <v>0.51</v>
      </c>
      <c r="K51" s="6">
        <v>80.48</v>
      </c>
      <c r="L51" s="6">
        <v>24.94</v>
      </c>
      <c r="M51" s="6">
        <v>53.03</v>
      </c>
      <c r="N51" s="6">
        <v>336.8</v>
      </c>
      <c r="O51" s="6">
        <v>0</v>
      </c>
      <c r="P51" s="6">
        <v>0.97</v>
      </c>
      <c r="Q51" s="6">
        <v>5.04</v>
      </c>
    </row>
    <row r="52" spans="1:17" customFormat="1">
      <c r="A52" s="6" t="s">
        <v>1050</v>
      </c>
      <c r="B52" s="6">
        <v>18.79</v>
      </c>
      <c r="C52" s="6">
        <v>26.21</v>
      </c>
      <c r="D52" s="6">
        <v>30.11</v>
      </c>
      <c r="E52" s="6">
        <v>8.3699999999999992</v>
      </c>
      <c r="F52" s="6">
        <v>2.5099999999999998</v>
      </c>
      <c r="G52" s="6">
        <v>123.45</v>
      </c>
      <c r="H52" s="6">
        <v>59.13</v>
      </c>
      <c r="I52" s="6">
        <v>11.63</v>
      </c>
      <c r="J52" s="6">
        <v>0.96</v>
      </c>
      <c r="K52" s="6">
        <v>60.89</v>
      </c>
      <c r="L52" s="6">
        <v>25.21</v>
      </c>
      <c r="M52" s="6">
        <v>52.95</v>
      </c>
      <c r="N52" s="6">
        <v>353</v>
      </c>
      <c r="O52" s="6">
        <v>0</v>
      </c>
      <c r="P52" s="6">
        <v>0.97</v>
      </c>
      <c r="Q52" s="6">
        <v>5.0199999999999996</v>
      </c>
    </row>
    <row r="53" spans="1:17" customFormat="1">
      <c r="A53" s="6" t="s">
        <v>1051</v>
      </c>
      <c r="B53" s="6">
        <v>17.46</v>
      </c>
      <c r="C53" s="6">
        <v>25.34</v>
      </c>
      <c r="D53" s="6">
        <v>28.59</v>
      </c>
      <c r="E53" s="6">
        <v>8.84</v>
      </c>
      <c r="F53" s="6">
        <v>2.59</v>
      </c>
      <c r="G53" s="6">
        <v>114.83</v>
      </c>
      <c r="H53" s="6">
        <v>55.05</v>
      </c>
      <c r="I53" s="6">
        <v>11.52</v>
      </c>
      <c r="J53" s="6">
        <v>0.86</v>
      </c>
      <c r="K53" s="6">
        <v>67.069999999999993</v>
      </c>
      <c r="L53" s="6">
        <v>25.53</v>
      </c>
      <c r="M53" s="6">
        <v>50.99</v>
      </c>
      <c r="N53" s="6">
        <v>341.9</v>
      </c>
      <c r="O53" s="6">
        <v>0</v>
      </c>
      <c r="P53" s="6">
        <v>0.95</v>
      </c>
      <c r="Q53" s="6">
        <v>5.0199999999999996</v>
      </c>
    </row>
    <row r="54" spans="1:17" customFormat="1">
      <c r="A54" s="6" t="s">
        <v>1052</v>
      </c>
      <c r="B54" s="6">
        <v>16.12</v>
      </c>
      <c r="C54" s="6">
        <v>24.5</v>
      </c>
      <c r="D54" s="6">
        <v>27.08</v>
      </c>
      <c r="E54" s="6">
        <v>8.4600000000000009</v>
      </c>
      <c r="F54" s="6">
        <v>2.8</v>
      </c>
      <c r="G54" s="6">
        <v>114.83</v>
      </c>
      <c r="H54" s="6">
        <v>55.05</v>
      </c>
      <c r="I54" s="6">
        <v>11.44</v>
      </c>
      <c r="J54" s="6">
        <v>0.25</v>
      </c>
      <c r="K54" s="6">
        <v>109.23</v>
      </c>
      <c r="L54" s="6">
        <v>26.49</v>
      </c>
      <c r="M54" s="6">
        <v>47.4</v>
      </c>
      <c r="N54" s="6">
        <v>389.2</v>
      </c>
      <c r="O54" s="6">
        <v>0</v>
      </c>
      <c r="P54" s="6">
        <v>0.95</v>
      </c>
      <c r="Q54" s="6">
        <v>5</v>
      </c>
    </row>
    <row r="55" spans="1:17" customFormat="1">
      <c r="A55" s="6" t="s">
        <v>1053</v>
      </c>
      <c r="B55" s="6">
        <v>14.48</v>
      </c>
      <c r="C55" s="6">
        <v>24.12</v>
      </c>
      <c r="D55" s="6">
        <v>25.57</v>
      </c>
      <c r="E55" s="6">
        <v>8.1199999999999992</v>
      </c>
      <c r="F55" s="6">
        <v>2.99</v>
      </c>
      <c r="G55" s="6">
        <v>114.83</v>
      </c>
      <c r="H55" s="6">
        <v>55.05</v>
      </c>
      <c r="I55" s="6">
        <v>11.32</v>
      </c>
      <c r="J55" s="6">
        <v>0.68</v>
      </c>
      <c r="K55" s="6">
        <v>67.86</v>
      </c>
      <c r="L55" s="6">
        <v>26.86</v>
      </c>
      <c r="M55" s="6">
        <v>46.3</v>
      </c>
      <c r="N55" s="6">
        <v>394.5</v>
      </c>
      <c r="O55" s="6">
        <v>0</v>
      </c>
      <c r="P55" s="6">
        <v>0.93</v>
      </c>
      <c r="Q55" s="6">
        <v>4.96</v>
      </c>
    </row>
    <row r="56" spans="1:17" customFormat="1">
      <c r="A56" s="6" t="s">
        <v>1054</v>
      </c>
      <c r="B56" s="6">
        <v>12.91</v>
      </c>
      <c r="C56" s="6">
        <v>24.41</v>
      </c>
      <c r="D56" s="6">
        <v>24.46</v>
      </c>
      <c r="E56" s="6">
        <v>7.68</v>
      </c>
      <c r="F56" s="6">
        <v>3</v>
      </c>
      <c r="G56" s="6">
        <v>113.47</v>
      </c>
      <c r="H56" s="6">
        <v>54.5</v>
      </c>
      <c r="I56" s="6">
        <v>11.16</v>
      </c>
      <c r="J56" s="6">
        <v>0.46</v>
      </c>
      <c r="K56" s="6">
        <v>86.13</v>
      </c>
      <c r="L56" s="6">
        <v>27.68</v>
      </c>
      <c r="M56" s="6">
        <v>43.73</v>
      </c>
      <c r="N56" s="6">
        <v>397.2</v>
      </c>
      <c r="O56" s="6">
        <v>0</v>
      </c>
      <c r="P56" s="6">
        <v>0.92</v>
      </c>
      <c r="Q56" s="6">
        <v>4.9400000000000004</v>
      </c>
    </row>
    <row r="57" spans="1:17" customFormat="1">
      <c r="A57" s="6" t="s">
        <v>1055</v>
      </c>
      <c r="B57" s="6">
        <v>11.45</v>
      </c>
      <c r="C57" s="6">
        <v>25.1</v>
      </c>
      <c r="D57" s="6">
        <v>23.65</v>
      </c>
      <c r="E57" s="6">
        <v>8.86</v>
      </c>
      <c r="F57" s="6">
        <v>3.37</v>
      </c>
      <c r="G57" s="6">
        <v>107.61</v>
      </c>
      <c r="H57" s="6">
        <v>51.74</v>
      </c>
      <c r="I57" s="6">
        <v>10.96</v>
      </c>
      <c r="J57" s="6">
        <v>1.56</v>
      </c>
      <c r="K57" s="6">
        <v>56.68</v>
      </c>
      <c r="L57" s="6">
        <v>27.61</v>
      </c>
      <c r="M57" s="6">
        <v>42.38</v>
      </c>
      <c r="N57" s="6">
        <v>401.3</v>
      </c>
      <c r="O57" s="6">
        <v>0</v>
      </c>
      <c r="P57" s="6">
        <v>0.91</v>
      </c>
      <c r="Q57" s="6">
        <v>4.93</v>
      </c>
    </row>
    <row r="58" spans="1:17" customFormat="1">
      <c r="A58" s="6" t="s">
        <v>1056</v>
      </c>
      <c r="B58" s="6">
        <v>10.23</v>
      </c>
      <c r="C58" s="6">
        <v>24.48</v>
      </c>
      <c r="D58" s="6">
        <v>22.35</v>
      </c>
      <c r="E58" s="6">
        <v>9.14</v>
      </c>
      <c r="F58" s="6">
        <v>3.66</v>
      </c>
      <c r="G58" s="6">
        <v>107.61</v>
      </c>
      <c r="H58" s="6">
        <v>51.74</v>
      </c>
      <c r="I58" s="6">
        <v>10.79</v>
      </c>
      <c r="J58" s="6">
        <v>1.07</v>
      </c>
      <c r="K58" s="6">
        <v>64.849999999999994</v>
      </c>
      <c r="L58" s="6">
        <v>27.65</v>
      </c>
      <c r="M58" s="6">
        <v>42.06</v>
      </c>
      <c r="N58" s="6">
        <v>404.6</v>
      </c>
      <c r="O58" s="6">
        <v>0</v>
      </c>
      <c r="P58" s="6">
        <v>0.9</v>
      </c>
      <c r="Q58" s="6">
        <v>4.91</v>
      </c>
    </row>
    <row r="59" spans="1:17" customFormat="1">
      <c r="A59" s="6" t="s">
        <v>1057</v>
      </c>
      <c r="B59" s="6">
        <v>8.9700000000000006</v>
      </c>
      <c r="C59" s="6">
        <v>23.87</v>
      </c>
      <c r="D59" s="6">
        <v>21.02</v>
      </c>
      <c r="E59" s="6">
        <v>9.3699999999999992</v>
      </c>
      <c r="F59" s="6">
        <v>4.63</v>
      </c>
      <c r="G59" s="6">
        <v>107.61</v>
      </c>
      <c r="H59" s="6">
        <v>51.74</v>
      </c>
      <c r="I59" s="6">
        <v>10.64</v>
      </c>
      <c r="J59" s="6">
        <v>0.77</v>
      </c>
      <c r="K59" s="6">
        <v>67.930000000000007</v>
      </c>
      <c r="L59" s="6">
        <v>28.29</v>
      </c>
      <c r="M59" s="6">
        <v>40.5</v>
      </c>
      <c r="N59" s="6">
        <v>393.3</v>
      </c>
      <c r="O59" s="6">
        <v>0</v>
      </c>
      <c r="P59" s="6">
        <v>0.9</v>
      </c>
      <c r="Q59" s="6">
        <v>4.9000000000000004</v>
      </c>
    </row>
    <row r="60" spans="1:17" customFormat="1">
      <c r="A60" s="6" t="s">
        <v>1058</v>
      </c>
      <c r="B60" s="6">
        <v>7.69</v>
      </c>
      <c r="C60" s="6">
        <v>24.1</v>
      </c>
      <c r="D60" s="6">
        <v>20.11</v>
      </c>
      <c r="E60" s="6">
        <v>11.11</v>
      </c>
      <c r="F60" s="6">
        <v>5.72</v>
      </c>
      <c r="G60" s="6">
        <v>106.64</v>
      </c>
      <c r="H60" s="6">
        <v>51.29</v>
      </c>
      <c r="I60" s="6">
        <v>10.47</v>
      </c>
      <c r="J60" s="6">
        <v>1.58</v>
      </c>
      <c r="K60" s="6">
        <v>54.78</v>
      </c>
      <c r="L60" s="6">
        <v>28.4</v>
      </c>
      <c r="M60" s="6">
        <v>38.76</v>
      </c>
      <c r="N60" s="6">
        <v>375.3</v>
      </c>
      <c r="O60" s="6">
        <v>0</v>
      </c>
      <c r="P60" s="6">
        <v>0.88</v>
      </c>
      <c r="Q60" s="6">
        <v>4.9000000000000004</v>
      </c>
    </row>
    <row r="61" spans="1:17" customFormat="1">
      <c r="A61" s="6" t="s">
        <v>1059</v>
      </c>
      <c r="B61" s="6">
        <v>6.54</v>
      </c>
      <c r="C61" s="6">
        <v>24.59</v>
      </c>
      <c r="D61" s="6">
        <v>19.45</v>
      </c>
      <c r="E61" s="6">
        <v>10.91</v>
      </c>
      <c r="F61" s="6">
        <v>6.33</v>
      </c>
      <c r="G61" s="6">
        <v>102.52</v>
      </c>
      <c r="H61" s="6">
        <v>49.88</v>
      </c>
      <c r="I61" s="6">
        <v>10.25</v>
      </c>
      <c r="J61" s="6">
        <v>1.02</v>
      </c>
      <c r="K61" s="6">
        <v>64.73</v>
      </c>
      <c r="L61" s="6">
        <v>28.52</v>
      </c>
      <c r="M61" s="6">
        <v>37.78</v>
      </c>
      <c r="N61" s="6">
        <v>352.6</v>
      </c>
      <c r="O61" s="6">
        <v>0</v>
      </c>
      <c r="P61" s="6">
        <v>0.87</v>
      </c>
      <c r="Q61" s="6">
        <v>4.88</v>
      </c>
    </row>
    <row r="62" spans="1:17" customFormat="1">
      <c r="A62" s="6" t="s">
        <v>1060</v>
      </c>
      <c r="B62" s="6">
        <v>5.59</v>
      </c>
      <c r="C62" s="6">
        <v>24.71</v>
      </c>
      <c r="D62" s="6">
        <v>18.739999999999998</v>
      </c>
      <c r="E62" s="6">
        <v>9.44</v>
      </c>
      <c r="F62" s="6">
        <v>5.27</v>
      </c>
      <c r="G62" s="6">
        <v>102.52</v>
      </c>
      <c r="H62" s="6">
        <v>49.88</v>
      </c>
      <c r="I62" s="6">
        <v>9.99</v>
      </c>
      <c r="J62" s="6">
        <v>0.51</v>
      </c>
      <c r="K62" s="6">
        <v>84.42</v>
      </c>
      <c r="L62" s="6">
        <v>29.12</v>
      </c>
      <c r="M62" s="6">
        <v>36.65</v>
      </c>
      <c r="N62" s="6">
        <v>357.4</v>
      </c>
      <c r="O62" s="6">
        <v>0</v>
      </c>
      <c r="P62" s="6">
        <v>0.85</v>
      </c>
      <c r="Q62" s="6">
        <v>4.8600000000000003</v>
      </c>
    </row>
    <row r="63" spans="1:17" customFormat="1">
      <c r="A63" s="6" t="s">
        <v>1061</v>
      </c>
      <c r="B63" s="6">
        <v>5.09</v>
      </c>
      <c r="C63" s="6">
        <v>23.89</v>
      </c>
      <c r="D63" s="6">
        <v>17.920000000000002</v>
      </c>
      <c r="E63" s="6">
        <v>9.1</v>
      </c>
      <c r="F63" s="6">
        <v>4.79</v>
      </c>
      <c r="G63" s="6">
        <v>102.52</v>
      </c>
      <c r="H63" s="6">
        <v>49.88</v>
      </c>
      <c r="I63" s="6">
        <v>9.7200000000000006</v>
      </c>
      <c r="J63" s="6">
        <v>0.15</v>
      </c>
      <c r="K63" s="6">
        <v>83.94</v>
      </c>
      <c r="L63" s="6">
        <v>29.55</v>
      </c>
      <c r="M63" s="6">
        <v>36.49</v>
      </c>
      <c r="N63" s="6">
        <v>344.2</v>
      </c>
      <c r="O63" s="6">
        <v>0</v>
      </c>
      <c r="P63" s="6">
        <v>0.84</v>
      </c>
      <c r="Q63" s="6">
        <v>4.8499999999999996</v>
      </c>
    </row>
    <row r="64" spans="1:17" customFormat="1">
      <c r="A64" s="6" t="s">
        <v>1062</v>
      </c>
      <c r="B64" s="6">
        <v>4.6399999999999997</v>
      </c>
      <c r="C64" s="6">
        <v>23.49</v>
      </c>
      <c r="D64" s="6">
        <v>17.34</v>
      </c>
      <c r="E64" s="6">
        <v>8.74</v>
      </c>
      <c r="F64" s="6">
        <v>5.32</v>
      </c>
      <c r="G64" s="6">
        <v>100.5</v>
      </c>
      <c r="H64" s="6">
        <v>49.02</v>
      </c>
      <c r="I64" s="6">
        <v>9.51</v>
      </c>
      <c r="J64" s="6">
        <v>0.15</v>
      </c>
      <c r="K64" s="6">
        <v>134.66999999999999</v>
      </c>
      <c r="L64" s="6">
        <v>30.1</v>
      </c>
      <c r="M64" s="6">
        <v>35.97</v>
      </c>
      <c r="N64" s="6">
        <v>323.60000000000002</v>
      </c>
      <c r="O64" s="6">
        <v>0</v>
      </c>
      <c r="P64" s="6">
        <v>0.82</v>
      </c>
      <c r="Q64" s="6">
        <v>4.84</v>
      </c>
    </row>
    <row r="65" spans="1:17" customFormat="1">
      <c r="A65" s="6" t="s">
        <v>1063</v>
      </c>
      <c r="B65" s="6">
        <v>4.42</v>
      </c>
      <c r="C65" s="6">
        <v>23.1</v>
      </c>
      <c r="D65" s="6">
        <v>16.97</v>
      </c>
      <c r="E65" s="6">
        <v>9.34</v>
      </c>
      <c r="F65" s="6">
        <v>5.26</v>
      </c>
      <c r="G65" s="6">
        <v>91.84</v>
      </c>
      <c r="H65" s="6">
        <v>46.31</v>
      </c>
      <c r="I65" s="6">
        <v>9.27</v>
      </c>
      <c r="J65" s="6">
        <v>0.42</v>
      </c>
      <c r="K65" s="6">
        <v>71.17</v>
      </c>
      <c r="L65" s="6">
        <v>29.56</v>
      </c>
      <c r="M65" s="6">
        <v>35.25</v>
      </c>
      <c r="N65" s="6">
        <v>283.2</v>
      </c>
      <c r="O65" s="6">
        <v>0</v>
      </c>
      <c r="P65" s="6">
        <v>0.79</v>
      </c>
      <c r="Q65" s="6">
        <v>4.82</v>
      </c>
    </row>
    <row r="66" spans="1:17" customFormat="1">
      <c r="A66" s="6" t="s">
        <v>1064</v>
      </c>
      <c r="B66" s="6">
        <v>4.33</v>
      </c>
      <c r="C66" s="6">
        <v>22.34</v>
      </c>
      <c r="D66" s="6">
        <v>16.489999999999998</v>
      </c>
      <c r="E66" s="6">
        <v>9.07</v>
      </c>
      <c r="F66" s="6">
        <v>6.74</v>
      </c>
      <c r="G66" s="6">
        <v>91.84</v>
      </c>
      <c r="H66" s="6">
        <v>46.31</v>
      </c>
      <c r="I66" s="6">
        <v>9.06</v>
      </c>
      <c r="J66" s="6">
        <v>0.28999999999999998</v>
      </c>
      <c r="K66" s="6">
        <v>99.77</v>
      </c>
      <c r="L66" s="6">
        <v>29.01</v>
      </c>
      <c r="M66" s="6">
        <v>36.81</v>
      </c>
      <c r="N66" s="6">
        <v>126</v>
      </c>
      <c r="O66" s="6">
        <v>0</v>
      </c>
      <c r="P66" s="6">
        <v>0.8</v>
      </c>
      <c r="Q66" s="6">
        <v>4.8099999999999996</v>
      </c>
    </row>
    <row r="67" spans="1:17" customFormat="1">
      <c r="A67" s="6" t="s">
        <v>1065</v>
      </c>
      <c r="B67" s="6">
        <v>4.46</v>
      </c>
      <c r="C67" s="6">
        <v>21.7</v>
      </c>
      <c r="D67" s="6">
        <v>16.27</v>
      </c>
      <c r="E67" s="6">
        <v>9.75</v>
      </c>
      <c r="F67" s="6">
        <v>7.38</v>
      </c>
      <c r="G67" s="6">
        <v>91.84</v>
      </c>
      <c r="H67" s="6">
        <v>46.31</v>
      </c>
      <c r="I67" s="6">
        <v>8.83</v>
      </c>
      <c r="J67" s="6">
        <v>0.19</v>
      </c>
      <c r="K67" s="6">
        <v>136.71</v>
      </c>
      <c r="L67" s="6">
        <v>29.05</v>
      </c>
      <c r="M67" s="6">
        <v>36.4</v>
      </c>
      <c r="N67" s="6">
        <v>104.5</v>
      </c>
      <c r="O67" s="6">
        <v>0</v>
      </c>
      <c r="P67" s="6">
        <v>0.78</v>
      </c>
      <c r="Q67" s="6">
        <v>4.79</v>
      </c>
    </row>
    <row r="68" spans="1:17" customFormat="1">
      <c r="A68" s="6" t="s">
        <v>1066</v>
      </c>
      <c r="B68" s="6">
        <v>4.38</v>
      </c>
      <c r="C68" s="6">
        <v>21.43</v>
      </c>
      <c r="D68" s="6">
        <v>16.07</v>
      </c>
      <c r="E68" s="6">
        <v>9.5399999999999991</v>
      </c>
      <c r="F68" s="6">
        <v>6.29</v>
      </c>
      <c r="G68" s="6">
        <v>89.74</v>
      </c>
      <c r="H68" s="6">
        <v>45.46</v>
      </c>
      <c r="I68" s="6">
        <v>8.6</v>
      </c>
      <c r="J68" s="6">
        <v>0.23</v>
      </c>
      <c r="K68" s="6">
        <v>237.97</v>
      </c>
      <c r="L68" s="6">
        <v>28.67</v>
      </c>
      <c r="M68" s="6">
        <v>38.85</v>
      </c>
      <c r="N68" s="6">
        <v>81.2</v>
      </c>
      <c r="O68" s="6">
        <v>0</v>
      </c>
      <c r="P68" s="6">
        <v>0.77</v>
      </c>
      <c r="Q68" s="6">
        <v>4.78</v>
      </c>
    </row>
    <row r="69" spans="1:17" customFormat="1">
      <c r="A69" s="6" t="s">
        <v>1067</v>
      </c>
      <c r="B69" s="6">
        <v>4.37</v>
      </c>
      <c r="C69" s="6">
        <v>21.18</v>
      </c>
      <c r="D69" s="6">
        <v>15.92</v>
      </c>
      <c r="E69" s="6">
        <v>9.3000000000000007</v>
      </c>
      <c r="F69" s="6">
        <v>6.52</v>
      </c>
      <c r="G69" s="6">
        <v>80.69</v>
      </c>
      <c r="H69" s="6">
        <v>42.82</v>
      </c>
      <c r="I69" s="6">
        <v>8.41</v>
      </c>
      <c r="J69" s="6">
        <v>0.4</v>
      </c>
      <c r="K69" s="6">
        <v>183.07</v>
      </c>
      <c r="L69" s="6">
        <v>28.61</v>
      </c>
      <c r="M69" s="6">
        <v>37.049999999999997</v>
      </c>
      <c r="N69" s="6">
        <v>71.7</v>
      </c>
      <c r="O69" s="6">
        <v>0</v>
      </c>
      <c r="P69" s="6">
        <v>0.75</v>
      </c>
      <c r="Q69" s="6">
        <v>4.78</v>
      </c>
    </row>
    <row r="70" spans="1:17" customFormat="1">
      <c r="A70" s="6" t="s">
        <v>1068</v>
      </c>
      <c r="B70" s="6">
        <v>4.41</v>
      </c>
      <c r="C70" s="6">
        <v>20.53</v>
      </c>
      <c r="D70" s="6">
        <v>15.62</v>
      </c>
      <c r="E70" s="6">
        <v>9.51</v>
      </c>
      <c r="F70" s="6">
        <v>6.86</v>
      </c>
      <c r="G70" s="6">
        <v>80.69</v>
      </c>
      <c r="H70" s="6">
        <v>42.82</v>
      </c>
      <c r="I70" s="6">
        <v>8.24</v>
      </c>
      <c r="J70" s="6">
        <v>0.27</v>
      </c>
      <c r="K70" s="6">
        <v>175.16</v>
      </c>
      <c r="L70" s="6">
        <v>28.67</v>
      </c>
      <c r="M70" s="6">
        <v>38.03</v>
      </c>
      <c r="N70" s="6">
        <v>66.599999999999994</v>
      </c>
      <c r="O70" s="6">
        <v>0</v>
      </c>
      <c r="P70" s="6">
        <v>0.73</v>
      </c>
      <c r="Q70" s="6">
        <v>4.8</v>
      </c>
    </row>
    <row r="71" spans="1:17" customFormat="1">
      <c r="A71" s="6" t="s">
        <v>1069</v>
      </c>
      <c r="B71" s="6">
        <v>4.38</v>
      </c>
      <c r="C71" s="6">
        <v>20.23</v>
      </c>
      <c r="D71" s="6">
        <v>15.43</v>
      </c>
      <c r="E71" s="6">
        <v>8.8800000000000008</v>
      </c>
      <c r="F71" s="6">
        <v>6.56</v>
      </c>
      <c r="G71" s="6">
        <v>80.69</v>
      </c>
      <c r="H71" s="6">
        <v>42.82</v>
      </c>
      <c r="I71" s="6">
        <v>8.0399999999999991</v>
      </c>
      <c r="J71" s="6">
        <v>0.34</v>
      </c>
      <c r="K71" s="6">
        <v>169.01</v>
      </c>
      <c r="L71" s="6">
        <v>28.59</v>
      </c>
      <c r="M71" s="6">
        <v>39.049999999999997</v>
      </c>
      <c r="N71" s="6">
        <v>57.4</v>
      </c>
      <c r="O71" s="6">
        <v>0</v>
      </c>
      <c r="P71" s="6">
        <v>0.71</v>
      </c>
      <c r="Q71" s="6">
        <v>4.79</v>
      </c>
    </row>
    <row r="72" spans="1:17" customFormat="1">
      <c r="A72" s="6" t="s">
        <v>1070</v>
      </c>
      <c r="B72" s="6">
        <v>4.43</v>
      </c>
      <c r="C72" s="6">
        <v>20.100000000000001</v>
      </c>
      <c r="D72" s="6">
        <v>15.41</v>
      </c>
      <c r="E72" s="6">
        <v>9</v>
      </c>
      <c r="F72" s="6">
        <v>6.01</v>
      </c>
      <c r="G72" s="6">
        <v>78.349999999999994</v>
      </c>
      <c r="H72" s="6">
        <v>42.25</v>
      </c>
      <c r="I72" s="6">
        <v>7.87</v>
      </c>
      <c r="J72" s="6">
        <v>0.21</v>
      </c>
      <c r="K72" s="6">
        <v>158.86000000000001</v>
      </c>
      <c r="L72" s="6">
        <v>28.37</v>
      </c>
      <c r="M72" s="6">
        <v>38.81</v>
      </c>
      <c r="N72" s="6">
        <v>47.6</v>
      </c>
      <c r="O72" s="6">
        <v>0</v>
      </c>
      <c r="P72" s="6">
        <v>0.7</v>
      </c>
      <c r="Q72" s="6">
        <v>4.78</v>
      </c>
    </row>
    <row r="73" spans="1:17" customFormat="1">
      <c r="A73" s="6" t="s">
        <v>1071</v>
      </c>
      <c r="B73" s="6">
        <v>4.49</v>
      </c>
      <c r="C73" s="6">
        <v>19.96</v>
      </c>
      <c r="D73" s="6">
        <v>15.38</v>
      </c>
      <c r="E73" s="6">
        <v>9.2799999999999994</v>
      </c>
      <c r="F73" s="6">
        <v>5.46</v>
      </c>
      <c r="G73" s="6">
        <v>68.31</v>
      </c>
      <c r="H73" s="6">
        <v>40.49</v>
      </c>
      <c r="I73" s="6">
        <v>7.72</v>
      </c>
      <c r="J73" s="6">
        <v>0.26</v>
      </c>
      <c r="K73" s="6">
        <v>173.14</v>
      </c>
      <c r="L73" s="6">
        <v>28.02</v>
      </c>
      <c r="M73" s="6">
        <v>40.97</v>
      </c>
      <c r="N73" s="6">
        <v>36.799999999999997</v>
      </c>
      <c r="O73" s="6">
        <v>0</v>
      </c>
      <c r="P73" s="6">
        <v>0.69</v>
      </c>
      <c r="Q73" s="6">
        <v>4.7699999999999996</v>
      </c>
    </row>
    <row r="74" spans="1:17" customFormat="1">
      <c r="A74" s="6" t="s">
        <v>1072</v>
      </c>
      <c r="B74" s="6">
        <v>4.47</v>
      </c>
      <c r="C74" s="6">
        <v>19.84</v>
      </c>
      <c r="D74" s="6">
        <v>15.3</v>
      </c>
      <c r="E74" s="6">
        <v>9.18</v>
      </c>
      <c r="F74" s="6">
        <v>5.6</v>
      </c>
      <c r="G74" s="6">
        <v>68.31</v>
      </c>
      <c r="H74" s="6">
        <v>40.49</v>
      </c>
      <c r="I74" s="6">
        <v>7.56</v>
      </c>
      <c r="J74" s="6">
        <v>0.2</v>
      </c>
      <c r="K74" s="6">
        <v>180.2</v>
      </c>
      <c r="L74" s="6">
        <v>27.45</v>
      </c>
      <c r="M74" s="6">
        <v>42.92</v>
      </c>
      <c r="N74" s="6">
        <v>18.8</v>
      </c>
      <c r="O74" s="6">
        <v>0</v>
      </c>
      <c r="P74" s="6">
        <v>0.68</v>
      </c>
      <c r="Q74" s="6">
        <v>4.7699999999999996</v>
      </c>
    </row>
    <row r="75" spans="1:17" customFormat="1">
      <c r="A75" s="6" t="s">
        <v>1073</v>
      </c>
      <c r="B75" s="6">
        <v>4.4400000000000004</v>
      </c>
      <c r="C75" s="6">
        <v>19.87</v>
      </c>
      <c r="D75" s="6">
        <v>15.29</v>
      </c>
      <c r="E75" s="6">
        <v>8.34</v>
      </c>
      <c r="F75" s="6">
        <v>5.12</v>
      </c>
      <c r="G75" s="6">
        <v>68.31</v>
      </c>
      <c r="H75" s="6">
        <v>40.49</v>
      </c>
      <c r="I75" s="6">
        <v>7.39</v>
      </c>
      <c r="J75" s="6">
        <v>0.25</v>
      </c>
      <c r="K75" s="6">
        <v>187.05</v>
      </c>
      <c r="L75" s="6">
        <v>26.58</v>
      </c>
      <c r="M75" s="6">
        <v>46.73</v>
      </c>
      <c r="N75" s="6">
        <v>9.6999999999999993</v>
      </c>
      <c r="O75" s="6">
        <v>0</v>
      </c>
      <c r="P75" s="6">
        <v>0.67</v>
      </c>
      <c r="Q75" s="6">
        <v>4.75</v>
      </c>
    </row>
    <row r="76" spans="1:17" customFormat="1">
      <c r="A76" s="6" t="s">
        <v>1074</v>
      </c>
      <c r="B76" s="6">
        <v>4.4800000000000004</v>
      </c>
      <c r="C76" s="6">
        <v>19.71</v>
      </c>
      <c r="D76" s="6">
        <v>15.24</v>
      </c>
      <c r="E76" s="6">
        <v>8.94</v>
      </c>
      <c r="F76" s="6">
        <v>4.92</v>
      </c>
      <c r="G76" s="6">
        <v>68.11</v>
      </c>
      <c r="H76" s="6">
        <v>39.880000000000003</v>
      </c>
      <c r="I76" s="6">
        <v>7.28</v>
      </c>
      <c r="J76" s="6">
        <v>0.21</v>
      </c>
      <c r="K76" s="6">
        <v>157.07</v>
      </c>
      <c r="L76" s="6">
        <v>25.92</v>
      </c>
      <c r="M76" s="6">
        <v>49.1</v>
      </c>
      <c r="N76" s="6">
        <v>7.4</v>
      </c>
      <c r="O76" s="6">
        <v>0</v>
      </c>
      <c r="P76" s="6">
        <v>0.66</v>
      </c>
      <c r="Q76" s="6">
        <v>4.76</v>
      </c>
    </row>
    <row r="77" spans="1:17" customFormat="1">
      <c r="A77" s="6" t="s">
        <v>1075</v>
      </c>
      <c r="B77" s="6">
        <v>4.54</v>
      </c>
      <c r="C77" s="6">
        <v>19.95</v>
      </c>
      <c r="D77" s="6">
        <v>15.42</v>
      </c>
      <c r="E77" s="6">
        <v>9.42</v>
      </c>
      <c r="F77" s="6">
        <v>4.4800000000000004</v>
      </c>
      <c r="G77" s="6">
        <v>67.22</v>
      </c>
      <c r="H77" s="6">
        <v>37.950000000000003</v>
      </c>
      <c r="I77" s="6">
        <v>7.17</v>
      </c>
      <c r="J77" s="6">
        <v>0.25</v>
      </c>
      <c r="K77" s="6">
        <v>162.91999999999999</v>
      </c>
      <c r="L77" s="6">
        <v>25.74</v>
      </c>
      <c r="M77" s="6">
        <v>50.27</v>
      </c>
      <c r="N77" s="6">
        <v>0.9</v>
      </c>
      <c r="O77" s="6">
        <v>0</v>
      </c>
      <c r="P77" s="6">
        <v>0.65</v>
      </c>
      <c r="Q77" s="6">
        <v>4.76</v>
      </c>
    </row>
    <row r="78" spans="1:17" customFormat="1">
      <c r="A78" s="6" t="s">
        <v>1076</v>
      </c>
      <c r="B78" s="6">
        <v>4.8099999999999996</v>
      </c>
      <c r="C78" s="6">
        <v>21.44</v>
      </c>
      <c r="D78" s="6">
        <v>16.41</v>
      </c>
      <c r="E78" s="6">
        <v>9.02</v>
      </c>
      <c r="F78" s="6">
        <v>3.53</v>
      </c>
      <c r="G78" s="6">
        <v>67.22</v>
      </c>
      <c r="H78" s="6">
        <v>37.950000000000003</v>
      </c>
      <c r="I78" s="6">
        <v>7.03</v>
      </c>
      <c r="J78" s="6">
        <v>0.22</v>
      </c>
      <c r="K78" s="6">
        <v>160.51</v>
      </c>
      <c r="L78" s="6">
        <v>25.4</v>
      </c>
      <c r="M78" s="6">
        <v>54.11</v>
      </c>
      <c r="N78" s="6">
        <v>0</v>
      </c>
      <c r="O78" s="6">
        <v>0</v>
      </c>
      <c r="P78" s="6">
        <v>0.68</v>
      </c>
      <c r="Q78" s="6">
        <v>4.78</v>
      </c>
    </row>
    <row r="79" spans="1:17" customFormat="1">
      <c r="A79" s="6" t="s">
        <v>1077</v>
      </c>
      <c r="B79" s="6">
        <v>5.32</v>
      </c>
      <c r="C79" s="6">
        <v>23.03</v>
      </c>
      <c r="D79" s="6">
        <v>17.649999999999999</v>
      </c>
      <c r="E79" s="6">
        <v>8.9700000000000006</v>
      </c>
      <c r="F79" s="6">
        <v>2.86</v>
      </c>
      <c r="G79" s="6">
        <v>67.22</v>
      </c>
      <c r="H79" s="6">
        <v>37.950000000000003</v>
      </c>
      <c r="I79" s="6">
        <v>6.97</v>
      </c>
      <c r="J79" s="6">
        <v>0.22</v>
      </c>
      <c r="K79" s="6">
        <v>163.03</v>
      </c>
      <c r="L79" s="6">
        <v>24.82</v>
      </c>
      <c r="M79" s="6">
        <v>63.56</v>
      </c>
      <c r="N79" s="6">
        <v>0</v>
      </c>
      <c r="O79" s="6">
        <v>0</v>
      </c>
      <c r="P79" s="6">
        <v>0.71</v>
      </c>
      <c r="Q79" s="6">
        <v>4.79</v>
      </c>
    </row>
    <row r="80" spans="1:17" customFormat="1">
      <c r="A80" s="6" t="s">
        <v>1078</v>
      </c>
      <c r="B80" s="6">
        <v>5.88</v>
      </c>
      <c r="C80" s="6">
        <v>24.41</v>
      </c>
      <c r="D80" s="6">
        <v>18.82</v>
      </c>
      <c r="E80" s="6">
        <v>9.18</v>
      </c>
      <c r="F80" s="6">
        <v>2.56</v>
      </c>
      <c r="G80" s="6">
        <v>84.72</v>
      </c>
      <c r="H80" s="6">
        <v>39.36</v>
      </c>
      <c r="I80" s="6">
        <v>7.08</v>
      </c>
      <c r="J80" s="6">
        <v>0.18</v>
      </c>
      <c r="K80" s="6">
        <v>158.87</v>
      </c>
      <c r="L80" s="6">
        <v>24.56</v>
      </c>
      <c r="M80" s="6">
        <v>57.59</v>
      </c>
      <c r="N80" s="6">
        <v>0</v>
      </c>
      <c r="O80" s="6">
        <v>0</v>
      </c>
      <c r="P80" s="6">
        <v>0.73</v>
      </c>
      <c r="Q80" s="6">
        <v>4.7699999999999996</v>
      </c>
    </row>
    <row r="81" spans="1:17" customFormat="1">
      <c r="A81" s="6" t="s">
        <v>1079</v>
      </c>
      <c r="B81" s="6">
        <v>6.68</v>
      </c>
      <c r="C81" s="6">
        <v>24.25</v>
      </c>
      <c r="D81" s="6">
        <v>19.38</v>
      </c>
      <c r="E81" s="6">
        <v>5.17</v>
      </c>
      <c r="F81" s="6">
        <v>2.52</v>
      </c>
      <c r="G81" s="6">
        <v>159.88</v>
      </c>
      <c r="H81" s="6">
        <v>47.2</v>
      </c>
      <c r="I81" s="6">
        <v>7.25</v>
      </c>
      <c r="J81" s="6">
        <v>0.22</v>
      </c>
      <c r="K81" s="6">
        <v>174.93</v>
      </c>
      <c r="L81" s="6">
        <v>24.02</v>
      </c>
      <c r="M81" s="6">
        <v>65.16</v>
      </c>
      <c r="N81" s="6">
        <v>0</v>
      </c>
      <c r="O81" s="6">
        <v>0</v>
      </c>
      <c r="P81" s="6">
        <v>0.75</v>
      </c>
      <c r="Q81" s="6">
        <v>4.79</v>
      </c>
    </row>
    <row r="82" spans="1:17" customFormat="1">
      <c r="A82" s="6" t="s">
        <v>1080</v>
      </c>
      <c r="B82" s="6">
        <v>7.3</v>
      </c>
      <c r="C82" s="6">
        <v>22.88</v>
      </c>
      <c r="D82" s="6">
        <v>19.16</v>
      </c>
      <c r="E82" s="6">
        <v>5.64</v>
      </c>
      <c r="F82" s="6">
        <v>2.57</v>
      </c>
      <c r="G82" s="6">
        <v>159.88</v>
      </c>
      <c r="H82" s="6">
        <v>47.2</v>
      </c>
      <c r="I82" s="6">
        <v>7.43</v>
      </c>
      <c r="J82" s="6">
        <v>0.19</v>
      </c>
      <c r="K82" s="6">
        <v>159.01</v>
      </c>
      <c r="L82" s="6">
        <v>23.73</v>
      </c>
      <c r="M82" s="6">
        <v>62.23</v>
      </c>
      <c r="N82" s="6">
        <v>0</v>
      </c>
      <c r="O82" s="6">
        <v>0</v>
      </c>
      <c r="P82" s="6">
        <v>0.76</v>
      </c>
      <c r="Q82" s="6">
        <v>4.8099999999999996</v>
      </c>
    </row>
    <row r="83" spans="1:17" customFormat="1">
      <c r="A83" s="6" t="s">
        <v>1081</v>
      </c>
      <c r="B83" s="6">
        <v>7.75</v>
      </c>
      <c r="C83" s="6">
        <v>21.87</v>
      </c>
      <c r="D83" s="6">
        <v>18.989999999999998</v>
      </c>
      <c r="E83" s="6">
        <v>5.99</v>
      </c>
      <c r="F83" s="6">
        <v>2.48</v>
      </c>
      <c r="G83" s="6">
        <v>159.88</v>
      </c>
      <c r="H83" s="6">
        <v>47.2</v>
      </c>
      <c r="I83" s="6">
        <v>7.62</v>
      </c>
      <c r="J83" s="6">
        <v>0.22</v>
      </c>
      <c r="K83" s="6">
        <v>169.93</v>
      </c>
      <c r="L83" s="6">
        <v>23.38</v>
      </c>
      <c r="M83" s="6">
        <v>68.63</v>
      </c>
      <c r="N83" s="6">
        <v>0</v>
      </c>
      <c r="O83" s="6">
        <v>0</v>
      </c>
      <c r="P83" s="6">
        <v>0.78</v>
      </c>
      <c r="Q83" s="6">
        <v>4.8099999999999996</v>
      </c>
    </row>
    <row r="84" spans="1:17" customFormat="1">
      <c r="A84" s="6" t="s">
        <v>1082</v>
      </c>
      <c r="B84" s="6">
        <v>7.99</v>
      </c>
      <c r="C84" s="6">
        <v>22.01</v>
      </c>
      <c r="D84" s="6">
        <v>19.260000000000002</v>
      </c>
      <c r="E84" s="6">
        <v>5.95</v>
      </c>
      <c r="F84" s="6">
        <v>2.2799999999999998</v>
      </c>
      <c r="G84" s="6">
        <v>158.51</v>
      </c>
      <c r="H84" s="6">
        <v>48.48</v>
      </c>
      <c r="I84" s="6">
        <v>7.81</v>
      </c>
      <c r="J84" s="6">
        <v>0.21</v>
      </c>
      <c r="K84" s="6">
        <v>198.69</v>
      </c>
      <c r="L84" s="6">
        <v>22.91</v>
      </c>
      <c r="M84" s="6">
        <v>71.36</v>
      </c>
      <c r="N84" s="6">
        <v>0</v>
      </c>
      <c r="O84" s="6">
        <v>0</v>
      </c>
      <c r="P84" s="6">
        <v>0.81</v>
      </c>
      <c r="Q84" s="6">
        <v>4.82</v>
      </c>
    </row>
    <row r="85" spans="1:17" customFormat="1">
      <c r="A85" s="6" t="s">
        <v>1083</v>
      </c>
      <c r="B85" s="6">
        <v>8.26</v>
      </c>
      <c r="C85" s="6">
        <v>22.69</v>
      </c>
      <c r="D85" s="6">
        <v>19.82</v>
      </c>
      <c r="E85" s="6">
        <v>5.72</v>
      </c>
      <c r="F85" s="6">
        <v>2.2400000000000002</v>
      </c>
      <c r="G85" s="6">
        <v>152.63999999999999</v>
      </c>
      <c r="H85" s="6">
        <v>52.48</v>
      </c>
      <c r="I85" s="6">
        <v>8.0299999999999994</v>
      </c>
      <c r="J85" s="6">
        <v>0.19</v>
      </c>
      <c r="K85" s="6">
        <v>214.53</v>
      </c>
      <c r="L85" s="6">
        <v>22.62</v>
      </c>
      <c r="M85" s="6">
        <v>67.430000000000007</v>
      </c>
      <c r="N85" s="6">
        <v>0</v>
      </c>
      <c r="O85" s="6">
        <v>0</v>
      </c>
      <c r="P85" s="6">
        <v>0.82</v>
      </c>
      <c r="Q85" s="6">
        <v>4.84</v>
      </c>
    </row>
    <row r="86" spans="1:17" customFormat="1">
      <c r="A86" s="6" t="s">
        <v>1084</v>
      </c>
      <c r="B86" s="6">
        <v>8.31</v>
      </c>
      <c r="C86" s="6">
        <v>23.18</v>
      </c>
      <c r="D86" s="6">
        <v>20.12</v>
      </c>
      <c r="E86" s="6">
        <v>5.78</v>
      </c>
      <c r="F86" s="6">
        <v>2.25</v>
      </c>
      <c r="G86" s="6">
        <v>152.63999999999999</v>
      </c>
      <c r="H86" s="6">
        <v>52.48</v>
      </c>
      <c r="I86" s="6">
        <v>8.26</v>
      </c>
      <c r="J86" s="6">
        <v>0.11</v>
      </c>
      <c r="K86" s="6">
        <v>174.54</v>
      </c>
      <c r="L86" s="6">
        <v>22.38</v>
      </c>
      <c r="M86" s="6">
        <v>68.44</v>
      </c>
      <c r="N86" s="6">
        <v>0</v>
      </c>
      <c r="O86" s="6">
        <v>0</v>
      </c>
      <c r="P86" s="6">
        <v>0.83</v>
      </c>
      <c r="Q86" s="6">
        <v>4.8499999999999996</v>
      </c>
    </row>
    <row r="87" spans="1:17" customFormat="1">
      <c r="A87" s="6" t="s">
        <v>1085</v>
      </c>
      <c r="B87" s="6">
        <v>8.4700000000000006</v>
      </c>
      <c r="C87" s="6">
        <v>22.96</v>
      </c>
      <c r="D87" s="6">
        <v>20.14</v>
      </c>
      <c r="E87" s="6">
        <v>5.54</v>
      </c>
      <c r="F87" s="6">
        <v>2.36</v>
      </c>
      <c r="G87" s="6">
        <v>152.63999999999999</v>
      </c>
      <c r="H87" s="6">
        <v>52.48</v>
      </c>
      <c r="I87" s="6">
        <v>8.43</v>
      </c>
      <c r="J87" s="6">
        <v>0.22</v>
      </c>
      <c r="K87" s="6">
        <v>165.53</v>
      </c>
      <c r="L87" s="6">
        <v>22.13</v>
      </c>
      <c r="M87" s="6">
        <v>72.430000000000007</v>
      </c>
      <c r="N87" s="6">
        <v>0</v>
      </c>
      <c r="O87" s="6">
        <v>0</v>
      </c>
      <c r="P87" s="6">
        <v>0.85</v>
      </c>
      <c r="Q87" s="6">
        <v>4.8600000000000003</v>
      </c>
    </row>
    <row r="88" spans="1:17" customFormat="1">
      <c r="A88" s="6" t="s">
        <v>1086</v>
      </c>
      <c r="B88" s="6">
        <v>8.74</v>
      </c>
      <c r="C88" s="6">
        <v>21.64</v>
      </c>
      <c r="D88" s="6">
        <v>19.670000000000002</v>
      </c>
      <c r="E88" s="6">
        <v>5.83</v>
      </c>
      <c r="F88" s="6">
        <v>2.52</v>
      </c>
      <c r="G88" s="6">
        <v>142.81</v>
      </c>
      <c r="H88" s="6">
        <v>52.38</v>
      </c>
      <c r="I88" s="6">
        <v>8.5</v>
      </c>
      <c r="J88" s="6">
        <v>0.22</v>
      </c>
      <c r="K88" s="6">
        <v>179.35</v>
      </c>
      <c r="L88" s="6">
        <v>21.89</v>
      </c>
      <c r="M88" s="6">
        <v>70.010000000000005</v>
      </c>
      <c r="N88" s="6">
        <v>0</v>
      </c>
      <c r="O88" s="6">
        <v>0</v>
      </c>
      <c r="P88" s="6">
        <v>0.86</v>
      </c>
      <c r="Q88" s="6">
        <v>4.8499999999999996</v>
      </c>
    </row>
    <row r="89" spans="1:17" customFormat="1">
      <c r="A89" s="6" t="s">
        <v>1087</v>
      </c>
      <c r="B89" s="6">
        <v>9.1</v>
      </c>
      <c r="C89" s="6">
        <v>20.52</v>
      </c>
      <c r="D89" s="6">
        <v>19.37</v>
      </c>
      <c r="E89" s="6">
        <v>5.23</v>
      </c>
      <c r="F89" s="6">
        <v>2.56</v>
      </c>
      <c r="G89" s="6">
        <v>100.59</v>
      </c>
      <c r="H89" s="6">
        <v>52.08</v>
      </c>
      <c r="I89" s="6">
        <v>8.56</v>
      </c>
      <c r="J89" s="6">
        <v>0.11</v>
      </c>
      <c r="K89" s="6">
        <v>164.12</v>
      </c>
      <c r="L89" s="6">
        <v>21.45</v>
      </c>
      <c r="M89" s="6">
        <v>75.099999999999994</v>
      </c>
      <c r="N89" s="6">
        <v>0</v>
      </c>
      <c r="O89" s="6">
        <v>0</v>
      </c>
      <c r="P89" s="6">
        <v>0.87</v>
      </c>
      <c r="Q89" s="6">
        <v>4.87</v>
      </c>
    </row>
    <row r="90" spans="1:17" customFormat="1">
      <c r="A90" s="6" t="s">
        <v>1088</v>
      </c>
      <c r="B90" s="6">
        <v>9.56</v>
      </c>
      <c r="C90" s="6">
        <v>20.62</v>
      </c>
      <c r="D90" s="6">
        <v>19.79</v>
      </c>
      <c r="E90" s="6">
        <v>5.81</v>
      </c>
      <c r="F90" s="6">
        <v>2.44</v>
      </c>
      <c r="G90" s="6">
        <v>100.59</v>
      </c>
      <c r="H90" s="6">
        <v>52.08</v>
      </c>
      <c r="I90" s="6">
        <v>8.67</v>
      </c>
      <c r="J90" s="6">
        <v>0.33</v>
      </c>
      <c r="K90" s="6">
        <v>48.36</v>
      </c>
      <c r="L90" s="6">
        <v>21.59</v>
      </c>
      <c r="M90" s="6">
        <v>70.989999999999995</v>
      </c>
      <c r="N90" s="6">
        <v>0</v>
      </c>
      <c r="O90" s="6">
        <v>0</v>
      </c>
      <c r="P90" s="6">
        <v>0.88</v>
      </c>
      <c r="Q90" s="6">
        <v>4.8499999999999996</v>
      </c>
    </row>
    <row r="91" spans="1:17" customFormat="1">
      <c r="A91" s="6" t="s">
        <v>1089</v>
      </c>
      <c r="B91" s="6">
        <v>11.1</v>
      </c>
      <c r="C91" s="6">
        <v>22.13</v>
      </c>
      <c r="D91" s="6">
        <v>21.81</v>
      </c>
      <c r="E91" s="6">
        <v>5.83</v>
      </c>
      <c r="F91" s="6">
        <v>2.25</v>
      </c>
      <c r="G91" s="6">
        <v>100.59</v>
      </c>
      <c r="H91" s="6">
        <v>52.08</v>
      </c>
      <c r="I91" s="6">
        <v>8.8000000000000007</v>
      </c>
      <c r="J91" s="6">
        <v>0.13</v>
      </c>
      <c r="K91" s="6">
        <v>140.57</v>
      </c>
      <c r="L91" s="6">
        <v>21.86</v>
      </c>
      <c r="M91" s="6">
        <v>69.66</v>
      </c>
      <c r="N91" s="6">
        <v>0</v>
      </c>
      <c r="O91" s="6">
        <v>0</v>
      </c>
      <c r="P91" s="6">
        <v>0.92</v>
      </c>
      <c r="Q91" s="6">
        <v>4.9000000000000004</v>
      </c>
    </row>
    <row r="92" spans="1:17" customFormat="1">
      <c r="A92" s="6" t="s">
        <v>1090</v>
      </c>
      <c r="B92" s="6">
        <v>12.99</v>
      </c>
      <c r="C92" s="6">
        <v>23.48</v>
      </c>
      <c r="D92" s="6">
        <v>24.04</v>
      </c>
      <c r="E92" s="6">
        <v>5.73</v>
      </c>
      <c r="F92" s="6">
        <v>2.2000000000000002</v>
      </c>
      <c r="G92" s="6">
        <v>108.32</v>
      </c>
      <c r="H92" s="6">
        <v>52.31</v>
      </c>
      <c r="I92" s="6">
        <v>9</v>
      </c>
      <c r="J92" s="6">
        <v>0.27</v>
      </c>
      <c r="K92" s="6">
        <v>170.34</v>
      </c>
      <c r="L92" s="6">
        <v>21.4</v>
      </c>
      <c r="M92" s="6">
        <v>74.58</v>
      </c>
      <c r="N92" s="6">
        <v>0</v>
      </c>
      <c r="O92" s="6">
        <v>0</v>
      </c>
      <c r="P92" s="6">
        <v>0.97</v>
      </c>
      <c r="Q92" s="6">
        <v>4.93</v>
      </c>
    </row>
    <row r="93" spans="1:17" customFormat="1">
      <c r="A93" s="6" t="s">
        <v>1091</v>
      </c>
      <c r="B93" s="6">
        <v>14.63</v>
      </c>
      <c r="C93" s="6">
        <v>25.3</v>
      </c>
      <c r="D93" s="6">
        <v>26.31</v>
      </c>
      <c r="E93" s="6">
        <v>5.61</v>
      </c>
      <c r="F93" s="6">
        <v>2.23</v>
      </c>
      <c r="G93" s="6">
        <v>141.54</v>
      </c>
      <c r="H93" s="6">
        <v>52.98</v>
      </c>
      <c r="I93" s="6">
        <v>9.2899999999999991</v>
      </c>
      <c r="J93" s="6">
        <v>0.14000000000000001</v>
      </c>
      <c r="K93" s="6">
        <v>167.67</v>
      </c>
      <c r="L93" s="6">
        <v>20.92</v>
      </c>
      <c r="M93" s="6">
        <v>74.959999999999994</v>
      </c>
      <c r="N93" s="6">
        <v>0</v>
      </c>
      <c r="O93" s="6">
        <v>0</v>
      </c>
      <c r="P93" s="6">
        <v>1</v>
      </c>
      <c r="Q93" s="6">
        <v>4.95</v>
      </c>
    </row>
    <row r="94" spans="1:17" customFormat="1">
      <c r="A94" s="6" t="s">
        <v>1092</v>
      </c>
      <c r="B94" s="6">
        <v>16.54</v>
      </c>
      <c r="C94" s="6">
        <v>26.43</v>
      </c>
      <c r="D94" s="6">
        <v>28.42</v>
      </c>
      <c r="E94" s="6">
        <v>5.71</v>
      </c>
      <c r="F94" s="6">
        <v>2.27</v>
      </c>
      <c r="G94" s="6">
        <v>141.54</v>
      </c>
      <c r="H94" s="6">
        <v>52.98</v>
      </c>
      <c r="I94" s="6">
        <v>9.57</v>
      </c>
      <c r="J94" s="6">
        <v>0.38</v>
      </c>
      <c r="K94" s="6">
        <v>174.97</v>
      </c>
      <c r="L94" s="6">
        <v>20.58</v>
      </c>
      <c r="M94" s="6">
        <v>77.39</v>
      </c>
      <c r="N94" s="6">
        <v>0</v>
      </c>
      <c r="O94" s="6">
        <v>0</v>
      </c>
      <c r="P94" s="6">
        <v>1.05</v>
      </c>
      <c r="Q94" s="6">
        <v>4.96</v>
      </c>
    </row>
    <row r="95" spans="1:17" customFormat="1">
      <c r="A95" s="6" t="s">
        <v>1093</v>
      </c>
      <c r="B95" s="6">
        <v>18.34</v>
      </c>
      <c r="C95" s="6">
        <v>25.53</v>
      </c>
      <c r="D95" s="6">
        <v>29.39</v>
      </c>
      <c r="E95" s="6">
        <v>5.86</v>
      </c>
      <c r="F95" s="6">
        <v>2.5099999999999998</v>
      </c>
      <c r="G95" s="6">
        <v>141.54</v>
      </c>
      <c r="H95" s="6">
        <v>52.98</v>
      </c>
      <c r="I95" s="6">
        <v>9.83</v>
      </c>
      <c r="J95" s="6">
        <v>0.16</v>
      </c>
      <c r="K95" s="6">
        <v>196.22</v>
      </c>
      <c r="L95" s="6">
        <v>19.89</v>
      </c>
      <c r="M95" s="6">
        <v>79.22</v>
      </c>
      <c r="N95" s="6">
        <v>0</v>
      </c>
      <c r="O95" s="6">
        <v>0</v>
      </c>
      <c r="P95" s="6">
        <v>1.07</v>
      </c>
      <c r="Q95" s="6">
        <v>4.99</v>
      </c>
    </row>
    <row r="96" spans="1:17" customFormat="1">
      <c r="A96" s="6" t="s">
        <v>1094</v>
      </c>
      <c r="B96" s="6">
        <v>18.989999999999998</v>
      </c>
      <c r="C96" s="6">
        <v>24.28</v>
      </c>
      <c r="D96" s="6">
        <v>29.27</v>
      </c>
      <c r="E96" s="6">
        <v>5.63</v>
      </c>
      <c r="F96" s="6">
        <v>2.44</v>
      </c>
      <c r="G96" s="6">
        <v>141.25</v>
      </c>
      <c r="H96" s="6">
        <v>53.68</v>
      </c>
      <c r="I96" s="6">
        <v>10.119999999999999</v>
      </c>
      <c r="J96" s="6">
        <v>0.09</v>
      </c>
      <c r="K96" s="6">
        <v>199.83</v>
      </c>
      <c r="L96" s="6">
        <v>19.77</v>
      </c>
      <c r="M96" s="6">
        <v>79.34</v>
      </c>
      <c r="N96" s="6">
        <v>0</v>
      </c>
      <c r="O96" s="6">
        <v>0</v>
      </c>
      <c r="P96" s="6">
        <v>1.08</v>
      </c>
      <c r="Q96" s="6">
        <v>5.0199999999999996</v>
      </c>
    </row>
    <row r="97" spans="1:22" customFormat="1">
      <c r="A97" s="6" t="s">
        <v>1095</v>
      </c>
      <c r="B97" s="6">
        <v>19.38</v>
      </c>
      <c r="C97" s="6">
        <v>24.32</v>
      </c>
      <c r="D97" s="6">
        <v>29.6</v>
      </c>
      <c r="E97" s="6">
        <v>6.05</v>
      </c>
      <c r="F97" s="6">
        <v>2.2599999999999998</v>
      </c>
      <c r="G97" s="6">
        <v>140.02000000000001</v>
      </c>
      <c r="H97" s="6">
        <v>55.88</v>
      </c>
      <c r="I97" s="6">
        <v>10.36</v>
      </c>
      <c r="J97" s="6">
        <v>0.13</v>
      </c>
      <c r="K97" s="6">
        <v>157.52000000000001</v>
      </c>
      <c r="L97" s="6">
        <v>19.87</v>
      </c>
      <c r="M97" s="6">
        <v>78.52</v>
      </c>
      <c r="N97" s="6">
        <v>0</v>
      </c>
      <c r="O97" s="6">
        <v>0</v>
      </c>
      <c r="P97" s="6">
        <v>1.08</v>
      </c>
      <c r="Q97" s="6">
        <v>5.0199999999999996</v>
      </c>
    </row>
    <row r="98" spans="1:22" customFormat="1">
      <c r="A98" s="6" t="s">
        <v>1096</v>
      </c>
      <c r="B98" s="6">
        <v>20.63</v>
      </c>
      <c r="C98" s="6">
        <v>26.03</v>
      </c>
      <c r="D98" s="6">
        <v>31.5</v>
      </c>
      <c r="E98" s="6">
        <v>6.09</v>
      </c>
      <c r="F98" s="6">
        <v>2.21</v>
      </c>
      <c r="G98" s="6">
        <v>140.02000000000001</v>
      </c>
      <c r="H98" s="6">
        <v>55.88</v>
      </c>
      <c r="I98" s="6">
        <v>10.53</v>
      </c>
      <c r="J98" s="6">
        <v>0.13</v>
      </c>
      <c r="K98" s="6">
        <v>70.39</v>
      </c>
      <c r="L98" s="6">
        <v>20.04</v>
      </c>
      <c r="M98" s="6">
        <v>76.81</v>
      </c>
      <c r="N98" s="6">
        <v>0</v>
      </c>
      <c r="O98" s="6">
        <v>0</v>
      </c>
      <c r="P98" s="6">
        <v>1.1200000000000001</v>
      </c>
      <c r="Q98" s="6">
        <v>5.03</v>
      </c>
    </row>
    <row r="99" spans="1:22" customFormat="1">
      <c r="A99" s="6" t="s">
        <v>1097</v>
      </c>
      <c r="B99" s="6">
        <v>24.69</v>
      </c>
      <c r="C99" s="6">
        <v>27.54</v>
      </c>
      <c r="D99" s="6">
        <v>35.54</v>
      </c>
      <c r="E99" s="6">
        <v>6.11</v>
      </c>
      <c r="F99" s="6">
        <v>2.31</v>
      </c>
      <c r="G99" s="6">
        <v>140.02000000000001</v>
      </c>
      <c r="H99" s="6">
        <v>55.88</v>
      </c>
      <c r="I99" s="6">
        <v>10.68</v>
      </c>
      <c r="J99" s="6">
        <v>0.2</v>
      </c>
      <c r="K99" s="6">
        <v>174.17</v>
      </c>
      <c r="L99" s="6">
        <v>19.91</v>
      </c>
      <c r="M99" s="6">
        <v>79.58</v>
      </c>
      <c r="N99" s="6">
        <v>0</v>
      </c>
      <c r="O99" s="6">
        <v>0</v>
      </c>
      <c r="P99" s="6">
        <v>1.1599999999999999</v>
      </c>
      <c r="Q99" s="6">
        <v>5.0999999999999996</v>
      </c>
    </row>
    <row r="100" spans="1:22" customFormat="1">
      <c r="A100" s="6" t="s">
        <v>1098</v>
      </c>
      <c r="B100" s="6">
        <v>28.44</v>
      </c>
      <c r="C100" s="6">
        <v>29.15</v>
      </c>
      <c r="D100" s="6">
        <v>39.380000000000003</v>
      </c>
      <c r="E100" s="6">
        <v>6.26</v>
      </c>
      <c r="F100" s="6">
        <v>2.29</v>
      </c>
      <c r="G100" s="6">
        <v>141.15</v>
      </c>
      <c r="H100" s="6">
        <v>57.02</v>
      </c>
      <c r="I100" s="6">
        <v>11.18</v>
      </c>
      <c r="J100" s="6">
        <v>0.17</v>
      </c>
      <c r="K100" s="6">
        <v>186.91</v>
      </c>
      <c r="L100" s="6">
        <v>19.62</v>
      </c>
      <c r="M100" s="6">
        <v>84.22</v>
      </c>
      <c r="N100" s="6">
        <v>0</v>
      </c>
      <c r="O100" s="6">
        <v>0</v>
      </c>
      <c r="P100" s="6">
        <v>1.19</v>
      </c>
      <c r="Q100" s="6">
        <v>5.14</v>
      </c>
    </row>
    <row r="101" spans="1:22" customFormat="1">
      <c r="A101" s="6" t="s">
        <v>1099</v>
      </c>
      <c r="B101" s="6">
        <v>29.92</v>
      </c>
      <c r="C101" s="6">
        <v>29.81</v>
      </c>
      <c r="D101" s="6">
        <v>40.909999999999997</v>
      </c>
      <c r="E101" s="6">
        <v>6.37</v>
      </c>
      <c r="F101" s="6">
        <v>2.25</v>
      </c>
      <c r="G101" s="6">
        <v>145.97</v>
      </c>
      <c r="H101" s="6">
        <v>60.38</v>
      </c>
      <c r="I101" s="6">
        <v>11.95</v>
      </c>
      <c r="J101" s="6">
        <v>0.09</v>
      </c>
      <c r="K101" s="6">
        <v>205.84</v>
      </c>
      <c r="L101" s="6">
        <v>19.170000000000002</v>
      </c>
      <c r="M101" s="6">
        <v>84.21</v>
      </c>
      <c r="N101" s="6">
        <v>0</v>
      </c>
      <c r="O101" s="6">
        <v>0</v>
      </c>
      <c r="P101" s="6">
        <v>1.22</v>
      </c>
      <c r="Q101" s="6">
        <v>5.2</v>
      </c>
    </row>
    <row r="102" spans="1:22" customFormat="1">
      <c r="A102" s="6" t="s">
        <v>1100</v>
      </c>
      <c r="B102" s="6">
        <v>29.96</v>
      </c>
      <c r="C102" s="6">
        <v>30.2</v>
      </c>
      <c r="D102" s="6">
        <v>41.15</v>
      </c>
      <c r="E102" s="6">
        <v>6.57</v>
      </c>
      <c r="F102" s="6">
        <v>2.2599999999999998</v>
      </c>
      <c r="G102" s="6">
        <v>145.97</v>
      </c>
      <c r="H102" s="6">
        <v>60.38</v>
      </c>
      <c r="I102" s="6">
        <v>12.48</v>
      </c>
      <c r="J102" s="6">
        <v>0.17</v>
      </c>
      <c r="K102" s="6">
        <v>162.94999999999999</v>
      </c>
      <c r="L102" s="6">
        <v>19.420000000000002</v>
      </c>
      <c r="M102" s="6">
        <v>81.2</v>
      </c>
      <c r="N102" s="6">
        <v>0</v>
      </c>
      <c r="O102" s="6">
        <v>0</v>
      </c>
      <c r="P102" s="6">
        <v>1.23</v>
      </c>
      <c r="Q102" s="6">
        <v>5.22</v>
      </c>
    </row>
    <row r="103" spans="1:22" customFormat="1">
      <c r="A103" s="6" t="s">
        <v>1101</v>
      </c>
      <c r="B103" s="6">
        <v>30.07</v>
      </c>
      <c r="C103" s="6">
        <v>30.53</v>
      </c>
      <c r="D103" s="6">
        <v>41.42</v>
      </c>
      <c r="E103" s="6">
        <v>6</v>
      </c>
      <c r="F103" s="6">
        <v>2.2200000000000002</v>
      </c>
      <c r="G103" s="6">
        <v>145.97</v>
      </c>
      <c r="H103" s="6">
        <v>60.38</v>
      </c>
      <c r="I103" s="6">
        <v>12.69</v>
      </c>
      <c r="J103" s="6">
        <v>0.13</v>
      </c>
      <c r="K103" s="6">
        <v>214.57</v>
      </c>
      <c r="L103" s="6">
        <v>19.04</v>
      </c>
      <c r="M103" s="6">
        <v>85.76</v>
      </c>
      <c r="N103" s="6">
        <v>0</v>
      </c>
      <c r="O103" s="6">
        <v>0</v>
      </c>
      <c r="P103" s="6">
        <v>1.24</v>
      </c>
      <c r="Q103" s="6">
        <v>5.2</v>
      </c>
    </row>
    <row r="104" spans="1:22" customFormat="1">
      <c r="A104" s="6" t="s">
        <v>1102</v>
      </c>
      <c r="B104" s="6">
        <v>30.35</v>
      </c>
      <c r="C104" s="6">
        <v>30.71</v>
      </c>
      <c r="D104" s="6">
        <v>41.74</v>
      </c>
      <c r="E104" s="6">
        <v>6.32</v>
      </c>
      <c r="F104" s="6">
        <v>2.38</v>
      </c>
      <c r="G104" s="6">
        <v>142.83000000000001</v>
      </c>
      <c r="H104" s="6">
        <v>60.54</v>
      </c>
      <c r="I104" s="6">
        <v>12.84</v>
      </c>
      <c r="J104" s="6">
        <v>0.17</v>
      </c>
      <c r="K104" s="6">
        <v>172.73</v>
      </c>
      <c r="L104" s="6">
        <v>18.899999999999999</v>
      </c>
      <c r="M104" s="6">
        <v>84.61</v>
      </c>
      <c r="N104" s="6">
        <v>0</v>
      </c>
      <c r="O104" s="6">
        <v>0</v>
      </c>
      <c r="P104" s="6">
        <v>1.24</v>
      </c>
      <c r="Q104" s="6">
        <v>5.21</v>
      </c>
    </row>
    <row r="106" spans="1:22">
      <c r="A106" s="156" t="s">
        <v>48</v>
      </c>
      <c r="B106" s="157">
        <f>MIN(B9:B104)</f>
        <v>4.33</v>
      </c>
      <c r="C106" s="157">
        <f>MIN(C9:C104)</f>
        <v>19.71</v>
      </c>
      <c r="D106" s="157">
        <f t="shared" ref="D106:Q106" si="0">MIN(D9:D104)</f>
        <v>15.24</v>
      </c>
      <c r="E106" s="157">
        <f t="shared" si="0"/>
        <v>5.17</v>
      </c>
      <c r="F106" s="157">
        <f t="shared" si="0"/>
        <v>2.15</v>
      </c>
      <c r="G106" s="157">
        <f t="shared" si="0"/>
        <v>67.22</v>
      </c>
      <c r="H106" s="157">
        <f t="shared" si="0"/>
        <v>37.950000000000003</v>
      </c>
      <c r="I106" s="157">
        <f t="shared" si="0"/>
        <v>6.97</v>
      </c>
      <c r="J106" s="157">
        <f t="shared" si="0"/>
        <v>0.06</v>
      </c>
      <c r="K106" s="157">
        <f t="shared" si="0"/>
        <v>36.32</v>
      </c>
      <c r="L106" s="157">
        <f t="shared" si="0"/>
        <v>15.94</v>
      </c>
      <c r="M106" s="157">
        <f t="shared" si="0"/>
        <v>35.25</v>
      </c>
      <c r="N106" s="157">
        <f t="shared" si="0"/>
        <v>0</v>
      </c>
      <c r="O106" s="157">
        <f t="shared" si="0"/>
        <v>0</v>
      </c>
      <c r="P106" s="157">
        <f t="shared" si="0"/>
        <v>0.65</v>
      </c>
      <c r="Q106" s="157">
        <f t="shared" si="0"/>
        <v>4.75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36.21</v>
      </c>
      <c r="C107" s="156">
        <f t="shared" ref="C107:Q107" si="1">MAX(C9:C104)</f>
        <v>31.35</v>
      </c>
      <c r="D107" s="156">
        <f t="shared" si="1"/>
        <v>46.29</v>
      </c>
      <c r="E107" s="156">
        <f t="shared" si="1"/>
        <v>11.11</v>
      </c>
      <c r="F107" s="156">
        <f t="shared" si="1"/>
        <v>7.38</v>
      </c>
      <c r="G107" s="156">
        <f t="shared" si="1"/>
        <v>159.88</v>
      </c>
      <c r="H107" s="156">
        <f t="shared" si="1"/>
        <v>60.54</v>
      </c>
      <c r="I107" s="156">
        <f t="shared" si="1"/>
        <v>12.84</v>
      </c>
      <c r="J107" s="156">
        <f t="shared" si="1"/>
        <v>1.58</v>
      </c>
      <c r="K107" s="156">
        <f t="shared" si="1"/>
        <v>237.97</v>
      </c>
      <c r="L107" s="156">
        <f t="shared" si="1"/>
        <v>30.1</v>
      </c>
      <c r="M107" s="156">
        <f t="shared" si="1"/>
        <v>92.73</v>
      </c>
      <c r="N107" s="156">
        <f t="shared" si="1"/>
        <v>404.6</v>
      </c>
      <c r="O107" s="156">
        <f t="shared" si="1"/>
        <v>0</v>
      </c>
      <c r="P107" s="156">
        <f t="shared" si="1"/>
        <v>1.24</v>
      </c>
      <c r="Q107" s="156">
        <f t="shared" si="1"/>
        <v>5.25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19.595312500000009</v>
      </c>
      <c r="C108" s="157">
        <f t="shared" ref="C108:Q108" si="2">AVERAGE(C9:C104)</f>
        <v>26.180625000000006</v>
      </c>
      <c r="D108" s="157">
        <f t="shared" si="2"/>
        <v>30.743854166666654</v>
      </c>
      <c r="E108" s="157">
        <f t="shared" si="2"/>
        <v>7.5453125000000014</v>
      </c>
      <c r="F108" s="157">
        <f t="shared" si="2"/>
        <v>3.0903125</v>
      </c>
      <c r="G108" s="157">
        <f t="shared" si="2"/>
        <v>111.50927083333336</v>
      </c>
      <c r="H108" s="157">
        <f t="shared" si="2"/>
        <v>50.785520833333315</v>
      </c>
      <c r="I108" s="157">
        <f t="shared" si="2"/>
        <v>10.032604166666662</v>
      </c>
      <c r="J108" s="157">
        <f t="shared" si="2"/>
        <v>0.38937500000000019</v>
      </c>
      <c r="K108" s="157">
        <f t="shared" si="2"/>
        <v>111.90854166666668</v>
      </c>
      <c r="L108" s="157">
        <f t="shared" si="2"/>
        <v>21.71135416666667</v>
      </c>
      <c r="M108" s="157">
        <f t="shared" si="2"/>
        <v>67.829479166666701</v>
      </c>
      <c r="N108" s="157">
        <f t="shared" si="2"/>
        <v>82.391666666666666</v>
      </c>
      <c r="O108" s="157">
        <f t="shared" si="2"/>
        <v>0</v>
      </c>
      <c r="P108" s="157">
        <f t="shared" si="2"/>
        <v>0.90927083333333292</v>
      </c>
      <c r="Q108" s="157">
        <f t="shared" si="2"/>
        <v>5.0203124999999984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11.251140943606318</v>
      </c>
      <c r="C109" s="157">
        <f t="shared" ref="C109:Q109" si="3">STDEV(C9:C104)</f>
        <v>3.7134687465466403</v>
      </c>
      <c r="D109" s="157">
        <f t="shared" si="3"/>
        <v>10.825820826523207</v>
      </c>
      <c r="E109" s="157">
        <f t="shared" si="3"/>
        <v>1.3170628831448596</v>
      </c>
      <c r="F109" s="157">
        <f t="shared" si="3"/>
        <v>1.3990955372555582</v>
      </c>
      <c r="G109" s="157">
        <f t="shared" si="3"/>
        <v>23.097983518493646</v>
      </c>
      <c r="H109" s="157">
        <f t="shared" si="3"/>
        <v>5.5006043437911156</v>
      </c>
      <c r="I109" s="157">
        <f t="shared" si="3"/>
        <v>1.5132392893821844</v>
      </c>
      <c r="J109" s="157">
        <f t="shared" si="3"/>
        <v>0.32544968889215425</v>
      </c>
      <c r="K109" s="157">
        <f t="shared" si="3"/>
        <v>57.30140848786337</v>
      </c>
      <c r="L109" s="157">
        <f t="shared" si="3"/>
        <v>4.5107148738581699</v>
      </c>
      <c r="M109" s="157">
        <f t="shared" si="3"/>
        <v>18.312678861769427</v>
      </c>
      <c r="N109" s="157">
        <f t="shared" si="3"/>
        <v>135.77629951052549</v>
      </c>
      <c r="O109" s="157">
        <f t="shared" si="3"/>
        <v>0</v>
      </c>
      <c r="P109" s="157">
        <f t="shared" si="3"/>
        <v>0.13335543950516246</v>
      </c>
      <c r="Q109" s="157">
        <f t="shared" si="3"/>
        <v>0.16908704158385099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6" t="s">
        <v>1103</v>
      </c>
      <c r="B9" s="6">
        <v>31.02</v>
      </c>
      <c r="C9" s="6">
        <v>31.7</v>
      </c>
      <c r="D9" s="6">
        <v>42.79</v>
      </c>
      <c r="E9" s="6">
        <v>6.53</v>
      </c>
      <c r="F9" s="6">
        <v>2.25</v>
      </c>
      <c r="G9" s="6">
        <v>129.36000000000001</v>
      </c>
      <c r="H9" s="6">
        <v>61.45</v>
      </c>
      <c r="I9" s="6">
        <v>12.96</v>
      </c>
      <c r="J9" s="6">
        <v>0.05</v>
      </c>
      <c r="K9" s="6">
        <v>163.07</v>
      </c>
      <c r="L9" s="6">
        <v>18.89</v>
      </c>
      <c r="M9" s="6">
        <v>85.7</v>
      </c>
      <c r="N9" s="6">
        <v>0</v>
      </c>
      <c r="O9" s="6">
        <v>0</v>
      </c>
      <c r="P9" s="6">
        <v>1.25</v>
      </c>
      <c r="Q9" s="6">
        <v>5.21</v>
      </c>
    </row>
    <row r="10" spans="1:21" customFormat="1">
      <c r="A10" s="6" t="s">
        <v>1104</v>
      </c>
      <c r="B10" s="6">
        <v>32.67</v>
      </c>
      <c r="C10" s="6">
        <v>31.71</v>
      </c>
      <c r="D10" s="6">
        <v>44.12</v>
      </c>
      <c r="E10" s="6">
        <v>6.56</v>
      </c>
      <c r="F10" s="6">
        <v>2.2799999999999998</v>
      </c>
      <c r="G10" s="6">
        <v>129.36000000000001</v>
      </c>
      <c r="H10" s="6">
        <v>61.45</v>
      </c>
      <c r="I10" s="6">
        <v>13.04</v>
      </c>
      <c r="J10" s="6">
        <v>0.03</v>
      </c>
      <c r="K10" s="6">
        <v>142.78</v>
      </c>
      <c r="L10" s="6">
        <v>18.95</v>
      </c>
      <c r="M10" s="6">
        <v>83.98</v>
      </c>
      <c r="N10" s="6">
        <v>0</v>
      </c>
      <c r="O10" s="6">
        <v>0</v>
      </c>
      <c r="P10" s="6">
        <v>1.25</v>
      </c>
      <c r="Q10" s="6">
        <v>5.21</v>
      </c>
    </row>
    <row r="11" spans="1:21" customFormat="1">
      <c r="A11" s="6" t="s">
        <v>1105</v>
      </c>
      <c r="B11" s="6">
        <v>38.39</v>
      </c>
      <c r="C11" s="6">
        <v>32.24</v>
      </c>
      <c r="D11" s="6">
        <v>48.98</v>
      </c>
      <c r="E11" s="6">
        <v>6.59</v>
      </c>
      <c r="F11" s="6">
        <v>2.2999999999999998</v>
      </c>
      <c r="G11" s="6">
        <v>129.36000000000001</v>
      </c>
      <c r="H11" s="6">
        <v>61.45</v>
      </c>
      <c r="I11" s="6">
        <v>13.1</v>
      </c>
      <c r="J11" s="6">
        <v>0.15</v>
      </c>
      <c r="K11" s="6">
        <v>193.65</v>
      </c>
      <c r="L11" s="6">
        <v>19.149999999999999</v>
      </c>
      <c r="M11" s="6">
        <v>83.42</v>
      </c>
      <c r="N11" s="6">
        <v>0</v>
      </c>
      <c r="O11" s="6">
        <v>0</v>
      </c>
      <c r="P11" s="6">
        <v>1.27</v>
      </c>
      <c r="Q11" s="6">
        <v>5.25</v>
      </c>
    </row>
    <row r="12" spans="1:21" customFormat="1">
      <c r="A12" s="6" t="s">
        <v>1106</v>
      </c>
      <c r="B12" s="6">
        <v>42.93</v>
      </c>
      <c r="C12" s="6">
        <v>32.96</v>
      </c>
      <c r="D12" s="6">
        <v>53</v>
      </c>
      <c r="E12" s="6">
        <v>7.33</v>
      </c>
      <c r="F12" s="6">
        <v>2.2000000000000002</v>
      </c>
      <c r="G12" s="6">
        <v>131.77000000000001</v>
      </c>
      <c r="H12" s="6">
        <v>61.44</v>
      </c>
      <c r="I12" s="6">
        <v>13.2</v>
      </c>
      <c r="J12" s="6">
        <v>0.11</v>
      </c>
      <c r="K12" s="6">
        <v>131.77000000000001</v>
      </c>
      <c r="L12" s="6">
        <v>18.79</v>
      </c>
      <c r="M12" s="6">
        <v>87.3</v>
      </c>
      <c r="N12" s="6">
        <v>0</v>
      </c>
      <c r="O12" s="6">
        <v>0</v>
      </c>
      <c r="P12" s="6">
        <v>1.28</v>
      </c>
      <c r="Q12" s="6">
        <v>5.32</v>
      </c>
    </row>
    <row r="13" spans="1:21" customFormat="1">
      <c r="A13" s="6" t="s">
        <v>1107</v>
      </c>
      <c r="B13" s="6">
        <v>45.2</v>
      </c>
      <c r="C13" s="6">
        <v>33.22</v>
      </c>
      <c r="D13" s="6">
        <v>54.96</v>
      </c>
      <c r="E13" s="6">
        <v>7.32</v>
      </c>
      <c r="F13" s="6">
        <v>2.2599999999999998</v>
      </c>
      <c r="G13" s="6">
        <v>142.11000000000001</v>
      </c>
      <c r="H13" s="6">
        <v>61.42</v>
      </c>
      <c r="I13" s="6">
        <v>13.4</v>
      </c>
      <c r="J13" s="6">
        <v>0.28000000000000003</v>
      </c>
      <c r="K13" s="6">
        <v>61.11</v>
      </c>
      <c r="L13" s="6">
        <v>19.010000000000002</v>
      </c>
      <c r="M13" s="6">
        <v>82.74</v>
      </c>
      <c r="N13" s="6">
        <v>0</v>
      </c>
      <c r="O13" s="6">
        <v>0</v>
      </c>
      <c r="P13" s="6">
        <v>1.28</v>
      </c>
      <c r="Q13" s="6">
        <v>5.37</v>
      </c>
    </row>
    <row r="14" spans="1:21" customFormat="1">
      <c r="A14" s="6" t="s">
        <v>1108</v>
      </c>
      <c r="B14" s="6">
        <v>48.13</v>
      </c>
      <c r="C14" s="6">
        <v>33.630000000000003</v>
      </c>
      <c r="D14" s="6">
        <v>57.51</v>
      </c>
      <c r="E14" s="6">
        <v>6.72</v>
      </c>
      <c r="F14" s="6">
        <v>2.23</v>
      </c>
      <c r="G14" s="6">
        <v>142.11000000000001</v>
      </c>
      <c r="H14" s="6">
        <v>61.42</v>
      </c>
      <c r="I14" s="6">
        <v>13.58</v>
      </c>
      <c r="J14" s="6">
        <v>0.12</v>
      </c>
      <c r="K14" s="6">
        <v>201.2</v>
      </c>
      <c r="L14" s="6">
        <v>19.05</v>
      </c>
      <c r="M14" s="6">
        <v>83.38</v>
      </c>
      <c r="N14" s="6">
        <v>0</v>
      </c>
      <c r="O14" s="6">
        <v>0</v>
      </c>
      <c r="P14" s="6">
        <v>1.28</v>
      </c>
      <c r="Q14" s="6">
        <v>5.41</v>
      </c>
    </row>
    <row r="15" spans="1:21" customFormat="1">
      <c r="A15" s="6" t="s">
        <v>1109</v>
      </c>
      <c r="B15" s="6">
        <v>50.1</v>
      </c>
      <c r="C15" s="6">
        <v>34.01</v>
      </c>
      <c r="D15" s="6">
        <v>59.3</v>
      </c>
      <c r="E15" s="6">
        <v>7.2</v>
      </c>
      <c r="F15" s="6">
        <v>2.2999999999999998</v>
      </c>
      <c r="G15" s="6">
        <v>142.11000000000001</v>
      </c>
      <c r="H15" s="6">
        <v>61.42</v>
      </c>
      <c r="I15" s="6">
        <v>13.65</v>
      </c>
      <c r="J15" s="6">
        <v>0.15</v>
      </c>
      <c r="K15" s="6">
        <v>230.6</v>
      </c>
      <c r="L15" s="6">
        <v>18.739999999999998</v>
      </c>
      <c r="M15" s="6">
        <v>85.61</v>
      </c>
      <c r="N15" s="6">
        <v>0</v>
      </c>
      <c r="O15" s="6">
        <v>0</v>
      </c>
      <c r="P15" s="6">
        <v>1.29</v>
      </c>
      <c r="Q15" s="6">
        <v>5.4</v>
      </c>
    </row>
    <row r="16" spans="1:21" customFormat="1">
      <c r="A16" s="6" t="s">
        <v>1110</v>
      </c>
      <c r="B16" s="6">
        <v>51.05</v>
      </c>
      <c r="C16" s="6">
        <v>34.35</v>
      </c>
      <c r="D16" s="6">
        <v>60.24</v>
      </c>
      <c r="E16" s="6">
        <v>7.59</v>
      </c>
      <c r="F16" s="6">
        <v>2.21</v>
      </c>
      <c r="G16" s="6">
        <v>144.61000000000001</v>
      </c>
      <c r="H16" s="6">
        <v>62.52</v>
      </c>
      <c r="I16" s="6">
        <v>13.74</v>
      </c>
      <c r="J16" s="6">
        <v>0.13</v>
      </c>
      <c r="K16" s="6">
        <v>192.51</v>
      </c>
      <c r="L16" s="6">
        <v>18.38</v>
      </c>
      <c r="M16" s="6">
        <v>88.42</v>
      </c>
      <c r="N16" s="6">
        <v>0</v>
      </c>
      <c r="O16" s="6">
        <v>0</v>
      </c>
      <c r="P16" s="6">
        <v>1.29</v>
      </c>
      <c r="Q16" s="6">
        <v>5.41</v>
      </c>
    </row>
    <row r="17" spans="1:17" customFormat="1">
      <c r="A17" s="6" t="s">
        <v>1111</v>
      </c>
      <c r="B17" s="6">
        <v>51.08</v>
      </c>
      <c r="C17" s="6">
        <v>34.659999999999997</v>
      </c>
      <c r="D17" s="6">
        <v>60.42</v>
      </c>
      <c r="E17" s="6">
        <v>6.27</v>
      </c>
      <c r="F17" s="6">
        <v>2.2400000000000002</v>
      </c>
      <c r="G17" s="6">
        <v>155.33000000000001</v>
      </c>
      <c r="H17" s="6">
        <v>65.97</v>
      </c>
      <c r="I17" s="6">
        <v>13.83</v>
      </c>
      <c r="J17" s="6">
        <v>0.17</v>
      </c>
      <c r="K17" s="6">
        <v>165.07</v>
      </c>
      <c r="L17" s="6">
        <v>18.329999999999998</v>
      </c>
      <c r="M17" s="6">
        <v>89.32</v>
      </c>
      <c r="N17" s="6">
        <v>0</v>
      </c>
      <c r="O17" s="6">
        <v>0</v>
      </c>
      <c r="P17" s="6">
        <v>1.29</v>
      </c>
      <c r="Q17" s="6">
        <v>5.41</v>
      </c>
    </row>
    <row r="18" spans="1:17" customFormat="1">
      <c r="A18" s="6" t="s">
        <v>1112</v>
      </c>
      <c r="B18" s="6">
        <v>50.41</v>
      </c>
      <c r="C18" s="6">
        <v>34.19</v>
      </c>
      <c r="D18" s="6">
        <v>59.64</v>
      </c>
      <c r="E18" s="6">
        <v>7.4</v>
      </c>
      <c r="F18" s="6">
        <v>2.1800000000000002</v>
      </c>
      <c r="G18" s="6">
        <v>155.33000000000001</v>
      </c>
      <c r="H18" s="6">
        <v>65.97</v>
      </c>
      <c r="I18" s="6">
        <v>13.85</v>
      </c>
      <c r="J18" s="6">
        <v>0.15</v>
      </c>
      <c r="K18" s="6">
        <v>182.77</v>
      </c>
      <c r="L18" s="6">
        <v>18.329999999999998</v>
      </c>
      <c r="M18" s="6">
        <v>90.31</v>
      </c>
      <c r="N18" s="6">
        <v>0</v>
      </c>
      <c r="O18" s="6">
        <v>0</v>
      </c>
      <c r="P18" s="6">
        <v>1.29</v>
      </c>
      <c r="Q18" s="6">
        <v>5.4</v>
      </c>
    </row>
    <row r="19" spans="1:17" customFormat="1">
      <c r="A19" s="6" t="s">
        <v>1113</v>
      </c>
      <c r="B19" s="6">
        <v>49.86</v>
      </c>
      <c r="C19" s="6">
        <v>33.85</v>
      </c>
      <c r="D19" s="6">
        <v>59.02</v>
      </c>
      <c r="E19" s="6">
        <v>7.36</v>
      </c>
      <c r="F19" s="6">
        <v>2.1800000000000002</v>
      </c>
      <c r="G19" s="6">
        <v>155.33000000000001</v>
      </c>
      <c r="H19" s="6">
        <v>65.97</v>
      </c>
      <c r="I19" s="6">
        <v>13.9</v>
      </c>
      <c r="J19" s="6">
        <v>0.18</v>
      </c>
      <c r="K19" s="6">
        <v>204.75</v>
      </c>
      <c r="L19" s="6">
        <v>18.36</v>
      </c>
      <c r="M19" s="6">
        <v>90.01</v>
      </c>
      <c r="N19" s="6">
        <v>0</v>
      </c>
      <c r="O19" s="6">
        <v>0</v>
      </c>
      <c r="P19" s="6">
        <v>1.29</v>
      </c>
      <c r="Q19" s="6">
        <v>5.4</v>
      </c>
    </row>
    <row r="20" spans="1:17" customFormat="1">
      <c r="A20" s="6" t="s">
        <v>1114</v>
      </c>
      <c r="B20" s="6">
        <v>48.82</v>
      </c>
      <c r="C20" s="6">
        <v>34.24</v>
      </c>
      <c r="D20" s="6">
        <v>58.39</v>
      </c>
      <c r="E20" s="6">
        <v>7.25</v>
      </c>
      <c r="F20" s="6">
        <v>2.23</v>
      </c>
      <c r="G20" s="6">
        <v>148.49</v>
      </c>
      <c r="H20" s="6">
        <v>65.849999999999994</v>
      </c>
      <c r="I20" s="6">
        <v>13.93</v>
      </c>
      <c r="J20" s="6">
        <v>0.12</v>
      </c>
      <c r="K20" s="6">
        <v>145.15</v>
      </c>
      <c r="L20" s="6">
        <v>18.13</v>
      </c>
      <c r="M20" s="6">
        <v>89.44</v>
      </c>
      <c r="N20" s="6">
        <v>0</v>
      </c>
      <c r="O20" s="6">
        <v>0</v>
      </c>
      <c r="P20" s="6">
        <v>1.29</v>
      </c>
      <c r="Q20" s="6">
        <v>5.38</v>
      </c>
    </row>
    <row r="21" spans="1:17" customFormat="1">
      <c r="A21" s="6" t="s">
        <v>1115</v>
      </c>
      <c r="B21" s="6">
        <v>47.08</v>
      </c>
      <c r="C21" s="6">
        <v>34.47</v>
      </c>
      <c r="D21" s="6">
        <v>57.11</v>
      </c>
      <c r="E21" s="6">
        <v>7.45</v>
      </c>
      <c r="F21" s="6">
        <v>2.23</v>
      </c>
      <c r="G21" s="6">
        <v>119.09</v>
      </c>
      <c r="H21" s="6">
        <v>65.48</v>
      </c>
      <c r="I21" s="6">
        <v>13.93</v>
      </c>
      <c r="J21" s="6">
        <v>0.1</v>
      </c>
      <c r="K21" s="6">
        <v>204.42</v>
      </c>
      <c r="L21" s="6">
        <v>17.97</v>
      </c>
      <c r="M21" s="6">
        <v>89.67</v>
      </c>
      <c r="N21" s="6">
        <v>0</v>
      </c>
      <c r="O21" s="6">
        <v>0</v>
      </c>
      <c r="P21" s="6">
        <v>1.28</v>
      </c>
      <c r="Q21" s="6">
        <v>5.34</v>
      </c>
    </row>
    <row r="22" spans="1:17" customFormat="1">
      <c r="A22" s="6" t="s">
        <v>1116</v>
      </c>
      <c r="B22" s="6">
        <v>44.89</v>
      </c>
      <c r="C22" s="6">
        <v>33.96</v>
      </c>
      <c r="D22" s="6">
        <v>55.09</v>
      </c>
      <c r="E22" s="6">
        <v>7.47</v>
      </c>
      <c r="F22" s="6">
        <v>2.2799999999999998</v>
      </c>
      <c r="G22" s="6">
        <v>119.09</v>
      </c>
      <c r="H22" s="6">
        <v>65.48</v>
      </c>
      <c r="I22" s="6">
        <v>13.9</v>
      </c>
      <c r="J22" s="6">
        <v>0.1</v>
      </c>
      <c r="K22" s="6">
        <v>202.91</v>
      </c>
      <c r="L22" s="6">
        <v>18.09</v>
      </c>
      <c r="M22" s="6">
        <v>90.51</v>
      </c>
      <c r="N22" s="6">
        <v>0</v>
      </c>
      <c r="O22" s="6">
        <v>0</v>
      </c>
      <c r="P22" s="6">
        <v>1.27</v>
      </c>
      <c r="Q22" s="6">
        <v>5.32</v>
      </c>
    </row>
    <row r="23" spans="1:17" customFormat="1">
      <c r="A23" s="6" t="s">
        <v>1117</v>
      </c>
      <c r="B23" s="6">
        <v>42.83</v>
      </c>
      <c r="C23" s="6">
        <v>33.119999999999997</v>
      </c>
      <c r="D23" s="6">
        <v>53.01</v>
      </c>
      <c r="E23" s="6">
        <v>7.11</v>
      </c>
      <c r="F23" s="6">
        <v>2.3199999999999998</v>
      </c>
      <c r="G23" s="6">
        <v>119.09</v>
      </c>
      <c r="H23" s="6">
        <v>65.48</v>
      </c>
      <c r="I23" s="6">
        <v>13.83</v>
      </c>
      <c r="J23" s="6">
        <v>0.1</v>
      </c>
      <c r="K23" s="6">
        <v>216.36</v>
      </c>
      <c r="L23" s="6">
        <v>18.21</v>
      </c>
      <c r="M23" s="6">
        <v>90.11</v>
      </c>
      <c r="N23" s="6">
        <v>0</v>
      </c>
      <c r="O23" s="6">
        <v>0</v>
      </c>
      <c r="P23" s="6">
        <v>1.25</v>
      </c>
      <c r="Q23" s="6">
        <v>5.28</v>
      </c>
    </row>
    <row r="24" spans="1:17" customFormat="1">
      <c r="A24" s="6" t="s">
        <v>1118</v>
      </c>
      <c r="B24" s="6">
        <v>41.21</v>
      </c>
      <c r="C24" s="6">
        <v>30.66</v>
      </c>
      <c r="D24" s="6">
        <v>50.42</v>
      </c>
      <c r="E24" s="6">
        <v>7.33</v>
      </c>
      <c r="F24" s="6">
        <v>2.48</v>
      </c>
      <c r="G24" s="6">
        <v>119.23</v>
      </c>
      <c r="H24" s="6">
        <v>64.81</v>
      </c>
      <c r="I24" s="6">
        <v>13.72</v>
      </c>
      <c r="J24" s="6">
        <v>0.14000000000000001</v>
      </c>
      <c r="K24" s="6">
        <v>239.04</v>
      </c>
      <c r="L24" s="6">
        <v>18.100000000000001</v>
      </c>
      <c r="M24" s="6">
        <v>90.38</v>
      </c>
      <c r="N24" s="6">
        <v>0</v>
      </c>
      <c r="O24" s="6">
        <v>0</v>
      </c>
      <c r="P24" s="6">
        <v>1.25</v>
      </c>
      <c r="Q24" s="6">
        <v>5.23</v>
      </c>
    </row>
    <row r="25" spans="1:17" customFormat="1">
      <c r="A25" s="6" t="s">
        <v>1119</v>
      </c>
      <c r="B25" s="6">
        <v>40.01</v>
      </c>
      <c r="C25" s="6">
        <v>27.54</v>
      </c>
      <c r="D25" s="6">
        <v>47.83</v>
      </c>
      <c r="E25" s="6">
        <v>7.27</v>
      </c>
      <c r="F25" s="6">
        <v>2.71</v>
      </c>
      <c r="G25" s="6">
        <v>119.81</v>
      </c>
      <c r="H25" s="6">
        <v>62.71</v>
      </c>
      <c r="I25" s="6">
        <v>13.59</v>
      </c>
      <c r="J25" s="6">
        <v>0.17</v>
      </c>
      <c r="K25" s="6">
        <v>231.72</v>
      </c>
      <c r="L25" s="6">
        <v>17.8</v>
      </c>
      <c r="M25" s="6">
        <v>90.38</v>
      </c>
      <c r="N25" s="6">
        <v>0</v>
      </c>
      <c r="O25" s="6">
        <v>0</v>
      </c>
      <c r="P25" s="6">
        <v>1.22</v>
      </c>
      <c r="Q25" s="6">
        <v>5.23</v>
      </c>
    </row>
    <row r="26" spans="1:17" customFormat="1">
      <c r="A26" s="6" t="s">
        <v>1120</v>
      </c>
      <c r="B26" s="6">
        <v>38.61</v>
      </c>
      <c r="C26" s="6">
        <v>25.65</v>
      </c>
      <c r="D26" s="6">
        <v>45.71</v>
      </c>
      <c r="E26" s="6">
        <v>6.88</v>
      </c>
      <c r="F26" s="6">
        <v>2.66</v>
      </c>
      <c r="G26" s="6">
        <v>119.81</v>
      </c>
      <c r="H26" s="6">
        <v>62.71</v>
      </c>
      <c r="I26" s="6">
        <v>13.47</v>
      </c>
      <c r="J26" s="6">
        <v>0.12</v>
      </c>
      <c r="K26" s="6">
        <v>169.72</v>
      </c>
      <c r="L26" s="6">
        <v>17.77</v>
      </c>
      <c r="M26" s="6">
        <v>91.78</v>
      </c>
      <c r="N26" s="6">
        <v>0</v>
      </c>
      <c r="O26" s="6">
        <v>0</v>
      </c>
      <c r="P26" s="6">
        <v>1.2</v>
      </c>
      <c r="Q26" s="6">
        <v>5.23</v>
      </c>
    </row>
    <row r="27" spans="1:17" customFormat="1">
      <c r="A27" s="6" t="s">
        <v>1121</v>
      </c>
      <c r="B27" s="6">
        <v>37.24</v>
      </c>
      <c r="C27" s="6">
        <v>25.64</v>
      </c>
      <c r="D27" s="6">
        <v>44.61</v>
      </c>
      <c r="E27" s="6">
        <v>7.09</v>
      </c>
      <c r="F27" s="6">
        <v>2.35</v>
      </c>
      <c r="G27" s="6">
        <v>119.81</v>
      </c>
      <c r="H27" s="6">
        <v>62.71</v>
      </c>
      <c r="I27" s="6">
        <v>13.39</v>
      </c>
      <c r="J27" s="6">
        <v>0.03</v>
      </c>
      <c r="K27" s="6">
        <v>178.48</v>
      </c>
      <c r="L27" s="6">
        <v>18.04</v>
      </c>
      <c r="M27" s="6">
        <v>89.99</v>
      </c>
      <c r="N27" s="6">
        <v>0</v>
      </c>
      <c r="O27" s="6">
        <v>0</v>
      </c>
      <c r="P27" s="6">
        <v>1.19</v>
      </c>
      <c r="Q27" s="6">
        <v>5.19</v>
      </c>
    </row>
    <row r="28" spans="1:17" customFormat="1">
      <c r="A28" s="6" t="s">
        <v>1122</v>
      </c>
      <c r="B28" s="6">
        <v>35.99</v>
      </c>
      <c r="C28" s="6">
        <v>26.32</v>
      </c>
      <c r="D28" s="6">
        <v>43.96</v>
      </c>
      <c r="E28" s="6">
        <v>6.82</v>
      </c>
      <c r="F28" s="6">
        <v>2.2400000000000002</v>
      </c>
      <c r="G28" s="6">
        <v>116.61</v>
      </c>
      <c r="H28" s="6">
        <v>61.84</v>
      </c>
      <c r="I28" s="6">
        <v>13.29</v>
      </c>
      <c r="J28" s="6">
        <v>0.1</v>
      </c>
      <c r="K28" s="6">
        <v>175.98</v>
      </c>
      <c r="L28" s="6">
        <v>18.07</v>
      </c>
      <c r="M28" s="6">
        <v>89.72</v>
      </c>
      <c r="N28" s="6">
        <v>0</v>
      </c>
      <c r="O28" s="6">
        <v>0</v>
      </c>
      <c r="P28" s="6">
        <v>1.19</v>
      </c>
      <c r="Q28" s="6">
        <v>5.16</v>
      </c>
    </row>
    <row r="29" spans="1:17" customFormat="1">
      <c r="A29" s="6" t="s">
        <v>1123</v>
      </c>
      <c r="B29" s="6">
        <v>35.049999999999997</v>
      </c>
      <c r="C29" s="6">
        <v>26.63</v>
      </c>
      <c r="D29" s="6">
        <v>43.37</v>
      </c>
      <c r="E29" s="6">
        <v>6.95</v>
      </c>
      <c r="F29" s="6">
        <v>2.2000000000000002</v>
      </c>
      <c r="G29" s="6">
        <v>102.88</v>
      </c>
      <c r="H29" s="6">
        <v>59.12</v>
      </c>
      <c r="I29" s="6">
        <v>13.22</v>
      </c>
      <c r="J29" s="6">
        <v>0.08</v>
      </c>
      <c r="K29" s="6">
        <v>124.96</v>
      </c>
      <c r="L29" s="6">
        <v>18.2</v>
      </c>
      <c r="M29" s="6">
        <v>89.38</v>
      </c>
      <c r="N29" s="6">
        <v>0</v>
      </c>
      <c r="O29" s="6">
        <v>0</v>
      </c>
      <c r="P29" s="6">
        <v>1.18</v>
      </c>
      <c r="Q29" s="6">
        <v>5.17</v>
      </c>
    </row>
    <row r="30" spans="1:17" customFormat="1">
      <c r="A30" s="6" t="s">
        <v>1124</v>
      </c>
      <c r="B30" s="6">
        <v>34.36</v>
      </c>
      <c r="C30" s="6">
        <v>26.62</v>
      </c>
      <c r="D30" s="6">
        <v>42.81</v>
      </c>
      <c r="E30" s="6">
        <v>6.56</v>
      </c>
      <c r="F30" s="6">
        <v>2.2599999999999998</v>
      </c>
      <c r="G30" s="6">
        <v>102.88</v>
      </c>
      <c r="H30" s="6">
        <v>59.12</v>
      </c>
      <c r="I30" s="6">
        <v>13.16</v>
      </c>
      <c r="J30" s="6">
        <v>0.12</v>
      </c>
      <c r="K30" s="6">
        <v>157.77000000000001</v>
      </c>
      <c r="L30" s="6">
        <v>18.309999999999999</v>
      </c>
      <c r="M30" s="6">
        <v>88.93</v>
      </c>
      <c r="N30" s="6">
        <v>0</v>
      </c>
      <c r="O30" s="6">
        <v>0</v>
      </c>
      <c r="P30" s="6">
        <v>1.19</v>
      </c>
      <c r="Q30" s="6">
        <v>5.16</v>
      </c>
    </row>
    <row r="31" spans="1:17" customFormat="1">
      <c r="A31" s="6" t="s">
        <v>1125</v>
      </c>
      <c r="B31" s="6">
        <v>34.549999999999997</v>
      </c>
      <c r="C31" s="6">
        <v>26.92</v>
      </c>
      <c r="D31" s="6">
        <v>43.12</v>
      </c>
      <c r="E31" s="6">
        <v>6.29</v>
      </c>
      <c r="F31" s="6">
        <v>2.3199999999999998</v>
      </c>
      <c r="G31" s="6">
        <v>102.88</v>
      </c>
      <c r="H31" s="6">
        <v>59.12</v>
      </c>
      <c r="I31" s="6">
        <v>13.08</v>
      </c>
      <c r="J31" s="6">
        <v>0.15</v>
      </c>
      <c r="K31" s="6">
        <v>179.29</v>
      </c>
      <c r="L31" s="6">
        <v>18.309999999999999</v>
      </c>
      <c r="M31" s="6">
        <v>89.09</v>
      </c>
      <c r="N31" s="6">
        <v>0</v>
      </c>
      <c r="O31" s="6">
        <v>0</v>
      </c>
      <c r="P31" s="6">
        <v>1.18</v>
      </c>
      <c r="Q31" s="6">
        <v>5.16</v>
      </c>
    </row>
    <row r="32" spans="1:17" customFormat="1">
      <c r="A32" s="6" t="s">
        <v>1126</v>
      </c>
      <c r="B32" s="6">
        <v>33.89</v>
      </c>
      <c r="C32" s="6">
        <v>26.67</v>
      </c>
      <c r="D32" s="6">
        <v>42.46</v>
      </c>
      <c r="E32" s="6">
        <v>6.53</v>
      </c>
      <c r="F32" s="6">
        <v>2.34</v>
      </c>
      <c r="G32" s="6">
        <v>108.4</v>
      </c>
      <c r="H32" s="6">
        <v>59.48</v>
      </c>
      <c r="I32" s="6">
        <v>13.05</v>
      </c>
      <c r="J32" s="6">
        <v>-0.19</v>
      </c>
      <c r="K32" s="6">
        <v>-0.06</v>
      </c>
      <c r="L32" s="6">
        <v>18.170000000000002</v>
      </c>
      <c r="M32" s="6">
        <v>90.56</v>
      </c>
      <c r="N32" s="6">
        <v>0</v>
      </c>
      <c r="O32" s="6">
        <v>0</v>
      </c>
      <c r="P32" s="6">
        <v>1.17</v>
      </c>
      <c r="Q32" s="6">
        <v>5.15</v>
      </c>
    </row>
    <row r="33" spans="1:17" customFormat="1">
      <c r="A33" s="6" t="s">
        <v>1127</v>
      </c>
      <c r="B33" s="6">
        <v>33.01</v>
      </c>
      <c r="C33" s="6">
        <v>24.59</v>
      </c>
      <c r="D33" s="6">
        <v>40.67</v>
      </c>
      <c r="E33" s="6">
        <v>6.83</v>
      </c>
      <c r="F33" s="6">
        <v>2.4500000000000002</v>
      </c>
      <c r="G33" s="6">
        <v>132.08000000000001</v>
      </c>
      <c r="H33" s="6">
        <v>61.31</v>
      </c>
      <c r="I33" s="6">
        <v>12.97</v>
      </c>
      <c r="J33" s="6">
        <v>0.15</v>
      </c>
      <c r="K33" s="6">
        <v>208.01</v>
      </c>
      <c r="L33" s="6">
        <v>17.87</v>
      </c>
      <c r="M33" s="6">
        <v>90.08</v>
      </c>
      <c r="N33" s="6">
        <v>0</v>
      </c>
      <c r="O33" s="6">
        <v>0</v>
      </c>
      <c r="P33" s="6">
        <v>1.1499999999999999</v>
      </c>
      <c r="Q33" s="6">
        <v>5.17</v>
      </c>
    </row>
    <row r="34" spans="1:17" customFormat="1">
      <c r="A34" s="6" t="s">
        <v>1128</v>
      </c>
      <c r="B34" s="6">
        <v>31.88</v>
      </c>
      <c r="C34" s="6">
        <v>24.88</v>
      </c>
      <c r="D34" s="6">
        <v>39.909999999999997</v>
      </c>
      <c r="E34" s="6">
        <v>6.38</v>
      </c>
      <c r="F34" s="6">
        <v>2.25</v>
      </c>
      <c r="G34" s="6">
        <v>132.08000000000001</v>
      </c>
      <c r="H34" s="6">
        <v>61.31</v>
      </c>
      <c r="I34" s="6">
        <v>12.9</v>
      </c>
      <c r="J34" s="6">
        <v>0.14000000000000001</v>
      </c>
      <c r="K34" s="6">
        <v>198.36</v>
      </c>
      <c r="L34" s="6">
        <v>17.809999999999999</v>
      </c>
      <c r="M34" s="6">
        <v>91.06</v>
      </c>
      <c r="N34" s="6">
        <v>0</v>
      </c>
      <c r="O34" s="6">
        <v>0</v>
      </c>
      <c r="P34" s="6">
        <v>1.1299999999999999</v>
      </c>
      <c r="Q34" s="6">
        <v>5.13</v>
      </c>
    </row>
    <row r="35" spans="1:17" customFormat="1">
      <c r="A35" s="6" t="s">
        <v>1129</v>
      </c>
      <c r="B35" s="6">
        <v>30.7</v>
      </c>
      <c r="C35" s="6">
        <v>23.93</v>
      </c>
      <c r="D35" s="6">
        <v>38.47</v>
      </c>
      <c r="E35" s="6">
        <v>6.18</v>
      </c>
      <c r="F35" s="6">
        <v>2.33</v>
      </c>
      <c r="G35" s="6">
        <v>132.08000000000001</v>
      </c>
      <c r="H35" s="6">
        <v>61.31</v>
      </c>
      <c r="I35" s="6">
        <v>12.87</v>
      </c>
      <c r="J35" s="6">
        <v>0.09</v>
      </c>
      <c r="K35" s="6">
        <v>241.71</v>
      </c>
      <c r="L35" s="6">
        <v>17.559999999999999</v>
      </c>
      <c r="M35" s="6">
        <v>92.91</v>
      </c>
      <c r="N35" s="6">
        <v>0</v>
      </c>
      <c r="O35" s="6">
        <v>0</v>
      </c>
      <c r="P35" s="6">
        <v>1.1200000000000001</v>
      </c>
      <c r="Q35" s="6">
        <v>5.15</v>
      </c>
    </row>
    <row r="36" spans="1:17" customFormat="1">
      <c r="A36" s="6" t="s">
        <v>1130</v>
      </c>
      <c r="B36" s="6">
        <v>29.37</v>
      </c>
      <c r="C36" s="6">
        <v>24.58</v>
      </c>
      <c r="D36" s="6">
        <v>37.74</v>
      </c>
      <c r="E36" s="6">
        <v>6.35</v>
      </c>
      <c r="F36" s="6">
        <v>2.19</v>
      </c>
      <c r="G36" s="6">
        <v>128.21</v>
      </c>
      <c r="H36" s="6">
        <v>60.63</v>
      </c>
      <c r="I36" s="6">
        <v>12.8</v>
      </c>
      <c r="J36" s="6">
        <v>0.1</v>
      </c>
      <c r="K36" s="6">
        <v>237.57</v>
      </c>
      <c r="L36" s="6">
        <v>17.559999999999999</v>
      </c>
      <c r="M36" s="6">
        <v>92.49</v>
      </c>
      <c r="N36" s="6">
        <v>1.2</v>
      </c>
      <c r="O36" s="6">
        <v>0</v>
      </c>
      <c r="P36" s="6">
        <v>1.1200000000000001</v>
      </c>
      <c r="Q36" s="6">
        <v>5.13</v>
      </c>
    </row>
    <row r="37" spans="1:17" customFormat="1">
      <c r="A37" s="6" t="s">
        <v>1131</v>
      </c>
      <c r="B37" s="6">
        <v>28.21</v>
      </c>
      <c r="C37" s="6">
        <v>24.74</v>
      </c>
      <c r="D37" s="6">
        <v>36.9</v>
      </c>
      <c r="E37" s="6">
        <v>6.92</v>
      </c>
      <c r="F37" s="6">
        <v>2.34</v>
      </c>
      <c r="G37" s="6">
        <v>111.59</v>
      </c>
      <c r="H37" s="6">
        <v>58.51</v>
      </c>
      <c r="I37" s="6">
        <v>12.71</v>
      </c>
      <c r="J37" s="6">
        <v>0.12</v>
      </c>
      <c r="K37" s="6">
        <v>229.17</v>
      </c>
      <c r="L37" s="6">
        <v>17.87</v>
      </c>
      <c r="M37" s="6">
        <v>90.64</v>
      </c>
      <c r="N37" s="6">
        <v>16.5</v>
      </c>
      <c r="O37" s="6">
        <v>0</v>
      </c>
      <c r="P37" s="6">
        <v>1.1100000000000001</v>
      </c>
      <c r="Q37" s="6">
        <v>5.14</v>
      </c>
    </row>
    <row r="38" spans="1:17" customFormat="1">
      <c r="A38" s="6" t="s">
        <v>1132</v>
      </c>
      <c r="B38" s="6">
        <v>26.94</v>
      </c>
      <c r="C38" s="6">
        <v>24.09</v>
      </c>
      <c r="D38" s="6">
        <v>35.54</v>
      </c>
      <c r="E38" s="6">
        <v>6.32</v>
      </c>
      <c r="F38" s="6">
        <v>2.35</v>
      </c>
      <c r="G38" s="6">
        <v>111.59</v>
      </c>
      <c r="H38" s="6">
        <v>58.51</v>
      </c>
      <c r="I38" s="6">
        <v>12.6</v>
      </c>
      <c r="J38" s="6">
        <v>0.13</v>
      </c>
      <c r="K38" s="6">
        <v>186.43</v>
      </c>
      <c r="L38" s="6">
        <v>18.75</v>
      </c>
      <c r="M38" s="6">
        <v>87.57</v>
      </c>
      <c r="N38" s="6">
        <v>28.2</v>
      </c>
      <c r="O38" s="6">
        <v>0</v>
      </c>
      <c r="P38" s="6">
        <v>1.1000000000000001</v>
      </c>
      <c r="Q38" s="6">
        <v>5.14</v>
      </c>
    </row>
    <row r="39" spans="1:17" customFormat="1">
      <c r="A39" s="6" t="s">
        <v>1133</v>
      </c>
      <c r="B39" s="6">
        <v>25.74</v>
      </c>
      <c r="C39" s="6">
        <v>24.34</v>
      </c>
      <c r="D39" s="6">
        <v>34.71</v>
      </c>
      <c r="E39" s="6">
        <v>6.56</v>
      </c>
      <c r="F39" s="6">
        <v>2.35</v>
      </c>
      <c r="G39" s="6">
        <v>111.59</v>
      </c>
      <c r="H39" s="6">
        <v>58.51</v>
      </c>
      <c r="I39" s="6">
        <v>12.55</v>
      </c>
      <c r="J39" s="6">
        <v>0.13</v>
      </c>
      <c r="K39" s="6">
        <v>219.83</v>
      </c>
      <c r="L39" s="6">
        <v>19.27</v>
      </c>
      <c r="M39" s="6">
        <v>83.59</v>
      </c>
      <c r="N39" s="6">
        <v>25.1</v>
      </c>
      <c r="O39" s="6">
        <v>0</v>
      </c>
      <c r="P39" s="6">
        <v>1.0900000000000001</v>
      </c>
      <c r="Q39" s="6">
        <v>5.13</v>
      </c>
    </row>
    <row r="40" spans="1:17" customFormat="1">
      <c r="A40" s="6" t="s">
        <v>1134</v>
      </c>
      <c r="B40" s="6">
        <v>24.42</v>
      </c>
      <c r="C40" s="6">
        <v>23.98</v>
      </c>
      <c r="D40" s="6">
        <v>33.46</v>
      </c>
      <c r="E40" s="6">
        <v>6.26</v>
      </c>
      <c r="F40" s="6">
        <v>2.4</v>
      </c>
      <c r="G40" s="6">
        <v>110.49</v>
      </c>
      <c r="H40" s="6">
        <v>58.54</v>
      </c>
      <c r="I40" s="6">
        <v>12.54</v>
      </c>
      <c r="J40" s="6">
        <v>0.24</v>
      </c>
      <c r="K40" s="6">
        <v>303.33</v>
      </c>
      <c r="L40" s="6">
        <v>19.690000000000001</v>
      </c>
      <c r="M40" s="6">
        <v>80.84</v>
      </c>
      <c r="N40" s="6">
        <v>39.6</v>
      </c>
      <c r="O40" s="6">
        <v>0</v>
      </c>
      <c r="P40" s="6">
        <v>1.08</v>
      </c>
      <c r="Q40" s="6">
        <v>5.12</v>
      </c>
    </row>
    <row r="41" spans="1:17" customFormat="1">
      <c r="A41" s="6" t="s">
        <v>1135</v>
      </c>
      <c r="B41" s="6">
        <v>23.42</v>
      </c>
      <c r="C41" s="6">
        <v>25.07</v>
      </c>
      <c r="D41" s="6">
        <v>33.24</v>
      </c>
      <c r="E41" s="6">
        <v>6.31</v>
      </c>
      <c r="F41" s="6">
        <v>2.39</v>
      </c>
      <c r="G41" s="6">
        <v>105.76</v>
      </c>
      <c r="H41" s="6">
        <v>58.62</v>
      </c>
      <c r="I41" s="6">
        <v>12.47</v>
      </c>
      <c r="J41" s="6">
        <v>0.39</v>
      </c>
      <c r="K41" s="6">
        <v>287.57</v>
      </c>
      <c r="L41" s="6">
        <v>20.04</v>
      </c>
      <c r="M41" s="6">
        <v>77.75</v>
      </c>
      <c r="N41" s="6">
        <v>49.3</v>
      </c>
      <c r="O41" s="6">
        <v>0</v>
      </c>
      <c r="P41" s="6">
        <v>1.08</v>
      </c>
      <c r="Q41" s="6">
        <v>5.0999999999999996</v>
      </c>
    </row>
    <row r="42" spans="1:17" customFormat="1">
      <c r="A42" s="6" t="s">
        <v>1136</v>
      </c>
      <c r="B42" s="6">
        <v>22.8</v>
      </c>
      <c r="C42" s="6">
        <v>24.78</v>
      </c>
      <c r="D42" s="6">
        <v>32.58</v>
      </c>
      <c r="E42" s="6">
        <v>6.61</v>
      </c>
      <c r="F42" s="6">
        <v>2.41</v>
      </c>
      <c r="G42" s="6">
        <v>105.76</v>
      </c>
      <c r="H42" s="6">
        <v>58.62</v>
      </c>
      <c r="I42" s="6">
        <v>12.36</v>
      </c>
      <c r="J42" s="6">
        <v>0.36</v>
      </c>
      <c r="K42" s="6">
        <v>286.17</v>
      </c>
      <c r="L42" s="6">
        <v>20.57</v>
      </c>
      <c r="M42" s="6">
        <v>75.540000000000006</v>
      </c>
      <c r="N42" s="6">
        <v>62.6</v>
      </c>
      <c r="O42" s="6">
        <v>0</v>
      </c>
      <c r="P42" s="6">
        <v>1.08</v>
      </c>
      <c r="Q42" s="6">
        <v>5.1100000000000003</v>
      </c>
    </row>
    <row r="43" spans="1:17" customFormat="1">
      <c r="A43" s="6" t="s">
        <v>1137</v>
      </c>
      <c r="B43" s="6">
        <v>21.68</v>
      </c>
      <c r="C43" s="6">
        <v>24.58</v>
      </c>
      <c r="D43" s="6">
        <v>31.58</v>
      </c>
      <c r="E43" s="6">
        <v>6.85</v>
      </c>
      <c r="F43" s="6">
        <v>2.44</v>
      </c>
      <c r="G43" s="6">
        <v>105.76</v>
      </c>
      <c r="H43" s="6">
        <v>58.62</v>
      </c>
      <c r="I43" s="6">
        <v>12.32</v>
      </c>
      <c r="J43" s="6">
        <v>0.35</v>
      </c>
      <c r="K43" s="6">
        <v>269.27999999999997</v>
      </c>
      <c r="L43" s="6">
        <v>21.08</v>
      </c>
      <c r="M43" s="6">
        <v>73.17</v>
      </c>
      <c r="N43" s="6">
        <v>65.900000000000006</v>
      </c>
      <c r="O43" s="6">
        <v>0</v>
      </c>
      <c r="P43" s="6">
        <v>1.08</v>
      </c>
      <c r="Q43" s="6">
        <v>5.09</v>
      </c>
    </row>
    <row r="44" spans="1:17" customFormat="1">
      <c r="A44" s="6" t="s">
        <v>1138</v>
      </c>
      <c r="B44" s="6">
        <v>19.809999999999999</v>
      </c>
      <c r="C44" s="6">
        <v>25.23</v>
      </c>
      <c r="D44" s="6">
        <v>30.42</v>
      </c>
      <c r="E44" s="6">
        <v>6.61</v>
      </c>
      <c r="F44" s="6">
        <v>2.5299999999999998</v>
      </c>
      <c r="G44" s="6">
        <v>104.13</v>
      </c>
      <c r="H44" s="6">
        <v>58.21</v>
      </c>
      <c r="I44" s="6">
        <v>12.28</v>
      </c>
      <c r="J44" s="6">
        <v>0.23</v>
      </c>
      <c r="K44" s="6">
        <v>262.7</v>
      </c>
      <c r="L44" s="6">
        <v>21.37</v>
      </c>
      <c r="M44" s="6">
        <v>71.27</v>
      </c>
      <c r="N44" s="6">
        <v>58.9</v>
      </c>
      <c r="O44" s="6">
        <v>0</v>
      </c>
      <c r="P44" s="6">
        <v>1.07</v>
      </c>
      <c r="Q44" s="6">
        <v>5.08</v>
      </c>
    </row>
    <row r="45" spans="1:17" customFormat="1">
      <c r="A45" s="6" t="s">
        <v>1139</v>
      </c>
      <c r="B45" s="6">
        <v>17.91</v>
      </c>
      <c r="C45" s="6">
        <v>26.15</v>
      </c>
      <c r="D45" s="6">
        <v>29.38</v>
      </c>
      <c r="E45" s="6">
        <v>6.74</v>
      </c>
      <c r="F45" s="6">
        <v>2.57</v>
      </c>
      <c r="G45" s="6">
        <v>97.14</v>
      </c>
      <c r="H45" s="6">
        <v>56.94</v>
      </c>
      <c r="I45" s="6">
        <v>12.19</v>
      </c>
      <c r="J45" s="6">
        <v>0.28000000000000003</v>
      </c>
      <c r="K45" s="6">
        <v>284.39999999999998</v>
      </c>
      <c r="L45" s="6">
        <v>21.81</v>
      </c>
      <c r="M45" s="6">
        <v>70.819999999999993</v>
      </c>
      <c r="N45" s="6">
        <v>67</v>
      </c>
      <c r="O45" s="6">
        <v>0</v>
      </c>
      <c r="P45" s="6">
        <v>1.06</v>
      </c>
      <c r="Q45" s="6">
        <v>5.04</v>
      </c>
    </row>
    <row r="46" spans="1:17" customFormat="1">
      <c r="A46" s="6" t="s">
        <v>1140</v>
      </c>
      <c r="B46" s="6">
        <v>16.239999999999998</v>
      </c>
      <c r="C46" s="6">
        <v>26.55</v>
      </c>
      <c r="D46" s="6">
        <v>28.24</v>
      </c>
      <c r="E46" s="6">
        <v>6.66</v>
      </c>
      <c r="F46" s="6">
        <v>2.59</v>
      </c>
      <c r="G46" s="6">
        <v>97.14</v>
      </c>
      <c r="H46" s="6">
        <v>56.94</v>
      </c>
      <c r="I46" s="6">
        <v>12.05</v>
      </c>
      <c r="J46" s="6">
        <v>0.24</v>
      </c>
      <c r="K46" s="6">
        <v>339.27</v>
      </c>
      <c r="L46" s="6">
        <v>22.32</v>
      </c>
      <c r="M46" s="6">
        <v>68.36</v>
      </c>
      <c r="N46" s="6">
        <v>96.5</v>
      </c>
      <c r="O46" s="6">
        <v>0</v>
      </c>
      <c r="P46" s="6">
        <v>1.06</v>
      </c>
      <c r="Q46" s="6">
        <v>5.0199999999999996</v>
      </c>
    </row>
    <row r="47" spans="1:17" customFormat="1">
      <c r="A47" s="6" t="s">
        <v>1141</v>
      </c>
      <c r="B47" s="6">
        <v>14.84</v>
      </c>
      <c r="C47" s="6">
        <v>27.35</v>
      </c>
      <c r="D47" s="6">
        <v>27.54</v>
      </c>
      <c r="E47" s="6">
        <v>6.46</v>
      </c>
      <c r="F47" s="6">
        <v>2.64</v>
      </c>
      <c r="G47" s="6">
        <v>97.14</v>
      </c>
      <c r="H47" s="6">
        <v>56.94</v>
      </c>
      <c r="I47" s="6">
        <v>11.92</v>
      </c>
      <c r="J47" s="6">
        <v>0.25</v>
      </c>
      <c r="K47" s="6">
        <v>352.64</v>
      </c>
      <c r="L47" s="6">
        <v>23.03</v>
      </c>
      <c r="M47" s="6">
        <v>66.34</v>
      </c>
      <c r="N47" s="6">
        <v>100.6</v>
      </c>
      <c r="O47" s="6">
        <v>0</v>
      </c>
      <c r="P47" s="6">
        <v>1.07</v>
      </c>
      <c r="Q47" s="6">
        <v>4.97</v>
      </c>
    </row>
    <row r="48" spans="1:17" customFormat="1">
      <c r="A48" s="6" t="s">
        <v>1142</v>
      </c>
      <c r="B48" s="6">
        <v>13.92</v>
      </c>
      <c r="C48" s="6">
        <v>28.16</v>
      </c>
      <c r="D48" s="6">
        <v>27.23</v>
      </c>
      <c r="E48" s="6">
        <v>6.95</v>
      </c>
      <c r="F48" s="6">
        <v>2.68</v>
      </c>
      <c r="G48" s="6">
        <v>101.64</v>
      </c>
      <c r="H48" s="6">
        <v>57.57</v>
      </c>
      <c r="I48" s="6">
        <v>11.88</v>
      </c>
      <c r="J48" s="6">
        <v>0.26</v>
      </c>
      <c r="K48" s="6">
        <v>347.59</v>
      </c>
      <c r="L48" s="6">
        <v>23.61</v>
      </c>
      <c r="M48" s="6">
        <v>64.17</v>
      </c>
      <c r="N48" s="6">
        <v>140.80000000000001</v>
      </c>
      <c r="O48" s="6">
        <v>0</v>
      </c>
      <c r="P48" s="6">
        <v>1.0900000000000001</v>
      </c>
      <c r="Q48" s="6">
        <v>4.95</v>
      </c>
    </row>
    <row r="49" spans="1:17" customFormat="1">
      <c r="A49" s="6" t="s">
        <v>1143</v>
      </c>
      <c r="B49" s="6">
        <v>12.64</v>
      </c>
      <c r="C49" s="6">
        <v>28.86</v>
      </c>
      <c r="D49" s="6">
        <v>26.56</v>
      </c>
      <c r="E49" s="6">
        <v>4.96</v>
      </c>
      <c r="F49" s="6">
        <v>2.71</v>
      </c>
      <c r="G49" s="6">
        <v>120.96</v>
      </c>
      <c r="H49" s="6">
        <v>59.53</v>
      </c>
      <c r="I49" s="6">
        <v>11.86</v>
      </c>
      <c r="J49" s="6">
        <v>0.24</v>
      </c>
      <c r="K49" s="6">
        <v>352.4</v>
      </c>
      <c r="L49" s="6">
        <v>24.63</v>
      </c>
      <c r="M49" s="6">
        <v>60.83</v>
      </c>
      <c r="N49" s="6">
        <v>207.3</v>
      </c>
      <c r="O49" s="6">
        <v>0</v>
      </c>
      <c r="P49" s="6">
        <v>1.1100000000000001</v>
      </c>
      <c r="Q49" s="6">
        <v>4.95</v>
      </c>
    </row>
    <row r="50" spans="1:17" customFormat="1">
      <c r="A50" s="6" t="s">
        <v>1144</v>
      </c>
      <c r="B50" s="6">
        <v>11.13</v>
      </c>
      <c r="C50" s="6">
        <v>29.05</v>
      </c>
      <c r="D50" s="6">
        <v>25.45</v>
      </c>
      <c r="E50" s="6">
        <v>5.74</v>
      </c>
      <c r="F50" s="6">
        <v>2.94</v>
      </c>
      <c r="G50" s="6">
        <v>120.96</v>
      </c>
      <c r="H50" s="6">
        <v>59.53</v>
      </c>
      <c r="I50" s="6">
        <v>11.88</v>
      </c>
      <c r="J50" s="6">
        <v>0.2</v>
      </c>
      <c r="K50" s="6">
        <v>328.86</v>
      </c>
      <c r="L50" s="6">
        <v>25.14</v>
      </c>
      <c r="M50" s="6">
        <v>58.92</v>
      </c>
      <c r="N50" s="6">
        <v>238.1</v>
      </c>
      <c r="O50" s="6">
        <v>0</v>
      </c>
      <c r="P50" s="6">
        <v>1.1100000000000001</v>
      </c>
      <c r="Q50" s="6">
        <v>4.93</v>
      </c>
    </row>
    <row r="51" spans="1:17" customFormat="1">
      <c r="A51" s="6" t="s">
        <v>1145</v>
      </c>
      <c r="B51" s="6">
        <v>9.59</v>
      </c>
      <c r="C51" s="6">
        <v>29.38</v>
      </c>
      <c r="D51" s="6">
        <v>24.39</v>
      </c>
      <c r="E51" s="6">
        <v>6</v>
      </c>
      <c r="F51" s="6">
        <v>3.13</v>
      </c>
      <c r="G51" s="6">
        <v>120.96</v>
      </c>
      <c r="H51" s="6">
        <v>59.53</v>
      </c>
      <c r="I51" s="6">
        <v>11.88</v>
      </c>
      <c r="J51" s="6">
        <v>0.25</v>
      </c>
      <c r="K51" s="6">
        <v>30.12</v>
      </c>
      <c r="L51" s="6">
        <v>26.07</v>
      </c>
      <c r="M51" s="6">
        <v>55.18</v>
      </c>
      <c r="N51" s="6">
        <v>284.5</v>
      </c>
      <c r="O51" s="6">
        <v>0</v>
      </c>
      <c r="P51" s="6">
        <v>1.1100000000000001</v>
      </c>
      <c r="Q51" s="6">
        <v>4.91</v>
      </c>
    </row>
    <row r="52" spans="1:17" customFormat="1">
      <c r="A52" s="6" t="s">
        <v>1146</v>
      </c>
      <c r="B52" s="6">
        <v>8.2899999999999991</v>
      </c>
      <c r="C52" s="6">
        <v>29.62</v>
      </c>
      <c r="D52" s="6">
        <v>23.48</v>
      </c>
      <c r="E52" s="6">
        <v>5.46</v>
      </c>
      <c r="F52" s="6">
        <v>3.17</v>
      </c>
      <c r="G52" s="6">
        <v>119.07</v>
      </c>
      <c r="H52" s="6">
        <v>59.35</v>
      </c>
      <c r="I52" s="6">
        <v>11.85</v>
      </c>
      <c r="J52" s="6">
        <v>0.31</v>
      </c>
      <c r="K52" s="6">
        <v>76.66</v>
      </c>
      <c r="L52" s="6">
        <v>27.16</v>
      </c>
      <c r="M52" s="6">
        <v>50.76</v>
      </c>
      <c r="N52" s="6">
        <v>352</v>
      </c>
      <c r="O52" s="6">
        <v>0</v>
      </c>
      <c r="P52" s="6">
        <v>1.1000000000000001</v>
      </c>
      <c r="Q52" s="6">
        <v>4.8899999999999997</v>
      </c>
    </row>
    <row r="53" spans="1:17" customFormat="1">
      <c r="A53" s="6" t="s">
        <v>1147</v>
      </c>
      <c r="B53" s="6">
        <v>7.15</v>
      </c>
      <c r="C53" s="6">
        <v>29.48</v>
      </c>
      <c r="D53" s="6">
        <v>22.49</v>
      </c>
      <c r="E53" s="6">
        <v>5.84</v>
      </c>
      <c r="F53" s="6">
        <v>3.99</v>
      </c>
      <c r="G53" s="6">
        <v>110.97</v>
      </c>
      <c r="H53" s="6">
        <v>58.78</v>
      </c>
      <c r="I53" s="6">
        <v>11.77</v>
      </c>
      <c r="J53" s="6">
        <v>0.15</v>
      </c>
      <c r="K53" s="6">
        <v>331.39</v>
      </c>
      <c r="L53" s="6">
        <v>27.87</v>
      </c>
      <c r="M53" s="6">
        <v>48.09</v>
      </c>
      <c r="N53" s="6">
        <v>348.7</v>
      </c>
      <c r="O53" s="6">
        <v>0</v>
      </c>
      <c r="P53" s="6">
        <v>1.0900000000000001</v>
      </c>
      <c r="Q53" s="6">
        <v>4.84</v>
      </c>
    </row>
    <row r="54" spans="1:17" customFormat="1">
      <c r="A54" s="6" t="s">
        <v>1148</v>
      </c>
      <c r="B54" s="6">
        <v>6.24</v>
      </c>
      <c r="C54" s="6">
        <v>28.99</v>
      </c>
      <c r="D54" s="6">
        <v>21.5</v>
      </c>
      <c r="E54" s="6">
        <v>6.32</v>
      </c>
      <c r="F54" s="6">
        <v>5.54</v>
      </c>
      <c r="G54" s="6">
        <v>110.97</v>
      </c>
      <c r="H54" s="6">
        <v>58.78</v>
      </c>
      <c r="I54" s="6">
        <v>11.65</v>
      </c>
      <c r="J54" s="6">
        <v>0.56999999999999995</v>
      </c>
      <c r="K54" s="6">
        <v>42.48</v>
      </c>
      <c r="L54" s="6">
        <v>28.21</v>
      </c>
      <c r="M54" s="6">
        <v>46.15</v>
      </c>
      <c r="N54" s="6">
        <v>313</v>
      </c>
      <c r="O54" s="6">
        <v>0</v>
      </c>
      <c r="P54" s="6">
        <v>1.07</v>
      </c>
      <c r="Q54" s="6">
        <v>4.83</v>
      </c>
    </row>
    <row r="55" spans="1:17" customFormat="1">
      <c r="A55" s="6" t="s">
        <v>1149</v>
      </c>
      <c r="B55" s="6">
        <v>5.63</v>
      </c>
      <c r="C55" s="6">
        <v>28.64</v>
      </c>
      <c r="D55" s="6">
        <v>20.82</v>
      </c>
      <c r="E55" s="6">
        <v>6.19</v>
      </c>
      <c r="F55" s="6">
        <v>5.42</v>
      </c>
      <c r="G55" s="6">
        <v>110.97</v>
      </c>
      <c r="H55" s="6">
        <v>58.78</v>
      </c>
      <c r="I55" s="6">
        <v>11.48</v>
      </c>
      <c r="J55" s="6">
        <v>0.23</v>
      </c>
      <c r="K55" s="6">
        <v>354.35</v>
      </c>
      <c r="L55" s="6">
        <v>28.36</v>
      </c>
      <c r="M55" s="6">
        <v>45.3</v>
      </c>
      <c r="N55" s="6">
        <v>354</v>
      </c>
      <c r="O55" s="6">
        <v>0</v>
      </c>
      <c r="P55" s="6">
        <v>1.06</v>
      </c>
      <c r="Q55" s="6">
        <v>4.8</v>
      </c>
    </row>
    <row r="56" spans="1:17" customFormat="1">
      <c r="A56" s="6" t="s">
        <v>1150</v>
      </c>
      <c r="B56" s="6">
        <v>5.16</v>
      </c>
      <c r="C56" s="6">
        <v>28.01</v>
      </c>
      <c r="D56" s="6">
        <v>20.13</v>
      </c>
      <c r="E56" s="6">
        <v>6.5</v>
      </c>
      <c r="F56" s="6">
        <v>7.23</v>
      </c>
      <c r="G56" s="6">
        <v>109.78</v>
      </c>
      <c r="H56" s="6">
        <v>57.98</v>
      </c>
      <c r="I56" s="6">
        <v>11.31</v>
      </c>
      <c r="J56" s="6">
        <v>0.42</v>
      </c>
      <c r="K56" s="6">
        <v>14.13</v>
      </c>
      <c r="L56" s="6">
        <v>28.57</v>
      </c>
      <c r="M56" s="6">
        <v>43.54</v>
      </c>
      <c r="N56" s="6">
        <v>372.4</v>
      </c>
      <c r="O56" s="6">
        <v>0</v>
      </c>
      <c r="P56" s="6">
        <v>1.04</v>
      </c>
      <c r="Q56" s="6">
        <v>4.78</v>
      </c>
    </row>
    <row r="57" spans="1:17" customFormat="1">
      <c r="A57" s="6" t="s">
        <v>1151</v>
      </c>
      <c r="B57" s="6">
        <v>4.93</v>
      </c>
      <c r="C57" s="6">
        <v>27.3</v>
      </c>
      <c r="D57" s="6">
        <v>19.57</v>
      </c>
      <c r="E57" s="6">
        <v>6.36</v>
      </c>
      <c r="F57" s="6">
        <v>5.65</v>
      </c>
      <c r="G57" s="6">
        <v>104.67</v>
      </c>
      <c r="H57" s="6">
        <v>53.97</v>
      </c>
      <c r="I57" s="6">
        <v>11.12</v>
      </c>
      <c r="J57" s="6">
        <v>0.62</v>
      </c>
      <c r="K57" s="6">
        <v>273.08</v>
      </c>
      <c r="L57" s="6">
        <v>28.73</v>
      </c>
      <c r="M57" s="6">
        <v>42.56</v>
      </c>
      <c r="N57" s="6">
        <v>376.7</v>
      </c>
      <c r="O57" s="6">
        <v>0</v>
      </c>
      <c r="P57" s="6">
        <v>1.03</v>
      </c>
      <c r="Q57" s="6">
        <v>4.7699999999999996</v>
      </c>
    </row>
    <row r="58" spans="1:17" customFormat="1">
      <c r="A58" s="6" t="s">
        <v>1152</v>
      </c>
      <c r="B58" s="6">
        <v>4.66</v>
      </c>
      <c r="C58" s="6">
        <v>26.83</v>
      </c>
      <c r="D58" s="6">
        <v>19.100000000000001</v>
      </c>
      <c r="E58" s="6">
        <v>6.57</v>
      </c>
      <c r="F58" s="6">
        <v>5.35</v>
      </c>
      <c r="G58" s="6">
        <v>104.67</v>
      </c>
      <c r="H58" s="6">
        <v>53.97</v>
      </c>
      <c r="I58" s="6">
        <v>10.9</v>
      </c>
      <c r="J58" s="6">
        <v>0.28000000000000003</v>
      </c>
      <c r="K58" s="6">
        <v>336.4</v>
      </c>
      <c r="L58" s="6">
        <v>29.25</v>
      </c>
      <c r="M58" s="6">
        <v>41.61</v>
      </c>
      <c r="N58" s="6">
        <v>342.4</v>
      </c>
      <c r="O58" s="6">
        <v>0</v>
      </c>
      <c r="P58" s="6">
        <v>1.01</v>
      </c>
      <c r="Q58" s="6">
        <v>4.76</v>
      </c>
    </row>
    <row r="59" spans="1:17" customFormat="1">
      <c r="A59" s="6" t="s">
        <v>1153</v>
      </c>
      <c r="B59" s="6">
        <v>4.55</v>
      </c>
      <c r="C59" s="6">
        <v>26.76</v>
      </c>
      <c r="D59" s="6">
        <v>18.989999999999998</v>
      </c>
      <c r="E59" s="6">
        <v>7.26</v>
      </c>
      <c r="F59" s="6">
        <v>5.78</v>
      </c>
      <c r="G59" s="6">
        <v>104.67</v>
      </c>
      <c r="H59" s="6">
        <v>53.97</v>
      </c>
      <c r="I59" s="6">
        <v>10.78</v>
      </c>
      <c r="J59" s="6">
        <v>0.22</v>
      </c>
      <c r="K59" s="6">
        <v>327.94</v>
      </c>
      <c r="L59" s="6">
        <v>29.29</v>
      </c>
      <c r="M59" s="6">
        <v>42.29</v>
      </c>
      <c r="N59" s="6">
        <v>303.8</v>
      </c>
      <c r="O59" s="6">
        <v>0</v>
      </c>
      <c r="P59" s="6">
        <v>1.01</v>
      </c>
      <c r="Q59" s="6">
        <v>4.7699999999999996</v>
      </c>
    </row>
    <row r="60" spans="1:17" customFormat="1">
      <c r="A60" s="6" t="s">
        <v>1154</v>
      </c>
      <c r="B60" s="6">
        <v>4.63</v>
      </c>
      <c r="C60" s="6">
        <v>26.74</v>
      </c>
      <c r="D60" s="6">
        <v>19.03</v>
      </c>
      <c r="E60" s="6">
        <v>7.92</v>
      </c>
      <c r="F60" s="6">
        <v>7.3</v>
      </c>
      <c r="G60" s="6">
        <v>106.09</v>
      </c>
      <c r="H60" s="6">
        <v>54.01</v>
      </c>
      <c r="I60" s="6">
        <v>10.66</v>
      </c>
      <c r="J60" s="6">
        <v>0.31</v>
      </c>
      <c r="K60" s="6">
        <v>0.42</v>
      </c>
      <c r="L60" s="6">
        <v>29.52</v>
      </c>
      <c r="M60" s="6">
        <v>41.88</v>
      </c>
      <c r="N60" s="6">
        <v>256.89999999999998</v>
      </c>
      <c r="O60" s="6">
        <v>0</v>
      </c>
      <c r="P60" s="6">
        <v>1.01</v>
      </c>
      <c r="Q60" s="6">
        <v>4.75</v>
      </c>
    </row>
    <row r="61" spans="1:17" customFormat="1">
      <c r="A61" s="6" t="s">
        <v>1155</v>
      </c>
      <c r="B61" s="6">
        <v>4.79</v>
      </c>
      <c r="C61" s="6">
        <v>27.76</v>
      </c>
      <c r="D61" s="6">
        <v>19.690000000000001</v>
      </c>
      <c r="E61" s="6">
        <v>10.65</v>
      </c>
      <c r="F61" s="6">
        <v>7.34</v>
      </c>
      <c r="G61" s="6">
        <v>112.19</v>
      </c>
      <c r="H61" s="6">
        <v>54.12</v>
      </c>
      <c r="I61" s="6">
        <v>10.59</v>
      </c>
      <c r="J61" s="6">
        <v>0.75</v>
      </c>
      <c r="K61" s="6">
        <v>19.850000000000001</v>
      </c>
      <c r="L61" s="6">
        <v>29.29</v>
      </c>
      <c r="M61" s="6">
        <v>40.83</v>
      </c>
      <c r="N61" s="6">
        <v>170.9</v>
      </c>
      <c r="O61" s="6">
        <v>0</v>
      </c>
      <c r="P61" s="6">
        <v>1.01</v>
      </c>
      <c r="Q61" s="6">
        <v>4.75</v>
      </c>
    </row>
    <row r="62" spans="1:17" customFormat="1">
      <c r="A62" s="6" t="s">
        <v>1156</v>
      </c>
      <c r="B62" s="6">
        <v>5.01</v>
      </c>
      <c r="C62" s="6">
        <v>28.42</v>
      </c>
      <c r="D62" s="6">
        <v>20.22</v>
      </c>
      <c r="E62" s="6">
        <v>10.18</v>
      </c>
      <c r="F62" s="6">
        <v>7.62</v>
      </c>
      <c r="G62" s="6">
        <v>112.19</v>
      </c>
      <c r="H62" s="6">
        <v>54.12</v>
      </c>
      <c r="I62" s="6">
        <v>10.54</v>
      </c>
      <c r="J62" s="6">
        <v>0.61</v>
      </c>
      <c r="K62" s="6">
        <v>334.29</v>
      </c>
      <c r="L62" s="6">
        <v>29.01</v>
      </c>
      <c r="M62" s="6">
        <v>41.78</v>
      </c>
      <c r="N62" s="6">
        <v>202.2</v>
      </c>
      <c r="O62" s="6">
        <v>0</v>
      </c>
      <c r="P62" s="6">
        <v>1.02</v>
      </c>
      <c r="Q62" s="6">
        <v>4.75</v>
      </c>
    </row>
    <row r="63" spans="1:17" customFormat="1">
      <c r="A63" s="6" t="s">
        <v>1157</v>
      </c>
      <c r="B63" s="6">
        <v>4.8099999999999996</v>
      </c>
      <c r="C63" s="6">
        <v>28.13</v>
      </c>
      <c r="D63" s="6">
        <v>19.91</v>
      </c>
      <c r="E63" s="6">
        <v>8.3800000000000008</v>
      </c>
      <c r="F63" s="6">
        <v>6.54</v>
      </c>
      <c r="G63" s="6">
        <v>112.19</v>
      </c>
      <c r="H63" s="6">
        <v>54.12</v>
      </c>
      <c r="I63" s="6">
        <v>10.52</v>
      </c>
      <c r="J63" s="6">
        <v>0.85</v>
      </c>
      <c r="K63" s="6">
        <v>40.03</v>
      </c>
      <c r="L63" s="6">
        <v>29.3</v>
      </c>
      <c r="M63" s="6">
        <v>40.590000000000003</v>
      </c>
      <c r="N63" s="6">
        <v>228.5</v>
      </c>
      <c r="O63" s="6">
        <v>0</v>
      </c>
      <c r="P63" s="6">
        <v>1</v>
      </c>
      <c r="Q63" s="6">
        <v>4.75</v>
      </c>
    </row>
    <row r="64" spans="1:17" customFormat="1">
      <c r="A64" s="6" t="s">
        <v>1158</v>
      </c>
      <c r="B64" s="6">
        <v>4.8499999999999996</v>
      </c>
      <c r="C64" s="6">
        <v>25.98</v>
      </c>
      <c r="D64" s="6">
        <v>18.809999999999999</v>
      </c>
      <c r="E64" s="6">
        <v>8.8000000000000007</v>
      </c>
      <c r="F64" s="6">
        <v>7.82</v>
      </c>
      <c r="G64" s="6">
        <v>114.55</v>
      </c>
      <c r="H64" s="6">
        <v>54.93</v>
      </c>
      <c r="I64" s="6">
        <v>10.52</v>
      </c>
      <c r="J64" s="6">
        <v>0.82</v>
      </c>
      <c r="K64" s="6">
        <v>28.97</v>
      </c>
      <c r="L64" s="6">
        <v>29.23</v>
      </c>
      <c r="M64" s="6">
        <v>40.520000000000003</v>
      </c>
      <c r="N64" s="6">
        <v>211.5</v>
      </c>
      <c r="O64" s="6">
        <v>0</v>
      </c>
      <c r="P64" s="6">
        <v>1</v>
      </c>
      <c r="Q64" s="6">
        <v>4.74</v>
      </c>
    </row>
    <row r="65" spans="1:17" customFormat="1">
      <c r="A65" s="6" t="s">
        <v>1159</v>
      </c>
      <c r="B65" s="6">
        <v>4.96</v>
      </c>
      <c r="C65" s="6">
        <v>23.82</v>
      </c>
      <c r="D65" s="6">
        <v>17.77</v>
      </c>
      <c r="E65" s="6">
        <v>7.91</v>
      </c>
      <c r="F65" s="6">
        <v>6.14</v>
      </c>
      <c r="G65" s="6">
        <v>124.71</v>
      </c>
      <c r="H65" s="6">
        <v>57.44</v>
      </c>
      <c r="I65" s="6">
        <v>10.47</v>
      </c>
      <c r="J65" s="6">
        <v>0.81</v>
      </c>
      <c r="K65" s="6">
        <v>319.04000000000002</v>
      </c>
      <c r="L65" s="6">
        <v>29.09</v>
      </c>
      <c r="M65" s="6">
        <v>41.05</v>
      </c>
      <c r="N65" s="6">
        <v>145.5</v>
      </c>
      <c r="O65" s="6">
        <v>0</v>
      </c>
      <c r="P65" s="6">
        <v>0.93</v>
      </c>
      <c r="Q65" s="6">
        <v>4.72</v>
      </c>
    </row>
    <row r="66" spans="1:17" customFormat="1">
      <c r="A66" s="6" t="s">
        <v>1160</v>
      </c>
      <c r="B66" s="6">
        <v>4.92</v>
      </c>
      <c r="C66" s="6">
        <v>22.34</v>
      </c>
      <c r="D66" s="6">
        <v>16.97</v>
      </c>
      <c r="E66" s="6">
        <v>7.52</v>
      </c>
      <c r="F66" s="6">
        <v>6.46</v>
      </c>
      <c r="G66" s="6">
        <v>124.71</v>
      </c>
      <c r="H66" s="6">
        <v>57.44</v>
      </c>
      <c r="I66" s="6">
        <v>10.29</v>
      </c>
      <c r="J66" s="6">
        <v>0.42</v>
      </c>
      <c r="K66" s="6">
        <v>16.059999999999999</v>
      </c>
      <c r="L66" s="6">
        <v>28.94</v>
      </c>
      <c r="M66" s="6">
        <v>40.619999999999997</v>
      </c>
      <c r="N66" s="6">
        <v>108.4</v>
      </c>
      <c r="O66" s="6">
        <v>0</v>
      </c>
      <c r="P66" s="6">
        <v>0.96</v>
      </c>
      <c r="Q66" s="6">
        <v>4.7300000000000004</v>
      </c>
    </row>
    <row r="67" spans="1:17" customFormat="1">
      <c r="A67" s="6" t="s">
        <v>1161</v>
      </c>
      <c r="B67" s="6">
        <v>4.8099999999999996</v>
      </c>
      <c r="C67" s="6">
        <v>21.36</v>
      </c>
      <c r="D67" s="6">
        <v>16.37</v>
      </c>
      <c r="E67" s="6">
        <v>7.6</v>
      </c>
      <c r="F67" s="6">
        <v>5.9</v>
      </c>
      <c r="G67" s="6">
        <v>124.71</v>
      </c>
      <c r="H67" s="6">
        <v>57.44</v>
      </c>
      <c r="I67" s="6">
        <v>10.23</v>
      </c>
      <c r="J67" s="6">
        <v>0.39</v>
      </c>
      <c r="K67" s="6">
        <v>12.23</v>
      </c>
      <c r="L67" s="6">
        <v>28.83</v>
      </c>
      <c r="M67" s="6">
        <v>41.36</v>
      </c>
      <c r="N67" s="6">
        <v>92.6</v>
      </c>
      <c r="O67" s="6">
        <v>0</v>
      </c>
      <c r="P67" s="6">
        <v>0.96</v>
      </c>
      <c r="Q67" s="6">
        <v>4.7300000000000004</v>
      </c>
    </row>
    <row r="68" spans="1:17" customFormat="1">
      <c r="A68" s="6" t="s">
        <v>1162</v>
      </c>
      <c r="B68" s="6">
        <v>4.76</v>
      </c>
      <c r="C68" s="6">
        <v>20.72</v>
      </c>
      <c r="D68" s="6">
        <v>15.99</v>
      </c>
      <c r="E68" s="6">
        <v>8.26</v>
      </c>
      <c r="F68" s="6">
        <v>8.4499999999999993</v>
      </c>
      <c r="G68" s="6">
        <v>120.85</v>
      </c>
      <c r="H68" s="6">
        <v>55.9</v>
      </c>
      <c r="I68" s="6">
        <v>10.130000000000001</v>
      </c>
      <c r="J68" s="6">
        <v>0.36</v>
      </c>
      <c r="K68" s="6">
        <v>36.950000000000003</v>
      </c>
      <c r="L68" s="6">
        <v>28.83</v>
      </c>
      <c r="M68" s="6">
        <v>42.42</v>
      </c>
      <c r="N68" s="6">
        <v>76</v>
      </c>
      <c r="O68" s="6">
        <v>0</v>
      </c>
      <c r="P68" s="6">
        <v>0.95</v>
      </c>
      <c r="Q68" s="6">
        <v>4.75</v>
      </c>
    </row>
    <row r="69" spans="1:17" customFormat="1">
      <c r="A69" s="6" t="s">
        <v>1163</v>
      </c>
      <c r="B69" s="6">
        <v>4.7699999999999996</v>
      </c>
      <c r="C69" s="6">
        <v>20.14</v>
      </c>
      <c r="D69" s="6">
        <v>15.7</v>
      </c>
      <c r="E69" s="6">
        <v>8.93</v>
      </c>
      <c r="F69" s="6">
        <v>5.93</v>
      </c>
      <c r="G69" s="6">
        <v>104.25</v>
      </c>
      <c r="H69" s="6">
        <v>51.09</v>
      </c>
      <c r="I69" s="6">
        <v>9.99</v>
      </c>
      <c r="J69" s="6">
        <v>0.49</v>
      </c>
      <c r="K69" s="6">
        <v>14.38</v>
      </c>
      <c r="L69" s="6">
        <v>28.64</v>
      </c>
      <c r="M69" s="6">
        <v>44.94</v>
      </c>
      <c r="N69" s="6">
        <v>62.5</v>
      </c>
      <c r="O69" s="6">
        <v>0</v>
      </c>
      <c r="P69" s="6">
        <v>0.94</v>
      </c>
      <c r="Q69" s="6">
        <v>4.76</v>
      </c>
    </row>
    <row r="70" spans="1:17" customFormat="1">
      <c r="A70" s="6" t="s">
        <v>1164</v>
      </c>
      <c r="B70" s="6">
        <v>4.8099999999999996</v>
      </c>
      <c r="C70" s="6">
        <v>19.989999999999998</v>
      </c>
      <c r="D70" s="6">
        <v>15.65</v>
      </c>
      <c r="E70" s="6">
        <v>8.3000000000000007</v>
      </c>
      <c r="F70" s="6">
        <v>6.49</v>
      </c>
      <c r="G70" s="6">
        <v>104.25</v>
      </c>
      <c r="H70" s="6">
        <v>51.09</v>
      </c>
      <c r="I70" s="6">
        <v>9.82</v>
      </c>
      <c r="J70" s="6">
        <v>1</v>
      </c>
      <c r="K70" s="6">
        <v>40.43</v>
      </c>
      <c r="L70" s="6">
        <v>28.3</v>
      </c>
      <c r="M70" s="6">
        <v>44.05</v>
      </c>
      <c r="N70" s="6">
        <v>59.3</v>
      </c>
      <c r="O70" s="6">
        <v>0</v>
      </c>
      <c r="P70" s="6">
        <v>0.93</v>
      </c>
      <c r="Q70" s="6">
        <v>4.74</v>
      </c>
    </row>
    <row r="71" spans="1:17" customFormat="1">
      <c r="A71" s="6" t="s">
        <v>1165</v>
      </c>
      <c r="B71" s="6">
        <v>4.78</v>
      </c>
      <c r="C71" s="6">
        <v>19.63</v>
      </c>
      <c r="D71" s="6">
        <v>15.44</v>
      </c>
      <c r="E71" s="6">
        <v>8.84</v>
      </c>
      <c r="F71" s="6">
        <v>6.97</v>
      </c>
      <c r="G71" s="6">
        <v>104.25</v>
      </c>
      <c r="H71" s="6">
        <v>51.09</v>
      </c>
      <c r="I71" s="6">
        <v>9.76</v>
      </c>
      <c r="J71" s="6">
        <v>1.06</v>
      </c>
      <c r="K71" s="6">
        <v>44.25</v>
      </c>
      <c r="L71" s="6">
        <v>28.23</v>
      </c>
      <c r="M71" s="6">
        <v>43.3</v>
      </c>
      <c r="N71" s="6">
        <v>65.900000000000006</v>
      </c>
      <c r="O71" s="6">
        <v>0</v>
      </c>
      <c r="P71" s="6">
        <v>0.92</v>
      </c>
      <c r="Q71" s="6">
        <v>4.76</v>
      </c>
    </row>
    <row r="72" spans="1:17" customFormat="1">
      <c r="A72" s="6" t="s">
        <v>1166</v>
      </c>
      <c r="B72" s="6">
        <v>4.88</v>
      </c>
      <c r="C72" s="6">
        <v>19.91</v>
      </c>
      <c r="D72" s="6">
        <v>15.66</v>
      </c>
      <c r="E72" s="6">
        <v>9.2200000000000006</v>
      </c>
      <c r="F72" s="6">
        <v>7.78</v>
      </c>
      <c r="G72" s="6">
        <v>104.09</v>
      </c>
      <c r="H72" s="6">
        <v>50.66</v>
      </c>
      <c r="I72" s="6">
        <v>9.69</v>
      </c>
      <c r="J72" s="6">
        <v>0.57999999999999996</v>
      </c>
      <c r="K72" s="6">
        <v>36.14</v>
      </c>
      <c r="L72" s="6">
        <v>28.38</v>
      </c>
      <c r="M72" s="6">
        <v>43.3</v>
      </c>
      <c r="N72" s="6">
        <v>52.5</v>
      </c>
      <c r="O72" s="6">
        <v>0</v>
      </c>
      <c r="P72" s="6">
        <v>0.91</v>
      </c>
      <c r="Q72" s="6">
        <v>4.8</v>
      </c>
    </row>
    <row r="73" spans="1:17" customFormat="1">
      <c r="A73" s="6" t="s">
        <v>1167</v>
      </c>
      <c r="B73" s="6">
        <v>5.26</v>
      </c>
      <c r="C73" s="6">
        <v>20</v>
      </c>
      <c r="D73" s="6">
        <v>16.02</v>
      </c>
      <c r="E73" s="6">
        <v>8.8800000000000008</v>
      </c>
      <c r="F73" s="6">
        <v>6.97</v>
      </c>
      <c r="G73" s="6">
        <v>103.44</v>
      </c>
      <c r="H73" s="6">
        <v>49.29</v>
      </c>
      <c r="I73" s="6">
        <v>9.5299999999999994</v>
      </c>
      <c r="J73" s="6">
        <v>0.83</v>
      </c>
      <c r="K73" s="6">
        <v>43.46</v>
      </c>
      <c r="L73" s="6">
        <v>28.13</v>
      </c>
      <c r="M73" s="6">
        <v>44.24</v>
      </c>
      <c r="N73" s="6">
        <v>32.4</v>
      </c>
      <c r="O73" s="6">
        <v>0</v>
      </c>
      <c r="P73" s="6">
        <v>0.92</v>
      </c>
      <c r="Q73" s="6">
        <v>4.84</v>
      </c>
    </row>
    <row r="74" spans="1:17" customFormat="1">
      <c r="A74" s="6" t="s">
        <v>1168</v>
      </c>
      <c r="B74" s="6">
        <v>5.1100000000000003</v>
      </c>
      <c r="C74" s="6">
        <v>19.600000000000001</v>
      </c>
      <c r="D74" s="6">
        <v>15.69</v>
      </c>
      <c r="E74" s="6">
        <v>6.78</v>
      </c>
      <c r="F74" s="6">
        <v>5.65</v>
      </c>
      <c r="G74" s="6">
        <v>103.44</v>
      </c>
      <c r="H74" s="6">
        <v>49.29</v>
      </c>
      <c r="I74" s="6">
        <v>9.41</v>
      </c>
      <c r="J74" s="6">
        <v>0.63</v>
      </c>
      <c r="K74" s="6">
        <v>43.61</v>
      </c>
      <c r="L74" s="6">
        <v>27.84</v>
      </c>
      <c r="M74" s="6">
        <v>45.19</v>
      </c>
      <c r="N74" s="6">
        <v>32.299999999999997</v>
      </c>
      <c r="O74" s="6">
        <v>0</v>
      </c>
      <c r="P74" s="6">
        <v>0.91</v>
      </c>
      <c r="Q74" s="6">
        <v>4.8600000000000003</v>
      </c>
    </row>
    <row r="75" spans="1:17" customFormat="1">
      <c r="A75" s="6" t="s">
        <v>1169</v>
      </c>
      <c r="B75" s="6">
        <v>5.15</v>
      </c>
      <c r="C75" s="6">
        <v>19.440000000000001</v>
      </c>
      <c r="D75" s="6">
        <v>15.64</v>
      </c>
      <c r="E75" s="6">
        <v>6.77</v>
      </c>
      <c r="F75" s="6">
        <v>5.42</v>
      </c>
      <c r="G75" s="6">
        <v>103.44</v>
      </c>
      <c r="H75" s="6">
        <v>49.29</v>
      </c>
      <c r="I75" s="6">
        <v>9.4499999999999993</v>
      </c>
      <c r="J75" s="6">
        <v>0.33</v>
      </c>
      <c r="K75" s="6">
        <v>41.03</v>
      </c>
      <c r="L75" s="6">
        <v>27.54</v>
      </c>
      <c r="M75" s="6">
        <v>45.63</v>
      </c>
      <c r="N75" s="6">
        <v>12.6</v>
      </c>
      <c r="O75" s="6">
        <v>0</v>
      </c>
      <c r="P75" s="6">
        <v>0.9</v>
      </c>
      <c r="Q75" s="6">
        <v>4.87</v>
      </c>
    </row>
    <row r="76" spans="1:17" customFormat="1">
      <c r="A76" s="6" t="s">
        <v>1170</v>
      </c>
      <c r="B76" s="6">
        <v>5.37</v>
      </c>
      <c r="C76" s="6">
        <v>19.37</v>
      </c>
      <c r="D76" s="6">
        <v>15.77</v>
      </c>
      <c r="E76" s="6">
        <v>6.19</v>
      </c>
      <c r="F76" s="6">
        <v>4.22</v>
      </c>
      <c r="G76" s="6">
        <v>103.23</v>
      </c>
      <c r="H76" s="6">
        <v>48.71</v>
      </c>
      <c r="I76" s="6">
        <v>9.43</v>
      </c>
      <c r="J76" s="6">
        <v>0.56999999999999995</v>
      </c>
      <c r="K76" s="6">
        <v>55.23</v>
      </c>
      <c r="L76" s="6">
        <v>27.21</v>
      </c>
      <c r="M76" s="6">
        <v>46.44</v>
      </c>
      <c r="N76" s="6">
        <v>12.1</v>
      </c>
      <c r="O76" s="6">
        <v>0</v>
      </c>
      <c r="P76" s="6">
        <v>0.91</v>
      </c>
      <c r="Q76" s="6">
        <v>4.8600000000000003</v>
      </c>
    </row>
    <row r="77" spans="1:17" customFormat="1">
      <c r="A77" s="6" t="s">
        <v>1171</v>
      </c>
      <c r="B77" s="6">
        <v>5.74</v>
      </c>
      <c r="C77" s="6">
        <v>19.43</v>
      </c>
      <c r="D77" s="6">
        <v>16.11</v>
      </c>
      <c r="E77" s="6">
        <v>5.4</v>
      </c>
      <c r="F77" s="6">
        <v>3.39</v>
      </c>
      <c r="G77" s="6">
        <v>102.32</v>
      </c>
      <c r="H77" s="6">
        <v>46.88</v>
      </c>
      <c r="I77" s="6">
        <v>9.32</v>
      </c>
      <c r="J77" s="6">
        <v>0.28000000000000003</v>
      </c>
      <c r="K77" s="6">
        <v>52.38</v>
      </c>
      <c r="L77" s="6">
        <v>26.87</v>
      </c>
      <c r="M77" s="6">
        <v>48.73</v>
      </c>
      <c r="N77" s="6">
        <v>1.8</v>
      </c>
      <c r="O77" s="6">
        <v>0</v>
      </c>
      <c r="P77" s="6">
        <v>0.9</v>
      </c>
      <c r="Q77" s="6">
        <v>4.8899999999999997</v>
      </c>
    </row>
    <row r="78" spans="1:17" customFormat="1">
      <c r="A78" s="6" t="s">
        <v>1172</v>
      </c>
      <c r="B78" s="6">
        <v>6.03</v>
      </c>
      <c r="C78" s="6">
        <v>19.079999999999998</v>
      </c>
      <c r="D78" s="6">
        <v>16.149999999999999</v>
      </c>
      <c r="E78" s="6">
        <v>4.9400000000000004</v>
      </c>
      <c r="F78" s="6">
        <v>2.85</v>
      </c>
      <c r="G78" s="6">
        <v>102.32</v>
      </c>
      <c r="H78" s="6">
        <v>46.88</v>
      </c>
      <c r="I78" s="6">
        <v>9.3000000000000007</v>
      </c>
      <c r="J78" s="6">
        <v>0.18</v>
      </c>
      <c r="K78" s="6">
        <v>154.26</v>
      </c>
      <c r="L78" s="6">
        <v>25.79</v>
      </c>
      <c r="M78" s="6">
        <v>55.37</v>
      </c>
      <c r="N78" s="6">
        <v>0</v>
      </c>
      <c r="O78" s="6">
        <v>0</v>
      </c>
      <c r="P78" s="6">
        <v>0.9</v>
      </c>
      <c r="Q78" s="6">
        <v>4.87</v>
      </c>
    </row>
    <row r="79" spans="1:17" customFormat="1">
      <c r="A79" s="6" t="s">
        <v>1173</v>
      </c>
      <c r="B79" s="6">
        <v>6.27</v>
      </c>
      <c r="C79" s="6">
        <v>20.170000000000002</v>
      </c>
      <c r="D79" s="6">
        <v>16.82</v>
      </c>
      <c r="E79" s="6">
        <v>4.95</v>
      </c>
      <c r="F79" s="6">
        <v>2.61</v>
      </c>
      <c r="G79" s="6">
        <v>102.32</v>
      </c>
      <c r="H79" s="6">
        <v>46.88</v>
      </c>
      <c r="I79" s="6">
        <v>9.31</v>
      </c>
      <c r="J79" s="6">
        <v>0.27</v>
      </c>
      <c r="K79" s="6">
        <v>170.1</v>
      </c>
      <c r="L79" s="6">
        <v>24.63</v>
      </c>
      <c r="M79" s="6">
        <v>60.36</v>
      </c>
      <c r="N79" s="6">
        <v>0</v>
      </c>
      <c r="O79" s="6">
        <v>0</v>
      </c>
      <c r="P79" s="6">
        <v>0.9</v>
      </c>
      <c r="Q79" s="6">
        <v>4.8600000000000003</v>
      </c>
    </row>
    <row r="80" spans="1:17" customFormat="1">
      <c r="A80" s="6" t="s">
        <v>1174</v>
      </c>
      <c r="B80" s="6">
        <v>6.52</v>
      </c>
      <c r="C80" s="6">
        <v>20.010000000000002</v>
      </c>
      <c r="D80" s="6">
        <v>17.03</v>
      </c>
      <c r="E80" s="6">
        <v>4.71</v>
      </c>
      <c r="F80" s="6">
        <v>2.4700000000000002</v>
      </c>
      <c r="G80" s="6">
        <v>103.99</v>
      </c>
      <c r="H80" s="6">
        <v>46.99</v>
      </c>
      <c r="I80" s="6">
        <v>9.3000000000000007</v>
      </c>
      <c r="J80" s="6">
        <v>0.3</v>
      </c>
      <c r="K80" s="6">
        <v>171.2</v>
      </c>
      <c r="L80" s="6">
        <v>24.12</v>
      </c>
      <c r="M80" s="6">
        <v>64.25</v>
      </c>
      <c r="N80" s="6">
        <v>0</v>
      </c>
      <c r="O80" s="6">
        <v>0</v>
      </c>
      <c r="P80" s="6">
        <v>0.91</v>
      </c>
      <c r="Q80" s="6">
        <v>4.87</v>
      </c>
    </row>
    <row r="81" spans="1:17" customFormat="1">
      <c r="A81" s="6" t="s">
        <v>1175</v>
      </c>
      <c r="B81" s="6">
        <v>6.95</v>
      </c>
      <c r="C81" s="6">
        <v>19.28</v>
      </c>
      <c r="D81" s="6">
        <v>17</v>
      </c>
      <c r="E81" s="6">
        <v>6.09</v>
      </c>
      <c r="F81" s="6">
        <v>2.42</v>
      </c>
      <c r="G81" s="6">
        <v>111.13</v>
      </c>
      <c r="H81" s="6">
        <v>47.53</v>
      </c>
      <c r="I81" s="6">
        <v>9.24</v>
      </c>
      <c r="J81" s="6">
        <v>0.24</v>
      </c>
      <c r="K81" s="6">
        <v>170.84</v>
      </c>
      <c r="L81" s="6">
        <v>23.72</v>
      </c>
      <c r="M81" s="6">
        <v>70.45</v>
      </c>
      <c r="N81" s="6">
        <v>0</v>
      </c>
      <c r="O81" s="6">
        <v>0</v>
      </c>
      <c r="P81" s="6">
        <v>0.91</v>
      </c>
      <c r="Q81" s="6">
        <v>4.87</v>
      </c>
    </row>
    <row r="82" spans="1:17" customFormat="1">
      <c r="A82" s="6" t="s">
        <v>1176</v>
      </c>
      <c r="B82" s="6">
        <v>7.27</v>
      </c>
      <c r="C82" s="6">
        <v>19.96</v>
      </c>
      <c r="D82" s="6">
        <v>17.61</v>
      </c>
      <c r="E82" s="6">
        <v>7.23</v>
      </c>
      <c r="F82" s="6">
        <v>2.36</v>
      </c>
      <c r="G82" s="6">
        <v>111.13</v>
      </c>
      <c r="H82" s="6">
        <v>47.53</v>
      </c>
      <c r="I82" s="6">
        <v>9.24</v>
      </c>
      <c r="J82" s="6">
        <v>0.24</v>
      </c>
      <c r="K82" s="6">
        <v>168.77</v>
      </c>
      <c r="L82" s="6">
        <v>23.28</v>
      </c>
      <c r="M82" s="6">
        <v>71.760000000000005</v>
      </c>
      <c r="N82" s="6">
        <v>0</v>
      </c>
      <c r="O82" s="6">
        <v>0</v>
      </c>
      <c r="P82" s="6">
        <v>0.92</v>
      </c>
      <c r="Q82" s="6">
        <v>4.8899999999999997</v>
      </c>
    </row>
    <row r="83" spans="1:17" customFormat="1">
      <c r="A83" s="6" t="s">
        <v>1177</v>
      </c>
      <c r="B83" s="6">
        <v>7.6</v>
      </c>
      <c r="C83" s="6">
        <v>21.32</v>
      </c>
      <c r="D83" s="6">
        <v>18.579999999999998</v>
      </c>
      <c r="E83" s="6">
        <v>7.63</v>
      </c>
      <c r="F83" s="6">
        <v>2.3199999999999998</v>
      </c>
      <c r="G83" s="6">
        <v>111.13</v>
      </c>
      <c r="H83" s="6">
        <v>47.53</v>
      </c>
      <c r="I83" s="6">
        <v>9.2799999999999994</v>
      </c>
      <c r="J83" s="6">
        <v>0.22</v>
      </c>
      <c r="K83" s="6">
        <v>158.44999999999999</v>
      </c>
      <c r="L83" s="6">
        <v>23.29</v>
      </c>
      <c r="M83" s="6">
        <v>70.8</v>
      </c>
      <c r="N83" s="6">
        <v>0</v>
      </c>
      <c r="O83" s="6">
        <v>0</v>
      </c>
      <c r="P83" s="6">
        <v>0.95</v>
      </c>
      <c r="Q83" s="6">
        <v>4.87</v>
      </c>
    </row>
    <row r="84" spans="1:17" customFormat="1">
      <c r="A84" s="6" t="s">
        <v>1178</v>
      </c>
      <c r="B84" s="6">
        <v>8.2899999999999991</v>
      </c>
      <c r="C84" s="6">
        <v>23.29</v>
      </c>
      <c r="D84" s="6">
        <v>20.170000000000002</v>
      </c>
      <c r="E84" s="6">
        <v>7.79</v>
      </c>
      <c r="F84" s="6">
        <v>2.35</v>
      </c>
      <c r="G84" s="6">
        <v>114.06</v>
      </c>
      <c r="H84" s="6">
        <v>47.52</v>
      </c>
      <c r="I84" s="6">
        <v>9.39</v>
      </c>
      <c r="J84" s="6">
        <v>0.24</v>
      </c>
      <c r="K84" s="6">
        <v>165.4</v>
      </c>
      <c r="L84" s="6">
        <v>23.19</v>
      </c>
      <c r="M84" s="6">
        <v>67.02</v>
      </c>
      <c r="N84" s="6">
        <v>0</v>
      </c>
      <c r="O84" s="6">
        <v>0</v>
      </c>
      <c r="P84" s="6">
        <v>0.98</v>
      </c>
      <c r="Q84" s="6">
        <v>4.9000000000000004</v>
      </c>
    </row>
    <row r="85" spans="1:17" customFormat="1">
      <c r="A85" s="6" t="s">
        <v>1179</v>
      </c>
      <c r="B85" s="6">
        <v>9.32</v>
      </c>
      <c r="C85" s="6">
        <v>24.78</v>
      </c>
      <c r="D85" s="6">
        <v>21.78</v>
      </c>
      <c r="E85" s="6">
        <v>7.55</v>
      </c>
      <c r="F85" s="6">
        <v>2.38</v>
      </c>
      <c r="G85" s="6">
        <v>126.64</v>
      </c>
      <c r="H85" s="6">
        <v>47.49</v>
      </c>
      <c r="I85" s="6">
        <v>9.57</v>
      </c>
      <c r="J85" s="6">
        <v>0.22</v>
      </c>
      <c r="K85" s="6">
        <v>178.3</v>
      </c>
      <c r="L85" s="6">
        <v>22.94</v>
      </c>
      <c r="M85" s="6">
        <v>73.2</v>
      </c>
      <c r="N85" s="6">
        <v>0</v>
      </c>
      <c r="O85" s="6">
        <v>0</v>
      </c>
      <c r="P85" s="6">
        <v>1.02</v>
      </c>
      <c r="Q85" s="6">
        <v>4.92</v>
      </c>
    </row>
    <row r="86" spans="1:17" customFormat="1">
      <c r="A86" s="6" t="s">
        <v>1180</v>
      </c>
      <c r="B86" s="6">
        <v>10.09</v>
      </c>
      <c r="C86" s="6">
        <v>25.67</v>
      </c>
      <c r="D86" s="6">
        <v>22.86</v>
      </c>
      <c r="E86" s="6">
        <v>7.63</v>
      </c>
      <c r="F86" s="6">
        <v>2.46</v>
      </c>
      <c r="G86" s="6">
        <v>126.64</v>
      </c>
      <c r="H86" s="6">
        <v>47.49</v>
      </c>
      <c r="I86" s="6">
        <v>9.7799999999999994</v>
      </c>
      <c r="J86" s="6">
        <v>0.14000000000000001</v>
      </c>
      <c r="K86" s="6">
        <v>185.28</v>
      </c>
      <c r="L86" s="6">
        <v>22.35</v>
      </c>
      <c r="M86" s="6">
        <v>77.42</v>
      </c>
      <c r="N86" s="6">
        <v>0</v>
      </c>
      <c r="O86" s="6">
        <v>0</v>
      </c>
      <c r="P86" s="6">
        <v>1.04</v>
      </c>
      <c r="Q86" s="6">
        <v>4.95</v>
      </c>
    </row>
    <row r="87" spans="1:17" customFormat="1">
      <c r="A87" s="6" t="s">
        <v>1181</v>
      </c>
      <c r="B87" s="6">
        <v>10.59</v>
      </c>
      <c r="C87" s="6">
        <v>26.45</v>
      </c>
      <c r="D87" s="6">
        <v>23.66</v>
      </c>
      <c r="E87" s="6">
        <v>7.63</v>
      </c>
      <c r="F87" s="6">
        <v>2.2999999999999998</v>
      </c>
      <c r="G87" s="6">
        <v>126.64</v>
      </c>
      <c r="H87" s="6">
        <v>47.49</v>
      </c>
      <c r="I87" s="6">
        <v>9.99</v>
      </c>
      <c r="J87" s="6">
        <v>0.17</v>
      </c>
      <c r="K87" s="6">
        <v>163.18</v>
      </c>
      <c r="L87" s="6">
        <v>22.18</v>
      </c>
      <c r="M87" s="6">
        <v>77.040000000000006</v>
      </c>
      <c r="N87" s="6">
        <v>0</v>
      </c>
      <c r="O87" s="6">
        <v>0</v>
      </c>
      <c r="P87" s="6">
        <v>1.07</v>
      </c>
      <c r="Q87" s="6">
        <v>4.96</v>
      </c>
    </row>
    <row r="88" spans="1:17" customFormat="1">
      <c r="A88" s="6" t="s">
        <v>1182</v>
      </c>
      <c r="B88" s="6">
        <v>10.98</v>
      </c>
      <c r="C88" s="6">
        <v>27.34</v>
      </c>
      <c r="D88" s="6">
        <v>24.44</v>
      </c>
      <c r="E88" s="6">
        <v>7.61</v>
      </c>
      <c r="F88" s="6">
        <v>2.42</v>
      </c>
      <c r="G88" s="6">
        <v>125</v>
      </c>
      <c r="H88" s="6">
        <v>47.35</v>
      </c>
      <c r="I88" s="6">
        <v>10.25</v>
      </c>
      <c r="J88" s="6">
        <v>0.18</v>
      </c>
      <c r="K88" s="6">
        <v>183.83</v>
      </c>
      <c r="L88" s="6">
        <v>22.3</v>
      </c>
      <c r="M88" s="6">
        <v>75.47</v>
      </c>
      <c r="N88" s="6">
        <v>0</v>
      </c>
      <c r="O88" s="6">
        <v>0</v>
      </c>
      <c r="P88" s="6">
        <v>1.0900000000000001</v>
      </c>
      <c r="Q88" s="6">
        <v>4.96</v>
      </c>
    </row>
    <row r="89" spans="1:17" customFormat="1">
      <c r="A89" s="6" t="s">
        <v>1183</v>
      </c>
      <c r="B89" s="6">
        <v>11.32</v>
      </c>
      <c r="C89" s="6">
        <v>27.49</v>
      </c>
      <c r="D89" s="6">
        <v>24.79</v>
      </c>
      <c r="E89" s="6">
        <v>7.43</v>
      </c>
      <c r="F89" s="6">
        <v>2.2799999999999998</v>
      </c>
      <c r="G89" s="6">
        <v>117.93</v>
      </c>
      <c r="H89" s="6">
        <v>46.91</v>
      </c>
      <c r="I89" s="6">
        <v>10.47</v>
      </c>
      <c r="J89" s="6">
        <v>0.17</v>
      </c>
      <c r="K89" s="6">
        <v>180.68</v>
      </c>
      <c r="L89" s="6">
        <v>21.98</v>
      </c>
      <c r="M89" s="6">
        <v>77.78</v>
      </c>
      <c r="N89" s="6">
        <v>0</v>
      </c>
      <c r="O89" s="6">
        <v>0</v>
      </c>
      <c r="P89" s="6">
        <v>1.1200000000000001</v>
      </c>
      <c r="Q89" s="6">
        <v>4.96</v>
      </c>
    </row>
    <row r="90" spans="1:17" customFormat="1">
      <c r="A90" s="6" t="s">
        <v>1184</v>
      </c>
      <c r="B90" s="6">
        <v>11.53</v>
      </c>
      <c r="C90" s="6">
        <v>27.83</v>
      </c>
      <c r="D90" s="6">
        <v>25.14</v>
      </c>
      <c r="E90" s="6">
        <v>7.75</v>
      </c>
      <c r="F90" s="6">
        <v>2.36</v>
      </c>
      <c r="G90" s="6">
        <v>117.93</v>
      </c>
      <c r="H90" s="6">
        <v>46.91</v>
      </c>
      <c r="I90" s="6">
        <v>10.67</v>
      </c>
      <c r="J90" s="6">
        <v>0.17</v>
      </c>
      <c r="K90" s="6">
        <v>197.08</v>
      </c>
      <c r="L90" s="6">
        <v>21.73</v>
      </c>
      <c r="M90" s="6">
        <v>78.010000000000005</v>
      </c>
      <c r="N90" s="6">
        <v>0</v>
      </c>
      <c r="O90" s="6">
        <v>0</v>
      </c>
      <c r="P90" s="6">
        <v>1.1399999999999999</v>
      </c>
      <c r="Q90" s="6">
        <v>4.96</v>
      </c>
    </row>
    <row r="91" spans="1:17" customFormat="1">
      <c r="A91" s="6" t="s">
        <v>1185</v>
      </c>
      <c r="B91" s="6">
        <v>11.65</v>
      </c>
      <c r="C91" s="6">
        <v>28.03</v>
      </c>
      <c r="D91" s="6">
        <v>25.34</v>
      </c>
      <c r="E91" s="6">
        <v>7.55</v>
      </c>
      <c r="F91" s="6">
        <v>2.2799999999999998</v>
      </c>
      <c r="G91" s="6">
        <v>117.93</v>
      </c>
      <c r="H91" s="6">
        <v>46.91</v>
      </c>
      <c r="I91" s="6">
        <v>10.89</v>
      </c>
      <c r="J91" s="6">
        <v>0.22</v>
      </c>
      <c r="K91" s="6">
        <v>213.8</v>
      </c>
      <c r="L91" s="6">
        <v>21.44</v>
      </c>
      <c r="M91" s="6">
        <v>78.81</v>
      </c>
      <c r="N91" s="6">
        <v>0</v>
      </c>
      <c r="O91" s="6">
        <v>0</v>
      </c>
      <c r="P91" s="6">
        <v>1.1599999999999999</v>
      </c>
      <c r="Q91" s="6">
        <v>4.9400000000000004</v>
      </c>
    </row>
    <row r="92" spans="1:17" customFormat="1">
      <c r="A92" s="6" t="s">
        <v>1186</v>
      </c>
      <c r="B92" s="6">
        <v>11.62</v>
      </c>
      <c r="C92" s="6">
        <v>27.94</v>
      </c>
      <c r="D92" s="6">
        <v>25.26</v>
      </c>
      <c r="E92" s="6">
        <v>8</v>
      </c>
      <c r="F92" s="6">
        <v>2.31</v>
      </c>
      <c r="G92" s="6">
        <v>116.08</v>
      </c>
      <c r="H92" s="6">
        <v>47.13</v>
      </c>
      <c r="I92" s="6">
        <v>11.11</v>
      </c>
      <c r="J92" s="6">
        <v>0.09</v>
      </c>
      <c r="K92" s="6">
        <v>219.29</v>
      </c>
      <c r="L92" s="6">
        <v>21.39</v>
      </c>
      <c r="M92" s="6">
        <v>79.58</v>
      </c>
      <c r="N92" s="6">
        <v>0</v>
      </c>
      <c r="O92" s="6">
        <v>0</v>
      </c>
      <c r="P92" s="6">
        <v>1.17</v>
      </c>
      <c r="Q92" s="6">
        <v>4.91</v>
      </c>
    </row>
    <row r="93" spans="1:17" customFormat="1">
      <c r="A93" s="6" t="s">
        <v>1187</v>
      </c>
      <c r="B93" s="6">
        <v>11.6</v>
      </c>
      <c r="C93" s="6">
        <v>27.49</v>
      </c>
      <c r="D93" s="6">
        <v>25.01</v>
      </c>
      <c r="E93" s="6">
        <v>7.99</v>
      </c>
      <c r="F93" s="6">
        <v>2.38</v>
      </c>
      <c r="G93" s="6">
        <v>108.09</v>
      </c>
      <c r="H93" s="6">
        <v>47.81</v>
      </c>
      <c r="I93" s="6">
        <v>11.28</v>
      </c>
      <c r="J93" s="6">
        <v>0.11</v>
      </c>
      <c r="K93" s="6">
        <v>198.13</v>
      </c>
      <c r="L93" s="6">
        <v>21.65</v>
      </c>
      <c r="M93" s="6">
        <v>79.099999999999994</v>
      </c>
      <c r="N93" s="6">
        <v>0</v>
      </c>
      <c r="O93" s="6">
        <v>0</v>
      </c>
      <c r="P93" s="6">
        <v>1.19</v>
      </c>
      <c r="Q93" s="6">
        <v>4.9000000000000004</v>
      </c>
    </row>
    <row r="94" spans="1:17" customFormat="1">
      <c r="A94" s="6" t="s">
        <v>1188</v>
      </c>
      <c r="B94" s="6">
        <v>11.54</v>
      </c>
      <c r="C94" s="6">
        <v>26.97</v>
      </c>
      <c r="D94" s="6">
        <v>24.69</v>
      </c>
      <c r="E94" s="6">
        <v>8.18</v>
      </c>
      <c r="F94" s="6">
        <v>2.25</v>
      </c>
      <c r="G94" s="6">
        <v>108.09</v>
      </c>
      <c r="H94" s="6">
        <v>47.81</v>
      </c>
      <c r="I94" s="6">
        <v>11.37</v>
      </c>
      <c r="J94" s="6">
        <v>0.14000000000000001</v>
      </c>
      <c r="K94" s="6">
        <v>194.89</v>
      </c>
      <c r="L94" s="6">
        <v>21.73</v>
      </c>
      <c r="M94" s="6">
        <v>81.41</v>
      </c>
      <c r="N94" s="6">
        <v>0</v>
      </c>
      <c r="O94" s="6">
        <v>0</v>
      </c>
      <c r="P94" s="6">
        <v>1.18</v>
      </c>
      <c r="Q94" s="6">
        <v>4.8899999999999997</v>
      </c>
    </row>
    <row r="95" spans="1:17" customFormat="1">
      <c r="A95" s="6" t="s">
        <v>1189</v>
      </c>
      <c r="B95" s="6">
        <v>11.58</v>
      </c>
      <c r="C95" s="6">
        <v>26.48</v>
      </c>
      <c r="D95" s="6">
        <v>24.47</v>
      </c>
      <c r="E95" s="6">
        <v>7.66</v>
      </c>
      <c r="F95" s="6">
        <v>2.2200000000000002</v>
      </c>
      <c r="G95" s="6">
        <v>108.09</v>
      </c>
      <c r="H95" s="6">
        <v>47.81</v>
      </c>
      <c r="I95" s="6">
        <v>11.44</v>
      </c>
      <c r="J95" s="6">
        <v>0.16</v>
      </c>
      <c r="K95" s="6">
        <v>190.12</v>
      </c>
      <c r="L95" s="6">
        <v>21.72</v>
      </c>
      <c r="M95" s="6">
        <v>80.37</v>
      </c>
      <c r="N95" s="6">
        <v>0</v>
      </c>
      <c r="O95" s="6">
        <v>0</v>
      </c>
      <c r="P95" s="6">
        <v>1.19</v>
      </c>
      <c r="Q95" s="6">
        <v>4.88</v>
      </c>
    </row>
    <row r="96" spans="1:17" customFormat="1">
      <c r="A96" s="6" t="s">
        <v>1190</v>
      </c>
      <c r="B96" s="6">
        <v>11.54</v>
      </c>
      <c r="C96" s="6">
        <v>26.37</v>
      </c>
      <c r="D96" s="6">
        <v>24.38</v>
      </c>
      <c r="E96" s="6">
        <v>7.57</v>
      </c>
      <c r="F96" s="6">
        <v>2.2599999999999998</v>
      </c>
      <c r="G96" s="6">
        <v>106.21</v>
      </c>
      <c r="H96" s="6">
        <v>47.01</v>
      </c>
      <c r="I96" s="6">
        <v>11.5</v>
      </c>
      <c r="J96" s="6">
        <v>0.16</v>
      </c>
      <c r="K96" s="6">
        <v>167.06</v>
      </c>
      <c r="L96" s="6">
        <v>21.76</v>
      </c>
      <c r="M96" s="6">
        <v>80</v>
      </c>
      <c r="N96" s="6">
        <v>0</v>
      </c>
      <c r="O96" s="6">
        <v>0</v>
      </c>
      <c r="P96" s="6">
        <v>1.2</v>
      </c>
      <c r="Q96" s="6">
        <v>4.87</v>
      </c>
    </row>
    <row r="97" spans="1:22" customFormat="1">
      <c r="A97" s="6" t="s">
        <v>1191</v>
      </c>
      <c r="B97" s="6">
        <v>11.52</v>
      </c>
      <c r="C97" s="6">
        <v>26.73</v>
      </c>
      <c r="D97" s="6">
        <v>24.56</v>
      </c>
      <c r="E97" s="6">
        <v>8.1</v>
      </c>
      <c r="F97" s="6">
        <v>2.25</v>
      </c>
      <c r="G97" s="6">
        <v>98.11</v>
      </c>
      <c r="H97" s="6">
        <v>44.49</v>
      </c>
      <c r="I97" s="6">
        <v>11.58</v>
      </c>
      <c r="J97" s="6">
        <v>0.13</v>
      </c>
      <c r="K97" s="6">
        <v>257.75</v>
      </c>
      <c r="L97" s="6">
        <v>21.77</v>
      </c>
      <c r="M97" s="6">
        <v>75.260000000000005</v>
      </c>
      <c r="N97" s="6">
        <v>0</v>
      </c>
      <c r="O97" s="6">
        <v>0</v>
      </c>
      <c r="P97" s="6">
        <v>1.2</v>
      </c>
      <c r="Q97" s="6">
        <v>4.8600000000000003</v>
      </c>
    </row>
    <row r="98" spans="1:22" customFormat="1">
      <c r="A98" s="6" t="s">
        <v>1192</v>
      </c>
      <c r="B98" s="6">
        <v>11.65</v>
      </c>
      <c r="C98" s="6">
        <v>27</v>
      </c>
      <c r="D98" s="6">
        <v>24.8</v>
      </c>
      <c r="E98" s="6">
        <v>7.96</v>
      </c>
      <c r="F98" s="6">
        <v>2.1800000000000002</v>
      </c>
      <c r="G98" s="6">
        <v>98.11</v>
      </c>
      <c r="H98" s="6">
        <v>44.49</v>
      </c>
      <c r="I98" s="6">
        <v>11.7</v>
      </c>
      <c r="J98" s="6">
        <v>0.14000000000000001</v>
      </c>
      <c r="K98" s="6">
        <v>231.05</v>
      </c>
      <c r="L98" s="6">
        <v>21.9</v>
      </c>
      <c r="M98" s="6">
        <v>73.55</v>
      </c>
      <c r="N98" s="6">
        <v>0</v>
      </c>
      <c r="O98" s="6">
        <v>0</v>
      </c>
      <c r="P98" s="6">
        <v>1.22</v>
      </c>
      <c r="Q98" s="6">
        <v>4.87</v>
      </c>
    </row>
    <row r="99" spans="1:22" customFormat="1">
      <c r="A99" s="6" t="s">
        <v>1193</v>
      </c>
      <c r="B99" s="6">
        <v>11.63</v>
      </c>
      <c r="C99" s="6">
        <v>27.37</v>
      </c>
      <c r="D99" s="6">
        <v>24.98</v>
      </c>
      <c r="E99" s="6">
        <v>7.77</v>
      </c>
      <c r="F99" s="6">
        <v>2.2000000000000002</v>
      </c>
      <c r="G99" s="6">
        <v>98.11</v>
      </c>
      <c r="H99" s="6">
        <v>44.49</v>
      </c>
      <c r="I99" s="6">
        <v>11.85</v>
      </c>
      <c r="J99" s="6">
        <v>0.14000000000000001</v>
      </c>
      <c r="K99" s="6">
        <v>214.25</v>
      </c>
      <c r="L99" s="6">
        <v>21.96</v>
      </c>
      <c r="M99" s="6">
        <v>71.59</v>
      </c>
      <c r="N99" s="6">
        <v>0</v>
      </c>
      <c r="O99" s="6">
        <v>0</v>
      </c>
      <c r="P99" s="6">
        <v>1.22</v>
      </c>
      <c r="Q99" s="6">
        <v>4.8600000000000003</v>
      </c>
    </row>
    <row r="100" spans="1:22" customFormat="1">
      <c r="A100" s="6" t="s">
        <v>1194</v>
      </c>
      <c r="B100" s="6">
        <v>11.81</v>
      </c>
      <c r="C100" s="6">
        <v>27.38</v>
      </c>
      <c r="D100" s="6">
        <v>25.13</v>
      </c>
      <c r="E100" s="6">
        <v>7.88</v>
      </c>
      <c r="F100" s="6">
        <v>2.23</v>
      </c>
      <c r="G100" s="6">
        <v>98.16</v>
      </c>
      <c r="H100" s="6">
        <v>45.24</v>
      </c>
      <c r="I100" s="6">
        <v>11.99</v>
      </c>
      <c r="J100" s="6">
        <v>0.04</v>
      </c>
      <c r="K100" s="6">
        <v>139.32</v>
      </c>
      <c r="L100" s="6">
        <v>21.79</v>
      </c>
      <c r="M100" s="6">
        <v>72.16</v>
      </c>
      <c r="N100" s="6">
        <v>0</v>
      </c>
      <c r="O100" s="6">
        <v>0</v>
      </c>
      <c r="P100" s="6">
        <v>1.23</v>
      </c>
      <c r="Q100" s="6">
        <v>4.87</v>
      </c>
    </row>
    <row r="101" spans="1:22" customFormat="1">
      <c r="A101" s="6" t="s">
        <v>1195</v>
      </c>
      <c r="B101" s="6">
        <v>13.11</v>
      </c>
      <c r="C101" s="6">
        <v>28.55</v>
      </c>
      <c r="D101" s="6">
        <v>26.78</v>
      </c>
      <c r="E101" s="6">
        <v>7.87</v>
      </c>
      <c r="F101" s="6">
        <v>2.27</v>
      </c>
      <c r="G101" s="6">
        <v>98.33</v>
      </c>
      <c r="H101" s="6">
        <v>47.58</v>
      </c>
      <c r="I101" s="6">
        <v>12.1</v>
      </c>
      <c r="J101" s="6">
        <v>0.19</v>
      </c>
      <c r="K101" s="6">
        <v>71.95</v>
      </c>
      <c r="L101" s="6">
        <v>21.81</v>
      </c>
      <c r="M101" s="6">
        <v>71.72</v>
      </c>
      <c r="N101" s="6">
        <v>0</v>
      </c>
      <c r="O101" s="6">
        <v>0</v>
      </c>
      <c r="P101" s="6">
        <v>1.23</v>
      </c>
      <c r="Q101" s="6">
        <v>4.87</v>
      </c>
    </row>
    <row r="102" spans="1:22" customFormat="1">
      <c r="A102" s="6" t="s">
        <v>1196</v>
      </c>
      <c r="B102" s="6">
        <v>15.67</v>
      </c>
      <c r="C102" s="6">
        <v>30.11</v>
      </c>
      <c r="D102" s="6">
        <v>29.64</v>
      </c>
      <c r="E102" s="6">
        <v>8.6300000000000008</v>
      </c>
      <c r="F102" s="6">
        <v>2.2799999999999998</v>
      </c>
      <c r="G102" s="6">
        <v>98.33</v>
      </c>
      <c r="H102" s="6">
        <v>47.58</v>
      </c>
      <c r="I102" s="6">
        <v>12.15</v>
      </c>
      <c r="J102" s="6">
        <v>0.06</v>
      </c>
      <c r="K102" s="6">
        <v>94.95</v>
      </c>
      <c r="L102" s="6">
        <v>21.61</v>
      </c>
      <c r="M102" s="6">
        <v>72.94</v>
      </c>
      <c r="N102" s="6">
        <v>0</v>
      </c>
      <c r="O102" s="6">
        <v>0</v>
      </c>
      <c r="P102" s="6">
        <v>1.24</v>
      </c>
      <c r="Q102" s="6">
        <v>4.8899999999999997</v>
      </c>
    </row>
    <row r="103" spans="1:22" customFormat="1">
      <c r="A103" s="6" t="s">
        <v>1197</v>
      </c>
      <c r="B103" s="6">
        <v>17.82</v>
      </c>
      <c r="C103" s="6">
        <v>30.42</v>
      </c>
      <c r="D103" s="6">
        <v>31.53</v>
      </c>
      <c r="E103" s="6">
        <v>8.35</v>
      </c>
      <c r="F103" s="6">
        <v>2.4</v>
      </c>
      <c r="G103" s="6">
        <v>98.33</v>
      </c>
      <c r="H103" s="6">
        <v>47.58</v>
      </c>
      <c r="I103" s="6">
        <v>12.22</v>
      </c>
      <c r="J103" s="6">
        <v>0.27</v>
      </c>
      <c r="K103" s="6">
        <v>178.5</v>
      </c>
      <c r="L103" s="6">
        <v>21.29</v>
      </c>
      <c r="M103" s="6">
        <v>78.069999999999993</v>
      </c>
      <c r="N103" s="6">
        <v>0</v>
      </c>
      <c r="O103" s="6">
        <v>0</v>
      </c>
      <c r="P103" s="6">
        <v>1.25</v>
      </c>
      <c r="Q103" s="6">
        <v>4.91</v>
      </c>
    </row>
    <row r="104" spans="1:22" customFormat="1">
      <c r="A104" s="6" t="s">
        <v>1198</v>
      </c>
      <c r="B104" s="6">
        <v>18.899999999999999</v>
      </c>
      <c r="C104" s="6">
        <v>27.79</v>
      </c>
      <c r="D104" s="6">
        <v>31.03</v>
      </c>
      <c r="E104" s="6">
        <v>7.66</v>
      </c>
      <c r="F104" s="6">
        <v>2.68</v>
      </c>
      <c r="G104" s="6">
        <v>100.06</v>
      </c>
      <c r="H104" s="6">
        <v>47.67</v>
      </c>
      <c r="I104" s="6">
        <v>12.33</v>
      </c>
      <c r="J104" s="6">
        <v>0.15</v>
      </c>
      <c r="K104" s="6">
        <v>170.98</v>
      </c>
      <c r="L104" s="6">
        <v>20.68</v>
      </c>
      <c r="M104" s="6">
        <v>83.41</v>
      </c>
      <c r="N104" s="6">
        <v>0</v>
      </c>
      <c r="O104" s="6">
        <v>0</v>
      </c>
      <c r="P104" s="6">
        <v>1.24</v>
      </c>
      <c r="Q104" s="6">
        <v>4.95</v>
      </c>
    </row>
    <row r="106" spans="1:22">
      <c r="A106" s="156" t="s">
        <v>48</v>
      </c>
      <c r="B106" s="157">
        <f>MIN(B9:B104)</f>
        <v>4.55</v>
      </c>
      <c r="C106" s="157">
        <f>MIN(C9:C104)</f>
        <v>19.079999999999998</v>
      </c>
      <c r="D106" s="157">
        <f t="shared" ref="D106:Q106" si="0">MIN(D9:D104)</f>
        <v>15.44</v>
      </c>
      <c r="E106" s="157">
        <f t="shared" si="0"/>
        <v>4.71</v>
      </c>
      <c r="F106" s="157">
        <f t="shared" si="0"/>
        <v>2.1800000000000002</v>
      </c>
      <c r="G106" s="157">
        <f t="shared" si="0"/>
        <v>97.14</v>
      </c>
      <c r="H106" s="157">
        <f t="shared" si="0"/>
        <v>44.49</v>
      </c>
      <c r="I106" s="157">
        <f t="shared" si="0"/>
        <v>9.24</v>
      </c>
      <c r="J106" s="157">
        <f t="shared" si="0"/>
        <v>-0.19</v>
      </c>
      <c r="K106" s="157">
        <f t="shared" si="0"/>
        <v>-0.06</v>
      </c>
      <c r="L106" s="157">
        <f t="shared" si="0"/>
        <v>17.559999999999999</v>
      </c>
      <c r="M106" s="157">
        <f t="shared" si="0"/>
        <v>40.520000000000003</v>
      </c>
      <c r="N106" s="157">
        <f t="shared" si="0"/>
        <v>0</v>
      </c>
      <c r="O106" s="157">
        <f t="shared" si="0"/>
        <v>0</v>
      </c>
      <c r="P106" s="157">
        <f t="shared" si="0"/>
        <v>0.9</v>
      </c>
      <c r="Q106" s="157">
        <f t="shared" si="0"/>
        <v>4.72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51.08</v>
      </c>
      <c r="C107" s="156">
        <f t="shared" ref="C107:Q107" si="1">MAX(C9:C104)</f>
        <v>34.659999999999997</v>
      </c>
      <c r="D107" s="156">
        <f t="shared" si="1"/>
        <v>60.42</v>
      </c>
      <c r="E107" s="156">
        <f t="shared" si="1"/>
        <v>10.65</v>
      </c>
      <c r="F107" s="156">
        <f t="shared" si="1"/>
        <v>8.4499999999999993</v>
      </c>
      <c r="G107" s="156">
        <f t="shared" si="1"/>
        <v>155.33000000000001</v>
      </c>
      <c r="H107" s="156">
        <f t="shared" si="1"/>
        <v>65.97</v>
      </c>
      <c r="I107" s="156">
        <f t="shared" si="1"/>
        <v>13.93</v>
      </c>
      <c r="J107" s="156">
        <f t="shared" si="1"/>
        <v>1.06</v>
      </c>
      <c r="K107" s="156">
        <f t="shared" si="1"/>
        <v>354.35</v>
      </c>
      <c r="L107" s="156">
        <f t="shared" si="1"/>
        <v>29.52</v>
      </c>
      <c r="M107" s="156">
        <f t="shared" si="1"/>
        <v>92.91</v>
      </c>
      <c r="N107" s="156">
        <f t="shared" si="1"/>
        <v>376.7</v>
      </c>
      <c r="O107" s="156">
        <f t="shared" si="1"/>
        <v>0</v>
      </c>
      <c r="P107" s="156">
        <f t="shared" si="1"/>
        <v>1.29</v>
      </c>
      <c r="Q107" s="156">
        <f t="shared" si="1"/>
        <v>5.41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19.271250000000002</v>
      </c>
      <c r="C108" s="157">
        <f t="shared" ref="C108:Q108" si="2">AVERAGE(C9:C104)</f>
        <v>26.614166666666662</v>
      </c>
      <c r="D108" s="157">
        <f t="shared" si="2"/>
        <v>30.708645833333346</v>
      </c>
      <c r="E108" s="157">
        <f t="shared" si="2"/>
        <v>7.1531249999999957</v>
      </c>
      <c r="F108" s="157">
        <f t="shared" si="2"/>
        <v>3.3878125000000003</v>
      </c>
      <c r="G108" s="157">
        <f t="shared" si="2"/>
        <v>114.91114583333329</v>
      </c>
      <c r="H108" s="157">
        <f t="shared" si="2"/>
        <v>55.152708333333329</v>
      </c>
      <c r="I108" s="157">
        <f t="shared" si="2"/>
        <v>11.659895833333332</v>
      </c>
      <c r="J108" s="157">
        <f t="shared" si="2"/>
        <v>0.2649999999999999</v>
      </c>
      <c r="K108" s="157">
        <f t="shared" si="2"/>
        <v>174.84395833333329</v>
      </c>
      <c r="L108" s="157">
        <f t="shared" si="2"/>
        <v>22.72729166666667</v>
      </c>
      <c r="M108" s="157">
        <f t="shared" si="2"/>
        <v>69.851354166666667</v>
      </c>
      <c r="N108" s="157">
        <f t="shared" si="2"/>
        <v>63.218749999999993</v>
      </c>
      <c r="O108" s="157">
        <f t="shared" si="2"/>
        <v>0</v>
      </c>
      <c r="P108" s="157">
        <f t="shared" si="2"/>
        <v>1.1052083333333336</v>
      </c>
      <c r="Q108" s="157">
        <f t="shared" si="2"/>
        <v>4.9984374999999996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15.1043662735752</v>
      </c>
      <c r="C109" s="157">
        <f t="shared" ref="C109:Q109" si="3">STDEV(C9:C104)</f>
        <v>4.2206499042250574</v>
      </c>
      <c r="D109" s="157">
        <f t="shared" si="3"/>
        <v>13.651717348670116</v>
      </c>
      <c r="E109" s="157">
        <f t="shared" si="3"/>
        <v>1.0384698383984108</v>
      </c>
      <c r="F109" s="157">
        <f t="shared" si="3"/>
        <v>1.8074065182931069</v>
      </c>
      <c r="G109" s="157">
        <f t="shared" si="3"/>
        <v>14.054423605533522</v>
      </c>
      <c r="H109" s="157">
        <f t="shared" si="3"/>
        <v>6.4955285801145859</v>
      </c>
      <c r="I109" s="157">
        <f t="shared" si="3"/>
        <v>1.4735545958429352</v>
      </c>
      <c r="J109" s="157">
        <f t="shared" si="3"/>
        <v>0.22282870456686571</v>
      </c>
      <c r="K109" s="157">
        <f t="shared" si="3"/>
        <v>97.031976742115603</v>
      </c>
      <c r="L109" s="157">
        <f t="shared" si="3"/>
        <v>4.0666935953235868</v>
      </c>
      <c r="M109" s="157">
        <f t="shared" si="3"/>
        <v>18.169471713769109</v>
      </c>
      <c r="N109" s="157">
        <f t="shared" si="3"/>
        <v>108.29935637899823</v>
      </c>
      <c r="O109" s="157">
        <f t="shared" si="3"/>
        <v>0</v>
      </c>
      <c r="P109" s="157">
        <f t="shared" si="3"/>
        <v>0.12342463429509343</v>
      </c>
      <c r="Q109" s="157">
        <f t="shared" si="3"/>
        <v>0.20242388108021983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0" t="s">
        <v>1199</v>
      </c>
      <c r="B9" s="100">
        <v>19.43</v>
      </c>
      <c r="C9" s="100">
        <v>24.7</v>
      </c>
      <c r="D9" s="100">
        <v>29.83</v>
      </c>
      <c r="E9" s="100">
        <v>7.71</v>
      </c>
      <c r="F9" s="100">
        <v>2.7</v>
      </c>
      <c r="G9" s="100">
        <v>107.47</v>
      </c>
      <c r="H9" s="100">
        <v>48.16</v>
      </c>
      <c r="I9" s="100">
        <v>12.39</v>
      </c>
      <c r="J9" s="100">
        <v>0.2</v>
      </c>
      <c r="K9" s="100">
        <v>82.52</v>
      </c>
      <c r="L9" s="100">
        <v>20.68</v>
      </c>
      <c r="M9" s="100">
        <v>81.25</v>
      </c>
      <c r="N9" s="100">
        <v>0</v>
      </c>
      <c r="O9" s="100">
        <v>0</v>
      </c>
      <c r="P9" s="100">
        <v>1.24</v>
      </c>
      <c r="Q9" s="100">
        <v>4.96</v>
      </c>
    </row>
    <row r="10" spans="1:21" customFormat="1">
      <c r="A10" s="70" t="s">
        <v>1200</v>
      </c>
      <c r="B10" s="100">
        <v>19.98</v>
      </c>
      <c r="C10" s="100">
        <v>23.97</v>
      </c>
      <c r="D10" s="100">
        <v>29.89</v>
      </c>
      <c r="E10" s="100">
        <v>7.91</v>
      </c>
      <c r="F10" s="100">
        <v>2.5</v>
      </c>
      <c r="G10" s="100">
        <v>107.47</v>
      </c>
      <c r="H10" s="100">
        <v>48.16</v>
      </c>
      <c r="I10" s="100">
        <v>12.42</v>
      </c>
      <c r="J10" s="100">
        <v>0.56999999999999995</v>
      </c>
      <c r="K10" s="100">
        <v>57.23</v>
      </c>
      <c r="L10" s="100">
        <v>21.13</v>
      </c>
      <c r="M10" s="100">
        <v>75.349999999999994</v>
      </c>
      <c r="N10" s="100">
        <v>0</v>
      </c>
      <c r="O10" s="100">
        <v>0</v>
      </c>
      <c r="P10" s="100">
        <v>1.23</v>
      </c>
      <c r="Q10" s="100">
        <v>4.96</v>
      </c>
    </row>
    <row r="11" spans="1:21" customFormat="1">
      <c r="A11" s="70" t="s">
        <v>1201</v>
      </c>
      <c r="B11" s="100">
        <v>20.54</v>
      </c>
      <c r="C11" s="100">
        <v>24.82</v>
      </c>
      <c r="D11" s="100">
        <v>30.79</v>
      </c>
      <c r="E11" s="100">
        <v>7.99</v>
      </c>
      <c r="F11" s="100">
        <v>2.3199999999999998</v>
      </c>
      <c r="G11" s="100">
        <v>107.47</v>
      </c>
      <c r="H11" s="100">
        <v>48.16</v>
      </c>
      <c r="I11" s="100">
        <v>12.46</v>
      </c>
      <c r="J11" s="100">
        <v>0.31</v>
      </c>
      <c r="K11" s="100">
        <v>57.12</v>
      </c>
      <c r="L11" s="100">
        <v>21.18</v>
      </c>
      <c r="M11" s="100">
        <v>75.349999999999994</v>
      </c>
      <c r="N11" s="100">
        <v>0</v>
      </c>
      <c r="O11" s="100">
        <v>0</v>
      </c>
      <c r="P11" s="100">
        <v>1.25</v>
      </c>
      <c r="Q11" s="100">
        <v>4.96</v>
      </c>
    </row>
    <row r="12" spans="1:21" customFormat="1">
      <c r="A12" s="70" t="s">
        <v>1202</v>
      </c>
      <c r="B12" s="100">
        <v>21.1</v>
      </c>
      <c r="C12" s="100">
        <v>25.86</v>
      </c>
      <c r="D12" s="100">
        <v>31.78</v>
      </c>
      <c r="E12" s="100">
        <v>7.71</v>
      </c>
      <c r="F12" s="100">
        <v>2.19</v>
      </c>
      <c r="G12" s="100">
        <v>108.14</v>
      </c>
      <c r="H12" s="100">
        <v>48.78</v>
      </c>
      <c r="I12" s="100">
        <v>12.53</v>
      </c>
      <c r="J12" s="100">
        <v>0.5</v>
      </c>
      <c r="K12" s="100">
        <v>66.430000000000007</v>
      </c>
      <c r="L12" s="100">
        <v>21.16</v>
      </c>
      <c r="M12" s="100">
        <v>75.25</v>
      </c>
      <c r="N12" s="100">
        <v>0</v>
      </c>
      <c r="O12" s="100">
        <v>0</v>
      </c>
      <c r="P12" s="100">
        <v>1.28</v>
      </c>
      <c r="Q12" s="100">
        <v>4.96</v>
      </c>
    </row>
    <row r="13" spans="1:21" customFormat="1">
      <c r="A13" s="70" t="s">
        <v>1203</v>
      </c>
      <c r="B13" s="100">
        <v>21.75</v>
      </c>
      <c r="C13" s="100">
        <v>26.64</v>
      </c>
      <c r="D13" s="100">
        <v>32.71</v>
      </c>
      <c r="E13" s="100">
        <v>8.1</v>
      </c>
      <c r="F13" s="100">
        <v>2.23</v>
      </c>
      <c r="G13" s="100">
        <v>111.02</v>
      </c>
      <c r="H13" s="100">
        <v>50.73</v>
      </c>
      <c r="I13" s="100">
        <v>12.71</v>
      </c>
      <c r="J13" s="100">
        <v>0.23</v>
      </c>
      <c r="K13" s="100">
        <v>64.48</v>
      </c>
      <c r="L13" s="100">
        <v>21.13</v>
      </c>
      <c r="M13" s="100">
        <v>75.59</v>
      </c>
      <c r="N13" s="100">
        <v>0</v>
      </c>
      <c r="O13" s="100">
        <v>0</v>
      </c>
      <c r="P13" s="100">
        <v>1.31</v>
      </c>
      <c r="Q13" s="100">
        <v>4.97</v>
      </c>
    </row>
    <row r="14" spans="1:21" customFormat="1">
      <c r="A14" s="70" t="s">
        <v>1204</v>
      </c>
      <c r="B14" s="100">
        <v>22.25</v>
      </c>
      <c r="C14" s="100">
        <v>27.23</v>
      </c>
      <c r="D14" s="100">
        <v>33.42</v>
      </c>
      <c r="E14" s="100">
        <v>8.02</v>
      </c>
      <c r="F14" s="100">
        <v>2.23</v>
      </c>
      <c r="G14" s="100">
        <v>111.02</v>
      </c>
      <c r="H14" s="100">
        <v>50.73</v>
      </c>
      <c r="I14" s="100">
        <v>12.99</v>
      </c>
      <c r="J14" s="100">
        <v>0.31</v>
      </c>
      <c r="K14" s="100">
        <v>71.03</v>
      </c>
      <c r="L14" s="100">
        <v>20.86</v>
      </c>
      <c r="M14" s="100">
        <v>77.180000000000007</v>
      </c>
      <c r="N14" s="100">
        <v>0</v>
      </c>
      <c r="O14" s="100">
        <v>0</v>
      </c>
      <c r="P14" s="100">
        <v>1.33</v>
      </c>
      <c r="Q14" s="100">
        <v>4.97</v>
      </c>
    </row>
    <row r="15" spans="1:21" customFormat="1">
      <c r="A15" s="70" t="s">
        <v>1205</v>
      </c>
      <c r="B15" s="100">
        <v>22.91</v>
      </c>
      <c r="C15" s="100">
        <v>25.88</v>
      </c>
      <c r="D15" s="100">
        <v>33.24</v>
      </c>
      <c r="E15" s="100">
        <v>8</v>
      </c>
      <c r="F15" s="100">
        <v>2.54</v>
      </c>
      <c r="G15" s="100">
        <v>111.02</v>
      </c>
      <c r="H15" s="100">
        <v>50.73</v>
      </c>
      <c r="I15" s="100">
        <v>13.36</v>
      </c>
      <c r="J15" s="100">
        <v>0.59</v>
      </c>
      <c r="K15" s="100">
        <v>59.83</v>
      </c>
      <c r="L15" s="100">
        <v>20.94</v>
      </c>
      <c r="M15" s="100">
        <v>75.53</v>
      </c>
      <c r="N15" s="100">
        <v>0</v>
      </c>
      <c r="O15" s="100">
        <v>0</v>
      </c>
      <c r="P15" s="100">
        <v>1.34</v>
      </c>
      <c r="Q15" s="100">
        <v>5</v>
      </c>
    </row>
    <row r="16" spans="1:21" customFormat="1">
      <c r="A16" s="70" t="s">
        <v>1206</v>
      </c>
      <c r="B16" s="100">
        <v>23.61</v>
      </c>
      <c r="C16" s="100">
        <v>24.08</v>
      </c>
      <c r="D16" s="100">
        <v>32.869999999999997</v>
      </c>
      <c r="E16" s="100">
        <v>7.83</v>
      </c>
      <c r="F16" s="100">
        <v>2.59</v>
      </c>
      <c r="G16" s="100">
        <v>113.81</v>
      </c>
      <c r="H16" s="100">
        <v>52.78</v>
      </c>
      <c r="I16" s="100">
        <v>13.75</v>
      </c>
      <c r="J16" s="100">
        <v>0.43</v>
      </c>
      <c r="K16" s="100">
        <v>57.94</v>
      </c>
      <c r="L16" s="100">
        <v>20.79</v>
      </c>
      <c r="M16" s="100">
        <v>76.13</v>
      </c>
      <c r="N16" s="100">
        <v>0</v>
      </c>
      <c r="O16" s="100">
        <v>0</v>
      </c>
      <c r="P16" s="100">
        <v>1.35</v>
      </c>
      <c r="Q16" s="100">
        <v>5.0199999999999996</v>
      </c>
    </row>
    <row r="17" spans="1:17" customFormat="1">
      <c r="A17" s="70" t="s">
        <v>1207</v>
      </c>
      <c r="B17" s="100">
        <v>24.09</v>
      </c>
      <c r="C17" s="100">
        <v>23.94</v>
      </c>
      <c r="D17" s="100">
        <v>33.18</v>
      </c>
      <c r="E17" s="100">
        <v>6.49</v>
      </c>
      <c r="F17" s="100">
        <v>2.41</v>
      </c>
      <c r="G17" s="100">
        <v>125.79</v>
      </c>
      <c r="H17" s="100">
        <v>59.19</v>
      </c>
      <c r="I17" s="100">
        <v>14.14</v>
      </c>
      <c r="J17" s="100">
        <v>0.44</v>
      </c>
      <c r="K17" s="100">
        <v>59.13</v>
      </c>
      <c r="L17" s="100">
        <v>20.82</v>
      </c>
      <c r="M17" s="100">
        <v>75.17</v>
      </c>
      <c r="N17" s="100">
        <v>0</v>
      </c>
      <c r="O17" s="100">
        <v>0</v>
      </c>
      <c r="P17" s="100">
        <v>1.36</v>
      </c>
      <c r="Q17" s="100">
        <v>5.04</v>
      </c>
    </row>
    <row r="18" spans="1:17" customFormat="1">
      <c r="A18" s="70" t="s">
        <v>1208</v>
      </c>
      <c r="B18" s="100">
        <v>24.3</v>
      </c>
      <c r="C18" s="100">
        <v>25.24</v>
      </c>
      <c r="D18" s="100">
        <v>34.020000000000003</v>
      </c>
      <c r="E18" s="100">
        <v>8.19</v>
      </c>
      <c r="F18" s="100">
        <v>2.2599999999999998</v>
      </c>
      <c r="G18" s="100">
        <v>125.79</v>
      </c>
      <c r="H18" s="100">
        <v>59.19</v>
      </c>
      <c r="I18" s="100">
        <v>14.47</v>
      </c>
      <c r="J18" s="100">
        <v>0.11</v>
      </c>
      <c r="K18" s="100">
        <v>70.52</v>
      </c>
      <c r="L18" s="100">
        <v>20.59</v>
      </c>
      <c r="M18" s="100">
        <v>76.41</v>
      </c>
      <c r="N18" s="100">
        <v>0</v>
      </c>
      <c r="O18" s="100">
        <v>0</v>
      </c>
      <c r="P18" s="100">
        <v>1.37</v>
      </c>
      <c r="Q18" s="100">
        <v>5.03</v>
      </c>
    </row>
    <row r="19" spans="1:17" customFormat="1">
      <c r="A19" s="70" t="s">
        <v>1209</v>
      </c>
      <c r="B19" s="100">
        <v>24.27</v>
      </c>
      <c r="C19" s="100">
        <v>26.21</v>
      </c>
      <c r="D19" s="100">
        <v>34.5</v>
      </c>
      <c r="E19" s="100">
        <v>8.41</v>
      </c>
      <c r="F19" s="100">
        <v>2.19</v>
      </c>
      <c r="G19" s="100">
        <v>125.79</v>
      </c>
      <c r="H19" s="100">
        <v>59.19</v>
      </c>
      <c r="I19" s="100">
        <v>14.66</v>
      </c>
      <c r="J19" s="100">
        <v>0.24</v>
      </c>
      <c r="K19" s="100">
        <v>67.53</v>
      </c>
      <c r="L19" s="100">
        <v>20.34</v>
      </c>
      <c r="M19" s="100">
        <v>76.459999999999994</v>
      </c>
      <c r="N19" s="100">
        <v>0</v>
      </c>
      <c r="O19" s="100">
        <v>0</v>
      </c>
      <c r="P19" s="100">
        <v>1.36</v>
      </c>
      <c r="Q19" s="100">
        <v>5.0599999999999996</v>
      </c>
    </row>
    <row r="20" spans="1:17" customFormat="1">
      <c r="A20" s="70" t="s">
        <v>1210</v>
      </c>
      <c r="B20" s="100">
        <v>24.44</v>
      </c>
      <c r="C20" s="100">
        <v>26.33</v>
      </c>
      <c r="D20" s="100">
        <v>34.71</v>
      </c>
      <c r="E20" s="100">
        <v>8.1</v>
      </c>
      <c r="F20" s="100">
        <v>2.23</v>
      </c>
      <c r="G20" s="100">
        <v>126.17</v>
      </c>
      <c r="H20" s="100">
        <v>59.31</v>
      </c>
      <c r="I20" s="100">
        <v>14.74</v>
      </c>
      <c r="J20" s="100">
        <v>0.56000000000000005</v>
      </c>
      <c r="K20" s="100">
        <v>40.33</v>
      </c>
      <c r="L20" s="100">
        <v>20.64</v>
      </c>
      <c r="M20" s="100">
        <v>73.2</v>
      </c>
      <c r="N20" s="100">
        <v>0</v>
      </c>
      <c r="O20" s="100">
        <v>0</v>
      </c>
      <c r="P20" s="100">
        <v>1.36</v>
      </c>
      <c r="Q20" s="100">
        <v>5.07</v>
      </c>
    </row>
    <row r="21" spans="1:17" customFormat="1">
      <c r="A21" s="70" t="s">
        <v>1211</v>
      </c>
      <c r="B21" s="100">
        <v>24.8</v>
      </c>
      <c r="C21" s="100">
        <v>24.69</v>
      </c>
      <c r="D21" s="100">
        <v>34.14</v>
      </c>
      <c r="E21" s="100">
        <v>7.57</v>
      </c>
      <c r="F21" s="100">
        <v>2.4300000000000002</v>
      </c>
      <c r="G21" s="100">
        <v>127.83</v>
      </c>
      <c r="H21" s="100">
        <v>59.71</v>
      </c>
      <c r="I21" s="100">
        <v>14.74</v>
      </c>
      <c r="J21" s="100">
        <v>0.56999999999999995</v>
      </c>
      <c r="K21" s="100">
        <v>32.659999999999997</v>
      </c>
      <c r="L21" s="100">
        <v>20.56</v>
      </c>
      <c r="M21" s="100">
        <v>74.08</v>
      </c>
      <c r="N21" s="100">
        <v>0</v>
      </c>
      <c r="O21" s="100">
        <v>0</v>
      </c>
      <c r="P21" s="100">
        <v>1.34</v>
      </c>
      <c r="Q21" s="100">
        <v>5.08</v>
      </c>
    </row>
    <row r="22" spans="1:17" customFormat="1">
      <c r="A22" s="70" t="s">
        <v>1212</v>
      </c>
      <c r="B22" s="100">
        <v>24.81</v>
      </c>
      <c r="C22" s="100">
        <v>23.08</v>
      </c>
      <c r="D22" s="100">
        <v>33.31</v>
      </c>
      <c r="E22" s="100">
        <v>7.59</v>
      </c>
      <c r="F22" s="100">
        <v>2.52</v>
      </c>
      <c r="G22" s="100">
        <v>127.83</v>
      </c>
      <c r="H22" s="100">
        <v>59.71</v>
      </c>
      <c r="I22" s="100">
        <v>14.68</v>
      </c>
      <c r="J22" s="100">
        <v>0.72</v>
      </c>
      <c r="K22" s="100">
        <v>43.98</v>
      </c>
      <c r="L22" s="100">
        <v>20.28</v>
      </c>
      <c r="M22" s="100">
        <v>76.06</v>
      </c>
      <c r="N22" s="100">
        <v>0</v>
      </c>
      <c r="O22" s="100">
        <v>0</v>
      </c>
      <c r="P22" s="100">
        <v>1.32</v>
      </c>
      <c r="Q22" s="100">
        <v>5.09</v>
      </c>
    </row>
    <row r="23" spans="1:17" customFormat="1">
      <c r="A23" s="70" t="s">
        <v>1213</v>
      </c>
      <c r="B23" s="100">
        <v>24.5</v>
      </c>
      <c r="C23" s="100">
        <v>24.62</v>
      </c>
      <c r="D23" s="100">
        <v>33.86</v>
      </c>
      <c r="E23" s="100">
        <v>7.62</v>
      </c>
      <c r="F23" s="100">
        <v>2.27</v>
      </c>
      <c r="G23" s="100">
        <v>127.83</v>
      </c>
      <c r="H23" s="100">
        <v>59.71</v>
      </c>
      <c r="I23" s="100">
        <v>14.6</v>
      </c>
      <c r="J23" s="100">
        <v>0.69</v>
      </c>
      <c r="K23" s="100">
        <v>34.86</v>
      </c>
      <c r="L23" s="100">
        <v>20.04</v>
      </c>
      <c r="M23" s="100">
        <v>77.97</v>
      </c>
      <c r="N23" s="100">
        <v>0</v>
      </c>
      <c r="O23" s="100">
        <v>0</v>
      </c>
      <c r="P23" s="100">
        <v>1.31</v>
      </c>
      <c r="Q23" s="100">
        <v>5.0999999999999996</v>
      </c>
    </row>
    <row r="24" spans="1:17" customFormat="1">
      <c r="A24" s="70" t="s">
        <v>1214</v>
      </c>
      <c r="B24" s="100">
        <v>24.23</v>
      </c>
      <c r="C24" s="100">
        <v>24.05</v>
      </c>
      <c r="D24" s="100">
        <v>33.35</v>
      </c>
      <c r="E24" s="100">
        <v>7.78</v>
      </c>
      <c r="F24" s="100">
        <v>2.54</v>
      </c>
      <c r="G24" s="100">
        <v>125.71</v>
      </c>
      <c r="H24" s="100">
        <v>58.72</v>
      </c>
      <c r="I24" s="100">
        <v>14.46</v>
      </c>
      <c r="J24" s="100">
        <v>0.83</v>
      </c>
      <c r="K24" s="100">
        <v>41.7</v>
      </c>
      <c r="L24" s="100">
        <v>19.79</v>
      </c>
      <c r="M24" s="100">
        <v>79.930000000000007</v>
      </c>
      <c r="N24" s="100">
        <v>0</v>
      </c>
      <c r="O24" s="100">
        <v>0</v>
      </c>
      <c r="P24" s="100">
        <v>1.28</v>
      </c>
      <c r="Q24" s="100">
        <v>5.0999999999999996</v>
      </c>
    </row>
    <row r="25" spans="1:17" customFormat="1">
      <c r="A25" s="70" t="s">
        <v>1215</v>
      </c>
      <c r="B25" s="100">
        <v>23.87</v>
      </c>
      <c r="C25" s="100">
        <v>25.48</v>
      </c>
      <c r="D25" s="100">
        <v>33.799999999999997</v>
      </c>
      <c r="E25" s="100">
        <v>7.79</v>
      </c>
      <c r="F25" s="100">
        <v>2.41</v>
      </c>
      <c r="G25" s="100">
        <v>116.61</v>
      </c>
      <c r="H25" s="100">
        <v>55.63</v>
      </c>
      <c r="I25" s="100">
        <v>14.29</v>
      </c>
      <c r="J25" s="100">
        <v>0.78</v>
      </c>
      <c r="K25" s="100">
        <v>40.68</v>
      </c>
      <c r="L25" s="100">
        <v>19.64</v>
      </c>
      <c r="M25" s="100">
        <v>81.400000000000006</v>
      </c>
      <c r="N25" s="100">
        <v>0</v>
      </c>
      <c r="O25" s="100">
        <v>0</v>
      </c>
      <c r="P25" s="100">
        <v>1.27</v>
      </c>
      <c r="Q25" s="100">
        <v>5.1100000000000003</v>
      </c>
    </row>
    <row r="26" spans="1:17" customFormat="1">
      <c r="A26" s="70" t="s">
        <v>1216</v>
      </c>
      <c r="B26" s="100">
        <v>23.65</v>
      </c>
      <c r="C26" s="100">
        <v>25.5</v>
      </c>
      <c r="D26" s="100">
        <v>33.64</v>
      </c>
      <c r="E26" s="100">
        <v>8.09</v>
      </c>
      <c r="F26" s="100">
        <v>2.2599999999999998</v>
      </c>
      <c r="G26" s="100">
        <v>116.61</v>
      </c>
      <c r="H26" s="100">
        <v>55.63</v>
      </c>
      <c r="I26" s="100">
        <v>14.1</v>
      </c>
      <c r="J26" s="100">
        <v>0.8</v>
      </c>
      <c r="K26" s="100">
        <v>39.130000000000003</v>
      </c>
      <c r="L26" s="100">
        <v>19.579999999999998</v>
      </c>
      <c r="M26" s="100">
        <v>82.31</v>
      </c>
      <c r="N26" s="100">
        <v>0</v>
      </c>
      <c r="O26" s="100">
        <v>0</v>
      </c>
      <c r="P26" s="100">
        <v>1.24</v>
      </c>
      <c r="Q26" s="100">
        <v>5.13</v>
      </c>
    </row>
    <row r="27" spans="1:17" customFormat="1">
      <c r="A27" s="70" t="s">
        <v>1217</v>
      </c>
      <c r="B27" s="100">
        <v>23.28</v>
      </c>
      <c r="C27" s="100">
        <v>25.95</v>
      </c>
      <c r="D27" s="100">
        <v>33.58</v>
      </c>
      <c r="E27" s="100">
        <v>7.94</v>
      </c>
      <c r="F27" s="100">
        <v>2.35</v>
      </c>
      <c r="G27" s="100">
        <v>116.61</v>
      </c>
      <c r="H27" s="100">
        <v>55.63</v>
      </c>
      <c r="I27" s="100">
        <v>13.91</v>
      </c>
      <c r="J27" s="100">
        <v>1.01</v>
      </c>
      <c r="K27" s="100">
        <v>47.45</v>
      </c>
      <c r="L27" s="100">
        <v>19.399999999999999</v>
      </c>
      <c r="M27" s="100">
        <v>82.83</v>
      </c>
      <c r="N27" s="100">
        <v>0</v>
      </c>
      <c r="O27" s="100">
        <v>0</v>
      </c>
      <c r="P27" s="100">
        <v>1.21</v>
      </c>
      <c r="Q27" s="100">
        <v>5.14</v>
      </c>
    </row>
    <row r="28" spans="1:17" customFormat="1">
      <c r="A28" s="70" t="s">
        <v>1218</v>
      </c>
      <c r="B28" s="100">
        <v>22.29</v>
      </c>
      <c r="C28" s="100">
        <v>26.16</v>
      </c>
      <c r="D28" s="100">
        <v>32.89</v>
      </c>
      <c r="E28" s="100">
        <v>7.66</v>
      </c>
      <c r="F28" s="100">
        <v>2.34</v>
      </c>
      <c r="G28" s="100">
        <v>113.62</v>
      </c>
      <c r="H28" s="100">
        <v>54.45</v>
      </c>
      <c r="I28" s="100">
        <v>13.7</v>
      </c>
      <c r="J28" s="100">
        <v>1.06</v>
      </c>
      <c r="K28" s="100">
        <v>48.82</v>
      </c>
      <c r="L28" s="100">
        <v>19.21</v>
      </c>
      <c r="M28" s="100">
        <v>83.43</v>
      </c>
      <c r="N28" s="100">
        <v>0</v>
      </c>
      <c r="O28" s="100">
        <v>0</v>
      </c>
      <c r="P28" s="100">
        <v>1.19</v>
      </c>
      <c r="Q28" s="100">
        <v>5.13</v>
      </c>
    </row>
    <row r="29" spans="1:17" customFormat="1">
      <c r="A29" s="70" t="s">
        <v>1219</v>
      </c>
      <c r="B29" s="100">
        <v>21.38</v>
      </c>
      <c r="C29" s="100">
        <v>26.17</v>
      </c>
      <c r="D29" s="100">
        <v>32.17</v>
      </c>
      <c r="E29" s="100">
        <v>7.53</v>
      </c>
      <c r="F29" s="100">
        <v>2.4300000000000002</v>
      </c>
      <c r="G29" s="100">
        <v>100.8</v>
      </c>
      <c r="H29" s="100">
        <v>50.79</v>
      </c>
      <c r="I29" s="100">
        <v>13.42</v>
      </c>
      <c r="J29" s="100">
        <v>1.07</v>
      </c>
      <c r="K29" s="100">
        <v>48.05</v>
      </c>
      <c r="L29" s="100">
        <v>19.28</v>
      </c>
      <c r="M29" s="100">
        <v>83.2</v>
      </c>
      <c r="N29" s="100">
        <v>0</v>
      </c>
      <c r="O29" s="100">
        <v>0</v>
      </c>
      <c r="P29" s="100">
        <v>1.17</v>
      </c>
      <c r="Q29" s="100">
        <v>5.1100000000000003</v>
      </c>
    </row>
    <row r="30" spans="1:17" customFormat="1">
      <c r="A30" s="70" t="s">
        <v>1220</v>
      </c>
      <c r="B30" s="100">
        <v>20.85</v>
      </c>
      <c r="C30" s="100">
        <v>26.19</v>
      </c>
      <c r="D30" s="100">
        <v>31.76</v>
      </c>
      <c r="E30" s="100">
        <v>7.79</v>
      </c>
      <c r="F30" s="100">
        <v>2.31</v>
      </c>
      <c r="G30" s="100">
        <v>100.8</v>
      </c>
      <c r="H30" s="100">
        <v>50.79</v>
      </c>
      <c r="I30" s="100">
        <v>13.14</v>
      </c>
      <c r="J30" s="100">
        <v>0.55000000000000004</v>
      </c>
      <c r="K30" s="100">
        <v>53.4</v>
      </c>
      <c r="L30" s="100">
        <v>19.350000000000001</v>
      </c>
      <c r="M30" s="100">
        <v>83.05</v>
      </c>
      <c r="N30" s="100">
        <v>0</v>
      </c>
      <c r="O30" s="100">
        <v>0</v>
      </c>
      <c r="P30" s="100">
        <v>1.1399999999999999</v>
      </c>
      <c r="Q30" s="100">
        <v>5.09</v>
      </c>
    </row>
    <row r="31" spans="1:17" customFormat="1">
      <c r="A31" s="70" t="s">
        <v>1221</v>
      </c>
      <c r="B31" s="100">
        <v>20.6</v>
      </c>
      <c r="C31" s="100">
        <v>26.4</v>
      </c>
      <c r="D31" s="100">
        <v>31.66</v>
      </c>
      <c r="E31" s="100">
        <v>7.9</v>
      </c>
      <c r="F31" s="100">
        <v>2.36</v>
      </c>
      <c r="G31" s="100">
        <v>100.8</v>
      </c>
      <c r="H31" s="100">
        <v>50.79</v>
      </c>
      <c r="I31" s="100">
        <v>12.86</v>
      </c>
      <c r="J31" s="100">
        <v>0.65</v>
      </c>
      <c r="K31" s="100">
        <v>61.01</v>
      </c>
      <c r="L31" s="100">
        <v>19.34</v>
      </c>
      <c r="M31" s="100">
        <v>83.41</v>
      </c>
      <c r="N31" s="100">
        <v>0</v>
      </c>
      <c r="O31" s="100">
        <v>0</v>
      </c>
      <c r="P31" s="100">
        <v>1.1100000000000001</v>
      </c>
      <c r="Q31" s="100">
        <v>5.07</v>
      </c>
    </row>
    <row r="32" spans="1:17" customFormat="1">
      <c r="A32" s="70" t="s">
        <v>1222</v>
      </c>
      <c r="B32" s="100">
        <v>20.36</v>
      </c>
      <c r="C32" s="100">
        <v>26.61</v>
      </c>
      <c r="D32" s="100">
        <v>31.58</v>
      </c>
      <c r="E32" s="100">
        <v>7.78</v>
      </c>
      <c r="F32" s="100">
        <v>2.2999999999999998</v>
      </c>
      <c r="G32" s="100">
        <v>98.43</v>
      </c>
      <c r="H32" s="100">
        <v>50.17</v>
      </c>
      <c r="I32" s="100">
        <v>12.6</v>
      </c>
      <c r="J32" s="100">
        <v>0.19</v>
      </c>
      <c r="K32" s="100">
        <v>75.989999999999995</v>
      </c>
      <c r="L32" s="100">
        <v>19.38</v>
      </c>
      <c r="M32" s="100">
        <v>83.61</v>
      </c>
      <c r="N32" s="100">
        <v>0</v>
      </c>
      <c r="O32" s="100">
        <v>0</v>
      </c>
      <c r="P32" s="100">
        <v>1.1000000000000001</v>
      </c>
      <c r="Q32" s="100">
        <v>5.07</v>
      </c>
    </row>
    <row r="33" spans="1:17" customFormat="1">
      <c r="A33" s="70" t="s">
        <v>1223</v>
      </c>
      <c r="B33" s="100">
        <v>19.96</v>
      </c>
      <c r="C33" s="100">
        <v>26.95</v>
      </c>
      <c r="D33" s="100">
        <v>31.43</v>
      </c>
      <c r="E33" s="100">
        <v>7.14</v>
      </c>
      <c r="F33" s="100">
        <v>2.21</v>
      </c>
      <c r="G33" s="100">
        <v>88.27</v>
      </c>
      <c r="H33" s="100">
        <v>47.07</v>
      </c>
      <c r="I33" s="100">
        <v>12.36</v>
      </c>
      <c r="J33" s="100">
        <v>0.36</v>
      </c>
      <c r="K33" s="100">
        <v>58.53</v>
      </c>
      <c r="L33" s="100">
        <v>19.27</v>
      </c>
      <c r="M33" s="100">
        <v>84.18</v>
      </c>
      <c r="N33" s="100">
        <v>0</v>
      </c>
      <c r="O33" s="100">
        <v>0</v>
      </c>
      <c r="P33" s="100">
        <v>1.0900000000000001</v>
      </c>
      <c r="Q33" s="100">
        <v>5.05</v>
      </c>
    </row>
    <row r="34" spans="1:17" customFormat="1">
      <c r="A34" s="70" t="s">
        <v>1224</v>
      </c>
      <c r="B34" s="100">
        <v>19.920000000000002</v>
      </c>
      <c r="C34" s="100">
        <v>26.74</v>
      </c>
      <c r="D34" s="100">
        <v>31.29</v>
      </c>
      <c r="E34" s="100">
        <v>7.57</v>
      </c>
      <c r="F34" s="100">
        <v>2.19</v>
      </c>
      <c r="G34" s="100">
        <v>88.27</v>
      </c>
      <c r="H34" s="100">
        <v>47.07</v>
      </c>
      <c r="I34" s="100">
        <v>12.15</v>
      </c>
      <c r="J34" s="100">
        <v>0.1</v>
      </c>
      <c r="K34" s="100">
        <v>182.78</v>
      </c>
      <c r="L34" s="100">
        <v>19.25</v>
      </c>
      <c r="M34" s="100">
        <v>85.03</v>
      </c>
      <c r="N34" s="100">
        <v>0</v>
      </c>
      <c r="O34" s="100">
        <v>0</v>
      </c>
      <c r="P34" s="100">
        <v>1.06</v>
      </c>
      <c r="Q34" s="100">
        <v>5.04</v>
      </c>
    </row>
    <row r="35" spans="1:17" customFormat="1">
      <c r="A35" s="70" t="s">
        <v>1225</v>
      </c>
      <c r="B35" s="100">
        <v>19.88</v>
      </c>
      <c r="C35" s="100">
        <v>26.9</v>
      </c>
      <c r="D35" s="100">
        <v>31.34</v>
      </c>
      <c r="E35" s="100">
        <v>8</v>
      </c>
      <c r="F35" s="100">
        <v>2.23</v>
      </c>
      <c r="G35" s="100">
        <v>88.27</v>
      </c>
      <c r="H35" s="100">
        <v>47.07</v>
      </c>
      <c r="I35" s="100">
        <v>11.99</v>
      </c>
      <c r="J35" s="100">
        <v>0.2</v>
      </c>
      <c r="K35" s="100">
        <v>164.95</v>
      </c>
      <c r="L35" s="100">
        <v>19.149999999999999</v>
      </c>
      <c r="M35" s="100">
        <v>86.28</v>
      </c>
      <c r="N35" s="100">
        <v>0</v>
      </c>
      <c r="O35" s="100">
        <v>0</v>
      </c>
      <c r="P35" s="100">
        <v>1.06</v>
      </c>
      <c r="Q35" s="100">
        <v>5.0199999999999996</v>
      </c>
    </row>
    <row r="36" spans="1:17" customFormat="1">
      <c r="A36" s="70" t="s">
        <v>1226</v>
      </c>
      <c r="B36" s="100">
        <v>19.28</v>
      </c>
      <c r="C36" s="100">
        <v>26.46</v>
      </c>
      <c r="D36" s="100">
        <v>30.64</v>
      </c>
      <c r="E36" s="100">
        <v>7.35</v>
      </c>
      <c r="F36" s="100">
        <v>2.2200000000000002</v>
      </c>
      <c r="G36" s="100">
        <v>87.46</v>
      </c>
      <c r="H36" s="100">
        <v>46.49</v>
      </c>
      <c r="I36" s="100">
        <v>11.85</v>
      </c>
      <c r="J36" s="100">
        <v>0.13</v>
      </c>
      <c r="K36" s="100">
        <v>151.36000000000001</v>
      </c>
      <c r="L36" s="100">
        <v>19.059999999999999</v>
      </c>
      <c r="M36" s="100">
        <v>86.94</v>
      </c>
      <c r="N36" s="100">
        <v>4.8</v>
      </c>
      <c r="O36" s="100">
        <v>0</v>
      </c>
      <c r="P36" s="100">
        <v>1.04</v>
      </c>
      <c r="Q36" s="100">
        <v>5</v>
      </c>
    </row>
    <row r="37" spans="1:17" customFormat="1">
      <c r="A37" s="70" t="s">
        <v>1227</v>
      </c>
      <c r="B37" s="100">
        <v>18.71</v>
      </c>
      <c r="C37" s="100">
        <v>26.49</v>
      </c>
      <c r="D37" s="100">
        <v>30.2</v>
      </c>
      <c r="E37" s="100">
        <v>8.1199999999999992</v>
      </c>
      <c r="F37" s="100">
        <v>2.21</v>
      </c>
      <c r="G37" s="100">
        <v>83.98</v>
      </c>
      <c r="H37" s="100">
        <v>44.69</v>
      </c>
      <c r="I37" s="100">
        <v>11.69</v>
      </c>
      <c r="J37" s="100">
        <v>0.06</v>
      </c>
      <c r="K37" s="100">
        <v>208.23</v>
      </c>
      <c r="L37" s="100">
        <v>19.37</v>
      </c>
      <c r="M37" s="100">
        <v>85.96</v>
      </c>
      <c r="N37" s="100">
        <v>7.4</v>
      </c>
      <c r="O37" s="100">
        <v>0</v>
      </c>
      <c r="P37" s="100">
        <v>1.01</v>
      </c>
      <c r="Q37" s="100">
        <v>4.97</v>
      </c>
    </row>
    <row r="38" spans="1:17" customFormat="1">
      <c r="A38" s="70" t="s">
        <v>1228</v>
      </c>
      <c r="B38" s="100">
        <v>18.32</v>
      </c>
      <c r="C38" s="100">
        <v>26.57</v>
      </c>
      <c r="D38" s="100">
        <v>29.92</v>
      </c>
      <c r="E38" s="100">
        <v>7.5</v>
      </c>
      <c r="F38" s="100">
        <v>2.15</v>
      </c>
      <c r="G38" s="100">
        <v>83.98</v>
      </c>
      <c r="H38" s="100">
        <v>44.69</v>
      </c>
      <c r="I38" s="100">
        <v>11.51</v>
      </c>
      <c r="J38" s="100">
        <v>0.41</v>
      </c>
      <c r="K38" s="100">
        <v>78.040000000000006</v>
      </c>
      <c r="L38" s="100">
        <v>19.73</v>
      </c>
      <c r="M38" s="100">
        <v>84.38</v>
      </c>
      <c r="N38" s="100">
        <v>15</v>
      </c>
      <c r="O38" s="100">
        <v>0</v>
      </c>
      <c r="P38" s="100">
        <v>1.01</v>
      </c>
      <c r="Q38" s="100">
        <v>4.97</v>
      </c>
    </row>
    <row r="39" spans="1:17" customFormat="1">
      <c r="A39" s="70" t="s">
        <v>1229</v>
      </c>
      <c r="B39" s="100">
        <v>18.170000000000002</v>
      </c>
      <c r="C39" s="100">
        <v>26.44</v>
      </c>
      <c r="D39" s="100">
        <v>29.74</v>
      </c>
      <c r="E39" s="100">
        <v>7.59</v>
      </c>
      <c r="F39" s="100">
        <v>2.27</v>
      </c>
      <c r="G39" s="100">
        <v>83.98</v>
      </c>
      <c r="H39" s="100">
        <v>44.69</v>
      </c>
      <c r="I39" s="100">
        <v>11.38</v>
      </c>
      <c r="J39" s="100">
        <v>0.21</v>
      </c>
      <c r="K39" s="100">
        <v>76.040000000000006</v>
      </c>
      <c r="L39" s="100">
        <v>20.03</v>
      </c>
      <c r="M39" s="100">
        <v>83.46</v>
      </c>
      <c r="N39" s="100">
        <v>19.2</v>
      </c>
      <c r="O39" s="100">
        <v>0</v>
      </c>
      <c r="P39" s="100">
        <v>1.01</v>
      </c>
      <c r="Q39" s="100">
        <v>4.97</v>
      </c>
    </row>
    <row r="40" spans="1:17" customFormat="1">
      <c r="A40" s="70" t="s">
        <v>1230</v>
      </c>
      <c r="B40" s="100">
        <v>17.86</v>
      </c>
      <c r="C40" s="100">
        <v>27</v>
      </c>
      <c r="D40" s="100">
        <v>29.78</v>
      </c>
      <c r="E40" s="100">
        <v>7.7</v>
      </c>
      <c r="F40" s="100">
        <v>2.2400000000000002</v>
      </c>
      <c r="G40" s="100">
        <v>84.82</v>
      </c>
      <c r="H40" s="100">
        <v>45.24</v>
      </c>
      <c r="I40" s="100">
        <v>11.36</v>
      </c>
      <c r="J40" s="100">
        <v>0.61</v>
      </c>
      <c r="K40" s="100">
        <v>56.4</v>
      </c>
      <c r="L40" s="100">
        <v>20.29</v>
      </c>
      <c r="M40" s="100">
        <v>82.91</v>
      </c>
      <c r="N40" s="100">
        <v>36.6</v>
      </c>
      <c r="O40" s="100">
        <v>0</v>
      </c>
      <c r="P40" s="100">
        <v>1.02</v>
      </c>
      <c r="Q40" s="100">
        <v>4.95</v>
      </c>
    </row>
    <row r="41" spans="1:17" customFormat="1">
      <c r="A41" s="70" t="s">
        <v>1231</v>
      </c>
      <c r="B41" s="100">
        <v>17.89</v>
      </c>
      <c r="C41" s="100">
        <v>27.2</v>
      </c>
      <c r="D41" s="100">
        <v>29.91</v>
      </c>
      <c r="E41" s="100">
        <v>7.75</v>
      </c>
      <c r="F41" s="100">
        <v>2.2999999999999998</v>
      </c>
      <c r="G41" s="100">
        <v>88.41</v>
      </c>
      <c r="H41" s="100">
        <v>46.97</v>
      </c>
      <c r="I41" s="100">
        <v>11.63</v>
      </c>
      <c r="J41" s="100">
        <v>1.08</v>
      </c>
      <c r="K41" s="100">
        <v>61.69</v>
      </c>
      <c r="L41" s="100">
        <v>20.47</v>
      </c>
      <c r="M41" s="100">
        <v>82.48</v>
      </c>
      <c r="N41" s="100">
        <v>63.4</v>
      </c>
      <c r="O41" s="100">
        <v>0</v>
      </c>
      <c r="P41" s="100">
        <v>1.03</v>
      </c>
      <c r="Q41" s="100">
        <v>4.9400000000000004</v>
      </c>
    </row>
    <row r="42" spans="1:17" customFormat="1">
      <c r="A42" s="70" t="s">
        <v>1232</v>
      </c>
      <c r="B42" s="100">
        <v>17.78</v>
      </c>
      <c r="C42" s="100">
        <v>27.39</v>
      </c>
      <c r="D42" s="100">
        <v>29.92</v>
      </c>
      <c r="E42" s="100">
        <v>7.57</v>
      </c>
      <c r="F42" s="100">
        <v>2.39</v>
      </c>
      <c r="G42" s="100">
        <v>88.41</v>
      </c>
      <c r="H42" s="100">
        <v>46.97</v>
      </c>
      <c r="I42" s="100">
        <v>12.18</v>
      </c>
      <c r="J42" s="100">
        <v>0.63</v>
      </c>
      <c r="K42" s="100">
        <v>74.3</v>
      </c>
      <c r="L42" s="100">
        <v>20.88</v>
      </c>
      <c r="M42" s="100">
        <v>80.08</v>
      </c>
      <c r="N42" s="100">
        <v>104.8</v>
      </c>
      <c r="O42" s="100">
        <v>0</v>
      </c>
      <c r="P42" s="100">
        <v>1.03</v>
      </c>
      <c r="Q42" s="100">
        <v>4.96</v>
      </c>
    </row>
    <row r="43" spans="1:17" customFormat="1">
      <c r="A43" s="70" t="s">
        <v>1233</v>
      </c>
      <c r="B43" s="100">
        <v>16.93</v>
      </c>
      <c r="C43" s="100">
        <v>27.57</v>
      </c>
      <c r="D43" s="100">
        <v>29.34</v>
      </c>
      <c r="E43" s="100">
        <v>7.76</v>
      </c>
      <c r="F43" s="100">
        <v>2.37</v>
      </c>
      <c r="G43" s="100">
        <v>88.41</v>
      </c>
      <c r="H43" s="100">
        <v>46.97</v>
      </c>
      <c r="I43" s="100">
        <v>12.62</v>
      </c>
      <c r="J43" s="100">
        <v>0.73</v>
      </c>
      <c r="K43" s="100">
        <v>68.72</v>
      </c>
      <c r="L43" s="100">
        <v>21.26</v>
      </c>
      <c r="M43" s="100">
        <v>78.66</v>
      </c>
      <c r="N43" s="100">
        <v>135.30000000000001</v>
      </c>
      <c r="O43" s="100">
        <v>0</v>
      </c>
      <c r="P43" s="100">
        <v>1.02</v>
      </c>
      <c r="Q43" s="100">
        <v>4.96</v>
      </c>
    </row>
    <row r="44" spans="1:17" customFormat="1">
      <c r="A44" s="70" t="s">
        <v>1234</v>
      </c>
      <c r="B44" s="100">
        <v>16.2</v>
      </c>
      <c r="C44" s="100">
        <v>27.38</v>
      </c>
      <c r="D44" s="100">
        <v>28.65</v>
      </c>
      <c r="E44" s="100">
        <v>7.74</v>
      </c>
      <c r="F44" s="100">
        <v>2.37</v>
      </c>
      <c r="G44" s="100">
        <v>91.03</v>
      </c>
      <c r="H44" s="100">
        <v>47.5</v>
      </c>
      <c r="I44" s="100">
        <v>12.7</v>
      </c>
      <c r="J44" s="100">
        <v>1.18</v>
      </c>
      <c r="K44" s="100">
        <v>52.22</v>
      </c>
      <c r="L44" s="100">
        <v>21.67</v>
      </c>
      <c r="M44" s="100">
        <v>77.45</v>
      </c>
      <c r="N44" s="100">
        <v>154</v>
      </c>
      <c r="O44" s="100">
        <v>0</v>
      </c>
      <c r="P44" s="100">
        <v>1.02</v>
      </c>
      <c r="Q44" s="100">
        <v>4.91</v>
      </c>
    </row>
    <row r="45" spans="1:17" customFormat="1">
      <c r="A45" s="70" t="s">
        <v>1235</v>
      </c>
      <c r="B45" s="100">
        <v>15.63</v>
      </c>
      <c r="C45" s="100">
        <v>28</v>
      </c>
      <c r="D45" s="100">
        <v>28.51</v>
      </c>
      <c r="E45" s="100">
        <v>7.82</v>
      </c>
      <c r="F45" s="100">
        <v>2.35</v>
      </c>
      <c r="G45" s="100">
        <v>102.3</v>
      </c>
      <c r="H45" s="100">
        <v>49.13</v>
      </c>
      <c r="I45" s="100">
        <v>12.54</v>
      </c>
      <c r="J45" s="100">
        <v>1.42</v>
      </c>
      <c r="K45" s="100">
        <v>56.06</v>
      </c>
      <c r="L45" s="100">
        <v>22</v>
      </c>
      <c r="M45" s="100">
        <v>76.38</v>
      </c>
      <c r="N45" s="100">
        <v>160.19999999999999</v>
      </c>
      <c r="O45" s="100">
        <v>0</v>
      </c>
      <c r="P45" s="100">
        <v>1.02</v>
      </c>
      <c r="Q45" s="100">
        <v>4.92</v>
      </c>
    </row>
    <row r="46" spans="1:17" customFormat="1">
      <c r="A46" s="70" t="s">
        <v>1236</v>
      </c>
      <c r="B46" s="100">
        <v>15.17</v>
      </c>
      <c r="C46" s="100">
        <v>27.49</v>
      </c>
      <c r="D46" s="100">
        <v>27.88</v>
      </c>
      <c r="E46" s="100">
        <v>7.87</v>
      </c>
      <c r="F46" s="100">
        <v>2.37</v>
      </c>
      <c r="G46" s="100">
        <v>102.3</v>
      </c>
      <c r="H46" s="100">
        <v>49.13</v>
      </c>
      <c r="I46" s="100">
        <v>12.38</v>
      </c>
      <c r="J46" s="100">
        <v>1.23</v>
      </c>
      <c r="K46" s="100">
        <v>48.95</v>
      </c>
      <c r="L46" s="100">
        <v>22.56</v>
      </c>
      <c r="M46" s="100">
        <v>72.8</v>
      </c>
      <c r="N46" s="100">
        <v>124.8</v>
      </c>
      <c r="O46" s="100">
        <v>0</v>
      </c>
      <c r="P46" s="100">
        <v>1.02</v>
      </c>
      <c r="Q46" s="100">
        <v>4.92</v>
      </c>
    </row>
    <row r="47" spans="1:17" customFormat="1">
      <c r="A47" s="70" t="s">
        <v>1237</v>
      </c>
      <c r="B47" s="100">
        <v>15.17</v>
      </c>
      <c r="C47" s="100">
        <v>25.9</v>
      </c>
      <c r="D47" s="100">
        <v>27.05</v>
      </c>
      <c r="E47" s="100">
        <v>7.78</v>
      </c>
      <c r="F47" s="100">
        <v>2.83</v>
      </c>
      <c r="G47" s="100">
        <v>102.3</v>
      </c>
      <c r="H47" s="100">
        <v>49.13</v>
      </c>
      <c r="I47" s="100">
        <v>12.28</v>
      </c>
      <c r="J47" s="100">
        <v>1.39</v>
      </c>
      <c r="K47" s="100">
        <v>49.95</v>
      </c>
      <c r="L47" s="100">
        <v>23.19</v>
      </c>
      <c r="M47" s="100">
        <v>69.319999999999993</v>
      </c>
      <c r="N47" s="100">
        <v>130.69999999999999</v>
      </c>
      <c r="O47" s="100">
        <v>0</v>
      </c>
      <c r="P47" s="100">
        <v>1.01</v>
      </c>
      <c r="Q47" s="100">
        <v>4.8899999999999997</v>
      </c>
    </row>
    <row r="48" spans="1:17" customFormat="1">
      <c r="A48" s="70" t="s">
        <v>1238</v>
      </c>
      <c r="B48" s="100">
        <v>15.42</v>
      </c>
      <c r="C48" s="100">
        <v>24.4</v>
      </c>
      <c r="D48" s="100">
        <v>26.46</v>
      </c>
      <c r="E48" s="100">
        <v>7.34</v>
      </c>
      <c r="F48" s="100">
        <v>2.83</v>
      </c>
      <c r="G48" s="100">
        <v>102.42</v>
      </c>
      <c r="H48" s="100">
        <v>49.36</v>
      </c>
      <c r="I48" s="100">
        <v>12.23</v>
      </c>
      <c r="J48" s="100">
        <v>1.1599999999999999</v>
      </c>
      <c r="K48" s="100">
        <v>58.61</v>
      </c>
      <c r="L48" s="100">
        <v>23.56</v>
      </c>
      <c r="M48" s="100">
        <v>68.17</v>
      </c>
      <c r="N48" s="100">
        <v>197.9</v>
      </c>
      <c r="O48" s="100">
        <v>0</v>
      </c>
      <c r="P48" s="100">
        <v>1.01</v>
      </c>
      <c r="Q48" s="100">
        <v>4.8899999999999997</v>
      </c>
    </row>
    <row r="49" spans="1:17" customFormat="1">
      <c r="A49" s="70" t="s">
        <v>1239</v>
      </c>
      <c r="B49" s="100">
        <v>15.53</v>
      </c>
      <c r="C49" s="100">
        <v>23.1</v>
      </c>
      <c r="D49" s="100">
        <v>25.87</v>
      </c>
      <c r="E49" s="100">
        <v>4.75</v>
      </c>
      <c r="F49" s="100">
        <v>2.8</v>
      </c>
      <c r="G49" s="100">
        <v>102.97</v>
      </c>
      <c r="H49" s="100">
        <v>50.07</v>
      </c>
      <c r="I49" s="100">
        <v>12.16</v>
      </c>
      <c r="J49" s="100">
        <v>0.81</v>
      </c>
      <c r="K49" s="100">
        <v>64.459999999999994</v>
      </c>
      <c r="L49" s="100">
        <v>24.37</v>
      </c>
      <c r="M49" s="100">
        <v>65.28</v>
      </c>
      <c r="N49" s="100">
        <v>270.2</v>
      </c>
      <c r="O49" s="100">
        <v>0</v>
      </c>
      <c r="P49" s="100">
        <v>1</v>
      </c>
      <c r="Q49" s="100">
        <v>4.88</v>
      </c>
    </row>
    <row r="50" spans="1:17" customFormat="1">
      <c r="A50" s="70" t="s">
        <v>1240</v>
      </c>
      <c r="B50" s="100">
        <v>15.45</v>
      </c>
      <c r="C50" s="100">
        <v>22.42</v>
      </c>
      <c r="D50" s="100">
        <v>25.45</v>
      </c>
      <c r="E50" s="100">
        <v>5.9</v>
      </c>
      <c r="F50" s="100">
        <v>2.73</v>
      </c>
      <c r="G50" s="100">
        <v>102.97</v>
      </c>
      <c r="H50" s="100">
        <v>50.07</v>
      </c>
      <c r="I50" s="100">
        <v>12.06</v>
      </c>
      <c r="J50" s="100">
        <v>1.2</v>
      </c>
      <c r="K50" s="100">
        <v>52.93</v>
      </c>
      <c r="L50" s="100">
        <v>24.59</v>
      </c>
      <c r="M50" s="100">
        <v>63.95</v>
      </c>
      <c r="N50" s="100">
        <v>292.2</v>
      </c>
      <c r="O50" s="100">
        <v>0</v>
      </c>
      <c r="P50" s="100">
        <v>1</v>
      </c>
      <c r="Q50" s="100">
        <v>4.91</v>
      </c>
    </row>
    <row r="51" spans="1:17" customFormat="1">
      <c r="A51" s="70" t="s">
        <v>1241</v>
      </c>
      <c r="B51" s="100">
        <v>15.32</v>
      </c>
      <c r="C51" s="100">
        <v>22.25</v>
      </c>
      <c r="D51" s="100">
        <v>25.26</v>
      </c>
      <c r="E51" s="100">
        <v>6.5</v>
      </c>
      <c r="F51" s="100">
        <v>2.65</v>
      </c>
      <c r="G51" s="100">
        <v>102.97</v>
      </c>
      <c r="H51" s="100">
        <v>50.07</v>
      </c>
      <c r="I51" s="100">
        <v>11.97</v>
      </c>
      <c r="J51" s="100">
        <v>0.59</v>
      </c>
      <c r="K51" s="100">
        <v>77.12</v>
      </c>
      <c r="L51" s="100">
        <v>25.55</v>
      </c>
      <c r="M51" s="100">
        <v>59.29</v>
      </c>
      <c r="N51" s="100">
        <v>317.7</v>
      </c>
      <c r="O51" s="100">
        <v>0</v>
      </c>
      <c r="P51" s="100">
        <v>0.99</v>
      </c>
      <c r="Q51" s="100">
        <v>4.88</v>
      </c>
    </row>
    <row r="52" spans="1:17" customFormat="1">
      <c r="A52" s="70" t="s">
        <v>1242</v>
      </c>
      <c r="B52" s="100">
        <v>15.09</v>
      </c>
      <c r="C52" s="100">
        <v>22.06</v>
      </c>
      <c r="D52" s="100">
        <v>24.98</v>
      </c>
      <c r="E52" s="100">
        <v>6.01</v>
      </c>
      <c r="F52" s="100">
        <v>2.58</v>
      </c>
      <c r="G52" s="100">
        <v>102.97</v>
      </c>
      <c r="H52" s="100">
        <v>49.99</v>
      </c>
      <c r="I52" s="100">
        <v>11.87</v>
      </c>
      <c r="J52" s="100">
        <v>0.67</v>
      </c>
      <c r="K52" s="100">
        <v>66.14</v>
      </c>
      <c r="L52" s="100">
        <v>26.42</v>
      </c>
      <c r="M52" s="100">
        <v>55.36</v>
      </c>
      <c r="N52" s="100">
        <v>330.3</v>
      </c>
      <c r="O52" s="100">
        <v>0</v>
      </c>
      <c r="P52" s="100">
        <v>0.97</v>
      </c>
      <c r="Q52" s="100">
        <v>4.91</v>
      </c>
    </row>
    <row r="53" spans="1:17" customFormat="1">
      <c r="A53" s="70" t="s">
        <v>1243</v>
      </c>
      <c r="B53" s="100">
        <v>14.69</v>
      </c>
      <c r="C53" s="100">
        <v>21.88</v>
      </c>
      <c r="D53" s="100">
        <v>24.56</v>
      </c>
      <c r="E53" s="100">
        <v>6.62</v>
      </c>
      <c r="F53" s="100">
        <v>3.64</v>
      </c>
      <c r="G53" s="100">
        <v>102.99</v>
      </c>
      <c r="H53" s="100">
        <v>49.76</v>
      </c>
      <c r="I53" s="100">
        <v>11.73</v>
      </c>
      <c r="J53" s="100">
        <v>1.06</v>
      </c>
      <c r="K53" s="100">
        <v>44.73</v>
      </c>
      <c r="L53" s="100">
        <v>26.3</v>
      </c>
      <c r="M53" s="100">
        <v>53.44</v>
      </c>
      <c r="N53" s="100">
        <v>321.10000000000002</v>
      </c>
      <c r="O53" s="100">
        <v>0</v>
      </c>
      <c r="P53" s="100">
        <v>0.95</v>
      </c>
      <c r="Q53" s="100">
        <v>4.9000000000000004</v>
      </c>
    </row>
    <row r="54" spans="1:17" customFormat="1">
      <c r="A54" s="70" t="s">
        <v>1244</v>
      </c>
      <c r="B54" s="100">
        <v>14.35</v>
      </c>
      <c r="C54" s="100">
        <v>21.92</v>
      </c>
      <c r="D54" s="100">
        <v>24.31</v>
      </c>
      <c r="E54" s="100">
        <v>6.4</v>
      </c>
      <c r="F54" s="100">
        <v>2.88</v>
      </c>
      <c r="G54" s="100">
        <v>102.99</v>
      </c>
      <c r="H54" s="100">
        <v>49.76</v>
      </c>
      <c r="I54" s="100">
        <v>11.53</v>
      </c>
      <c r="J54" s="100">
        <v>0.82</v>
      </c>
      <c r="K54" s="100">
        <v>84.36</v>
      </c>
      <c r="L54" s="100">
        <v>26.69</v>
      </c>
      <c r="M54" s="100">
        <v>53.36</v>
      </c>
      <c r="N54" s="100">
        <v>345.4</v>
      </c>
      <c r="O54" s="100">
        <v>0</v>
      </c>
      <c r="P54" s="100">
        <v>0.95</v>
      </c>
      <c r="Q54" s="100">
        <v>4.91</v>
      </c>
    </row>
    <row r="55" spans="1:17" customFormat="1">
      <c r="A55" s="70" t="s">
        <v>1245</v>
      </c>
      <c r="B55" s="100">
        <v>13.86</v>
      </c>
      <c r="C55" s="100">
        <v>21.8</v>
      </c>
      <c r="D55" s="100">
        <v>23.86</v>
      </c>
      <c r="E55" s="100">
        <v>6.45</v>
      </c>
      <c r="F55" s="100">
        <v>3.03</v>
      </c>
      <c r="G55" s="100">
        <v>102.99</v>
      </c>
      <c r="H55" s="100">
        <v>49.76</v>
      </c>
      <c r="I55" s="100">
        <v>11.34</v>
      </c>
      <c r="J55" s="100">
        <v>0.62</v>
      </c>
      <c r="K55" s="100">
        <v>13.45</v>
      </c>
      <c r="L55" s="100">
        <v>27.07</v>
      </c>
      <c r="M55" s="100">
        <v>50.27</v>
      </c>
      <c r="N55" s="100">
        <v>358.2</v>
      </c>
      <c r="O55" s="100">
        <v>0</v>
      </c>
      <c r="P55" s="100">
        <v>0.93</v>
      </c>
      <c r="Q55" s="100">
        <v>4.9000000000000004</v>
      </c>
    </row>
    <row r="56" spans="1:17" customFormat="1">
      <c r="A56" s="70" t="s">
        <v>1246</v>
      </c>
      <c r="B56" s="100">
        <v>13.62</v>
      </c>
      <c r="C56" s="100">
        <v>21.31</v>
      </c>
      <c r="D56" s="100">
        <v>23.4</v>
      </c>
      <c r="E56" s="100">
        <v>6.27</v>
      </c>
      <c r="F56" s="100">
        <v>3.48</v>
      </c>
      <c r="G56" s="100">
        <v>100.79</v>
      </c>
      <c r="H56" s="100">
        <v>48.46</v>
      </c>
      <c r="I56" s="100">
        <v>11.15</v>
      </c>
      <c r="J56" s="100">
        <v>0.96</v>
      </c>
      <c r="K56" s="100">
        <v>52.67</v>
      </c>
      <c r="L56" s="100">
        <v>27.25</v>
      </c>
      <c r="M56" s="100">
        <v>49.2</v>
      </c>
      <c r="N56" s="100">
        <v>360.4</v>
      </c>
      <c r="O56" s="100">
        <v>0</v>
      </c>
      <c r="P56" s="100">
        <v>0.92</v>
      </c>
      <c r="Q56" s="100">
        <v>4.92</v>
      </c>
    </row>
    <row r="57" spans="1:17" customFormat="1">
      <c r="A57" s="70" t="s">
        <v>1247</v>
      </c>
      <c r="B57" s="100">
        <v>13.11</v>
      </c>
      <c r="C57" s="100">
        <v>21.09</v>
      </c>
      <c r="D57" s="100">
        <v>22.89</v>
      </c>
      <c r="E57" s="100">
        <v>6.02</v>
      </c>
      <c r="F57" s="100">
        <v>3.35</v>
      </c>
      <c r="G57" s="100">
        <v>91.34</v>
      </c>
      <c r="H57" s="100">
        <v>42</v>
      </c>
      <c r="I57" s="100">
        <v>10.96</v>
      </c>
      <c r="J57" s="100">
        <v>1.02</v>
      </c>
      <c r="K57" s="100">
        <v>59.28</v>
      </c>
      <c r="L57" s="100">
        <v>27.79</v>
      </c>
      <c r="M57" s="100">
        <v>47.83</v>
      </c>
      <c r="N57" s="100">
        <v>364.3</v>
      </c>
      <c r="O57" s="100">
        <v>0</v>
      </c>
      <c r="P57" s="100">
        <v>0.91</v>
      </c>
      <c r="Q57" s="100">
        <v>4.92</v>
      </c>
    </row>
    <row r="58" spans="1:17" customFormat="1">
      <c r="A58" s="70" t="s">
        <v>1248</v>
      </c>
      <c r="B58" s="100">
        <v>12.31</v>
      </c>
      <c r="C58" s="100">
        <v>21.32</v>
      </c>
      <c r="D58" s="100">
        <v>22.36</v>
      </c>
      <c r="E58" s="100">
        <v>8.14</v>
      </c>
      <c r="F58" s="100">
        <v>4.1100000000000003</v>
      </c>
      <c r="G58" s="100">
        <v>91.34</v>
      </c>
      <c r="H58" s="100">
        <v>42</v>
      </c>
      <c r="I58" s="100">
        <v>10.75</v>
      </c>
      <c r="J58" s="100">
        <v>0.61</v>
      </c>
      <c r="K58" s="100">
        <v>50.98</v>
      </c>
      <c r="L58" s="100">
        <v>27.76</v>
      </c>
      <c r="M58" s="100">
        <v>47.39</v>
      </c>
      <c r="N58" s="100">
        <v>363.8</v>
      </c>
      <c r="O58" s="100">
        <v>0</v>
      </c>
      <c r="P58" s="100">
        <v>0.87</v>
      </c>
      <c r="Q58" s="100">
        <v>4.92</v>
      </c>
    </row>
    <row r="59" spans="1:17" customFormat="1">
      <c r="A59" s="70" t="s">
        <v>1249</v>
      </c>
      <c r="B59" s="100">
        <v>9.69</v>
      </c>
      <c r="C59" s="100">
        <v>21.55</v>
      </c>
      <c r="D59" s="100">
        <v>20.38</v>
      </c>
      <c r="E59" s="100">
        <v>8.81</v>
      </c>
      <c r="F59" s="100">
        <v>4.96</v>
      </c>
      <c r="G59" s="100">
        <v>91.34</v>
      </c>
      <c r="H59" s="100">
        <v>42</v>
      </c>
      <c r="I59" s="100">
        <v>10.58</v>
      </c>
      <c r="J59" s="100">
        <v>0.97</v>
      </c>
      <c r="K59" s="100">
        <v>55.98</v>
      </c>
      <c r="L59" s="100">
        <v>28.1</v>
      </c>
      <c r="M59" s="100">
        <v>45.58</v>
      </c>
      <c r="N59" s="100">
        <v>360.9</v>
      </c>
      <c r="O59" s="100">
        <v>0</v>
      </c>
      <c r="P59" s="100">
        <v>0.84</v>
      </c>
      <c r="Q59" s="100">
        <v>4.92</v>
      </c>
    </row>
    <row r="60" spans="1:17" customFormat="1">
      <c r="A60" s="70" t="s">
        <v>1250</v>
      </c>
      <c r="B60" s="100">
        <v>6.98</v>
      </c>
      <c r="C60" s="100">
        <v>22.84</v>
      </c>
      <c r="D60" s="100">
        <v>18.88</v>
      </c>
      <c r="E60" s="100">
        <v>13.55</v>
      </c>
      <c r="F60" s="100">
        <v>6.52</v>
      </c>
      <c r="G60" s="100">
        <v>90.41</v>
      </c>
      <c r="H60" s="100">
        <v>40.64</v>
      </c>
      <c r="I60" s="100">
        <v>10.11</v>
      </c>
      <c r="J60" s="100">
        <v>0.75</v>
      </c>
      <c r="K60" s="100">
        <v>34.64</v>
      </c>
      <c r="L60" s="100">
        <v>28.48</v>
      </c>
      <c r="M60" s="100">
        <v>44.58</v>
      </c>
      <c r="N60" s="100">
        <v>350.8</v>
      </c>
      <c r="O60" s="100">
        <v>0</v>
      </c>
      <c r="P60" s="100">
        <v>0.8</v>
      </c>
      <c r="Q60" s="100">
        <v>4.8899999999999997</v>
      </c>
    </row>
    <row r="61" spans="1:17" customFormat="1">
      <c r="A61" s="70" t="s">
        <v>1251</v>
      </c>
      <c r="B61" s="100">
        <v>5.35</v>
      </c>
      <c r="C61" s="100">
        <v>23.67</v>
      </c>
      <c r="D61" s="100">
        <v>18.010000000000002</v>
      </c>
      <c r="E61" s="100">
        <v>10.85</v>
      </c>
      <c r="F61" s="100">
        <v>6.77</v>
      </c>
      <c r="G61" s="100">
        <v>86.38</v>
      </c>
      <c r="H61" s="100">
        <v>36.67</v>
      </c>
      <c r="I61" s="100">
        <v>9.3800000000000008</v>
      </c>
      <c r="J61" s="100">
        <v>0.83</v>
      </c>
      <c r="K61" s="100">
        <v>38.700000000000003</v>
      </c>
      <c r="L61" s="100">
        <v>28.28</v>
      </c>
      <c r="M61" s="100">
        <v>44.52</v>
      </c>
      <c r="N61" s="100">
        <v>328.3</v>
      </c>
      <c r="O61" s="100">
        <v>0</v>
      </c>
      <c r="P61" s="100">
        <v>0.77</v>
      </c>
      <c r="Q61" s="100">
        <v>4.8600000000000003</v>
      </c>
    </row>
    <row r="62" spans="1:17" customFormat="1">
      <c r="A62" s="70" t="s">
        <v>1252</v>
      </c>
      <c r="B62" s="100">
        <v>4.05</v>
      </c>
      <c r="C62" s="100">
        <v>23.72</v>
      </c>
      <c r="D62" s="100">
        <v>16.989999999999998</v>
      </c>
      <c r="E62" s="100">
        <v>11.64</v>
      </c>
      <c r="F62" s="100">
        <v>8.0500000000000007</v>
      </c>
      <c r="G62" s="100">
        <v>86.38</v>
      </c>
      <c r="H62" s="100">
        <v>36.67</v>
      </c>
      <c r="I62" s="100">
        <v>8.73</v>
      </c>
      <c r="J62" s="100">
        <v>0.9</v>
      </c>
      <c r="K62" s="100">
        <v>46.39</v>
      </c>
      <c r="L62" s="100">
        <v>28.52</v>
      </c>
      <c r="M62" s="100">
        <v>43.86</v>
      </c>
      <c r="N62" s="100">
        <v>314.8</v>
      </c>
      <c r="O62" s="100">
        <v>0</v>
      </c>
      <c r="P62" s="100">
        <v>0.74</v>
      </c>
      <c r="Q62" s="100">
        <v>4.8499999999999996</v>
      </c>
    </row>
    <row r="63" spans="1:17" customFormat="1">
      <c r="A63" s="70" t="s">
        <v>1253</v>
      </c>
      <c r="B63" s="100">
        <v>3.24</v>
      </c>
      <c r="C63" s="100">
        <v>23.57</v>
      </c>
      <c r="D63" s="100">
        <v>16.260000000000002</v>
      </c>
      <c r="E63" s="100">
        <v>11.39</v>
      </c>
      <c r="F63" s="100">
        <v>8.99</v>
      </c>
      <c r="G63" s="100">
        <v>86.38</v>
      </c>
      <c r="H63" s="100">
        <v>36.67</v>
      </c>
      <c r="I63" s="100">
        <v>8.2200000000000006</v>
      </c>
      <c r="J63" s="100">
        <v>0.76</v>
      </c>
      <c r="K63" s="100">
        <v>35.6</v>
      </c>
      <c r="L63" s="100">
        <v>28.77</v>
      </c>
      <c r="M63" s="100">
        <v>43.01</v>
      </c>
      <c r="N63" s="100">
        <v>311.2</v>
      </c>
      <c r="O63" s="100">
        <v>0</v>
      </c>
      <c r="P63" s="100">
        <v>0.73</v>
      </c>
      <c r="Q63" s="100">
        <v>4.8499999999999996</v>
      </c>
    </row>
    <row r="64" spans="1:17" customFormat="1">
      <c r="A64" s="70" t="s">
        <v>1254</v>
      </c>
      <c r="B64" s="100">
        <v>2.89</v>
      </c>
      <c r="C64" s="100">
        <v>23.36</v>
      </c>
      <c r="D64" s="100">
        <v>15.87</v>
      </c>
      <c r="E64" s="100">
        <v>14.53</v>
      </c>
      <c r="F64" s="100">
        <v>10.19</v>
      </c>
      <c r="G64" s="100">
        <v>85.27</v>
      </c>
      <c r="H64" s="100">
        <v>36.31</v>
      </c>
      <c r="I64" s="100">
        <v>7.81</v>
      </c>
      <c r="J64" s="100">
        <v>0.68</v>
      </c>
      <c r="K64" s="100">
        <v>41.83</v>
      </c>
      <c r="L64" s="100">
        <v>28.77</v>
      </c>
      <c r="M64" s="100">
        <v>42.26</v>
      </c>
      <c r="N64" s="100">
        <v>311.89999999999998</v>
      </c>
      <c r="O64" s="100">
        <v>0</v>
      </c>
      <c r="P64" s="100">
        <v>0.72</v>
      </c>
      <c r="Q64" s="100">
        <v>4.8600000000000003</v>
      </c>
    </row>
    <row r="65" spans="1:17" customFormat="1">
      <c r="A65" s="70" t="s">
        <v>1255</v>
      </c>
      <c r="B65" s="100">
        <v>2.4</v>
      </c>
      <c r="C65" s="100">
        <v>23.46</v>
      </c>
      <c r="D65" s="100">
        <v>15.53</v>
      </c>
      <c r="E65" s="100">
        <v>12.81</v>
      </c>
      <c r="F65" s="100">
        <v>8.91</v>
      </c>
      <c r="G65" s="100">
        <v>80.540000000000006</v>
      </c>
      <c r="H65" s="100">
        <v>35.19</v>
      </c>
      <c r="I65" s="100">
        <v>7.37</v>
      </c>
      <c r="J65" s="100">
        <v>0.93</v>
      </c>
      <c r="K65" s="100">
        <v>40.89</v>
      </c>
      <c r="L65" s="100">
        <v>28.94</v>
      </c>
      <c r="M65" s="100">
        <v>42.05</v>
      </c>
      <c r="N65" s="100">
        <v>292.10000000000002</v>
      </c>
      <c r="O65" s="100">
        <v>0</v>
      </c>
      <c r="P65" s="100">
        <v>0.68</v>
      </c>
      <c r="Q65" s="100">
        <v>4.88</v>
      </c>
    </row>
    <row r="66" spans="1:17" customFormat="1">
      <c r="A66" s="70" t="s">
        <v>1256</v>
      </c>
      <c r="B66" s="100">
        <v>2.42</v>
      </c>
      <c r="C66" s="100">
        <v>24.84</v>
      </c>
      <c r="D66" s="100">
        <v>16.27</v>
      </c>
      <c r="E66" s="100">
        <v>9.11</v>
      </c>
      <c r="F66" s="100">
        <v>7.76</v>
      </c>
      <c r="G66" s="100">
        <v>80.540000000000006</v>
      </c>
      <c r="H66" s="100">
        <v>35.19</v>
      </c>
      <c r="I66" s="100">
        <v>7.01</v>
      </c>
      <c r="J66" s="100">
        <v>0.47</v>
      </c>
      <c r="K66" s="100">
        <v>1.58</v>
      </c>
      <c r="L66" s="100">
        <v>28.88</v>
      </c>
      <c r="M66" s="100">
        <v>42.45</v>
      </c>
      <c r="N66" s="100">
        <v>118.2</v>
      </c>
      <c r="O66" s="100">
        <v>0</v>
      </c>
      <c r="P66" s="100">
        <v>0.7</v>
      </c>
      <c r="Q66" s="100">
        <v>4.87</v>
      </c>
    </row>
    <row r="67" spans="1:17" customFormat="1">
      <c r="A67" s="70" t="s">
        <v>1257</v>
      </c>
      <c r="B67" s="100">
        <v>3.38</v>
      </c>
      <c r="C67" s="100">
        <v>25.48</v>
      </c>
      <c r="D67" s="100">
        <v>17.37</v>
      </c>
      <c r="E67" s="100">
        <v>9.07</v>
      </c>
      <c r="F67" s="100">
        <v>7.28</v>
      </c>
      <c r="G67" s="100">
        <v>80.540000000000006</v>
      </c>
      <c r="H67" s="100">
        <v>35.19</v>
      </c>
      <c r="I67" s="100">
        <v>6.78</v>
      </c>
      <c r="J67" s="100">
        <v>0.68</v>
      </c>
      <c r="K67" s="100">
        <v>21.4</v>
      </c>
      <c r="L67" s="100">
        <v>28.85</v>
      </c>
      <c r="M67" s="100">
        <v>41.76</v>
      </c>
      <c r="N67" s="100">
        <v>92.9</v>
      </c>
      <c r="O67" s="100">
        <v>0</v>
      </c>
      <c r="P67" s="100">
        <v>0.7</v>
      </c>
      <c r="Q67" s="100">
        <v>4.84</v>
      </c>
    </row>
    <row r="68" spans="1:17" customFormat="1">
      <c r="A68" s="70" t="s">
        <v>1258</v>
      </c>
      <c r="B68" s="100">
        <v>7.04</v>
      </c>
      <c r="C68" s="100">
        <v>26.87</v>
      </c>
      <c r="D68" s="100">
        <v>20.89</v>
      </c>
      <c r="E68" s="100">
        <v>13.88</v>
      </c>
      <c r="F68" s="100">
        <v>8.51</v>
      </c>
      <c r="G68" s="100">
        <v>81.84</v>
      </c>
      <c r="H68" s="100">
        <v>35.24</v>
      </c>
      <c r="I68" s="100">
        <v>6.7</v>
      </c>
      <c r="J68" s="100">
        <v>0.62</v>
      </c>
      <c r="K68" s="100">
        <v>6.37</v>
      </c>
      <c r="L68" s="100">
        <v>28.76</v>
      </c>
      <c r="M68" s="100">
        <v>41.38</v>
      </c>
      <c r="N68" s="100">
        <v>83.7</v>
      </c>
      <c r="O68" s="100">
        <v>0</v>
      </c>
      <c r="P68" s="100">
        <v>0.69</v>
      </c>
      <c r="Q68" s="100">
        <v>4.88</v>
      </c>
    </row>
    <row r="69" spans="1:17" customFormat="1">
      <c r="A69" s="70" t="s">
        <v>1259</v>
      </c>
      <c r="B69" s="100">
        <v>4.09</v>
      </c>
      <c r="C69" s="100">
        <v>28.51</v>
      </c>
      <c r="D69" s="100">
        <v>19.53</v>
      </c>
      <c r="E69" s="100">
        <v>8.51</v>
      </c>
      <c r="F69" s="100">
        <v>6.72</v>
      </c>
      <c r="G69" s="100">
        <v>87.43</v>
      </c>
      <c r="H69" s="100">
        <v>35.369999999999997</v>
      </c>
      <c r="I69" s="100">
        <v>6.64</v>
      </c>
      <c r="J69" s="100">
        <v>0.78</v>
      </c>
      <c r="K69" s="100">
        <v>311.66000000000003</v>
      </c>
      <c r="L69" s="100">
        <v>28.52</v>
      </c>
      <c r="M69" s="100">
        <v>41.47</v>
      </c>
      <c r="N69" s="100">
        <v>74</v>
      </c>
      <c r="O69" s="100">
        <v>0</v>
      </c>
      <c r="P69" s="100">
        <v>0.69</v>
      </c>
      <c r="Q69" s="100">
        <v>4.8899999999999997</v>
      </c>
    </row>
    <row r="70" spans="1:17" customFormat="1">
      <c r="A70" s="70" t="s">
        <v>1260</v>
      </c>
      <c r="B70" s="100">
        <v>4.8</v>
      </c>
      <c r="C70" s="100">
        <v>30.37</v>
      </c>
      <c r="D70" s="100">
        <v>21.07</v>
      </c>
      <c r="E70" s="100">
        <v>7.7</v>
      </c>
      <c r="F70" s="100">
        <v>6.44</v>
      </c>
      <c r="G70" s="100">
        <v>87.43</v>
      </c>
      <c r="H70" s="100">
        <v>35.369999999999997</v>
      </c>
      <c r="I70" s="100">
        <v>6.59</v>
      </c>
      <c r="J70" s="100">
        <v>0.64</v>
      </c>
      <c r="K70" s="100">
        <v>14.57</v>
      </c>
      <c r="L70" s="100">
        <v>28.36</v>
      </c>
      <c r="M70" s="100">
        <v>41.61</v>
      </c>
      <c r="N70" s="100">
        <v>67.8</v>
      </c>
      <c r="O70" s="100">
        <v>0</v>
      </c>
      <c r="P70" s="100">
        <v>0.68</v>
      </c>
      <c r="Q70" s="100">
        <v>4.8899999999999997</v>
      </c>
    </row>
    <row r="71" spans="1:17" customFormat="1">
      <c r="A71" s="70" t="s">
        <v>1261</v>
      </c>
      <c r="B71" s="100">
        <v>4.51</v>
      </c>
      <c r="C71" s="100">
        <v>28.84</v>
      </c>
      <c r="D71" s="100">
        <v>20.04</v>
      </c>
      <c r="E71" s="100">
        <v>7.87</v>
      </c>
      <c r="F71" s="100">
        <v>7.5</v>
      </c>
      <c r="G71" s="100">
        <v>87.43</v>
      </c>
      <c r="H71" s="100">
        <v>35.369999999999997</v>
      </c>
      <c r="I71" s="100">
        <v>6.57</v>
      </c>
      <c r="J71" s="100">
        <v>0.95</v>
      </c>
      <c r="K71" s="100">
        <v>49.92</v>
      </c>
      <c r="L71" s="100">
        <v>28.16</v>
      </c>
      <c r="M71" s="100">
        <v>42.17</v>
      </c>
      <c r="N71" s="100">
        <v>54.9</v>
      </c>
      <c r="O71" s="100">
        <v>0</v>
      </c>
      <c r="P71" s="100">
        <v>0.67</v>
      </c>
      <c r="Q71" s="100">
        <v>4.8899999999999997</v>
      </c>
    </row>
    <row r="72" spans="1:17" customFormat="1">
      <c r="A72" s="70" t="s">
        <v>1262</v>
      </c>
      <c r="B72" s="100">
        <v>4.3499999999999996</v>
      </c>
      <c r="C72" s="100">
        <v>28.22</v>
      </c>
      <c r="D72" s="100">
        <v>19.59</v>
      </c>
      <c r="E72" s="100">
        <v>7.3</v>
      </c>
      <c r="F72" s="100">
        <v>5.91</v>
      </c>
      <c r="G72" s="100">
        <v>87</v>
      </c>
      <c r="H72" s="100">
        <v>35.659999999999997</v>
      </c>
      <c r="I72" s="100">
        <v>6.54</v>
      </c>
      <c r="J72" s="100">
        <v>0.66</v>
      </c>
      <c r="K72" s="100">
        <v>35.15</v>
      </c>
      <c r="L72" s="100">
        <v>28.13</v>
      </c>
      <c r="M72" s="100">
        <v>42.15</v>
      </c>
      <c r="N72" s="100">
        <v>46</v>
      </c>
      <c r="O72" s="100">
        <v>0</v>
      </c>
      <c r="P72" s="100">
        <v>0.66</v>
      </c>
      <c r="Q72" s="100">
        <v>4.8600000000000003</v>
      </c>
    </row>
    <row r="73" spans="1:17" customFormat="1">
      <c r="A73" s="70" t="s">
        <v>1263</v>
      </c>
      <c r="B73" s="100">
        <v>4.6900000000000004</v>
      </c>
      <c r="C73" s="100">
        <v>28.31</v>
      </c>
      <c r="D73" s="100">
        <v>19.91</v>
      </c>
      <c r="E73" s="100">
        <v>7.12</v>
      </c>
      <c r="F73" s="100">
        <v>6.04</v>
      </c>
      <c r="G73" s="100">
        <v>85.18</v>
      </c>
      <c r="H73" s="100">
        <v>36.54</v>
      </c>
      <c r="I73" s="100">
        <v>6.48</v>
      </c>
      <c r="J73" s="100">
        <v>1</v>
      </c>
      <c r="K73" s="100">
        <v>53</v>
      </c>
      <c r="L73" s="100">
        <v>27.91</v>
      </c>
      <c r="M73" s="100">
        <v>42.79</v>
      </c>
      <c r="N73" s="100">
        <v>38</v>
      </c>
      <c r="O73" s="100">
        <v>0</v>
      </c>
      <c r="P73" s="100">
        <v>0.66</v>
      </c>
      <c r="Q73" s="100">
        <v>4.8600000000000003</v>
      </c>
    </row>
    <row r="74" spans="1:17" customFormat="1">
      <c r="A74" s="70" t="s">
        <v>1264</v>
      </c>
      <c r="B74" s="100">
        <v>4.84</v>
      </c>
      <c r="C74" s="100">
        <v>28.5</v>
      </c>
      <c r="D74" s="100">
        <v>20.12</v>
      </c>
      <c r="E74" s="100">
        <v>7.4</v>
      </c>
      <c r="F74" s="100">
        <v>5.74</v>
      </c>
      <c r="G74" s="100">
        <v>85.18</v>
      </c>
      <c r="H74" s="100">
        <v>36.54</v>
      </c>
      <c r="I74" s="100">
        <v>6.43</v>
      </c>
      <c r="J74" s="100">
        <v>0.72</v>
      </c>
      <c r="K74" s="100">
        <v>40.17</v>
      </c>
      <c r="L74" s="100">
        <v>27.69</v>
      </c>
      <c r="M74" s="100">
        <v>43.78</v>
      </c>
      <c r="N74" s="100">
        <v>29.7</v>
      </c>
      <c r="O74" s="100">
        <v>0</v>
      </c>
      <c r="P74" s="100">
        <v>0.66</v>
      </c>
      <c r="Q74" s="100">
        <v>4.8600000000000003</v>
      </c>
    </row>
    <row r="75" spans="1:17" customFormat="1">
      <c r="A75" s="70" t="s">
        <v>1265</v>
      </c>
      <c r="B75" s="100">
        <v>5.67</v>
      </c>
      <c r="C75" s="100">
        <v>28.48</v>
      </c>
      <c r="D75" s="100">
        <v>20.78</v>
      </c>
      <c r="E75" s="100">
        <v>6.06</v>
      </c>
      <c r="F75" s="100">
        <v>3.93</v>
      </c>
      <c r="G75" s="100">
        <v>85.18</v>
      </c>
      <c r="H75" s="100">
        <v>36.54</v>
      </c>
      <c r="I75" s="100">
        <v>6.39</v>
      </c>
      <c r="J75" s="100">
        <v>0.55000000000000004</v>
      </c>
      <c r="K75" s="100">
        <v>46.66</v>
      </c>
      <c r="L75" s="100">
        <v>27.49</v>
      </c>
      <c r="M75" s="100">
        <v>45.07</v>
      </c>
      <c r="N75" s="100">
        <v>20.399999999999999</v>
      </c>
      <c r="O75" s="100">
        <v>0</v>
      </c>
      <c r="P75" s="100">
        <v>0.66</v>
      </c>
      <c r="Q75" s="100">
        <v>4.84</v>
      </c>
    </row>
    <row r="76" spans="1:17" customFormat="1">
      <c r="A76" s="70" t="s">
        <v>1266</v>
      </c>
      <c r="B76" s="100">
        <v>6.05</v>
      </c>
      <c r="C76" s="100">
        <v>29.58</v>
      </c>
      <c r="D76" s="100">
        <v>21.66</v>
      </c>
      <c r="E76" s="100">
        <v>6.59</v>
      </c>
      <c r="F76" s="100">
        <v>3.21</v>
      </c>
      <c r="G76" s="100">
        <v>85.71</v>
      </c>
      <c r="H76" s="100">
        <v>36.119999999999997</v>
      </c>
      <c r="I76" s="100">
        <v>6.33</v>
      </c>
      <c r="J76" s="100">
        <v>0.63</v>
      </c>
      <c r="K76" s="100">
        <v>47.48</v>
      </c>
      <c r="L76" s="100">
        <v>27.26</v>
      </c>
      <c r="M76" s="100">
        <v>46.06</v>
      </c>
      <c r="N76" s="100">
        <v>11.4</v>
      </c>
      <c r="O76" s="100">
        <v>0</v>
      </c>
      <c r="P76" s="100">
        <v>0.67</v>
      </c>
      <c r="Q76" s="100">
        <v>4.8600000000000003</v>
      </c>
    </row>
    <row r="77" spans="1:17" customFormat="1">
      <c r="A77" s="70" t="s">
        <v>1267</v>
      </c>
      <c r="B77" s="100">
        <v>6.36</v>
      </c>
      <c r="C77" s="100">
        <v>30.26</v>
      </c>
      <c r="D77" s="100">
        <v>22.26</v>
      </c>
      <c r="E77" s="100">
        <v>5.9</v>
      </c>
      <c r="F77" s="100">
        <v>2.93</v>
      </c>
      <c r="G77" s="100">
        <v>88</v>
      </c>
      <c r="H77" s="100">
        <v>34.82</v>
      </c>
      <c r="I77" s="100">
        <v>6.28</v>
      </c>
      <c r="J77" s="100">
        <v>0.68</v>
      </c>
      <c r="K77" s="100">
        <v>50.94</v>
      </c>
      <c r="L77" s="100">
        <v>26.92</v>
      </c>
      <c r="M77" s="100">
        <v>47.62</v>
      </c>
      <c r="N77" s="100">
        <v>2.6</v>
      </c>
      <c r="O77" s="100">
        <v>0</v>
      </c>
      <c r="P77" s="100">
        <v>0.69</v>
      </c>
      <c r="Q77" s="100">
        <v>4.84</v>
      </c>
    </row>
    <row r="78" spans="1:17" customFormat="1">
      <c r="A78" s="70" t="s">
        <v>1268</v>
      </c>
      <c r="B78" s="100">
        <v>7.18</v>
      </c>
      <c r="C78" s="100">
        <v>30.75</v>
      </c>
      <c r="D78" s="100">
        <v>23.18</v>
      </c>
      <c r="E78" s="100">
        <v>6.3</v>
      </c>
      <c r="F78" s="100">
        <v>2.69</v>
      </c>
      <c r="G78" s="100">
        <v>88</v>
      </c>
      <c r="H78" s="100">
        <v>34.82</v>
      </c>
      <c r="I78" s="100">
        <v>6.26</v>
      </c>
      <c r="J78" s="100">
        <v>0.63</v>
      </c>
      <c r="K78" s="100">
        <v>57</v>
      </c>
      <c r="L78" s="100">
        <v>26.52</v>
      </c>
      <c r="M78" s="100">
        <v>48.97</v>
      </c>
      <c r="N78" s="100">
        <v>0</v>
      </c>
      <c r="O78" s="100">
        <v>0</v>
      </c>
      <c r="P78" s="100">
        <v>0.69</v>
      </c>
      <c r="Q78" s="100">
        <v>4.8499999999999996</v>
      </c>
    </row>
    <row r="79" spans="1:17" customFormat="1">
      <c r="A79" s="70" t="s">
        <v>1269</v>
      </c>
      <c r="B79" s="100">
        <v>7.98</v>
      </c>
      <c r="C79" s="100">
        <v>31.18</v>
      </c>
      <c r="D79" s="100">
        <v>24.04</v>
      </c>
      <c r="E79" s="100">
        <v>5.98</v>
      </c>
      <c r="F79" s="100">
        <v>2.5099999999999998</v>
      </c>
      <c r="G79" s="100">
        <v>88</v>
      </c>
      <c r="H79" s="100">
        <v>34.82</v>
      </c>
      <c r="I79" s="100">
        <v>6.3</v>
      </c>
      <c r="J79" s="100">
        <v>0.74</v>
      </c>
      <c r="K79" s="100">
        <v>57.34</v>
      </c>
      <c r="L79" s="100">
        <v>26.05</v>
      </c>
      <c r="M79" s="100">
        <v>50.89</v>
      </c>
      <c r="N79" s="100">
        <v>0</v>
      </c>
      <c r="O79" s="100">
        <v>0</v>
      </c>
      <c r="P79" s="100">
        <v>0.71</v>
      </c>
      <c r="Q79" s="100">
        <v>4.8600000000000003</v>
      </c>
    </row>
    <row r="80" spans="1:17" customFormat="1">
      <c r="A80" s="70" t="s">
        <v>1270</v>
      </c>
      <c r="B80" s="100">
        <v>8.94</v>
      </c>
      <c r="C80" s="100">
        <v>31.76</v>
      </c>
      <c r="D80" s="100">
        <v>25.11</v>
      </c>
      <c r="E80" s="100">
        <v>5.98</v>
      </c>
      <c r="F80" s="100">
        <v>2.39</v>
      </c>
      <c r="G80" s="100">
        <v>89.07</v>
      </c>
      <c r="H80" s="100">
        <v>34.770000000000003</v>
      </c>
      <c r="I80" s="100">
        <v>6.38</v>
      </c>
      <c r="J80" s="100">
        <v>0.67</v>
      </c>
      <c r="K80" s="100">
        <v>63.34</v>
      </c>
      <c r="L80" s="100">
        <v>25.44</v>
      </c>
      <c r="M80" s="100">
        <v>53.49</v>
      </c>
      <c r="N80" s="100">
        <v>0</v>
      </c>
      <c r="O80" s="100">
        <v>0</v>
      </c>
      <c r="P80" s="100">
        <v>0.72</v>
      </c>
      <c r="Q80" s="100">
        <v>4.88</v>
      </c>
    </row>
    <row r="81" spans="1:17" customFormat="1">
      <c r="A81" s="70" t="s">
        <v>1271</v>
      </c>
      <c r="B81" s="100">
        <v>9.57</v>
      </c>
      <c r="C81" s="100">
        <v>32.049999999999997</v>
      </c>
      <c r="D81" s="100">
        <v>25.77</v>
      </c>
      <c r="E81" s="100">
        <v>5.81</v>
      </c>
      <c r="F81" s="100">
        <v>2.2999999999999998</v>
      </c>
      <c r="G81" s="100">
        <v>93.66</v>
      </c>
      <c r="H81" s="100">
        <v>34.49</v>
      </c>
      <c r="I81" s="100">
        <v>6.5</v>
      </c>
      <c r="J81" s="100">
        <v>0.18</v>
      </c>
      <c r="K81" s="100">
        <v>80.28</v>
      </c>
      <c r="L81" s="100">
        <v>24.82</v>
      </c>
      <c r="M81" s="100">
        <v>58.89</v>
      </c>
      <c r="N81" s="100">
        <v>0</v>
      </c>
      <c r="O81" s="100">
        <v>0</v>
      </c>
      <c r="P81" s="100">
        <v>0.74</v>
      </c>
      <c r="Q81" s="100">
        <v>4.9000000000000004</v>
      </c>
    </row>
    <row r="82" spans="1:17" customFormat="1">
      <c r="A82" s="70" t="s">
        <v>1272</v>
      </c>
      <c r="B82" s="100">
        <v>9.85</v>
      </c>
      <c r="C82" s="100">
        <v>31.89</v>
      </c>
      <c r="D82" s="100">
        <v>25.91</v>
      </c>
      <c r="E82" s="100">
        <v>6.89</v>
      </c>
      <c r="F82" s="100">
        <v>2.2999999999999998</v>
      </c>
      <c r="G82" s="100">
        <v>93.66</v>
      </c>
      <c r="H82" s="100">
        <v>34.49</v>
      </c>
      <c r="I82" s="100">
        <v>6.64</v>
      </c>
      <c r="J82" s="100">
        <v>0.28000000000000003</v>
      </c>
      <c r="K82" s="100">
        <v>170.35</v>
      </c>
      <c r="L82" s="100">
        <v>24.22</v>
      </c>
      <c r="M82" s="100">
        <v>63.22</v>
      </c>
      <c r="N82" s="100">
        <v>0</v>
      </c>
      <c r="O82" s="100">
        <v>0</v>
      </c>
      <c r="P82" s="100">
        <v>0.75</v>
      </c>
      <c r="Q82" s="100">
        <v>4.8899999999999997</v>
      </c>
    </row>
    <row r="83" spans="1:17" customFormat="1">
      <c r="A83" s="70" t="s">
        <v>1273</v>
      </c>
      <c r="B83" s="100">
        <v>9.83</v>
      </c>
      <c r="C83" s="100">
        <v>31.46</v>
      </c>
      <c r="D83" s="100">
        <v>25.67</v>
      </c>
      <c r="E83" s="100">
        <v>7.52</v>
      </c>
      <c r="F83" s="100">
        <v>2.4700000000000002</v>
      </c>
      <c r="G83" s="100">
        <v>93.66</v>
      </c>
      <c r="H83" s="100">
        <v>34.49</v>
      </c>
      <c r="I83" s="100">
        <v>6.81</v>
      </c>
      <c r="J83" s="100">
        <v>0.23</v>
      </c>
      <c r="K83" s="100">
        <v>169.43</v>
      </c>
      <c r="L83" s="100">
        <v>23.66</v>
      </c>
      <c r="M83" s="100">
        <v>68.64</v>
      </c>
      <c r="N83" s="100">
        <v>0</v>
      </c>
      <c r="O83" s="100">
        <v>0</v>
      </c>
      <c r="P83" s="100">
        <v>0.77</v>
      </c>
      <c r="Q83" s="100">
        <v>4.8899999999999997</v>
      </c>
    </row>
    <row r="84" spans="1:17" customFormat="1">
      <c r="A84" s="70" t="s">
        <v>1274</v>
      </c>
      <c r="B84" s="100">
        <v>9.8800000000000008</v>
      </c>
      <c r="C84" s="100">
        <v>31.64</v>
      </c>
      <c r="D84" s="100">
        <v>25.8</v>
      </c>
      <c r="E84" s="100">
        <v>7.23</v>
      </c>
      <c r="F84" s="100">
        <v>2.27</v>
      </c>
      <c r="G84" s="100">
        <v>96.09</v>
      </c>
      <c r="H84" s="100">
        <v>34.81</v>
      </c>
      <c r="I84" s="100">
        <v>7.02</v>
      </c>
      <c r="J84" s="100">
        <v>0.24</v>
      </c>
      <c r="K84" s="100">
        <v>150.6</v>
      </c>
      <c r="L84" s="100">
        <v>23.14</v>
      </c>
      <c r="M84" s="100">
        <v>69.59</v>
      </c>
      <c r="N84" s="100">
        <v>0</v>
      </c>
      <c r="O84" s="100">
        <v>0</v>
      </c>
      <c r="P84" s="100">
        <v>0.79</v>
      </c>
      <c r="Q84" s="100">
        <v>4.8899999999999997</v>
      </c>
    </row>
    <row r="85" spans="1:17" customFormat="1">
      <c r="A85" s="70" t="s">
        <v>1275</v>
      </c>
      <c r="B85" s="100">
        <v>10.199999999999999</v>
      </c>
      <c r="C85" s="100">
        <v>31.85</v>
      </c>
      <c r="D85" s="100">
        <v>26.17</v>
      </c>
      <c r="E85" s="100">
        <v>7.09</v>
      </c>
      <c r="F85" s="100">
        <v>2.15</v>
      </c>
      <c r="G85" s="100">
        <v>106.52</v>
      </c>
      <c r="H85" s="100">
        <v>35.79</v>
      </c>
      <c r="I85" s="100">
        <v>7.2</v>
      </c>
      <c r="J85" s="100">
        <v>0.21</v>
      </c>
      <c r="K85" s="100">
        <v>176.35</v>
      </c>
      <c r="L85" s="100">
        <v>22.7</v>
      </c>
      <c r="M85" s="100">
        <v>74.95</v>
      </c>
      <c r="N85" s="100">
        <v>0</v>
      </c>
      <c r="O85" s="100">
        <v>0</v>
      </c>
      <c r="P85" s="100">
        <v>0.81</v>
      </c>
      <c r="Q85" s="100">
        <v>4.88</v>
      </c>
    </row>
    <row r="86" spans="1:17" customFormat="1">
      <c r="A86" s="70" t="s">
        <v>1276</v>
      </c>
      <c r="B86" s="100">
        <v>10.69</v>
      </c>
      <c r="C86" s="100">
        <v>31.03</v>
      </c>
      <c r="D86" s="100">
        <v>26.14</v>
      </c>
      <c r="E86" s="100">
        <v>6.56</v>
      </c>
      <c r="F86" s="100">
        <v>2.34</v>
      </c>
      <c r="G86" s="100">
        <v>106.52</v>
      </c>
      <c r="H86" s="100">
        <v>35.79</v>
      </c>
      <c r="I86" s="100">
        <v>7.32</v>
      </c>
      <c r="J86" s="100">
        <v>0.21</v>
      </c>
      <c r="K86" s="100">
        <v>178.14</v>
      </c>
      <c r="L86" s="100">
        <v>22.32</v>
      </c>
      <c r="M86" s="100">
        <v>75.81</v>
      </c>
      <c r="N86" s="100">
        <v>0</v>
      </c>
      <c r="O86" s="100">
        <v>0</v>
      </c>
      <c r="P86" s="100">
        <v>0.83</v>
      </c>
      <c r="Q86" s="100">
        <v>4.84</v>
      </c>
    </row>
    <row r="87" spans="1:17" customFormat="1">
      <c r="A87" s="70" t="s">
        <v>1277</v>
      </c>
      <c r="B87" s="100">
        <v>11.16</v>
      </c>
      <c r="C87" s="100">
        <v>27.77</v>
      </c>
      <c r="D87" s="100">
        <v>24.81</v>
      </c>
      <c r="E87" s="100">
        <v>6.5</v>
      </c>
      <c r="F87" s="100">
        <v>2.6</v>
      </c>
      <c r="G87" s="100">
        <v>106.52</v>
      </c>
      <c r="H87" s="100">
        <v>35.79</v>
      </c>
      <c r="I87" s="100">
        <v>7.53</v>
      </c>
      <c r="J87" s="100">
        <v>0.2</v>
      </c>
      <c r="K87" s="100">
        <v>183.97</v>
      </c>
      <c r="L87" s="100">
        <v>21.7</v>
      </c>
      <c r="M87" s="100">
        <v>76.900000000000006</v>
      </c>
      <c r="N87" s="100">
        <v>0</v>
      </c>
      <c r="O87" s="100">
        <v>0</v>
      </c>
      <c r="P87" s="100">
        <v>0.85</v>
      </c>
      <c r="Q87" s="100">
        <v>4.84</v>
      </c>
    </row>
    <row r="88" spans="1:17" customFormat="1">
      <c r="A88" s="70" t="s">
        <v>1278</v>
      </c>
      <c r="B88" s="100">
        <v>11.53</v>
      </c>
      <c r="C88" s="100">
        <v>25.32</v>
      </c>
      <c r="D88" s="100">
        <v>23.83</v>
      </c>
      <c r="E88" s="100">
        <v>6.27</v>
      </c>
      <c r="F88" s="100">
        <v>2.6</v>
      </c>
      <c r="G88" s="100">
        <v>106.66</v>
      </c>
      <c r="H88" s="100">
        <v>36.4</v>
      </c>
      <c r="I88" s="100">
        <v>7.78</v>
      </c>
      <c r="J88" s="100">
        <v>0.17</v>
      </c>
      <c r="K88" s="100">
        <v>178.38</v>
      </c>
      <c r="L88" s="100">
        <v>21.57</v>
      </c>
      <c r="M88" s="100">
        <v>75.709999999999994</v>
      </c>
      <c r="N88" s="100">
        <v>0</v>
      </c>
      <c r="O88" s="100">
        <v>0</v>
      </c>
      <c r="P88" s="100">
        <v>0.84</v>
      </c>
      <c r="Q88" s="100">
        <v>4.84</v>
      </c>
    </row>
    <row r="89" spans="1:17" customFormat="1">
      <c r="A89" s="70" t="s">
        <v>1279</v>
      </c>
      <c r="B89" s="100">
        <v>11.82</v>
      </c>
      <c r="C89" s="100">
        <v>23.57</v>
      </c>
      <c r="D89" s="100">
        <v>23.15</v>
      </c>
      <c r="E89" s="100">
        <v>6.42</v>
      </c>
      <c r="F89" s="100">
        <v>2.5499999999999998</v>
      </c>
      <c r="G89" s="100">
        <v>107.28</v>
      </c>
      <c r="H89" s="100">
        <v>38.299999999999997</v>
      </c>
      <c r="I89" s="100">
        <v>7.97</v>
      </c>
      <c r="J89" s="100">
        <v>0.15</v>
      </c>
      <c r="K89" s="100">
        <v>168.6</v>
      </c>
      <c r="L89" s="100">
        <v>21.28</v>
      </c>
      <c r="M89" s="100">
        <v>79.75</v>
      </c>
      <c r="N89" s="100">
        <v>0</v>
      </c>
      <c r="O89" s="100">
        <v>0</v>
      </c>
      <c r="P89" s="100">
        <v>0.84</v>
      </c>
      <c r="Q89" s="100">
        <v>4.87</v>
      </c>
    </row>
    <row r="90" spans="1:17" customFormat="1">
      <c r="A90" s="70" t="s">
        <v>1280</v>
      </c>
      <c r="B90" s="100">
        <v>11.92</v>
      </c>
      <c r="C90" s="100">
        <v>23.33</v>
      </c>
      <c r="D90" s="100">
        <v>23.1</v>
      </c>
      <c r="E90" s="100">
        <v>6.89</v>
      </c>
      <c r="F90" s="100">
        <v>2.29</v>
      </c>
      <c r="G90" s="100">
        <v>107.28</v>
      </c>
      <c r="H90" s="100">
        <v>38.299999999999997</v>
      </c>
      <c r="I90" s="100">
        <v>8.11</v>
      </c>
      <c r="J90" s="100">
        <v>0.18</v>
      </c>
      <c r="K90" s="100">
        <v>174.52</v>
      </c>
      <c r="L90" s="100">
        <v>21.32</v>
      </c>
      <c r="M90" s="100">
        <v>76.84</v>
      </c>
      <c r="N90" s="100">
        <v>0</v>
      </c>
      <c r="O90" s="100">
        <v>0</v>
      </c>
      <c r="P90" s="100">
        <v>0.85</v>
      </c>
      <c r="Q90" s="100">
        <v>4.8600000000000003</v>
      </c>
    </row>
    <row r="91" spans="1:17" customFormat="1">
      <c r="A91" s="70" t="s">
        <v>1281</v>
      </c>
      <c r="B91" s="100">
        <v>12.4</v>
      </c>
      <c r="C91" s="100">
        <v>24.03</v>
      </c>
      <c r="D91" s="100">
        <v>23.85</v>
      </c>
      <c r="E91" s="100">
        <v>6.13</v>
      </c>
      <c r="F91" s="100">
        <v>2.2200000000000002</v>
      </c>
      <c r="G91" s="100">
        <v>107.28</v>
      </c>
      <c r="H91" s="100">
        <v>38.299999999999997</v>
      </c>
      <c r="I91" s="100">
        <v>8.25</v>
      </c>
      <c r="J91" s="100">
        <v>0.19</v>
      </c>
      <c r="K91" s="100">
        <v>171.25</v>
      </c>
      <c r="L91" s="100">
        <v>21.33</v>
      </c>
      <c r="M91" s="100">
        <v>80.31</v>
      </c>
      <c r="N91" s="100">
        <v>0</v>
      </c>
      <c r="O91" s="100">
        <v>0</v>
      </c>
      <c r="P91" s="100">
        <v>0.86</v>
      </c>
      <c r="Q91" s="100">
        <v>4.88</v>
      </c>
    </row>
    <row r="92" spans="1:17" customFormat="1">
      <c r="A92" s="70" t="s">
        <v>1282</v>
      </c>
      <c r="B92" s="100">
        <v>12.8</v>
      </c>
      <c r="C92" s="100">
        <v>25.08</v>
      </c>
      <c r="D92" s="100">
        <v>24.72</v>
      </c>
      <c r="E92" s="100">
        <v>6.79</v>
      </c>
      <c r="F92" s="100">
        <v>2.2200000000000002</v>
      </c>
      <c r="G92" s="100">
        <v>106.67</v>
      </c>
      <c r="H92" s="100">
        <v>38.549999999999997</v>
      </c>
      <c r="I92" s="100">
        <v>8.4</v>
      </c>
      <c r="J92" s="100">
        <v>0.2</v>
      </c>
      <c r="K92" s="100">
        <v>195.59</v>
      </c>
      <c r="L92" s="100">
        <v>20.86</v>
      </c>
      <c r="M92" s="100">
        <v>82.55</v>
      </c>
      <c r="N92" s="100">
        <v>0</v>
      </c>
      <c r="O92" s="100">
        <v>0</v>
      </c>
      <c r="P92" s="100">
        <v>0.89</v>
      </c>
      <c r="Q92" s="100">
        <v>4.88</v>
      </c>
    </row>
    <row r="93" spans="1:17" customFormat="1">
      <c r="A93" s="70" t="s">
        <v>1283</v>
      </c>
      <c r="B93" s="100">
        <v>12.98</v>
      </c>
      <c r="C93" s="100">
        <v>25.12</v>
      </c>
      <c r="D93" s="100">
        <v>24.89</v>
      </c>
      <c r="E93" s="100">
        <v>6.49</v>
      </c>
      <c r="F93" s="100">
        <v>2.25</v>
      </c>
      <c r="G93" s="100">
        <v>104.05</v>
      </c>
      <c r="H93" s="100">
        <v>39.35</v>
      </c>
      <c r="I93" s="100">
        <v>8.5500000000000007</v>
      </c>
      <c r="J93" s="100">
        <v>0.17</v>
      </c>
      <c r="K93" s="100">
        <v>204.96</v>
      </c>
      <c r="L93" s="100">
        <v>20.66</v>
      </c>
      <c r="M93" s="100">
        <v>81.239999999999995</v>
      </c>
      <c r="N93" s="100">
        <v>0</v>
      </c>
      <c r="O93" s="100">
        <v>0</v>
      </c>
      <c r="P93" s="100">
        <v>0.89</v>
      </c>
      <c r="Q93" s="100">
        <v>4.87</v>
      </c>
    </row>
    <row r="94" spans="1:17" customFormat="1">
      <c r="A94" s="70" t="s">
        <v>1284</v>
      </c>
      <c r="B94" s="100">
        <v>13.15</v>
      </c>
      <c r="C94" s="100">
        <v>22.96</v>
      </c>
      <c r="D94" s="100">
        <v>23.89</v>
      </c>
      <c r="E94" s="100">
        <v>6.51</v>
      </c>
      <c r="F94" s="100">
        <v>2.44</v>
      </c>
      <c r="G94" s="100">
        <v>104.05</v>
      </c>
      <c r="H94" s="100">
        <v>39.35</v>
      </c>
      <c r="I94" s="100">
        <v>8.6999999999999993</v>
      </c>
      <c r="J94" s="100">
        <v>0.16</v>
      </c>
      <c r="K94" s="100">
        <v>174.39</v>
      </c>
      <c r="L94" s="100">
        <v>20.51</v>
      </c>
      <c r="M94" s="100">
        <v>82.64</v>
      </c>
      <c r="N94" s="100">
        <v>0</v>
      </c>
      <c r="O94" s="100">
        <v>0</v>
      </c>
      <c r="P94" s="100">
        <v>0.88</v>
      </c>
      <c r="Q94" s="100">
        <v>4.9000000000000004</v>
      </c>
    </row>
    <row r="95" spans="1:17" customFormat="1">
      <c r="A95" s="70" t="s">
        <v>1285</v>
      </c>
      <c r="B95" s="100">
        <v>13.27</v>
      </c>
      <c r="C95" s="100">
        <v>21.01</v>
      </c>
      <c r="D95" s="100">
        <v>22.98</v>
      </c>
      <c r="E95" s="100">
        <v>5.73</v>
      </c>
      <c r="F95" s="100">
        <v>2.56</v>
      </c>
      <c r="G95" s="100">
        <v>104.05</v>
      </c>
      <c r="H95" s="100">
        <v>39.35</v>
      </c>
      <c r="I95" s="100">
        <v>8.84</v>
      </c>
      <c r="J95" s="100">
        <v>0.15</v>
      </c>
      <c r="K95" s="100">
        <v>180.12</v>
      </c>
      <c r="L95" s="100">
        <v>20.420000000000002</v>
      </c>
      <c r="M95" s="100">
        <v>82.04</v>
      </c>
      <c r="N95" s="100">
        <v>0</v>
      </c>
      <c r="O95" s="100">
        <v>0</v>
      </c>
      <c r="P95" s="100">
        <v>0.88</v>
      </c>
      <c r="Q95" s="100">
        <v>4.91</v>
      </c>
    </row>
    <row r="96" spans="1:17" customFormat="1">
      <c r="A96" s="70" t="s">
        <v>1286</v>
      </c>
      <c r="B96" s="100">
        <v>13.22</v>
      </c>
      <c r="C96" s="100">
        <v>21.21</v>
      </c>
      <c r="D96" s="100">
        <v>23.03</v>
      </c>
      <c r="E96" s="100">
        <v>6.29</v>
      </c>
      <c r="F96" s="100">
        <v>2.36</v>
      </c>
      <c r="G96" s="100">
        <v>103.44</v>
      </c>
      <c r="H96" s="100">
        <v>39.19</v>
      </c>
      <c r="I96" s="100">
        <v>8.9700000000000006</v>
      </c>
      <c r="J96" s="100">
        <v>0.19</v>
      </c>
      <c r="K96" s="100">
        <v>195.12</v>
      </c>
      <c r="L96" s="100">
        <v>20.399999999999999</v>
      </c>
      <c r="M96" s="100">
        <v>82.2</v>
      </c>
      <c r="N96" s="100">
        <v>0</v>
      </c>
      <c r="O96" s="100">
        <v>0</v>
      </c>
      <c r="P96" s="100">
        <v>0.88</v>
      </c>
      <c r="Q96" s="100">
        <v>4.91</v>
      </c>
    </row>
    <row r="97" spans="1:22" customFormat="1">
      <c r="A97" s="70" t="s">
        <v>1287</v>
      </c>
      <c r="B97" s="100">
        <v>13.31</v>
      </c>
      <c r="C97" s="100">
        <v>22.4</v>
      </c>
      <c r="D97" s="100">
        <v>23.72</v>
      </c>
      <c r="E97" s="100">
        <v>6.71</v>
      </c>
      <c r="F97" s="100">
        <v>2.13</v>
      </c>
      <c r="G97" s="100">
        <v>100.82</v>
      </c>
      <c r="H97" s="100">
        <v>38.700000000000003</v>
      </c>
      <c r="I97" s="100">
        <v>9.08</v>
      </c>
      <c r="J97" s="100">
        <v>0.09</v>
      </c>
      <c r="K97" s="100">
        <v>191.33</v>
      </c>
      <c r="L97" s="100">
        <v>20.09</v>
      </c>
      <c r="M97" s="100">
        <v>84.62</v>
      </c>
      <c r="N97" s="100">
        <v>0</v>
      </c>
      <c r="O97" s="100">
        <v>0</v>
      </c>
      <c r="P97" s="100">
        <v>0.89</v>
      </c>
      <c r="Q97" s="100">
        <v>4.92</v>
      </c>
    </row>
    <row r="98" spans="1:22" customFormat="1">
      <c r="A98" s="70" t="s">
        <v>1288</v>
      </c>
      <c r="B98" s="100">
        <v>13.64</v>
      </c>
      <c r="C98" s="100">
        <v>23.21</v>
      </c>
      <c r="D98" s="100">
        <v>24.42</v>
      </c>
      <c r="E98" s="100">
        <v>6.87</v>
      </c>
      <c r="F98" s="100">
        <v>2.13</v>
      </c>
      <c r="G98" s="100">
        <v>100.82</v>
      </c>
      <c r="H98" s="100">
        <v>38.700000000000003</v>
      </c>
      <c r="I98" s="100">
        <v>9.18</v>
      </c>
      <c r="J98" s="100">
        <v>0.15</v>
      </c>
      <c r="K98" s="100">
        <v>197.43</v>
      </c>
      <c r="L98" s="100">
        <v>20</v>
      </c>
      <c r="M98" s="100">
        <v>84.11</v>
      </c>
      <c r="N98" s="100">
        <v>0</v>
      </c>
      <c r="O98" s="100">
        <v>0</v>
      </c>
      <c r="P98" s="100">
        <v>0.89</v>
      </c>
      <c r="Q98" s="100">
        <v>4.92</v>
      </c>
    </row>
    <row r="99" spans="1:22" customFormat="1">
      <c r="A99" s="70" t="s">
        <v>1289</v>
      </c>
      <c r="B99" s="100">
        <v>14.27</v>
      </c>
      <c r="C99" s="100">
        <v>23.29</v>
      </c>
      <c r="D99" s="100">
        <v>24.97</v>
      </c>
      <c r="E99" s="100">
        <v>6.83</v>
      </c>
      <c r="F99" s="100">
        <v>2.29</v>
      </c>
      <c r="G99" s="100">
        <v>100.82</v>
      </c>
      <c r="H99" s="100">
        <v>38.700000000000003</v>
      </c>
      <c r="I99" s="100">
        <v>9.26</v>
      </c>
      <c r="J99" s="100">
        <v>0.14000000000000001</v>
      </c>
      <c r="K99" s="100">
        <v>178.33</v>
      </c>
      <c r="L99" s="100">
        <v>19.86</v>
      </c>
      <c r="M99" s="100">
        <v>86.74</v>
      </c>
      <c r="N99" s="100">
        <v>0</v>
      </c>
      <c r="O99" s="100">
        <v>0</v>
      </c>
      <c r="P99" s="100">
        <v>0.9</v>
      </c>
      <c r="Q99" s="100">
        <v>4.96</v>
      </c>
    </row>
    <row r="100" spans="1:22" customFormat="1">
      <c r="A100" s="70" t="s">
        <v>1290</v>
      </c>
      <c r="B100" s="100">
        <v>14.64</v>
      </c>
      <c r="C100" s="100">
        <v>21.19</v>
      </c>
      <c r="D100" s="100">
        <v>24.17</v>
      </c>
      <c r="E100" s="100">
        <v>6.59</v>
      </c>
      <c r="F100" s="100">
        <v>2.48</v>
      </c>
      <c r="G100" s="100">
        <v>100.33</v>
      </c>
      <c r="H100" s="100">
        <v>39.479999999999997</v>
      </c>
      <c r="I100" s="100">
        <v>9.3000000000000007</v>
      </c>
      <c r="J100" s="100">
        <v>0.13</v>
      </c>
      <c r="K100" s="100">
        <v>193.83</v>
      </c>
      <c r="L100" s="100">
        <v>19.809999999999999</v>
      </c>
      <c r="M100" s="100">
        <v>84.94</v>
      </c>
      <c r="N100" s="100">
        <v>0</v>
      </c>
      <c r="O100" s="100">
        <v>0</v>
      </c>
      <c r="P100" s="100">
        <v>0.89</v>
      </c>
      <c r="Q100" s="100">
        <v>4.96</v>
      </c>
    </row>
    <row r="101" spans="1:22" customFormat="1">
      <c r="A101" s="70" t="s">
        <v>1291</v>
      </c>
      <c r="B101" s="100">
        <v>14.82</v>
      </c>
      <c r="C101" s="100">
        <v>21.45</v>
      </c>
      <c r="D101" s="100">
        <v>24.44</v>
      </c>
      <c r="E101" s="100">
        <v>6.02</v>
      </c>
      <c r="F101" s="100">
        <v>2.2999999999999998</v>
      </c>
      <c r="G101" s="100">
        <v>98.22</v>
      </c>
      <c r="H101" s="100">
        <v>41.75</v>
      </c>
      <c r="I101" s="100">
        <v>9.35</v>
      </c>
      <c r="J101" s="100">
        <v>0.11</v>
      </c>
      <c r="K101" s="100">
        <v>208.74</v>
      </c>
      <c r="L101" s="100">
        <v>19.84</v>
      </c>
      <c r="M101" s="100">
        <v>83.05</v>
      </c>
      <c r="N101" s="100">
        <v>0</v>
      </c>
      <c r="O101" s="100">
        <v>0</v>
      </c>
      <c r="P101" s="100">
        <v>0.87</v>
      </c>
      <c r="Q101" s="100">
        <v>4.96</v>
      </c>
    </row>
    <row r="102" spans="1:22" customFormat="1">
      <c r="A102" s="70" t="s">
        <v>1292</v>
      </c>
      <c r="B102" s="100">
        <v>15.82</v>
      </c>
      <c r="C102" s="100">
        <v>21.59</v>
      </c>
      <c r="D102" s="100">
        <v>25.32</v>
      </c>
      <c r="E102" s="100">
        <v>6.66</v>
      </c>
      <c r="F102" s="100">
        <v>2.3199999999999998</v>
      </c>
      <c r="G102" s="100">
        <v>98.22</v>
      </c>
      <c r="H102" s="100">
        <v>41.75</v>
      </c>
      <c r="I102" s="100">
        <v>9.3699999999999992</v>
      </c>
      <c r="J102" s="100">
        <v>0.18</v>
      </c>
      <c r="K102" s="100">
        <v>199.65</v>
      </c>
      <c r="L102" s="100">
        <v>19.73</v>
      </c>
      <c r="M102" s="100">
        <v>83.48</v>
      </c>
      <c r="N102" s="100">
        <v>0</v>
      </c>
      <c r="O102" s="100">
        <v>0</v>
      </c>
      <c r="P102" s="100">
        <v>0.88</v>
      </c>
      <c r="Q102" s="100">
        <v>4.96</v>
      </c>
    </row>
    <row r="103" spans="1:22" customFormat="1">
      <c r="A103" s="70" t="s">
        <v>1293</v>
      </c>
      <c r="B103" s="100">
        <v>16.32</v>
      </c>
      <c r="C103" s="100">
        <v>20.309999999999999</v>
      </c>
      <c r="D103" s="100">
        <v>25.05</v>
      </c>
      <c r="E103" s="100">
        <v>6.55</v>
      </c>
      <c r="F103" s="100">
        <v>2.41</v>
      </c>
      <c r="G103" s="100">
        <v>98.22</v>
      </c>
      <c r="H103" s="100">
        <v>41.75</v>
      </c>
      <c r="I103" s="100">
        <v>9.41</v>
      </c>
      <c r="J103" s="100">
        <v>7.0000000000000007E-2</v>
      </c>
      <c r="K103" s="100">
        <v>148.99</v>
      </c>
      <c r="L103" s="100">
        <v>19.54</v>
      </c>
      <c r="M103" s="100">
        <v>84.27</v>
      </c>
      <c r="N103" s="100">
        <v>0</v>
      </c>
      <c r="O103" s="100">
        <v>0</v>
      </c>
      <c r="P103" s="100">
        <v>0.87</v>
      </c>
      <c r="Q103" s="100">
        <v>4.96</v>
      </c>
    </row>
    <row r="104" spans="1:22" customFormat="1">
      <c r="A104" s="70" t="s">
        <v>1294</v>
      </c>
      <c r="B104" s="100">
        <v>16.8</v>
      </c>
      <c r="C104" s="100">
        <v>20.62</v>
      </c>
      <c r="D104" s="100">
        <v>25.6</v>
      </c>
      <c r="E104" s="100">
        <v>6.06</v>
      </c>
      <c r="F104" s="100">
        <v>2.2799999999999998</v>
      </c>
      <c r="G104" s="100">
        <v>97.83</v>
      </c>
      <c r="H104" s="100">
        <v>41.15</v>
      </c>
      <c r="I104" s="100">
        <v>9.42</v>
      </c>
      <c r="J104" s="100">
        <v>0.38</v>
      </c>
      <c r="K104" s="100">
        <v>48.38</v>
      </c>
      <c r="L104" s="100">
        <v>20.010000000000002</v>
      </c>
      <c r="M104" s="100">
        <v>77.53</v>
      </c>
      <c r="N104" s="100">
        <v>0</v>
      </c>
      <c r="O104" s="100">
        <v>0</v>
      </c>
      <c r="P104" s="100">
        <v>0.87</v>
      </c>
      <c r="Q104" s="100">
        <v>4.9800000000000004</v>
      </c>
    </row>
    <row r="106" spans="1:22">
      <c r="A106" s="156" t="s">
        <v>48</v>
      </c>
      <c r="B106" s="157">
        <f>MIN(B9:B104)</f>
        <v>2.4</v>
      </c>
      <c r="C106" s="157">
        <f>MIN(C9:C104)</f>
        <v>20.309999999999999</v>
      </c>
      <c r="D106" s="157">
        <f t="shared" ref="D106:Q106" si="0">MIN(D9:D104)</f>
        <v>15.53</v>
      </c>
      <c r="E106" s="157">
        <f t="shared" si="0"/>
        <v>4.75</v>
      </c>
      <c r="F106" s="157">
        <f t="shared" si="0"/>
        <v>2.13</v>
      </c>
      <c r="G106" s="157">
        <f t="shared" si="0"/>
        <v>80.540000000000006</v>
      </c>
      <c r="H106" s="157">
        <f t="shared" si="0"/>
        <v>34.49</v>
      </c>
      <c r="I106" s="157">
        <f t="shared" si="0"/>
        <v>6.26</v>
      </c>
      <c r="J106" s="157">
        <f t="shared" si="0"/>
        <v>0.06</v>
      </c>
      <c r="K106" s="157">
        <f t="shared" si="0"/>
        <v>1.58</v>
      </c>
      <c r="L106" s="157">
        <f t="shared" si="0"/>
        <v>19.059999999999999</v>
      </c>
      <c r="M106" s="157">
        <f t="shared" si="0"/>
        <v>41.38</v>
      </c>
      <c r="N106" s="157">
        <f t="shared" si="0"/>
        <v>0</v>
      </c>
      <c r="O106" s="157">
        <f t="shared" si="0"/>
        <v>0</v>
      </c>
      <c r="P106" s="157">
        <f t="shared" si="0"/>
        <v>0.66</v>
      </c>
      <c r="Q106" s="157">
        <f t="shared" si="0"/>
        <v>4.84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24.81</v>
      </c>
      <c r="C107" s="156">
        <f t="shared" ref="C107:Q107" si="1">MAX(C9:C104)</f>
        <v>32.049999999999997</v>
      </c>
      <c r="D107" s="156">
        <f t="shared" si="1"/>
        <v>34.71</v>
      </c>
      <c r="E107" s="156">
        <f t="shared" si="1"/>
        <v>14.53</v>
      </c>
      <c r="F107" s="156">
        <f t="shared" si="1"/>
        <v>10.19</v>
      </c>
      <c r="G107" s="156">
        <f t="shared" si="1"/>
        <v>127.83</v>
      </c>
      <c r="H107" s="156">
        <f t="shared" si="1"/>
        <v>59.71</v>
      </c>
      <c r="I107" s="156">
        <f t="shared" si="1"/>
        <v>14.74</v>
      </c>
      <c r="J107" s="156">
        <f t="shared" si="1"/>
        <v>1.42</v>
      </c>
      <c r="K107" s="156">
        <f t="shared" si="1"/>
        <v>311.66000000000003</v>
      </c>
      <c r="L107" s="156">
        <f t="shared" si="1"/>
        <v>28.94</v>
      </c>
      <c r="M107" s="156">
        <f t="shared" si="1"/>
        <v>86.94</v>
      </c>
      <c r="N107" s="156">
        <f t="shared" si="1"/>
        <v>364.3</v>
      </c>
      <c r="O107" s="156">
        <f t="shared" si="1"/>
        <v>0</v>
      </c>
      <c r="P107" s="156">
        <f t="shared" si="1"/>
        <v>1.37</v>
      </c>
      <c r="Q107" s="156">
        <f t="shared" si="1"/>
        <v>5.14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14.476041666666667</v>
      </c>
      <c r="C108" s="157">
        <f t="shared" ref="C108:Q108" si="2">AVERAGE(C9:C104)</f>
        <v>25.576354166666672</v>
      </c>
      <c r="D108" s="157">
        <f t="shared" si="2"/>
        <v>26.321041666666659</v>
      </c>
      <c r="E108" s="157">
        <f t="shared" si="2"/>
        <v>7.5929166666666594</v>
      </c>
      <c r="F108" s="157">
        <f t="shared" si="2"/>
        <v>3.2906250000000021</v>
      </c>
      <c r="G108" s="157">
        <f t="shared" si="2"/>
        <v>99.47156249999999</v>
      </c>
      <c r="H108" s="157">
        <f t="shared" si="2"/>
        <v>44.189375000000005</v>
      </c>
      <c r="I108" s="157">
        <f t="shared" si="2"/>
        <v>10.357604166666667</v>
      </c>
      <c r="J108" s="157">
        <f t="shared" si="2"/>
        <v>0.55489583333333337</v>
      </c>
      <c r="K108" s="157">
        <f t="shared" si="2"/>
        <v>89.626145833333339</v>
      </c>
      <c r="L108" s="157">
        <f t="shared" si="2"/>
        <v>22.981562500000006</v>
      </c>
      <c r="M108" s="157">
        <f t="shared" si="2"/>
        <v>68.45354166666668</v>
      </c>
      <c r="N108" s="157">
        <f t="shared" si="2"/>
        <v>76.951041666666654</v>
      </c>
      <c r="O108" s="157">
        <f t="shared" si="2"/>
        <v>0</v>
      </c>
      <c r="P108" s="157">
        <f t="shared" si="2"/>
        <v>0.96197916666666661</v>
      </c>
      <c r="Q108" s="157">
        <f t="shared" si="2"/>
        <v>4.9414583333333306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6.4872596565019114</v>
      </c>
      <c r="C109" s="157">
        <f t="shared" ref="C109:Q109" si="3">STDEV(C9:C104)</f>
        <v>3.0168945761779193</v>
      </c>
      <c r="D109" s="157">
        <f t="shared" si="3"/>
        <v>5.1191065172633508</v>
      </c>
      <c r="E109" s="157">
        <f t="shared" si="3"/>
        <v>1.6858469161111671</v>
      </c>
      <c r="F109" s="157">
        <f t="shared" si="3"/>
        <v>1.9057778146854776</v>
      </c>
      <c r="G109" s="157">
        <f t="shared" si="3"/>
        <v>12.475248110864813</v>
      </c>
      <c r="H109" s="157">
        <f t="shared" si="3"/>
        <v>7.7331759408136787</v>
      </c>
      <c r="I109" s="157">
        <f t="shared" si="3"/>
        <v>2.7335959524297535</v>
      </c>
      <c r="J109" s="157">
        <f t="shared" si="3"/>
        <v>0.34781421172400795</v>
      </c>
      <c r="K109" s="157">
        <f t="shared" si="3"/>
        <v>63.976253084040891</v>
      </c>
      <c r="L109" s="157">
        <f t="shared" si="3"/>
        <v>3.4335080505067448</v>
      </c>
      <c r="M109" s="157">
        <f t="shared" si="3"/>
        <v>15.968278619231416</v>
      </c>
      <c r="N109" s="157">
        <f t="shared" si="3"/>
        <v>125.214603145994</v>
      </c>
      <c r="O109" s="157">
        <f t="shared" si="3"/>
        <v>0</v>
      </c>
      <c r="P109" s="157">
        <f t="shared" si="3"/>
        <v>0.21410090976313847</v>
      </c>
      <c r="Q109" s="157">
        <f t="shared" si="3"/>
        <v>8.1949652921992813E-2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0" t="s">
        <v>1295</v>
      </c>
      <c r="B9" s="100">
        <v>19.48</v>
      </c>
      <c r="C9" s="100">
        <v>22.53</v>
      </c>
      <c r="D9" s="100">
        <v>28.74</v>
      </c>
      <c r="E9" s="100">
        <v>6.66</v>
      </c>
      <c r="F9" s="100">
        <v>2.29</v>
      </c>
      <c r="G9" s="100">
        <v>96.14</v>
      </c>
      <c r="H9" s="100">
        <v>37.79</v>
      </c>
      <c r="I9" s="100">
        <v>9.4</v>
      </c>
      <c r="J9" s="100">
        <v>0.01</v>
      </c>
      <c r="K9" s="100">
        <v>98.38</v>
      </c>
      <c r="L9" s="100">
        <v>20.149999999999999</v>
      </c>
      <c r="M9" s="100">
        <v>77.17</v>
      </c>
      <c r="N9" s="100">
        <v>0</v>
      </c>
      <c r="O9" s="100">
        <v>0</v>
      </c>
      <c r="P9" s="100">
        <v>0.88</v>
      </c>
      <c r="Q9" s="100">
        <v>4.99</v>
      </c>
    </row>
    <row r="10" spans="1:21" customFormat="1">
      <c r="A10" s="70" t="s">
        <v>1296</v>
      </c>
      <c r="B10" s="100">
        <v>20.02</v>
      </c>
      <c r="C10" s="100">
        <v>23.81</v>
      </c>
      <c r="D10" s="100">
        <v>29.85</v>
      </c>
      <c r="E10" s="100">
        <v>6.61</v>
      </c>
      <c r="F10" s="100">
        <v>2.2400000000000002</v>
      </c>
      <c r="G10" s="100">
        <v>96.14</v>
      </c>
      <c r="H10" s="100">
        <v>37.79</v>
      </c>
      <c r="I10" s="100">
        <v>9.39</v>
      </c>
      <c r="J10" s="100">
        <v>0.06</v>
      </c>
      <c r="K10" s="100">
        <v>24.15</v>
      </c>
      <c r="L10" s="100">
        <v>19.91</v>
      </c>
      <c r="M10" s="100">
        <v>78.510000000000005</v>
      </c>
      <c r="N10" s="100">
        <v>0</v>
      </c>
      <c r="O10" s="100">
        <v>0</v>
      </c>
      <c r="P10" s="100">
        <v>0.87</v>
      </c>
      <c r="Q10" s="100">
        <v>5.03</v>
      </c>
    </row>
    <row r="11" spans="1:21" customFormat="1">
      <c r="A11" s="70" t="s">
        <v>1297</v>
      </c>
      <c r="B11" s="100">
        <v>20.56</v>
      </c>
      <c r="C11" s="100">
        <v>25.01</v>
      </c>
      <c r="D11" s="100">
        <v>30.91</v>
      </c>
      <c r="E11" s="100">
        <v>7.01</v>
      </c>
      <c r="F11" s="100">
        <v>2.36</v>
      </c>
      <c r="G11" s="100">
        <v>96.14</v>
      </c>
      <c r="H11" s="100">
        <v>37.79</v>
      </c>
      <c r="I11" s="100">
        <v>9.34</v>
      </c>
      <c r="J11" s="100">
        <v>0.17</v>
      </c>
      <c r="K11" s="100">
        <v>166.5</v>
      </c>
      <c r="L11" s="100">
        <v>19.649999999999999</v>
      </c>
      <c r="M11" s="100">
        <v>82.48</v>
      </c>
      <c r="N11" s="100">
        <v>0</v>
      </c>
      <c r="O11" s="100">
        <v>0</v>
      </c>
      <c r="P11" s="100">
        <v>0.86</v>
      </c>
      <c r="Q11" s="100">
        <v>5.04</v>
      </c>
    </row>
    <row r="12" spans="1:21" customFormat="1">
      <c r="A12" s="70" t="s">
        <v>1298</v>
      </c>
      <c r="B12" s="100">
        <v>20.5</v>
      </c>
      <c r="C12" s="100">
        <v>25.4</v>
      </c>
      <c r="D12" s="100">
        <v>31.06</v>
      </c>
      <c r="E12" s="100">
        <v>6.34</v>
      </c>
      <c r="F12" s="100">
        <v>2.4300000000000002</v>
      </c>
      <c r="G12" s="100">
        <v>93.46</v>
      </c>
      <c r="H12" s="100">
        <v>37.11</v>
      </c>
      <c r="I12" s="100">
        <v>9.27</v>
      </c>
      <c r="J12" s="100">
        <v>0.21</v>
      </c>
      <c r="K12" s="100">
        <v>182.85</v>
      </c>
      <c r="L12" s="100">
        <v>19.48</v>
      </c>
      <c r="M12" s="100">
        <v>85.23</v>
      </c>
      <c r="N12" s="100">
        <v>0</v>
      </c>
      <c r="O12" s="100">
        <v>0</v>
      </c>
      <c r="P12" s="100">
        <v>0.85</v>
      </c>
      <c r="Q12" s="100">
        <v>5.07</v>
      </c>
    </row>
    <row r="13" spans="1:21" customFormat="1">
      <c r="A13" s="70" t="s">
        <v>1299</v>
      </c>
      <c r="B13" s="100">
        <v>20.37</v>
      </c>
      <c r="C13" s="100">
        <v>25.99</v>
      </c>
      <c r="D13" s="100">
        <v>31.27</v>
      </c>
      <c r="E13" s="100">
        <v>6.76</v>
      </c>
      <c r="F13" s="100">
        <v>2.2999999999999998</v>
      </c>
      <c r="G13" s="100">
        <v>81.93</v>
      </c>
      <c r="H13" s="100">
        <v>35.130000000000003</v>
      </c>
      <c r="I13" s="100">
        <v>9.1999999999999993</v>
      </c>
      <c r="J13" s="100">
        <v>0.15</v>
      </c>
      <c r="K13" s="100">
        <v>190.61</v>
      </c>
      <c r="L13" s="100">
        <v>19.04</v>
      </c>
      <c r="M13" s="100">
        <v>86.56</v>
      </c>
      <c r="N13" s="100">
        <v>0</v>
      </c>
      <c r="O13" s="100">
        <v>0</v>
      </c>
      <c r="P13" s="100">
        <v>0.85</v>
      </c>
      <c r="Q13" s="100">
        <v>5.08</v>
      </c>
    </row>
    <row r="14" spans="1:21" customFormat="1">
      <c r="A14" s="70" t="s">
        <v>1300</v>
      </c>
      <c r="B14" s="100">
        <v>20.52</v>
      </c>
      <c r="C14" s="100">
        <v>26.27</v>
      </c>
      <c r="D14" s="100">
        <v>31.53</v>
      </c>
      <c r="E14" s="100">
        <v>6.53</v>
      </c>
      <c r="F14" s="100">
        <v>2.2799999999999998</v>
      </c>
      <c r="G14" s="100">
        <v>81.93</v>
      </c>
      <c r="H14" s="100">
        <v>35.130000000000003</v>
      </c>
      <c r="I14" s="100">
        <v>9.16</v>
      </c>
      <c r="J14" s="100">
        <v>0.17</v>
      </c>
      <c r="K14" s="100">
        <v>196.4</v>
      </c>
      <c r="L14" s="100">
        <v>19.05</v>
      </c>
      <c r="M14" s="100">
        <v>86.75</v>
      </c>
      <c r="N14" s="100">
        <v>0</v>
      </c>
      <c r="O14" s="100">
        <v>0</v>
      </c>
      <c r="P14" s="100">
        <v>0.85</v>
      </c>
      <c r="Q14" s="100">
        <v>5.08</v>
      </c>
    </row>
    <row r="15" spans="1:21" customFormat="1">
      <c r="A15" s="70" t="s">
        <v>1301</v>
      </c>
      <c r="B15" s="100">
        <v>20.75</v>
      </c>
      <c r="C15" s="100">
        <v>26.18</v>
      </c>
      <c r="D15" s="100">
        <v>31.67</v>
      </c>
      <c r="E15" s="100">
        <v>6.49</v>
      </c>
      <c r="F15" s="100">
        <v>2.25</v>
      </c>
      <c r="G15" s="100">
        <v>81.93</v>
      </c>
      <c r="H15" s="100">
        <v>35.130000000000003</v>
      </c>
      <c r="I15" s="100">
        <v>9.1199999999999992</v>
      </c>
      <c r="J15" s="100">
        <v>0.12</v>
      </c>
      <c r="K15" s="100">
        <v>122.18</v>
      </c>
      <c r="L15" s="100">
        <v>18.579999999999998</v>
      </c>
      <c r="M15" s="100">
        <v>88.94</v>
      </c>
      <c r="N15" s="100">
        <v>0</v>
      </c>
      <c r="O15" s="100">
        <v>0</v>
      </c>
      <c r="P15" s="100">
        <v>0.84</v>
      </c>
      <c r="Q15" s="100">
        <v>5.07</v>
      </c>
    </row>
    <row r="16" spans="1:21" customFormat="1">
      <c r="A16" s="70" t="s">
        <v>1302</v>
      </c>
      <c r="B16" s="100">
        <v>21.07</v>
      </c>
      <c r="C16" s="100">
        <v>26.73</v>
      </c>
      <c r="D16" s="100">
        <v>32.21</v>
      </c>
      <c r="E16" s="100">
        <v>6.78</v>
      </c>
      <c r="F16" s="100">
        <v>2.2599999999999998</v>
      </c>
      <c r="G16" s="100">
        <v>82.87</v>
      </c>
      <c r="H16" s="100">
        <v>35.299999999999997</v>
      </c>
      <c r="I16" s="100">
        <v>9.09</v>
      </c>
      <c r="J16" s="100">
        <v>0.1</v>
      </c>
      <c r="K16" s="100">
        <v>81.38</v>
      </c>
      <c r="L16" s="100">
        <v>18.62</v>
      </c>
      <c r="M16" s="100">
        <v>86.8</v>
      </c>
      <c r="N16" s="100">
        <v>0</v>
      </c>
      <c r="O16" s="100">
        <v>0</v>
      </c>
      <c r="P16" s="100">
        <v>0.83</v>
      </c>
      <c r="Q16" s="100">
        <v>5.07</v>
      </c>
    </row>
    <row r="17" spans="1:17" customFormat="1">
      <c r="A17" s="70" t="s">
        <v>1303</v>
      </c>
      <c r="B17" s="100">
        <v>22.13</v>
      </c>
      <c r="C17" s="100">
        <v>27.46</v>
      </c>
      <c r="D17" s="100">
        <v>33.450000000000003</v>
      </c>
      <c r="E17" s="100">
        <v>7.7</v>
      </c>
      <c r="F17" s="100">
        <v>2.3199999999999998</v>
      </c>
      <c r="G17" s="100">
        <v>86.95</v>
      </c>
      <c r="H17" s="100">
        <v>35.85</v>
      </c>
      <c r="I17" s="100">
        <v>9.09</v>
      </c>
      <c r="J17" s="100">
        <v>0.09</v>
      </c>
      <c r="K17" s="100">
        <v>67.11</v>
      </c>
      <c r="L17" s="100">
        <v>18.84</v>
      </c>
      <c r="M17" s="100">
        <v>81.95</v>
      </c>
      <c r="N17" s="100">
        <v>0</v>
      </c>
      <c r="O17" s="100">
        <v>0</v>
      </c>
      <c r="P17" s="100">
        <v>0.83</v>
      </c>
      <c r="Q17" s="100">
        <v>5.08</v>
      </c>
    </row>
    <row r="18" spans="1:17" customFormat="1">
      <c r="A18" s="70" t="s">
        <v>1304</v>
      </c>
      <c r="B18" s="100">
        <v>23.26</v>
      </c>
      <c r="C18" s="100">
        <v>27.83</v>
      </c>
      <c r="D18" s="100">
        <v>34.54</v>
      </c>
      <c r="E18" s="100">
        <v>8.76</v>
      </c>
      <c r="F18" s="100">
        <v>2.27</v>
      </c>
      <c r="G18" s="100">
        <v>86.95</v>
      </c>
      <c r="H18" s="100">
        <v>35.85</v>
      </c>
      <c r="I18" s="100">
        <v>9.07</v>
      </c>
      <c r="J18" s="100">
        <v>0.06</v>
      </c>
      <c r="K18" s="100">
        <v>35.86</v>
      </c>
      <c r="L18" s="100">
        <v>18.91</v>
      </c>
      <c r="M18" s="100">
        <v>81.39</v>
      </c>
      <c r="N18" s="100">
        <v>0</v>
      </c>
      <c r="O18" s="100">
        <v>0</v>
      </c>
      <c r="P18" s="100">
        <v>0.82</v>
      </c>
      <c r="Q18" s="100">
        <v>5.09</v>
      </c>
    </row>
    <row r="19" spans="1:17" customFormat="1">
      <c r="A19" s="70" t="s">
        <v>1305</v>
      </c>
      <c r="B19" s="100">
        <v>24.02</v>
      </c>
      <c r="C19" s="100">
        <v>28.59</v>
      </c>
      <c r="D19" s="100">
        <v>35.549999999999997</v>
      </c>
      <c r="E19" s="100">
        <v>8.7200000000000006</v>
      </c>
      <c r="F19" s="100">
        <v>2.25</v>
      </c>
      <c r="G19" s="100">
        <v>86.95</v>
      </c>
      <c r="H19" s="100">
        <v>35.85</v>
      </c>
      <c r="I19" s="100">
        <v>8.99</v>
      </c>
      <c r="J19" s="100">
        <v>0.2</v>
      </c>
      <c r="K19" s="100">
        <v>60.97</v>
      </c>
      <c r="L19" s="100">
        <v>18.920000000000002</v>
      </c>
      <c r="M19" s="100">
        <v>80.400000000000006</v>
      </c>
      <c r="N19" s="100">
        <v>0</v>
      </c>
      <c r="O19" s="100">
        <v>0</v>
      </c>
      <c r="P19" s="100">
        <v>0.81</v>
      </c>
      <c r="Q19" s="100">
        <v>5.0599999999999996</v>
      </c>
    </row>
    <row r="20" spans="1:17" customFormat="1">
      <c r="A20" s="70" t="s">
        <v>1306</v>
      </c>
      <c r="B20" s="100">
        <v>24.44</v>
      </c>
      <c r="C20" s="100">
        <v>28.68</v>
      </c>
      <c r="D20" s="100">
        <v>35.94</v>
      </c>
      <c r="E20" s="100">
        <v>8.51</v>
      </c>
      <c r="F20" s="100">
        <v>2.21</v>
      </c>
      <c r="G20" s="100">
        <v>86.32</v>
      </c>
      <c r="H20" s="100">
        <v>35.82</v>
      </c>
      <c r="I20" s="100">
        <v>8.9600000000000009</v>
      </c>
      <c r="J20" s="100">
        <v>0.17</v>
      </c>
      <c r="K20" s="100">
        <v>72.64</v>
      </c>
      <c r="L20" s="100">
        <v>18.920000000000002</v>
      </c>
      <c r="M20" s="100">
        <v>79.650000000000006</v>
      </c>
      <c r="N20" s="100">
        <v>0</v>
      </c>
      <c r="O20" s="100">
        <v>0</v>
      </c>
      <c r="P20" s="100">
        <v>0.8</v>
      </c>
      <c r="Q20" s="100">
        <v>5.05</v>
      </c>
    </row>
    <row r="21" spans="1:17" customFormat="1">
      <c r="A21" s="70" t="s">
        <v>1307</v>
      </c>
      <c r="B21" s="100">
        <v>24.72</v>
      </c>
      <c r="C21" s="100">
        <v>28.81</v>
      </c>
      <c r="D21" s="100">
        <v>36.229999999999997</v>
      </c>
      <c r="E21" s="100">
        <v>8.56</v>
      </c>
      <c r="F21" s="100">
        <v>2.2200000000000002</v>
      </c>
      <c r="G21" s="100">
        <v>83.64</v>
      </c>
      <c r="H21" s="100">
        <v>35.729999999999997</v>
      </c>
      <c r="I21" s="100">
        <v>8.94</v>
      </c>
      <c r="J21" s="100">
        <v>0.16</v>
      </c>
      <c r="K21" s="100">
        <v>87.48</v>
      </c>
      <c r="L21" s="100">
        <v>18.96</v>
      </c>
      <c r="M21" s="100">
        <v>79.02</v>
      </c>
      <c r="N21" s="100">
        <v>0</v>
      </c>
      <c r="O21" s="100">
        <v>0</v>
      </c>
      <c r="P21" s="100">
        <v>0.78</v>
      </c>
      <c r="Q21" s="100">
        <v>5.05</v>
      </c>
    </row>
    <row r="22" spans="1:17" customFormat="1">
      <c r="A22" s="70" t="s">
        <v>1308</v>
      </c>
      <c r="B22" s="100">
        <v>24.56</v>
      </c>
      <c r="C22" s="100">
        <v>29.04</v>
      </c>
      <c r="D22" s="100">
        <v>36.22</v>
      </c>
      <c r="E22" s="100">
        <v>8.92</v>
      </c>
      <c r="F22" s="100">
        <v>2.2999999999999998</v>
      </c>
      <c r="G22" s="100">
        <v>83.64</v>
      </c>
      <c r="H22" s="100">
        <v>35.729999999999997</v>
      </c>
      <c r="I22" s="100">
        <v>8.86</v>
      </c>
      <c r="J22" s="100">
        <v>0.19</v>
      </c>
      <c r="K22" s="100">
        <v>55.42</v>
      </c>
      <c r="L22" s="100">
        <v>18.87</v>
      </c>
      <c r="M22" s="100">
        <v>79.540000000000006</v>
      </c>
      <c r="N22" s="100">
        <v>0</v>
      </c>
      <c r="O22" s="100">
        <v>0</v>
      </c>
      <c r="P22" s="100">
        <v>0.77</v>
      </c>
      <c r="Q22" s="100">
        <v>5.04</v>
      </c>
    </row>
    <row r="23" spans="1:17" customFormat="1">
      <c r="A23" s="70" t="s">
        <v>1309</v>
      </c>
      <c r="B23" s="100">
        <v>24.55</v>
      </c>
      <c r="C23" s="100">
        <v>28.92</v>
      </c>
      <c r="D23" s="100">
        <v>36.14</v>
      </c>
      <c r="E23" s="100">
        <v>9.1199999999999992</v>
      </c>
      <c r="F23" s="100">
        <v>2.2599999999999998</v>
      </c>
      <c r="G23" s="100">
        <v>83.64</v>
      </c>
      <c r="H23" s="100">
        <v>35.729999999999997</v>
      </c>
      <c r="I23" s="100">
        <v>8.81</v>
      </c>
      <c r="J23" s="100">
        <v>0.25</v>
      </c>
      <c r="K23" s="100">
        <v>39.61</v>
      </c>
      <c r="L23" s="100">
        <v>19.100000000000001</v>
      </c>
      <c r="M23" s="100">
        <v>77.150000000000006</v>
      </c>
      <c r="N23" s="100">
        <v>0</v>
      </c>
      <c r="O23" s="100">
        <v>0</v>
      </c>
      <c r="P23" s="100">
        <v>0.76</v>
      </c>
      <c r="Q23" s="100">
        <v>5.04</v>
      </c>
    </row>
    <row r="24" spans="1:17" customFormat="1">
      <c r="A24" s="70" t="s">
        <v>1310</v>
      </c>
      <c r="B24" s="100">
        <v>24.56</v>
      </c>
      <c r="C24" s="100">
        <v>29.24</v>
      </c>
      <c r="D24" s="100">
        <v>36.33</v>
      </c>
      <c r="E24" s="100">
        <v>8.48</v>
      </c>
      <c r="F24" s="100">
        <v>2.2400000000000002</v>
      </c>
      <c r="G24" s="100">
        <v>83.68</v>
      </c>
      <c r="H24" s="100">
        <v>35.76</v>
      </c>
      <c r="I24" s="100">
        <v>8.76</v>
      </c>
      <c r="J24" s="100">
        <v>0.76</v>
      </c>
      <c r="K24" s="100">
        <v>54.41</v>
      </c>
      <c r="L24" s="100">
        <v>19.100000000000001</v>
      </c>
      <c r="M24" s="100">
        <v>75.709999999999994</v>
      </c>
      <c r="N24" s="100">
        <v>0</v>
      </c>
      <c r="O24" s="100">
        <v>0</v>
      </c>
      <c r="P24" s="100">
        <v>0.76</v>
      </c>
      <c r="Q24" s="100">
        <v>5.05</v>
      </c>
    </row>
    <row r="25" spans="1:17" customFormat="1">
      <c r="A25" s="70" t="s">
        <v>1311</v>
      </c>
      <c r="B25" s="100">
        <v>24.61</v>
      </c>
      <c r="C25" s="100">
        <v>29.44</v>
      </c>
      <c r="D25" s="100">
        <v>36.47</v>
      </c>
      <c r="E25" s="100">
        <v>8.93</v>
      </c>
      <c r="F25" s="100">
        <v>2.31</v>
      </c>
      <c r="G25" s="100">
        <v>83.87</v>
      </c>
      <c r="H25" s="100">
        <v>35.86</v>
      </c>
      <c r="I25" s="100">
        <v>8.75</v>
      </c>
      <c r="J25" s="100">
        <v>0.43</v>
      </c>
      <c r="K25" s="100">
        <v>62.44</v>
      </c>
      <c r="L25" s="100">
        <v>19.16</v>
      </c>
      <c r="M25" s="100">
        <v>74.41</v>
      </c>
      <c r="N25" s="100">
        <v>0</v>
      </c>
      <c r="O25" s="100">
        <v>0</v>
      </c>
      <c r="P25" s="100">
        <v>0.74</v>
      </c>
      <c r="Q25" s="100">
        <v>5.04</v>
      </c>
    </row>
    <row r="26" spans="1:17" customFormat="1">
      <c r="A26" s="70" t="s">
        <v>1312</v>
      </c>
      <c r="B26" s="100">
        <v>24.28</v>
      </c>
      <c r="C26" s="100">
        <v>29.33</v>
      </c>
      <c r="D26" s="100">
        <v>36.14</v>
      </c>
      <c r="E26" s="100">
        <v>8.58</v>
      </c>
      <c r="F26" s="100">
        <v>2.2599999999999998</v>
      </c>
      <c r="G26" s="100">
        <v>83.87</v>
      </c>
      <c r="H26" s="100">
        <v>35.86</v>
      </c>
      <c r="I26" s="100">
        <v>8.69</v>
      </c>
      <c r="J26" s="100">
        <v>0.13</v>
      </c>
      <c r="K26" s="100">
        <v>191.41</v>
      </c>
      <c r="L26" s="100">
        <v>19</v>
      </c>
      <c r="M26" s="100">
        <v>76.72</v>
      </c>
      <c r="N26" s="100">
        <v>0</v>
      </c>
      <c r="O26" s="100">
        <v>0</v>
      </c>
      <c r="P26" s="100">
        <v>0.73</v>
      </c>
      <c r="Q26" s="100">
        <v>5.0199999999999996</v>
      </c>
    </row>
    <row r="27" spans="1:17" customFormat="1">
      <c r="A27" s="70" t="s">
        <v>1313</v>
      </c>
      <c r="B27" s="100">
        <v>23.77</v>
      </c>
      <c r="C27" s="100">
        <v>29</v>
      </c>
      <c r="D27" s="100">
        <v>35.57</v>
      </c>
      <c r="E27" s="100">
        <v>9.01</v>
      </c>
      <c r="F27" s="100">
        <v>2.21</v>
      </c>
      <c r="G27" s="100">
        <v>83.87</v>
      </c>
      <c r="H27" s="100">
        <v>35.86</v>
      </c>
      <c r="I27" s="100">
        <v>8.58</v>
      </c>
      <c r="J27" s="100">
        <v>0.23</v>
      </c>
      <c r="K27" s="100">
        <v>101.42</v>
      </c>
      <c r="L27" s="100">
        <v>18.39</v>
      </c>
      <c r="M27" s="100">
        <v>80.709999999999994</v>
      </c>
      <c r="N27" s="100">
        <v>0</v>
      </c>
      <c r="O27" s="100">
        <v>0</v>
      </c>
      <c r="P27" s="100">
        <v>0.72</v>
      </c>
      <c r="Q27" s="100">
        <v>5.01</v>
      </c>
    </row>
    <row r="28" spans="1:17" customFormat="1">
      <c r="A28" s="70" t="s">
        <v>1314</v>
      </c>
      <c r="B28" s="100">
        <v>23.4</v>
      </c>
      <c r="C28" s="100">
        <v>28.72</v>
      </c>
      <c r="D28" s="100">
        <v>35.119999999999997</v>
      </c>
      <c r="E28" s="100">
        <v>8.81</v>
      </c>
      <c r="F28" s="100">
        <v>2.15</v>
      </c>
      <c r="G28" s="100">
        <v>82.93</v>
      </c>
      <c r="H28" s="100">
        <v>35.39</v>
      </c>
      <c r="I28" s="100">
        <v>8.49</v>
      </c>
      <c r="J28" s="100">
        <v>0.16</v>
      </c>
      <c r="K28" s="100">
        <v>23.12</v>
      </c>
      <c r="L28" s="100">
        <v>18.190000000000001</v>
      </c>
      <c r="M28" s="100">
        <v>79.36</v>
      </c>
      <c r="N28" s="100">
        <v>0</v>
      </c>
      <c r="O28" s="100">
        <v>0</v>
      </c>
      <c r="P28" s="100">
        <v>0.71</v>
      </c>
      <c r="Q28" s="100">
        <v>5.04</v>
      </c>
    </row>
    <row r="29" spans="1:17" customFormat="1">
      <c r="A29" s="70" t="s">
        <v>1315</v>
      </c>
      <c r="B29" s="100">
        <v>24.06</v>
      </c>
      <c r="C29" s="100">
        <v>29.57</v>
      </c>
      <c r="D29" s="100">
        <v>36.1</v>
      </c>
      <c r="E29" s="100">
        <v>8.43</v>
      </c>
      <c r="F29" s="100">
        <v>2.13</v>
      </c>
      <c r="G29" s="100">
        <v>78.89</v>
      </c>
      <c r="H29" s="100">
        <v>33.909999999999997</v>
      </c>
      <c r="I29" s="100">
        <v>8.41</v>
      </c>
      <c r="J29" s="100">
        <v>0.3</v>
      </c>
      <c r="K29" s="100">
        <v>56.63</v>
      </c>
      <c r="L29" s="100">
        <v>18.28</v>
      </c>
      <c r="M29" s="100">
        <v>78.069999999999993</v>
      </c>
      <c r="N29" s="100">
        <v>0</v>
      </c>
      <c r="O29" s="100">
        <v>0</v>
      </c>
      <c r="P29" s="100">
        <v>0.71</v>
      </c>
      <c r="Q29" s="100">
        <v>4.99</v>
      </c>
    </row>
    <row r="30" spans="1:17" customFormat="1">
      <c r="A30" s="70" t="s">
        <v>1316</v>
      </c>
      <c r="B30" s="100">
        <v>24.56</v>
      </c>
      <c r="C30" s="100">
        <v>27.19</v>
      </c>
      <c r="D30" s="100">
        <v>35.26</v>
      </c>
      <c r="E30" s="100">
        <v>8.5</v>
      </c>
      <c r="F30" s="100">
        <v>2.5099999999999998</v>
      </c>
      <c r="G30" s="100">
        <v>78.89</v>
      </c>
      <c r="H30" s="100">
        <v>33.909999999999997</v>
      </c>
      <c r="I30" s="100">
        <v>8.35</v>
      </c>
      <c r="J30" s="100">
        <v>0.47</v>
      </c>
      <c r="K30" s="100">
        <v>50.7</v>
      </c>
      <c r="L30" s="100">
        <v>18.21</v>
      </c>
      <c r="M30" s="100">
        <v>77.97</v>
      </c>
      <c r="N30" s="100">
        <v>0</v>
      </c>
      <c r="O30" s="100">
        <v>0</v>
      </c>
      <c r="P30" s="100">
        <v>0.7</v>
      </c>
      <c r="Q30" s="100">
        <v>5.01</v>
      </c>
    </row>
    <row r="31" spans="1:17" customFormat="1">
      <c r="A31" s="70" t="s">
        <v>1317</v>
      </c>
      <c r="B31" s="100">
        <v>24.9</v>
      </c>
      <c r="C31" s="100">
        <v>23.88</v>
      </c>
      <c r="D31" s="100">
        <v>33.799999999999997</v>
      </c>
      <c r="E31" s="100">
        <v>8.26</v>
      </c>
      <c r="F31" s="100">
        <v>2.58</v>
      </c>
      <c r="G31" s="100">
        <v>78.89</v>
      </c>
      <c r="H31" s="100">
        <v>33.909999999999997</v>
      </c>
      <c r="I31" s="100">
        <v>8.27</v>
      </c>
      <c r="J31" s="100">
        <v>0.4</v>
      </c>
      <c r="K31" s="100">
        <v>52.26</v>
      </c>
      <c r="L31" s="100">
        <v>18.18</v>
      </c>
      <c r="M31" s="100">
        <v>77.069999999999993</v>
      </c>
      <c r="N31" s="100">
        <v>0</v>
      </c>
      <c r="O31" s="100">
        <v>0</v>
      </c>
      <c r="P31" s="100">
        <v>0.69</v>
      </c>
      <c r="Q31" s="100">
        <v>5.01</v>
      </c>
    </row>
    <row r="32" spans="1:17" customFormat="1">
      <c r="A32" s="70" t="s">
        <v>1318</v>
      </c>
      <c r="B32" s="100">
        <v>25.22</v>
      </c>
      <c r="C32" s="100">
        <v>22.52</v>
      </c>
      <c r="D32" s="100">
        <v>33.340000000000003</v>
      </c>
      <c r="E32" s="100">
        <v>7.95</v>
      </c>
      <c r="F32" s="100">
        <v>2.4900000000000002</v>
      </c>
      <c r="G32" s="100">
        <v>78.94</v>
      </c>
      <c r="H32" s="100">
        <v>33.89</v>
      </c>
      <c r="I32" s="100">
        <v>8.2200000000000006</v>
      </c>
      <c r="J32" s="100">
        <v>0.06</v>
      </c>
      <c r="K32" s="100">
        <v>315.45</v>
      </c>
      <c r="L32" s="100">
        <v>17.760000000000002</v>
      </c>
      <c r="M32" s="100">
        <v>80.92</v>
      </c>
      <c r="N32" s="100">
        <v>0</v>
      </c>
      <c r="O32" s="100">
        <v>0</v>
      </c>
      <c r="P32" s="100">
        <v>0.67</v>
      </c>
      <c r="Q32" s="100">
        <v>5.0199999999999996</v>
      </c>
    </row>
    <row r="33" spans="1:17" customFormat="1">
      <c r="A33" s="70" t="s">
        <v>1319</v>
      </c>
      <c r="B33" s="100">
        <v>25.27</v>
      </c>
      <c r="C33" s="100">
        <v>23.03</v>
      </c>
      <c r="D33" s="100">
        <v>33.65</v>
      </c>
      <c r="E33" s="100">
        <v>8.5399999999999991</v>
      </c>
      <c r="F33" s="100">
        <v>2.19</v>
      </c>
      <c r="G33" s="100">
        <v>79.16</v>
      </c>
      <c r="H33" s="100">
        <v>33.799999999999997</v>
      </c>
      <c r="I33" s="100">
        <v>8.1999999999999993</v>
      </c>
      <c r="J33" s="100">
        <v>0.14000000000000001</v>
      </c>
      <c r="K33" s="100">
        <v>214.58</v>
      </c>
      <c r="L33" s="100">
        <v>17.48</v>
      </c>
      <c r="M33" s="100">
        <v>83.22</v>
      </c>
      <c r="N33" s="100">
        <v>0</v>
      </c>
      <c r="O33" s="100">
        <v>0</v>
      </c>
      <c r="P33" s="100">
        <v>0.66</v>
      </c>
      <c r="Q33" s="100">
        <v>5.01</v>
      </c>
    </row>
    <row r="34" spans="1:17" customFormat="1">
      <c r="A34" s="70" t="s">
        <v>1320</v>
      </c>
      <c r="B34" s="100">
        <v>25.01</v>
      </c>
      <c r="C34" s="100">
        <v>23.6</v>
      </c>
      <c r="D34" s="100">
        <v>33.74</v>
      </c>
      <c r="E34" s="100">
        <v>8.06</v>
      </c>
      <c r="F34" s="100">
        <v>2.19</v>
      </c>
      <c r="G34" s="100">
        <v>79.16</v>
      </c>
      <c r="H34" s="100">
        <v>33.799999999999997</v>
      </c>
      <c r="I34" s="100">
        <v>8.1999999999999993</v>
      </c>
      <c r="J34" s="100">
        <v>0.12</v>
      </c>
      <c r="K34" s="100">
        <v>152.47</v>
      </c>
      <c r="L34" s="100">
        <v>17.18</v>
      </c>
      <c r="M34" s="100">
        <v>84.83</v>
      </c>
      <c r="N34" s="100">
        <v>0</v>
      </c>
      <c r="O34" s="100">
        <v>0</v>
      </c>
      <c r="P34" s="100">
        <v>0.66</v>
      </c>
      <c r="Q34" s="100">
        <v>5.01</v>
      </c>
    </row>
    <row r="35" spans="1:17" customFormat="1">
      <c r="A35" s="70" t="s">
        <v>1321</v>
      </c>
      <c r="B35" s="100">
        <v>25.4</v>
      </c>
      <c r="C35" s="100">
        <v>23.63</v>
      </c>
      <c r="D35" s="100">
        <v>34.06</v>
      </c>
      <c r="E35" s="100">
        <v>8.56</v>
      </c>
      <c r="F35" s="100">
        <v>2.2799999999999998</v>
      </c>
      <c r="G35" s="100">
        <v>79.16</v>
      </c>
      <c r="H35" s="100">
        <v>33.799999999999997</v>
      </c>
      <c r="I35" s="100">
        <v>8.18</v>
      </c>
      <c r="J35" s="100">
        <v>0.2</v>
      </c>
      <c r="K35" s="100">
        <v>236.75</v>
      </c>
      <c r="L35" s="100">
        <v>17.03</v>
      </c>
      <c r="M35" s="100">
        <v>85.43</v>
      </c>
      <c r="N35" s="100">
        <v>0</v>
      </c>
      <c r="O35" s="100">
        <v>0</v>
      </c>
      <c r="P35" s="100">
        <v>0.68</v>
      </c>
      <c r="Q35" s="100">
        <v>5.04</v>
      </c>
    </row>
    <row r="36" spans="1:17" customFormat="1">
      <c r="A36" s="70" t="s">
        <v>1322</v>
      </c>
      <c r="B36" s="100">
        <v>26.26</v>
      </c>
      <c r="C36" s="100">
        <v>23.73</v>
      </c>
      <c r="D36" s="100">
        <v>34.799999999999997</v>
      </c>
      <c r="E36" s="100">
        <v>8.49</v>
      </c>
      <c r="F36" s="100">
        <v>2.2999999999999998</v>
      </c>
      <c r="G36" s="100">
        <v>78.16</v>
      </c>
      <c r="H36" s="100">
        <v>33.21</v>
      </c>
      <c r="I36" s="100">
        <v>8.17</v>
      </c>
      <c r="J36" s="100">
        <v>0.13</v>
      </c>
      <c r="K36" s="100">
        <v>85.73</v>
      </c>
      <c r="L36" s="100">
        <v>17.239999999999998</v>
      </c>
      <c r="M36" s="100">
        <v>82.82</v>
      </c>
      <c r="N36" s="100">
        <v>1.2</v>
      </c>
      <c r="O36" s="100">
        <v>0</v>
      </c>
      <c r="P36" s="100">
        <v>0.69</v>
      </c>
      <c r="Q36" s="100">
        <v>5.05</v>
      </c>
    </row>
    <row r="37" spans="1:17" customFormat="1">
      <c r="A37" s="70" t="s">
        <v>1323</v>
      </c>
      <c r="B37" s="100">
        <v>27.67</v>
      </c>
      <c r="C37" s="100">
        <v>24.06</v>
      </c>
      <c r="D37" s="100">
        <v>36.11</v>
      </c>
      <c r="E37" s="100">
        <v>8.49</v>
      </c>
      <c r="F37" s="100">
        <v>2.2000000000000002</v>
      </c>
      <c r="G37" s="100">
        <v>73.86</v>
      </c>
      <c r="H37" s="100">
        <v>31.36</v>
      </c>
      <c r="I37" s="100">
        <v>8.18</v>
      </c>
      <c r="J37" s="100">
        <v>0.27</v>
      </c>
      <c r="K37" s="100">
        <v>65.55</v>
      </c>
      <c r="L37" s="100">
        <v>17.62</v>
      </c>
      <c r="M37" s="100">
        <v>78.95</v>
      </c>
      <c r="N37" s="100">
        <v>9.5</v>
      </c>
      <c r="O37" s="100">
        <v>0</v>
      </c>
      <c r="P37" s="100">
        <v>0.7</v>
      </c>
      <c r="Q37" s="100">
        <v>5.05</v>
      </c>
    </row>
    <row r="38" spans="1:17" customFormat="1">
      <c r="A38" s="70" t="s">
        <v>1324</v>
      </c>
      <c r="B38" s="100">
        <v>28.76</v>
      </c>
      <c r="C38" s="100">
        <v>24.12</v>
      </c>
      <c r="D38" s="100">
        <v>37.020000000000003</v>
      </c>
      <c r="E38" s="100">
        <v>8.39</v>
      </c>
      <c r="F38" s="100">
        <v>2.2000000000000002</v>
      </c>
      <c r="G38" s="100">
        <v>73.86</v>
      </c>
      <c r="H38" s="100">
        <v>31.36</v>
      </c>
      <c r="I38" s="100">
        <v>8.2200000000000006</v>
      </c>
      <c r="J38" s="100">
        <v>0.79</v>
      </c>
      <c r="K38" s="100">
        <v>61.34</v>
      </c>
      <c r="L38" s="100">
        <v>18.38</v>
      </c>
      <c r="M38" s="100">
        <v>71.709999999999994</v>
      </c>
      <c r="N38" s="100">
        <v>21.3</v>
      </c>
      <c r="O38" s="100">
        <v>0</v>
      </c>
      <c r="P38" s="100">
        <v>0.71</v>
      </c>
      <c r="Q38" s="100">
        <v>5.07</v>
      </c>
    </row>
    <row r="39" spans="1:17" customFormat="1">
      <c r="A39" s="70" t="s">
        <v>1325</v>
      </c>
      <c r="B39" s="100">
        <v>29.19</v>
      </c>
      <c r="C39" s="100">
        <v>24.47</v>
      </c>
      <c r="D39" s="100">
        <v>37.549999999999997</v>
      </c>
      <c r="E39" s="100">
        <v>8.2799999999999994</v>
      </c>
      <c r="F39" s="100">
        <v>2.25</v>
      </c>
      <c r="G39" s="100">
        <v>73.86</v>
      </c>
      <c r="H39" s="100">
        <v>31.36</v>
      </c>
      <c r="I39" s="100">
        <v>8.31</v>
      </c>
      <c r="J39" s="100">
        <v>0.85</v>
      </c>
      <c r="K39" s="100">
        <v>51.88</v>
      </c>
      <c r="L39" s="100">
        <v>18.829999999999998</v>
      </c>
      <c r="M39" s="100">
        <v>69.12</v>
      </c>
      <c r="N39" s="100">
        <v>35.299999999999997</v>
      </c>
      <c r="O39" s="100">
        <v>0</v>
      </c>
      <c r="P39" s="100">
        <v>0.71</v>
      </c>
      <c r="Q39" s="100">
        <v>5.09</v>
      </c>
    </row>
    <row r="40" spans="1:17" customFormat="1">
      <c r="A40" s="70" t="s">
        <v>1326</v>
      </c>
      <c r="B40" s="100">
        <v>29.63</v>
      </c>
      <c r="C40" s="100">
        <v>23.48</v>
      </c>
      <c r="D40" s="100">
        <v>37.369999999999997</v>
      </c>
      <c r="E40" s="100">
        <v>8.5</v>
      </c>
      <c r="F40" s="100">
        <v>2.5499999999999998</v>
      </c>
      <c r="G40" s="100">
        <v>73.87</v>
      </c>
      <c r="H40" s="100">
        <v>31.11</v>
      </c>
      <c r="I40" s="100">
        <v>8.41</v>
      </c>
      <c r="J40" s="100">
        <v>1.21</v>
      </c>
      <c r="K40" s="100">
        <v>53.78</v>
      </c>
      <c r="L40" s="100">
        <v>19.170000000000002</v>
      </c>
      <c r="M40" s="100">
        <v>67.790000000000006</v>
      </c>
      <c r="N40" s="100">
        <v>53.4</v>
      </c>
      <c r="O40" s="100">
        <v>0</v>
      </c>
      <c r="P40" s="100">
        <v>0.72</v>
      </c>
      <c r="Q40" s="100">
        <v>5.0999999999999996</v>
      </c>
    </row>
    <row r="41" spans="1:17" customFormat="1">
      <c r="A41" s="70" t="s">
        <v>1327</v>
      </c>
      <c r="B41" s="100">
        <v>29.73</v>
      </c>
      <c r="C41" s="100">
        <v>22.98</v>
      </c>
      <c r="D41" s="100">
        <v>37.200000000000003</v>
      </c>
      <c r="E41" s="100">
        <v>8.58</v>
      </c>
      <c r="F41" s="100">
        <v>2.39</v>
      </c>
      <c r="G41" s="100">
        <v>73.87</v>
      </c>
      <c r="H41" s="100">
        <v>30.34</v>
      </c>
      <c r="I41" s="100">
        <v>8.49</v>
      </c>
      <c r="J41" s="100">
        <v>1.39</v>
      </c>
      <c r="K41" s="100">
        <v>52.01</v>
      </c>
      <c r="L41" s="100">
        <v>19.57</v>
      </c>
      <c r="M41" s="100">
        <v>66.16</v>
      </c>
      <c r="N41" s="100">
        <v>93.6</v>
      </c>
      <c r="O41" s="100">
        <v>0</v>
      </c>
      <c r="P41" s="100">
        <v>0.71</v>
      </c>
      <c r="Q41" s="100">
        <v>5.0999999999999996</v>
      </c>
    </row>
    <row r="42" spans="1:17" customFormat="1">
      <c r="A42" s="70" t="s">
        <v>1328</v>
      </c>
      <c r="B42" s="100">
        <v>29.5</v>
      </c>
      <c r="C42" s="100">
        <v>24.37</v>
      </c>
      <c r="D42" s="100">
        <v>37.74</v>
      </c>
      <c r="E42" s="100">
        <v>8.84</v>
      </c>
      <c r="F42" s="100">
        <v>2.35</v>
      </c>
      <c r="G42" s="100">
        <v>73.87</v>
      </c>
      <c r="H42" s="100">
        <v>30.34</v>
      </c>
      <c r="I42" s="100">
        <v>8.56</v>
      </c>
      <c r="J42" s="100">
        <v>1.28</v>
      </c>
      <c r="K42" s="100">
        <v>54.12</v>
      </c>
      <c r="L42" s="100">
        <v>20.309999999999999</v>
      </c>
      <c r="M42" s="100">
        <v>61.33</v>
      </c>
      <c r="N42" s="100">
        <v>140.9</v>
      </c>
      <c r="O42" s="100">
        <v>0</v>
      </c>
      <c r="P42" s="100">
        <v>0.72</v>
      </c>
      <c r="Q42" s="100">
        <v>5.0999999999999996</v>
      </c>
    </row>
    <row r="43" spans="1:17" customFormat="1">
      <c r="A43" s="70" t="s">
        <v>1329</v>
      </c>
      <c r="B43" s="100">
        <v>29.14</v>
      </c>
      <c r="C43" s="100">
        <v>23.34</v>
      </c>
      <c r="D43" s="100">
        <v>36.909999999999997</v>
      </c>
      <c r="E43" s="100">
        <v>8.4</v>
      </c>
      <c r="F43" s="100">
        <v>2.34</v>
      </c>
      <c r="G43" s="100">
        <v>73.87</v>
      </c>
      <c r="H43" s="100">
        <v>30.34</v>
      </c>
      <c r="I43" s="100">
        <v>8.6199999999999992</v>
      </c>
      <c r="J43" s="100">
        <v>0.99</v>
      </c>
      <c r="K43" s="100">
        <v>60.89</v>
      </c>
      <c r="L43" s="100">
        <v>20.9</v>
      </c>
      <c r="M43" s="100">
        <v>56.77</v>
      </c>
      <c r="N43" s="100">
        <v>124.6</v>
      </c>
      <c r="O43" s="100">
        <v>0</v>
      </c>
      <c r="P43" s="100">
        <v>0.72</v>
      </c>
      <c r="Q43" s="100">
        <v>5.1100000000000003</v>
      </c>
    </row>
    <row r="44" spans="1:17" customFormat="1">
      <c r="A44" s="70" t="s">
        <v>1330</v>
      </c>
      <c r="B44" s="100">
        <v>28.42</v>
      </c>
      <c r="C44" s="100">
        <v>24.47</v>
      </c>
      <c r="D44" s="100">
        <v>36.92</v>
      </c>
      <c r="E44" s="100">
        <v>8.74</v>
      </c>
      <c r="F44" s="100">
        <v>2.1800000000000002</v>
      </c>
      <c r="G44" s="100">
        <v>74.099999999999994</v>
      </c>
      <c r="H44" s="100">
        <v>30.28</v>
      </c>
      <c r="I44" s="100">
        <v>8.67</v>
      </c>
      <c r="J44" s="100">
        <v>1.07</v>
      </c>
      <c r="K44" s="100">
        <v>57.62</v>
      </c>
      <c r="L44" s="100">
        <v>21.82</v>
      </c>
      <c r="M44" s="100">
        <v>52.46</v>
      </c>
      <c r="N44" s="100">
        <v>189.5</v>
      </c>
      <c r="O44" s="100">
        <v>0</v>
      </c>
      <c r="P44" s="100">
        <v>0.72</v>
      </c>
      <c r="Q44" s="100">
        <v>5.12</v>
      </c>
    </row>
    <row r="45" spans="1:17" customFormat="1">
      <c r="A45" s="70" t="s">
        <v>1331</v>
      </c>
      <c r="B45" s="100">
        <v>27.96</v>
      </c>
      <c r="C45" s="100">
        <v>22.67</v>
      </c>
      <c r="D45" s="100">
        <v>35.61</v>
      </c>
      <c r="E45" s="100">
        <v>9.2799999999999994</v>
      </c>
      <c r="F45" s="100">
        <v>2.4500000000000002</v>
      </c>
      <c r="G45" s="100">
        <v>75.09</v>
      </c>
      <c r="H45" s="100">
        <v>30.09</v>
      </c>
      <c r="I45" s="100">
        <v>8.7100000000000009</v>
      </c>
      <c r="J45" s="100">
        <v>0.85</v>
      </c>
      <c r="K45" s="100">
        <v>65.81</v>
      </c>
      <c r="L45" s="100">
        <v>22.63</v>
      </c>
      <c r="M45" s="100">
        <v>49.87</v>
      </c>
      <c r="N45" s="100">
        <v>189.1</v>
      </c>
      <c r="O45" s="100">
        <v>0</v>
      </c>
      <c r="P45" s="100">
        <v>0.71</v>
      </c>
      <c r="Q45" s="100">
        <v>5.15</v>
      </c>
    </row>
    <row r="46" spans="1:17" customFormat="1">
      <c r="A46" s="70" t="s">
        <v>1332</v>
      </c>
      <c r="B46" s="100">
        <v>27.1</v>
      </c>
      <c r="C46" s="100">
        <v>22</v>
      </c>
      <c r="D46" s="100">
        <v>34.58</v>
      </c>
      <c r="E46" s="100">
        <v>9.08</v>
      </c>
      <c r="F46" s="100">
        <v>2.5</v>
      </c>
      <c r="G46" s="100">
        <v>75.09</v>
      </c>
      <c r="H46" s="100">
        <v>30.09</v>
      </c>
      <c r="I46" s="100">
        <v>8.7899999999999991</v>
      </c>
      <c r="J46" s="100">
        <v>1.24</v>
      </c>
      <c r="K46" s="100">
        <v>58.34</v>
      </c>
      <c r="L46" s="100">
        <v>23.14</v>
      </c>
      <c r="M46" s="100">
        <v>47.96</v>
      </c>
      <c r="N46" s="100">
        <v>131.1</v>
      </c>
      <c r="O46" s="100">
        <v>0</v>
      </c>
      <c r="P46" s="100">
        <v>0.7</v>
      </c>
      <c r="Q46" s="100">
        <v>5.15</v>
      </c>
    </row>
    <row r="47" spans="1:17" customFormat="1">
      <c r="A47" s="70" t="s">
        <v>1333</v>
      </c>
      <c r="B47" s="100">
        <v>26.17</v>
      </c>
      <c r="C47" s="100">
        <v>22.12</v>
      </c>
      <c r="D47" s="100">
        <v>33.89</v>
      </c>
      <c r="E47" s="100">
        <v>8.9</v>
      </c>
      <c r="F47" s="100">
        <v>2.42</v>
      </c>
      <c r="G47" s="100">
        <v>75.09</v>
      </c>
      <c r="H47" s="100">
        <v>30.09</v>
      </c>
      <c r="I47" s="100">
        <v>8.85</v>
      </c>
      <c r="J47" s="100">
        <v>1.08</v>
      </c>
      <c r="K47" s="100">
        <v>61.87</v>
      </c>
      <c r="L47" s="100">
        <v>23.68</v>
      </c>
      <c r="M47" s="100">
        <v>47.66</v>
      </c>
      <c r="N47" s="100">
        <v>125.4</v>
      </c>
      <c r="O47" s="100">
        <v>0</v>
      </c>
      <c r="P47" s="100">
        <v>0.7</v>
      </c>
      <c r="Q47" s="100">
        <v>5.13</v>
      </c>
    </row>
    <row r="48" spans="1:17" customFormat="1">
      <c r="A48" s="70" t="s">
        <v>1334</v>
      </c>
      <c r="B48" s="100">
        <v>25.32</v>
      </c>
      <c r="C48" s="100">
        <v>22.79</v>
      </c>
      <c r="D48" s="100">
        <v>33.56</v>
      </c>
      <c r="E48" s="100">
        <v>9.69</v>
      </c>
      <c r="F48" s="100">
        <v>2.39</v>
      </c>
      <c r="G48" s="100">
        <v>73.87</v>
      </c>
      <c r="H48" s="100">
        <v>29.94</v>
      </c>
      <c r="I48" s="100">
        <v>8.85</v>
      </c>
      <c r="J48" s="100">
        <v>0.92</v>
      </c>
      <c r="K48" s="100">
        <v>64.099999999999994</v>
      </c>
      <c r="L48" s="100">
        <v>24.48</v>
      </c>
      <c r="M48" s="100">
        <v>46.57</v>
      </c>
      <c r="N48" s="100">
        <v>222.7</v>
      </c>
      <c r="O48" s="100">
        <v>0</v>
      </c>
      <c r="P48" s="100">
        <v>0.7</v>
      </c>
      <c r="Q48" s="100">
        <v>5.13</v>
      </c>
    </row>
    <row r="49" spans="1:17" customFormat="1">
      <c r="A49" s="70" t="s">
        <v>1335</v>
      </c>
      <c r="B49" s="100">
        <v>24.89</v>
      </c>
      <c r="C49" s="100">
        <v>24.21</v>
      </c>
      <c r="D49" s="100">
        <v>33.96</v>
      </c>
      <c r="E49" s="100">
        <v>9.36</v>
      </c>
      <c r="F49" s="100">
        <v>2.5099999999999998</v>
      </c>
      <c r="G49" s="100">
        <v>68.64</v>
      </c>
      <c r="H49" s="100">
        <v>29.47</v>
      </c>
      <c r="I49" s="100">
        <v>8.85</v>
      </c>
      <c r="J49" s="100">
        <v>1.03</v>
      </c>
      <c r="K49" s="100">
        <v>57.59</v>
      </c>
      <c r="L49" s="100">
        <v>24.81</v>
      </c>
      <c r="M49" s="100">
        <v>46.38</v>
      </c>
      <c r="N49" s="100">
        <v>314.89999999999998</v>
      </c>
      <c r="O49" s="100">
        <v>0</v>
      </c>
      <c r="P49" s="100">
        <v>0.71</v>
      </c>
      <c r="Q49" s="100">
        <v>5.12</v>
      </c>
    </row>
    <row r="50" spans="1:17" customFormat="1">
      <c r="A50" s="70" t="s">
        <v>1336</v>
      </c>
      <c r="B50" s="100">
        <v>24.36</v>
      </c>
      <c r="C50" s="100">
        <v>25.34</v>
      </c>
      <c r="D50" s="100">
        <v>34.119999999999997</v>
      </c>
      <c r="E50" s="100">
        <v>10.26</v>
      </c>
      <c r="F50" s="100">
        <v>2.57</v>
      </c>
      <c r="G50" s="100">
        <v>68.64</v>
      </c>
      <c r="H50" s="100">
        <v>29.47</v>
      </c>
      <c r="I50" s="100">
        <v>8.8800000000000008</v>
      </c>
      <c r="J50" s="100">
        <v>0.56999999999999995</v>
      </c>
      <c r="K50" s="100">
        <v>73.319999999999993</v>
      </c>
      <c r="L50" s="100">
        <v>25.53</v>
      </c>
      <c r="M50" s="100">
        <v>45.11</v>
      </c>
      <c r="N50" s="100">
        <v>342.3</v>
      </c>
      <c r="O50" s="100">
        <v>0</v>
      </c>
      <c r="P50" s="100">
        <v>0.71</v>
      </c>
      <c r="Q50" s="100">
        <v>5.12</v>
      </c>
    </row>
    <row r="51" spans="1:17" customFormat="1">
      <c r="A51" s="70" t="s">
        <v>1337</v>
      </c>
      <c r="B51" s="100">
        <v>23.3</v>
      </c>
      <c r="C51" s="100">
        <v>25.99</v>
      </c>
      <c r="D51" s="100">
        <v>33.61</v>
      </c>
      <c r="E51" s="100">
        <v>10.119999999999999</v>
      </c>
      <c r="F51" s="100">
        <v>2.57</v>
      </c>
      <c r="G51" s="100">
        <v>68.64</v>
      </c>
      <c r="H51" s="100">
        <v>29.47</v>
      </c>
      <c r="I51" s="100">
        <v>8.83</v>
      </c>
      <c r="J51" s="100">
        <v>1.19</v>
      </c>
      <c r="K51" s="100">
        <v>61.29</v>
      </c>
      <c r="L51" s="100">
        <v>25.83</v>
      </c>
      <c r="M51" s="100">
        <v>44.24</v>
      </c>
      <c r="N51" s="100">
        <v>365.4</v>
      </c>
      <c r="O51" s="100">
        <v>0</v>
      </c>
      <c r="P51" s="100">
        <v>0.69</v>
      </c>
      <c r="Q51" s="100">
        <v>5.13</v>
      </c>
    </row>
    <row r="52" spans="1:17" customFormat="1">
      <c r="A52" s="70" t="s">
        <v>1338</v>
      </c>
      <c r="B52" s="100">
        <v>22.12</v>
      </c>
      <c r="C52" s="100">
        <v>26.53</v>
      </c>
      <c r="D52" s="100">
        <v>32.96</v>
      </c>
      <c r="E52" s="100">
        <v>10.71</v>
      </c>
      <c r="F52" s="100">
        <v>2.73</v>
      </c>
      <c r="G52" s="100">
        <v>67.61</v>
      </c>
      <c r="H52" s="100">
        <v>28.24</v>
      </c>
      <c r="I52" s="100">
        <v>8.6999999999999993</v>
      </c>
      <c r="J52" s="100">
        <v>1.17</v>
      </c>
      <c r="K52" s="100">
        <v>59.1</v>
      </c>
      <c r="L52" s="100">
        <v>25.95</v>
      </c>
      <c r="M52" s="100">
        <v>43.89</v>
      </c>
      <c r="N52" s="100">
        <v>380.5</v>
      </c>
      <c r="O52" s="100">
        <v>0</v>
      </c>
      <c r="P52" s="100">
        <v>0.69</v>
      </c>
      <c r="Q52" s="100">
        <v>5.12</v>
      </c>
    </row>
    <row r="53" spans="1:17" customFormat="1">
      <c r="A53" s="70" t="s">
        <v>1339</v>
      </c>
      <c r="B53" s="100">
        <v>21</v>
      </c>
      <c r="C53" s="100">
        <v>26.99</v>
      </c>
      <c r="D53" s="100">
        <v>32.299999999999997</v>
      </c>
      <c r="E53" s="100">
        <v>10.41</v>
      </c>
      <c r="F53" s="100">
        <v>2.66</v>
      </c>
      <c r="G53" s="100">
        <v>63.2</v>
      </c>
      <c r="H53" s="100">
        <v>24.42</v>
      </c>
      <c r="I53" s="100">
        <v>8.56</v>
      </c>
      <c r="J53" s="100">
        <v>0.89</v>
      </c>
      <c r="K53" s="100">
        <v>63.88</v>
      </c>
      <c r="L53" s="100">
        <v>26.49</v>
      </c>
      <c r="M53" s="100">
        <v>42.8</v>
      </c>
      <c r="N53" s="100">
        <v>361.9</v>
      </c>
      <c r="O53" s="100">
        <v>0</v>
      </c>
      <c r="P53" s="100">
        <v>0.67</v>
      </c>
      <c r="Q53" s="100">
        <v>5.1100000000000003</v>
      </c>
    </row>
    <row r="54" spans="1:17" customFormat="1">
      <c r="A54" s="70" t="s">
        <v>1340</v>
      </c>
      <c r="B54" s="100">
        <v>19.77</v>
      </c>
      <c r="C54" s="100">
        <v>27.56</v>
      </c>
      <c r="D54" s="100">
        <v>31.6</v>
      </c>
      <c r="E54" s="100">
        <v>11.53</v>
      </c>
      <c r="F54" s="100">
        <v>2.89</v>
      </c>
      <c r="G54" s="100">
        <v>63.2</v>
      </c>
      <c r="H54" s="100">
        <v>24.42</v>
      </c>
      <c r="I54" s="100">
        <v>8.39</v>
      </c>
      <c r="J54" s="100">
        <v>0.46</v>
      </c>
      <c r="K54" s="100">
        <v>83.97</v>
      </c>
      <c r="L54" s="100">
        <v>27.23</v>
      </c>
      <c r="M54" s="100">
        <v>42.03</v>
      </c>
      <c r="N54" s="100">
        <v>395.2</v>
      </c>
      <c r="O54" s="100">
        <v>0</v>
      </c>
      <c r="P54" s="100">
        <v>0.66</v>
      </c>
      <c r="Q54" s="100">
        <v>5.0999999999999996</v>
      </c>
    </row>
    <row r="55" spans="1:17" customFormat="1">
      <c r="A55" s="70" t="s">
        <v>1341</v>
      </c>
      <c r="B55" s="100">
        <v>18.399999999999999</v>
      </c>
      <c r="C55" s="100">
        <v>27.66</v>
      </c>
      <c r="D55" s="100">
        <v>30.56</v>
      </c>
      <c r="E55" s="100">
        <v>10.5</v>
      </c>
      <c r="F55" s="100">
        <v>2.81</v>
      </c>
      <c r="G55" s="100">
        <v>63.2</v>
      </c>
      <c r="H55" s="100">
        <v>24.42</v>
      </c>
      <c r="I55" s="100">
        <v>8.2100000000000009</v>
      </c>
      <c r="J55" s="100">
        <v>0.28999999999999998</v>
      </c>
      <c r="K55" s="100">
        <v>115.39</v>
      </c>
      <c r="L55" s="100">
        <v>28.18</v>
      </c>
      <c r="M55" s="100">
        <v>40.28</v>
      </c>
      <c r="N55" s="100">
        <v>403.3</v>
      </c>
      <c r="O55" s="100">
        <v>0</v>
      </c>
      <c r="P55" s="100">
        <v>0.66</v>
      </c>
      <c r="Q55" s="100">
        <v>5.07</v>
      </c>
    </row>
    <row r="56" spans="1:17" customFormat="1">
      <c r="A56" s="70" t="s">
        <v>1342</v>
      </c>
      <c r="B56" s="100">
        <v>16.84</v>
      </c>
      <c r="C56" s="100">
        <v>27.39</v>
      </c>
      <c r="D56" s="100">
        <v>29.17</v>
      </c>
      <c r="E56" s="100">
        <v>10.41</v>
      </c>
      <c r="F56" s="100">
        <v>3.29</v>
      </c>
      <c r="G56" s="100">
        <v>61.19</v>
      </c>
      <c r="H56" s="100">
        <v>24.63</v>
      </c>
      <c r="I56" s="100">
        <v>8.06</v>
      </c>
      <c r="J56" s="100">
        <v>0.32</v>
      </c>
      <c r="K56" s="100">
        <v>150.72999999999999</v>
      </c>
      <c r="L56" s="100">
        <v>28.52</v>
      </c>
      <c r="M56" s="100">
        <v>39.229999999999997</v>
      </c>
      <c r="N56" s="100">
        <v>406.4</v>
      </c>
      <c r="O56" s="100">
        <v>0</v>
      </c>
      <c r="P56" s="100">
        <v>0.63</v>
      </c>
      <c r="Q56" s="100">
        <v>5.03</v>
      </c>
    </row>
    <row r="57" spans="1:17" customFormat="1">
      <c r="A57" s="70" t="s">
        <v>1343</v>
      </c>
      <c r="B57" s="100">
        <v>15.43</v>
      </c>
      <c r="C57" s="100">
        <v>27.01</v>
      </c>
      <c r="D57" s="100">
        <v>27.83</v>
      </c>
      <c r="E57" s="100">
        <v>10.79</v>
      </c>
      <c r="F57" s="100">
        <v>3.76</v>
      </c>
      <c r="G57" s="100">
        <v>52.53</v>
      </c>
      <c r="H57" s="100">
        <v>25.71</v>
      </c>
      <c r="I57" s="100">
        <v>7.87</v>
      </c>
      <c r="J57" s="100">
        <v>0.55000000000000004</v>
      </c>
      <c r="K57" s="100">
        <v>83.6</v>
      </c>
      <c r="L57" s="100">
        <v>28.69</v>
      </c>
      <c r="M57" s="100">
        <v>39.53</v>
      </c>
      <c r="N57" s="100">
        <v>412.9</v>
      </c>
      <c r="O57" s="100">
        <v>0</v>
      </c>
      <c r="P57" s="100">
        <v>0.62</v>
      </c>
      <c r="Q57" s="100">
        <v>5.01</v>
      </c>
    </row>
    <row r="58" spans="1:17" customFormat="1">
      <c r="A58" s="70" t="s">
        <v>1344</v>
      </c>
      <c r="B58" s="100">
        <v>14.05</v>
      </c>
      <c r="C58" s="100">
        <v>27.16</v>
      </c>
      <c r="D58" s="100">
        <v>26.81</v>
      </c>
      <c r="E58" s="100">
        <v>10.46</v>
      </c>
      <c r="F58" s="100">
        <v>3.01</v>
      </c>
      <c r="G58" s="100">
        <v>52.53</v>
      </c>
      <c r="H58" s="100">
        <v>25.71</v>
      </c>
      <c r="I58" s="100">
        <v>7.64</v>
      </c>
      <c r="J58" s="100">
        <v>0.64</v>
      </c>
      <c r="K58" s="100">
        <v>66.36</v>
      </c>
      <c r="L58" s="100">
        <v>28.41</v>
      </c>
      <c r="M58" s="100">
        <v>39.9</v>
      </c>
      <c r="N58" s="100">
        <v>416.6</v>
      </c>
      <c r="O58" s="100">
        <v>0</v>
      </c>
      <c r="P58" s="100">
        <v>0.61</v>
      </c>
      <c r="Q58" s="100">
        <v>4.9800000000000004</v>
      </c>
    </row>
    <row r="59" spans="1:17" customFormat="1">
      <c r="A59" s="70" t="s">
        <v>1345</v>
      </c>
      <c r="B59" s="100">
        <v>12.75</v>
      </c>
      <c r="C59" s="100">
        <v>27.04</v>
      </c>
      <c r="D59" s="100">
        <v>25.71</v>
      </c>
      <c r="E59" s="100">
        <v>10.19</v>
      </c>
      <c r="F59" s="100">
        <v>3.22</v>
      </c>
      <c r="G59" s="100">
        <v>52.53</v>
      </c>
      <c r="H59" s="100">
        <v>25.71</v>
      </c>
      <c r="I59" s="100">
        <v>7.53</v>
      </c>
      <c r="J59" s="100">
        <v>0.62</v>
      </c>
      <c r="K59" s="100">
        <v>49.86</v>
      </c>
      <c r="L59" s="100">
        <v>28.54</v>
      </c>
      <c r="M59" s="100">
        <v>40.119999999999997</v>
      </c>
      <c r="N59" s="100">
        <v>418</v>
      </c>
      <c r="O59" s="100">
        <v>0</v>
      </c>
      <c r="P59" s="100">
        <v>0.6</v>
      </c>
      <c r="Q59" s="100">
        <v>4.97</v>
      </c>
    </row>
    <row r="60" spans="1:17" customFormat="1">
      <c r="A60" s="70" t="s">
        <v>1346</v>
      </c>
      <c r="B60" s="100">
        <v>11.54</v>
      </c>
      <c r="C60" s="100">
        <v>26.83</v>
      </c>
      <c r="D60" s="100">
        <v>24.62</v>
      </c>
      <c r="E60" s="100">
        <v>10.81</v>
      </c>
      <c r="F60" s="100">
        <v>4.5</v>
      </c>
      <c r="G60" s="100">
        <v>52.34</v>
      </c>
      <c r="H60" s="100">
        <v>24.86</v>
      </c>
      <c r="I60" s="100">
        <v>7.4</v>
      </c>
      <c r="J60" s="100">
        <v>0.36</v>
      </c>
      <c r="K60" s="100">
        <v>36.04</v>
      </c>
      <c r="L60" s="100">
        <v>28.75</v>
      </c>
      <c r="M60" s="100">
        <v>39.58</v>
      </c>
      <c r="N60" s="100">
        <v>408.4</v>
      </c>
      <c r="O60" s="100">
        <v>0</v>
      </c>
      <c r="P60" s="100">
        <v>0.59</v>
      </c>
      <c r="Q60" s="100">
        <v>4.9400000000000004</v>
      </c>
    </row>
    <row r="61" spans="1:17" customFormat="1">
      <c r="A61" s="70" t="s">
        <v>1347</v>
      </c>
      <c r="B61" s="100">
        <v>10.26</v>
      </c>
      <c r="C61" s="100">
        <v>26.59</v>
      </c>
      <c r="D61" s="100">
        <v>23.47</v>
      </c>
      <c r="E61" s="100">
        <v>10.44</v>
      </c>
      <c r="F61" s="100">
        <v>4.33</v>
      </c>
      <c r="G61" s="100">
        <v>51.55</v>
      </c>
      <c r="H61" s="100">
        <v>22.19</v>
      </c>
      <c r="I61" s="100">
        <v>7.19</v>
      </c>
      <c r="J61" s="100">
        <v>0.15</v>
      </c>
      <c r="K61" s="100">
        <v>6.86</v>
      </c>
      <c r="L61" s="100">
        <v>28.65</v>
      </c>
      <c r="M61" s="100">
        <v>39.619999999999997</v>
      </c>
      <c r="N61" s="100">
        <v>380.3</v>
      </c>
      <c r="O61" s="100">
        <v>0</v>
      </c>
      <c r="P61" s="100">
        <v>0.56999999999999995</v>
      </c>
      <c r="Q61" s="100">
        <v>4.9000000000000004</v>
      </c>
    </row>
    <row r="62" spans="1:17" customFormat="1">
      <c r="A62" s="70" t="s">
        <v>1348</v>
      </c>
      <c r="B62" s="100">
        <v>9.14</v>
      </c>
      <c r="C62" s="100">
        <v>26.39</v>
      </c>
      <c r="D62" s="100">
        <v>22.47</v>
      </c>
      <c r="E62" s="100">
        <v>10.11</v>
      </c>
      <c r="F62" s="100">
        <v>3.92</v>
      </c>
      <c r="G62" s="100">
        <v>51.55</v>
      </c>
      <c r="H62" s="100">
        <v>22.19</v>
      </c>
      <c r="I62" s="100">
        <v>7.05</v>
      </c>
      <c r="J62" s="100">
        <v>0.33</v>
      </c>
      <c r="K62" s="100">
        <v>139.09</v>
      </c>
      <c r="L62" s="100">
        <v>29.37</v>
      </c>
      <c r="M62" s="100">
        <v>38.770000000000003</v>
      </c>
      <c r="N62" s="100">
        <v>365.5</v>
      </c>
      <c r="O62" s="100">
        <v>0</v>
      </c>
      <c r="P62" s="100">
        <v>0.56999999999999995</v>
      </c>
      <c r="Q62" s="100">
        <v>4.8899999999999997</v>
      </c>
    </row>
    <row r="63" spans="1:17" customFormat="1">
      <c r="A63" s="70" t="s">
        <v>1349</v>
      </c>
      <c r="B63" s="100">
        <v>8.25</v>
      </c>
      <c r="C63" s="100">
        <v>25.96</v>
      </c>
      <c r="D63" s="100">
        <v>21.53</v>
      </c>
      <c r="E63" s="100">
        <v>9.65</v>
      </c>
      <c r="F63" s="100">
        <v>3.45</v>
      </c>
      <c r="G63" s="100">
        <v>51.55</v>
      </c>
      <c r="H63" s="100">
        <v>22.19</v>
      </c>
      <c r="I63" s="100">
        <v>6.91</v>
      </c>
      <c r="J63" s="100">
        <v>0.33</v>
      </c>
      <c r="K63" s="100">
        <v>149.87</v>
      </c>
      <c r="L63" s="100">
        <v>29.77</v>
      </c>
      <c r="M63" s="100">
        <v>37.630000000000003</v>
      </c>
      <c r="N63" s="100">
        <v>339.5</v>
      </c>
      <c r="O63" s="100">
        <v>0</v>
      </c>
      <c r="P63" s="100">
        <v>0.56000000000000005</v>
      </c>
      <c r="Q63" s="100">
        <v>4.8600000000000003</v>
      </c>
    </row>
    <row r="64" spans="1:17" customFormat="1">
      <c r="A64" s="70" t="s">
        <v>1350</v>
      </c>
      <c r="B64" s="100">
        <v>7.5</v>
      </c>
      <c r="C64" s="100">
        <v>25.38</v>
      </c>
      <c r="D64" s="100">
        <v>20.63</v>
      </c>
      <c r="E64" s="100">
        <v>9.92</v>
      </c>
      <c r="F64" s="100">
        <v>3.56</v>
      </c>
      <c r="G64" s="100">
        <v>51.03</v>
      </c>
      <c r="H64" s="100">
        <v>22.14</v>
      </c>
      <c r="I64" s="100">
        <v>6.78</v>
      </c>
      <c r="J64" s="100">
        <v>0.25</v>
      </c>
      <c r="K64" s="100">
        <v>204.42</v>
      </c>
      <c r="L64" s="100">
        <v>29.62</v>
      </c>
      <c r="M64" s="100">
        <v>38.07</v>
      </c>
      <c r="N64" s="100">
        <v>323.2</v>
      </c>
      <c r="O64" s="100">
        <v>0</v>
      </c>
      <c r="P64" s="100">
        <v>0.54</v>
      </c>
      <c r="Q64" s="100">
        <v>4.84</v>
      </c>
    </row>
    <row r="65" spans="1:17" customFormat="1">
      <c r="A65" s="70" t="s">
        <v>1351</v>
      </c>
      <c r="B65" s="100">
        <v>7.02</v>
      </c>
      <c r="C65" s="100">
        <v>24.71</v>
      </c>
      <c r="D65" s="100">
        <v>19.89</v>
      </c>
      <c r="E65" s="100">
        <v>9.77</v>
      </c>
      <c r="F65" s="100">
        <v>3.65</v>
      </c>
      <c r="G65" s="100">
        <v>48.81</v>
      </c>
      <c r="H65" s="100">
        <v>22</v>
      </c>
      <c r="I65" s="100">
        <v>6.67</v>
      </c>
      <c r="J65" s="100">
        <v>0.23</v>
      </c>
      <c r="K65" s="100">
        <v>279.27</v>
      </c>
      <c r="L65" s="100">
        <v>29.33</v>
      </c>
      <c r="M65" s="100">
        <v>38.799999999999997</v>
      </c>
      <c r="N65" s="100">
        <v>291</v>
      </c>
      <c r="O65" s="100">
        <v>0</v>
      </c>
      <c r="P65" s="100">
        <v>0.52</v>
      </c>
      <c r="Q65" s="100">
        <v>4.83</v>
      </c>
    </row>
    <row r="66" spans="1:17" customFormat="1">
      <c r="A66" s="70" t="s">
        <v>1352</v>
      </c>
      <c r="B66" s="100">
        <v>6.67</v>
      </c>
      <c r="C66" s="100">
        <v>24.07</v>
      </c>
      <c r="D66" s="100">
        <v>19.28</v>
      </c>
      <c r="E66" s="100">
        <v>10.09</v>
      </c>
      <c r="F66" s="100">
        <v>3.86</v>
      </c>
      <c r="G66" s="100">
        <v>48.81</v>
      </c>
      <c r="H66" s="100">
        <v>22</v>
      </c>
      <c r="I66" s="100">
        <v>6.55</v>
      </c>
      <c r="J66" s="100">
        <v>0.26</v>
      </c>
      <c r="K66" s="100">
        <v>341.48</v>
      </c>
      <c r="L66" s="100">
        <v>28.71</v>
      </c>
      <c r="M66" s="100">
        <v>39.590000000000003</v>
      </c>
      <c r="N66" s="100">
        <v>130.80000000000001</v>
      </c>
      <c r="O66" s="100">
        <v>0</v>
      </c>
      <c r="P66" s="100">
        <v>0.53</v>
      </c>
      <c r="Q66" s="100">
        <v>4.8099999999999996</v>
      </c>
    </row>
    <row r="67" spans="1:17" customFormat="1">
      <c r="A67" s="70" t="s">
        <v>1353</v>
      </c>
      <c r="B67" s="100">
        <v>6.38</v>
      </c>
      <c r="C67" s="100">
        <v>23.64</v>
      </c>
      <c r="D67" s="100">
        <v>18.82</v>
      </c>
      <c r="E67" s="100">
        <v>10.75</v>
      </c>
      <c r="F67" s="100">
        <v>4.3</v>
      </c>
      <c r="G67" s="100">
        <v>48.81</v>
      </c>
      <c r="H67" s="100">
        <v>22</v>
      </c>
      <c r="I67" s="100">
        <v>6.44</v>
      </c>
      <c r="J67" s="100">
        <v>0.09</v>
      </c>
      <c r="K67" s="100">
        <v>112.12</v>
      </c>
      <c r="L67" s="100">
        <v>28.7</v>
      </c>
      <c r="M67" s="100">
        <v>40</v>
      </c>
      <c r="N67" s="100">
        <v>100.1</v>
      </c>
      <c r="O67" s="100">
        <v>0</v>
      </c>
      <c r="P67" s="100">
        <v>0.53</v>
      </c>
      <c r="Q67" s="100">
        <v>4.79</v>
      </c>
    </row>
    <row r="68" spans="1:17" customFormat="1">
      <c r="A68" s="70" t="s">
        <v>1354</v>
      </c>
      <c r="B68" s="100">
        <v>6.18</v>
      </c>
      <c r="C68" s="100">
        <v>23.45</v>
      </c>
      <c r="D68" s="100">
        <v>18.559999999999999</v>
      </c>
      <c r="E68" s="100">
        <v>10.81</v>
      </c>
      <c r="F68" s="100">
        <v>5.77</v>
      </c>
      <c r="G68" s="100">
        <v>48.56</v>
      </c>
      <c r="H68" s="100">
        <v>21.75</v>
      </c>
      <c r="I68" s="100">
        <v>6.36</v>
      </c>
      <c r="J68" s="100">
        <v>0.46</v>
      </c>
      <c r="K68" s="100">
        <v>25.71</v>
      </c>
      <c r="L68" s="100">
        <v>28.61</v>
      </c>
      <c r="M68" s="100">
        <v>39.61</v>
      </c>
      <c r="N68" s="100">
        <v>82.1</v>
      </c>
      <c r="O68" s="100">
        <v>0</v>
      </c>
      <c r="P68" s="100">
        <v>0.53</v>
      </c>
      <c r="Q68" s="100">
        <v>4.7699999999999996</v>
      </c>
    </row>
    <row r="69" spans="1:17" customFormat="1">
      <c r="A69" s="70" t="s">
        <v>1355</v>
      </c>
      <c r="B69" s="100">
        <v>6.38</v>
      </c>
      <c r="C69" s="100">
        <v>23.67</v>
      </c>
      <c r="D69" s="100">
        <v>18.829999999999998</v>
      </c>
      <c r="E69" s="100">
        <v>10.14</v>
      </c>
      <c r="F69" s="100">
        <v>3.59</v>
      </c>
      <c r="G69" s="100">
        <v>47.47</v>
      </c>
      <c r="H69" s="100">
        <v>20.96</v>
      </c>
      <c r="I69" s="100">
        <v>6.24</v>
      </c>
      <c r="J69" s="100">
        <v>0.47</v>
      </c>
      <c r="K69" s="100">
        <v>22.01</v>
      </c>
      <c r="L69" s="100">
        <v>28.33</v>
      </c>
      <c r="M69" s="100">
        <v>39.93</v>
      </c>
      <c r="N69" s="100">
        <v>68.5</v>
      </c>
      <c r="O69" s="100">
        <v>0</v>
      </c>
      <c r="P69" s="100">
        <v>0.52</v>
      </c>
      <c r="Q69" s="100">
        <v>4.76</v>
      </c>
    </row>
    <row r="70" spans="1:17" customFormat="1">
      <c r="A70" s="70" t="s">
        <v>1356</v>
      </c>
      <c r="B70" s="100">
        <v>6.71</v>
      </c>
      <c r="C70" s="100">
        <v>22.23</v>
      </c>
      <c r="D70" s="100">
        <v>18.350000000000001</v>
      </c>
      <c r="E70" s="100">
        <v>9.61</v>
      </c>
      <c r="F70" s="100">
        <v>3.1</v>
      </c>
      <c r="G70" s="100">
        <v>47.47</v>
      </c>
      <c r="H70" s="100">
        <v>20.96</v>
      </c>
      <c r="I70" s="100">
        <v>6.18</v>
      </c>
      <c r="J70" s="100">
        <v>0.13</v>
      </c>
      <c r="K70" s="100">
        <v>226.89</v>
      </c>
      <c r="L70" s="100">
        <v>27.86</v>
      </c>
      <c r="M70" s="100">
        <v>43.2</v>
      </c>
      <c r="N70" s="100">
        <v>61.3</v>
      </c>
      <c r="O70" s="100">
        <v>0</v>
      </c>
      <c r="P70" s="100">
        <v>0.54</v>
      </c>
      <c r="Q70" s="100">
        <v>4.75</v>
      </c>
    </row>
    <row r="71" spans="1:17" customFormat="1">
      <c r="A71" s="70" t="s">
        <v>1357</v>
      </c>
      <c r="B71" s="100">
        <v>6.84</v>
      </c>
      <c r="C71" s="100">
        <v>20.440000000000001</v>
      </c>
      <c r="D71" s="100">
        <v>17.510000000000002</v>
      </c>
      <c r="E71" s="100">
        <v>9.27</v>
      </c>
      <c r="F71" s="100">
        <v>3.07</v>
      </c>
      <c r="G71" s="100">
        <v>47.47</v>
      </c>
      <c r="H71" s="100">
        <v>20.96</v>
      </c>
      <c r="I71" s="100">
        <v>6.21</v>
      </c>
      <c r="J71" s="100">
        <v>0.35</v>
      </c>
      <c r="K71" s="100">
        <v>176.05</v>
      </c>
      <c r="L71" s="100">
        <v>27.83</v>
      </c>
      <c r="M71" s="100">
        <v>42.77</v>
      </c>
      <c r="N71" s="100">
        <v>50.3</v>
      </c>
      <c r="O71" s="100">
        <v>0</v>
      </c>
      <c r="P71" s="100">
        <v>0.53</v>
      </c>
      <c r="Q71" s="100">
        <v>4.76</v>
      </c>
    </row>
    <row r="72" spans="1:17" customFormat="1">
      <c r="A72" s="70" t="s">
        <v>1358</v>
      </c>
      <c r="B72" s="100">
        <v>6.93</v>
      </c>
      <c r="C72" s="100">
        <v>19.5</v>
      </c>
      <c r="D72" s="100">
        <v>17.100000000000001</v>
      </c>
      <c r="E72" s="100">
        <v>9.1</v>
      </c>
      <c r="F72" s="100">
        <v>3.02</v>
      </c>
      <c r="G72" s="100">
        <v>48.17</v>
      </c>
      <c r="H72" s="100">
        <v>21.43</v>
      </c>
      <c r="I72" s="100">
        <v>6.24</v>
      </c>
      <c r="J72" s="100">
        <v>0.22</v>
      </c>
      <c r="K72" s="100">
        <v>183.98</v>
      </c>
      <c r="L72" s="100">
        <v>27.27</v>
      </c>
      <c r="M72" s="100">
        <v>45.72</v>
      </c>
      <c r="N72" s="100">
        <v>38.299999999999997</v>
      </c>
      <c r="O72" s="100">
        <v>0</v>
      </c>
      <c r="P72" s="100">
        <v>0.52</v>
      </c>
      <c r="Q72" s="100">
        <v>4.78</v>
      </c>
    </row>
    <row r="73" spans="1:17" customFormat="1">
      <c r="A73" s="70" t="s">
        <v>1359</v>
      </c>
      <c r="B73" s="100">
        <v>7.01</v>
      </c>
      <c r="C73" s="100">
        <v>18.61</v>
      </c>
      <c r="D73" s="100">
        <v>16.690000000000001</v>
      </c>
      <c r="E73" s="100">
        <v>9.25</v>
      </c>
      <c r="F73" s="100">
        <v>2.97</v>
      </c>
      <c r="G73" s="100">
        <v>51.17</v>
      </c>
      <c r="H73" s="100">
        <v>22.88</v>
      </c>
      <c r="I73" s="100">
        <v>6.23</v>
      </c>
      <c r="J73" s="100">
        <v>0.21</v>
      </c>
      <c r="K73" s="100">
        <v>144.13999999999999</v>
      </c>
      <c r="L73" s="100">
        <v>27.04</v>
      </c>
      <c r="M73" s="100">
        <v>46.51</v>
      </c>
      <c r="N73" s="100">
        <v>33.700000000000003</v>
      </c>
      <c r="O73" s="100">
        <v>0</v>
      </c>
      <c r="P73" s="100">
        <v>0.52</v>
      </c>
      <c r="Q73" s="100">
        <v>4.8099999999999996</v>
      </c>
    </row>
    <row r="74" spans="1:17" customFormat="1">
      <c r="A74" s="70" t="s">
        <v>1360</v>
      </c>
      <c r="B74" s="100">
        <v>7.26</v>
      </c>
      <c r="C74" s="100">
        <v>17.88</v>
      </c>
      <c r="D74" s="100">
        <v>16.510000000000002</v>
      </c>
      <c r="E74" s="100">
        <v>9.8699999999999992</v>
      </c>
      <c r="F74" s="100">
        <v>3.01</v>
      </c>
      <c r="G74" s="100">
        <v>51.17</v>
      </c>
      <c r="H74" s="100">
        <v>22.88</v>
      </c>
      <c r="I74" s="100">
        <v>6.2</v>
      </c>
      <c r="J74" s="100">
        <v>0.43</v>
      </c>
      <c r="K74" s="100">
        <v>53.87</v>
      </c>
      <c r="L74" s="100">
        <v>27.39</v>
      </c>
      <c r="M74" s="100">
        <v>42.77</v>
      </c>
      <c r="N74" s="100">
        <v>29.5</v>
      </c>
      <c r="O74" s="100">
        <v>0</v>
      </c>
      <c r="P74" s="100">
        <v>0.52</v>
      </c>
      <c r="Q74" s="100">
        <v>4.82</v>
      </c>
    </row>
    <row r="75" spans="1:17" customFormat="1">
      <c r="A75" s="70" t="s">
        <v>1361</v>
      </c>
      <c r="B75" s="100">
        <v>7.55</v>
      </c>
      <c r="C75" s="100">
        <v>17.47</v>
      </c>
      <c r="D75" s="100">
        <v>16.53</v>
      </c>
      <c r="E75" s="100">
        <v>9.2200000000000006</v>
      </c>
      <c r="F75" s="100">
        <v>2.8</v>
      </c>
      <c r="G75" s="100">
        <v>51.17</v>
      </c>
      <c r="H75" s="100">
        <v>22.88</v>
      </c>
      <c r="I75" s="100">
        <v>6.16</v>
      </c>
      <c r="J75" s="100">
        <v>0.32</v>
      </c>
      <c r="K75" s="100">
        <v>172.76</v>
      </c>
      <c r="L75" s="100">
        <v>26.84</v>
      </c>
      <c r="M75" s="100">
        <v>47.67</v>
      </c>
      <c r="N75" s="100">
        <v>18.7</v>
      </c>
      <c r="O75" s="100">
        <v>0</v>
      </c>
      <c r="P75" s="100">
        <v>0.52</v>
      </c>
      <c r="Q75" s="100">
        <v>4.8</v>
      </c>
    </row>
    <row r="76" spans="1:17" customFormat="1">
      <c r="A76" s="70" t="s">
        <v>1362</v>
      </c>
      <c r="B76" s="100">
        <v>7.63</v>
      </c>
      <c r="C76" s="100">
        <v>17.37</v>
      </c>
      <c r="D76" s="100">
        <v>16.55</v>
      </c>
      <c r="E76" s="100">
        <v>9</v>
      </c>
      <c r="F76" s="100">
        <v>2.75</v>
      </c>
      <c r="G76" s="100">
        <v>52.33</v>
      </c>
      <c r="H76" s="100">
        <v>23.38</v>
      </c>
      <c r="I76" s="100">
        <v>6.16</v>
      </c>
      <c r="J76" s="100">
        <v>0.24</v>
      </c>
      <c r="K76" s="100">
        <v>170.91</v>
      </c>
      <c r="L76" s="100">
        <v>26.09</v>
      </c>
      <c r="M76" s="100">
        <v>51.37</v>
      </c>
      <c r="N76" s="100">
        <v>10.8</v>
      </c>
      <c r="O76" s="100">
        <v>0</v>
      </c>
      <c r="P76" s="100">
        <v>0.53</v>
      </c>
      <c r="Q76" s="100">
        <v>4.83</v>
      </c>
    </row>
    <row r="77" spans="1:17" customFormat="1">
      <c r="A77" s="70" t="s">
        <v>1363</v>
      </c>
      <c r="B77" s="100">
        <v>7.77</v>
      </c>
      <c r="C77" s="100">
        <v>17.079999999999998</v>
      </c>
      <c r="D77" s="100">
        <v>16.5</v>
      </c>
      <c r="E77" s="100">
        <v>8.9600000000000009</v>
      </c>
      <c r="F77" s="100">
        <v>2.8</v>
      </c>
      <c r="G77" s="100">
        <v>57.33</v>
      </c>
      <c r="H77" s="100">
        <v>24.83</v>
      </c>
      <c r="I77" s="100">
        <v>6.19</v>
      </c>
      <c r="J77" s="100">
        <v>0.25</v>
      </c>
      <c r="K77" s="100">
        <v>179.02</v>
      </c>
      <c r="L77" s="100">
        <v>25.47</v>
      </c>
      <c r="M77" s="100">
        <v>54.52</v>
      </c>
      <c r="N77" s="100">
        <v>2.5</v>
      </c>
      <c r="O77" s="100">
        <v>0</v>
      </c>
      <c r="P77" s="100">
        <v>0.52</v>
      </c>
      <c r="Q77" s="100">
        <v>4.83</v>
      </c>
    </row>
    <row r="78" spans="1:17" customFormat="1">
      <c r="A78" s="70" t="s">
        <v>1364</v>
      </c>
      <c r="B78" s="100">
        <v>7.95</v>
      </c>
      <c r="C78" s="100">
        <v>16.32</v>
      </c>
      <c r="D78" s="100">
        <v>16.260000000000002</v>
      </c>
      <c r="E78" s="100">
        <v>9.2200000000000006</v>
      </c>
      <c r="F78" s="100">
        <v>2.66</v>
      </c>
      <c r="G78" s="100">
        <v>57.33</v>
      </c>
      <c r="H78" s="100">
        <v>24.83</v>
      </c>
      <c r="I78" s="100">
        <v>6.18</v>
      </c>
      <c r="J78" s="100">
        <v>0.25</v>
      </c>
      <c r="K78" s="100">
        <v>173.93</v>
      </c>
      <c r="L78" s="100">
        <v>24.7</v>
      </c>
      <c r="M78" s="100">
        <v>59.45</v>
      </c>
      <c r="N78" s="100">
        <v>0</v>
      </c>
      <c r="O78" s="100">
        <v>0</v>
      </c>
      <c r="P78" s="100">
        <v>0.51</v>
      </c>
      <c r="Q78" s="100">
        <v>4.83</v>
      </c>
    </row>
    <row r="79" spans="1:17" customFormat="1">
      <c r="A79" s="70" t="s">
        <v>1365</v>
      </c>
      <c r="B79" s="100">
        <v>7.94</v>
      </c>
      <c r="C79" s="100">
        <v>16.309999999999999</v>
      </c>
      <c r="D79" s="100">
        <v>16.239999999999998</v>
      </c>
      <c r="E79" s="100">
        <v>9.1300000000000008</v>
      </c>
      <c r="F79" s="100">
        <v>2.57</v>
      </c>
      <c r="G79" s="100">
        <v>57.33</v>
      </c>
      <c r="H79" s="100">
        <v>24.83</v>
      </c>
      <c r="I79" s="100">
        <v>6.17</v>
      </c>
      <c r="J79" s="100">
        <v>0.26</v>
      </c>
      <c r="K79" s="100">
        <v>167.66</v>
      </c>
      <c r="L79" s="100">
        <v>24.03</v>
      </c>
      <c r="M79" s="100">
        <v>62.77</v>
      </c>
      <c r="N79" s="100">
        <v>0</v>
      </c>
      <c r="O79" s="100">
        <v>0</v>
      </c>
      <c r="P79" s="100">
        <v>0.52</v>
      </c>
      <c r="Q79" s="100">
        <v>4.82</v>
      </c>
    </row>
    <row r="80" spans="1:17" customFormat="1">
      <c r="A80" s="70" t="s">
        <v>1366</v>
      </c>
      <c r="B80" s="100">
        <v>8.16</v>
      </c>
      <c r="C80" s="100">
        <v>17.34</v>
      </c>
      <c r="D80" s="100">
        <v>16.95</v>
      </c>
      <c r="E80" s="100">
        <v>9.6199999999999992</v>
      </c>
      <c r="F80" s="100">
        <v>2.2999999999999998</v>
      </c>
      <c r="G80" s="100">
        <v>59.8</v>
      </c>
      <c r="H80" s="100">
        <v>24.95</v>
      </c>
      <c r="I80" s="100">
        <v>6.16</v>
      </c>
      <c r="J80" s="100">
        <v>0.18</v>
      </c>
      <c r="K80" s="100">
        <v>161.06</v>
      </c>
      <c r="L80" s="100">
        <v>23.36</v>
      </c>
      <c r="M80" s="100">
        <v>66.599999999999994</v>
      </c>
      <c r="N80" s="100">
        <v>0</v>
      </c>
      <c r="O80" s="100">
        <v>0</v>
      </c>
      <c r="P80" s="100">
        <v>0.53</v>
      </c>
      <c r="Q80" s="100">
        <v>4.84</v>
      </c>
    </row>
    <row r="81" spans="1:17" customFormat="1">
      <c r="A81" s="70" t="s">
        <v>1367</v>
      </c>
      <c r="B81" s="100">
        <v>8.5399999999999991</v>
      </c>
      <c r="C81" s="100">
        <v>18.57</v>
      </c>
      <c r="D81" s="100">
        <v>17.899999999999999</v>
      </c>
      <c r="E81" s="100">
        <v>7.09</v>
      </c>
      <c r="F81" s="100">
        <v>2.2799999999999998</v>
      </c>
      <c r="G81" s="100">
        <v>70.44</v>
      </c>
      <c r="H81" s="100">
        <v>25.53</v>
      </c>
      <c r="I81" s="100">
        <v>6.17</v>
      </c>
      <c r="J81" s="100">
        <v>0.22</v>
      </c>
      <c r="K81" s="100">
        <v>175.38</v>
      </c>
      <c r="L81" s="100">
        <v>22.93</v>
      </c>
      <c r="M81" s="100">
        <v>69.099999999999994</v>
      </c>
      <c r="N81" s="100">
        <v>0</v>
      </c>
      <c r="O81" s="100">
        <v>0</v>
      </c>
      <c r="P81" s="100">
        <v>0.54</v>
      </c>
      <c r="Q81" s="100">
        <v>4.8499999999999996</v>
      </c>
    </row>
    <row r="82" spans="1:17" customFormat="1">
      <c r="A82" s="70" t="s">
        <v>1368</v>
      </c>
      <c r="B82" s="100">
        <v>9.1</v>
      </c>
      <c r="C82" s="100">
        <v>19.43</v>
      </c>
      <c r="D82" s="100">
        <v>18.8</v>
      </c>
      <c r="E82" s="100">
        <v>7.8</v>
      </c>
      <c r="F82" s="100">
        <v>2.25</v>
      </c>
      <c r="G82" s="100">
        <v>70.44</v>
      </c>
      <c r="H82" s="100">
        <v>25.53</v>
      </c>
      <c r="I82" s="100">
        <v>6.18</v>
      </c>
      <c r="J82" s="100">
        <v>0.23</v>
      </c>
      <c r="K82" s="100">
        <v>157.97999999999999</v>
      </c>
      <c r="L82" s="100">
        <v>22.66</v>
      </c>
      <c r="M82" s="100">
        <v>69.39</v>
      </c>
      <c r="N82" s="100">
        <v>0</v>
      </c>
      <c r="O82" s="100">
        <v>0</v>
      </c>
      <c r="P82" s="100">
        <v>0.56000000000000005</v>
      </c>
      <c r="Q82" s="100">
        <v>4.8600000000000003</v>
      </c>
    </row>
    <row r="83" spans="1:17" customFormat="1">
      <c r="A83" s="70" t="s">
        <v>1369</v>
      </c>
      <c r="B83" s="100">
        <v>9.81</v>
      </c>
      <c r="C83" s="100">
        <v>19.98</v>
      </c>
      <c r="D83" s="100">
        <v>19.649999999999999</v>
      </c>
      <c r="E83" s="100">
        <v>8.58</v>
      </c>
      <c r="F83" s="100">
        <v>2.16</v>
      </c>
      <c r="G83" s="100">
        <v>70.44</v>
      </c>
      <c r="H83" s="100">
        <v>25.53</v>
      </c>
      <c r="I83" s="100">
        <v>6.24</v>
      </c>
      <c r="J83" s="100">
        <v>0.17</v>
      </c>
      <c r="K83" s="100">
        <v>142.38999999999999</v>
      </c>
      <c r="L83" s="100">
        <v>22.45</v>
      </c>
      <c r="M83" s="100">
        <v>68.56</v>
      </c>
      <c r="N83" s="100">
        <v>0</v>
      </c>
      <c r="O83" s="100">
        <v>0</v>
      </c>
      <c r="P83" s="100">
        <v>0.57999999999999996</v>
      </c>
      <c r="Q83" s="100">
        <v>4.88</v>
      </c>
    </row>
    <row r="84" spans="1:17" customFormat="1">
      <c r="A84" s="70" t="s">
        <v>1370</v>
      </c>
      <c r="B84" s="100">
        <v>11.55</v>
      </c>
      <c r="C84" s="100">
        <v>20.9</v>
      </c>
      <c r="D84" s="100">
        <v>21.53</v>
      </c>
      <c r="E84" s="100">
        <v>8.36</v>
      </c>
      <c r="F84" s="100">
        <v>2.17</v>
      </c>
      <c r="G84" s="100">
        <v>73.459999999999994</v>
      </c>
      <c r="H84" s="100">
        <v>25.68</v>
      </c>
      <c r="I84" s="100">
        <v>6.37</v>
      </c>
      <c r="J84" s="100">
        <v>0.22</v>
      </c>
      <c r="K84" s="100">
        <v>171.01</v>
      </c>
      <c r="L84" s="100">
        <v>22.36</v>
      </c>
      <c r="M84" s="100">
        <v>71.239999999999995</v>
      </c>
      <c r="N84" s="100">
        <v>0</v>
      </c>
      <c r="O84" s="100">
        <v>0</v>
      </c>
      <c r="P84" s="100">
        <v>0.64</v>
      </c>
      <c r="Q84" s="100">
        <v>4.9000000000000004</v>
      </c>
    </row>
    <row r="85" spans="1:17" customFormat="1">
      <c r="A85" s="70" t="s">
        <v>1371</v>
      </c>
      <c r="B85" s="100">
        <v>13.88</v>
      </c>
      <c r="C85" s="100">
        <v>20.98</v>
      </c>
      <c r="D85" s="100">
        <v>23.45</v>
      </c>
      <c r="E85" s="100">
        <v>8.1300000000000008</v>
      </c>
      <c r="F85" s="100">
        <v>2.46</v>
      </c>
      <c r="G85" s="100">
        <v>86.47</v>
      </c>
      <c r="H85" s="100">
        <v>26.1</v>
      </c>
      <c r="I85" s="100">
        <v>6.58</v>
      </c>
      <c r="J85" s="100">
        <v>0.17</v>
      </c>
      <c r="K85" s="100">
        <v>146.91999999999999</v>
      </c>
      <c r="L85" s="100">
        <v>22.08</v>
      </c>
      <c r="M85" s="100">
        <v>70.75</v>
      </c>
      <c r="N85" s="100">
        <v>0</v>
      </c>
      <c r="O85" s="100">
        <v>0</v>
      </c>
      <c r="P85" s="100">
        <v>0.67</v>
      </c>
      <c r="Q85" s="100">
        <v>4.96</v>
      </c>
    </row>
    <row r="86" spans="1:17" customFormat="1">
      <c r="A86" s="70" t="s">
        <v>1372</v>
      </c>
      <c r="B86" s="100">
        <v>16.899999999999999</v>
      </c>
      <c r="C86" s="100">
        <v>21.14</v>
      </c>
      <c r="D86" s="100">
        <v>25.95</v>
      </c>
      <c r="E86" s="100">
        <v>8.1300000000000008</v>
      </c>
      <c r="F86" s="100">
        <v>2.42</v>
      </c>
      <c r="G86" s="100">
        <v>86.47</v>
      </c>
      <c r="H86" s="100">
        <v>26.1</v>
      </c>
      <c r="I86" s="100">
        <v>6.87</v>
      </c>
      <c r="J86" s="100">
        <v>0.17</v>
      </c>
      <c r="K86" s="100">
        <v>163.47</v>
      </c>
      <c r="L86" s="100">
        <v>22.19</v>
      </c>
      <c r="M86" s="100">
        <v>67.900000000000006</v>
      </c>
      <c r="N86" s="100">
        <v>0</v>
      </c>
      <c r="O86" s="100">
        <v>0</v>
      </c>
      <c r="P86" s="100">
        <v>0.72</v>
      </c>
      <c r="Q86" s="100">
        <v>4.99</v>
      </c>
    </row>
    <row r="87" spans="1:17" customFormat="1">
      <c r="A87" s="70" t="s">
        <v>1373</v>
      </c>
      <c r="B87" s="100">
        <v>20</v>
      </c>
      <c r="C87" s="100">
        <v>22.41</v>
      </c>
      <c r="D87" s="100">
        <v>29.1</v>
      </c>
      <c r="E87" s="100">
        <v>8.02</v>
      </c>
      <c r="F87" s="100">
        <v>2.35</v>
      </c>
      <c r="G87" s="100">
        <v>86.47</v>
      </c>
      <c r="H87" s="100">
        <v>26.1</v>
      </c>
      <c r="I87" s="100">
        <v>7.19</v>
      </c>
      <c r="J87" s="100">
        <v>0.18</v>
      </c>
      <c r="K87" s="100">
        <v>182.32</v>
      </c>
      <c r="L87" s="100">
        <v>21.68</v>
      </c>
      <c r="M87" s="100">
        <v>74.64</v>
      </c>
      <c r="N87" s="100">
        <v>0</v>
      </c>
      <c r="O87" s="100">
        <v>0</v>
      </c>
      <c r="P87" s="100">
        <v>0.78</v>
      </c>
      <c r="Q87" s="100">
        <v>4.99</v>
      </c>
    </row>
    <row r="88" spans="1:17" customFormat="1">
      <c r="A88" s="70" t="s">
        <v>1374</v>
      </c>
      <c r="B88" s="100">
        <v>22.86</v>
      </c>
      <c r="C88" s="100">
        <v>24.31</v>
      </c>
      <c r="D88" s="100">
        <v>32.380000000000003</v>
      </c>
      <c r="E88" s="100">
        <v>8.41</v>
      </c>
      <c r="F88" s="100">
        <v>2.4</v>
      </c>
      <c r="G88" s="100">
        <v>91.24</v>
      </c>
      <c r="H88" s="100">
        <v>28.1</v>
      </c>
      <c r="I88" s="100">
        <v>7.59</v>
      </c>
      <c r="J88" s="100">
        <v>0.19</v>
      </c>
      <c r="K88" s="100">
        <v>172.4</v>
      </c>
      <c r="L88" s="100">
        <v>21.13</v>
      </c>
      <c r="M88" s="100">
        <v>78.77</v>
      </c>
      <c r="N88" s="100">
        <v>0</v>
      </c>
      <c r="O88" s="100">
        <v>0</v>
      </c>
      <c r="P88" s="100">
        <v>0.84</v>
      </c>
      <c r="Q88" s="100">
        <v>5.05</v>
      </c>
    </row>
    <row r="89" spans="1:17" customFormat="1">
      <c r="A89" s="70" t="s">
        <v>1375</v>
      </c>
      <c r="B89" s="100">
        <v>24.73</v>
      </c>
      <c r="C89" s="100">
        <v>25.67</v>
      </c>
      <c r="D89" s="100">
        <v>34.590000000000003</v>
      </c>
      <c r="E89" s="100">
        <v>8.2100000000000009</v>
      </c>
      <c r="F89" s="100">
        <v>2.35</v>
      </c>
      <c r="G89" s="100">
        <v>111.72</v>
      </c>
      <c r="H89" s="100">
        <v>33.97</v>
      </c>
      <c r="I89" s="100">
        <v>8.0299999999999994</v>
      </c>
      <c r="J89" s="100">
        <v>0.18</v>
      </c>
      <c r="K89" s="100">
        <v>189.17</v>
      </c>
      <c r="L89" s="100">
        <v>20.9</v>
      </c>
      <c r="M89" s="100">
        <v>77.78</v>
      </c>
      <c r="N89" s="100">
        <v>0</v>
      </c>
      <c r="O89" s="100">
        <v>0</v>
      </c>
      <c r="P89" s="100">
        <v>0.88</v>
      </c>
      <c r="Q89" s="100">
        <v>5.1100000000000003</v>
      </c>
    </row>
    <row r="90" spans="1:17" customFormat="1">
      <c r="A90" s="70" t="s">
        <v>1376</v>
      </c>
      <c r="B90" s="100">
        <v>24.91</v>
      </c>
      <c r="C90" s="100">
        <v>26.62</v>
      </c>
      <c r="D90" s="100">
        <v>35.229999999999997</v>
      </c>
      <c r="E90" s="100">
        <v>8.4600000000000009</v>
      </c>
      <c r="F90" s="100">
        <v>2.3199999999999998</v>
      </c>
      <c r="G90" s="100">
        <v>111.72</v>
      </c>
      <c r="H90" s="100">
        <v>33.97</v>
      </c>
      <c r="I90" s="100">
        <v>8.4700000000000006</v>
      </c>
      <c r="J90" s="100">
        <v>0.05</v>
      </c>
      <c r="K90" s="100">
        <v>132.49</v>
      </c>
      <c r="L90" s="100">
        <v>20.8</v>
      </c>
      <c r="M90" s="100">
        <v>75.239999999999995</v>
      </c>
      <c r="N90" s="100">
        <v>0</v>
      </c>
      <c r="O90" s="100">
        <v>0</v>
      </c>
      <c r="P90" s="100">
        <v>0.91</v>
      </c>
      <c r="Q90" s="100">
        <v>5.1100000000000003</v>
      </c>
    </row>
    <row r="91" spans="1:17" customFormat="1">
      <c r="A91" s="70" t="s">
        <v>1377</v>
      </c>
      <c r="B91" s="100">
        <v>26.48</v>
      </c>
      <c r="C91" s="100">
        <v>27.65</v>
      </c>
      <c r="D91" s="100">
        <v>37.03</v>
      </c>
      <c r="E91" s="100">
        <v>8.9</v>
      </c>
      <c r="F91" s="100">
        <v>2.33</v>
      </c>
      <c r="G91" s="100">
        <v>111.72</v>
      </c>
      <c r="H91" s="100">
        <v>33.97</v>
      </c>
      <c r="I91" s="100">
        <v>8.7899999999999991</v>
      </c>
      <c r="J91" s="100">
        <v>0.05</v>
      </c>
      <c r="K91" s="100">
        <v>113.7</v>
      </c>
      <c r="L91" s="100">
        <v>21.1</v>
      </c>
      <c r="M91" s="100">
        <v>72.819999999999993</v>
      </c>
      <c r="N91" s="100">
        <v>0</v>
      </c>
      <c r="O91" s="100">
        <v>0</v>
      </c>
      <c r="P91" s="100">
        <v>0.94</v>
      </c>
      <c r="Q91" s="100">
        <v>5.14</v>
      </c>
    </row>
    <row r="92" spans="1:17" customFormat="1">
      <c r="A92" s="70" t="s">
        <v>1378</v>
      </c>
      <c r="B92" s="100">
        <v>29.55</v>
      </c>
      <c r="C92" s="100">
        <v>28.69</v>
      </c>
      <c r="D92" s="100">
        <v>40.04</v>
      </c>
      <c r="E92" s="100">
        <v>8.9</v>
      </c>
      <c r="F92" s="100">
        <v>2.37</v>
      </c>
      <c r="G92" s="100">
        <v>112.73</v>
      </c>
      <c r="H92" s="100">
        <v>34.659999999999997</v>
      </c>
      <c r="I92" s="100">
        <v>9</v>
      </c>
      <c r="J92" s="100">
        <v>0.19</v>
      </c>
      <c r="K92" s="100">
        <v>182.23</v>
      </c>
      <c r="L92" s="100">
        <v>20.9</v>
      </c>
      <c r="M92" s="100">
        <v>76.55</v>
      </c>
      <c r="N92" s="100">
        <v>0</v>
      </c>
      <c r="O92" s="100">
        <v>0</v>
      </c>
      <c r="P92" s="100">
        <v>1</v>
      </c>
      <c r="Q92" s="100">
        <v>5.16</v>
      </c>
    </row>
    <row r="93" spans="1:17" customFormat="1">
      <c r="A93" s="70" t="s">
        <v>1379</v>
      </c>
      <c r="B93" s="100">
        <v>31.88</v>
      </c>
      <c r="C93" s="100">
        <v>29.65</v>
      </c>
      <c r="D93" s="100">
        <v>42.4</v>
      </c>
      <c r="E93" s="100">
        <v>9.41</v>
      </c>
      <c r="F93" s="100">
        <v>2.2999999999999998</v>
      </c>
      <c r="G93" s="100">
        <v>117.08</v>
      </c>
      <c r="H93" s="100">
        <v>36.81</v>
      </c>
      <c r="I93" s="100">
        <v>9.25</v>
      </c>
      <c r="J93" s="100">
        <v>0.11</v>
      </c>
      <c r="K93" s="100">
        <v>150.58000000000001</v>
      </c>
      <c r="L93" s="100">
        <v>20.86</v>
      </c>
      <c r="M93" s="100">
        <v>78.19</v>
      </c>
      <c r="N93" s="100">
        <v>0</v>
      </c>
      <c r="O93" s="100">
        <v>0</v>
      </c>
      <c r="P93" s="100">
        <v>1.03</v>
      </c>
      <c r="Q93" s="100">
        <v>5.19</v>
      </c>
    </row>
    <row r="94" spans="1:17" customFormat="1">
      <c r="A94" s="70" t="s">
        <v>1380</v>
      </c>
      <c r="B94" s="100">
        <v>35.700000000000003</v>
      </c>
      <c r="C94" s="100">
        <v>30.51</v>
      </c>
      <c r="D94" s="100">
        <v>45.92</v>
      </c>
      <c r="E94" s="100">
        <v>9.11</v>
      </c>
      <c r="F94" s="100">
        <v>2.31</v>
      </c>
      <c r="G94" s="100">
        <v>117.08</v>
      </c>
      <c r="H94" s="100">
        <v>36.81</v>
      </c>
      <c r="I94" s="100">
        <v>9.5</v>
      </c>
      <c r="J94" s="100">
        <v>0.15</v>
      </c>
      <c r="K94" s="100">
        <v>236.13</v>
      </c>
      <c r="L94" s="100">
        <v>21.16</v>
      </c>
      <c r="M94" s="100">
        <v>74.89</v>
      </c>
      <c r="N94" s="100">
        <v>0</v>
      </c>
      <c r="O94" s="100">
        <v>0</v>
      </c>
      <c r="P94" s="100">
        <v>1.07</v>
      </c>
      <c r="Q94" s="100">
        <v>5.23</v>
      </c>
    </row>
    <row r="95" spans="1:17" customFormat="1">
      <c r="A95" s="70" t="s">
        <v>1381</v>
      </c>
      <c r="B95" s="100">
        <v>41.06</v>
      </c>
      <c r="C95" s="100">
        <v>31.59</v>
      </c>
      <c r="D95" s="100">
        <v>50.79</v>
      </c>
      <c r="E95" s="100">
        <v>9.08</v>
      </c>
      <c r="F95" s="100">
        <v>2.35</v>
      </c>
      <c r="G95" s="100">
        <v>117.08</v>
      </c>
      <c r="H95" s="100">
        <v>36.81</v>
      </c>
      <c r="I95" s="100">
        <v>9.73</v>
      </c>
      <c r="J95" s="100">
        <v>0.17</v>
      </c>
      <c r="K95" s="100">
        <v>206.38</v>
      </c>
      <c r="L95" s="100">
        <v>21.32</v>
      </c>
      <c r="M95" s="100">
        <v>75.349999999999994</v>
      </c>
      <c r="N95" s="100">
        <v>0</v>
      </c>
      <c r="O95" s="100">
        <v>0</v>
      </c>
      <c r="P95" s="100">
        <v>1.1100000000000001</v>
      </c>
      <c r="Q95" s="100">
        <v>5.27</v>
      </c>
    </row>
    <row r="96" spans="1:17" customFormat="1">
      <c r="A96" s="70" t="s">
        <v>1382</v>
      </c>
      <c r="B96" s="100">
        <v>45.06</v>
      </c>
      <c r="C96" s="100">
        <v>32.130000000000003</v>
      </c>
      <c r="D96" s="100">
        <v>54.27</v>
      </c>
      <c r="E96" s="100">
        <v>9.39</v>
      </c>
      <c r="F96" s="100">
        <v>2.4300000000000002</v>
      </c>
      <c r="G96" s="100">
        <v>118.47</v>
      </c>
      <c r="H96" s="100">
        <v>38.14</v>
      </c>
      <c r="I96" s="100">
        <v>10.01</v>
      </c>
      <c r="J96" s="100">
        <v>0.19</v>
      </c>
      <c r="K96" s="100">
        <v>180.23</v>
      </c>
      <c r="L96" s="100">
        <v>21.23</v>
      </c>
      <c r="M96" s="100">
        <v>76.45</v>
      </c>
      <c r="N96" s="100">
        <v>0</v>
      </c>
      <c r="O96" s="100">
        <v>0</v>
      </c>
      <c r="P96" s="100">
        <v>1.1399999999999999</v>
      </c>
      <c r="Q96" s="100">
        <v>5.32</v>
      </c>
    </row>
    <row r="97" spans="1:22" customFormat="1">
      <c r="A97" s="70" t="s">
        <v>1383</v>
      </c>
      <c r="B97" s="100">
        <v>47.65</v>
      </c>
      <c r="C97" s="100">
        <v>32.32</v>
      </c>
      <c r="D97" s="100">
        <v>56.45</v>
      </c>
      <c r="E97" s="100">
        <v>9.74</v>
      </c>
      <c r="F97" s="100">
        <v>2.2400000000000002</v>
      </c>
      <c r="G97" s="100">
        <v>124.41</v>
      </c>
      <c r="H97" s="100">
        <v>42.05</v>
      </c>
      <c r="I97" s="100">
        <v>10.28</v>
      </c>
      <c r="J97" s="100">
        <v>0.13</v>
      </c>
      <c r="K97" s="100">
        <v>202.95</v>
      </c>
      <c r="L97" s="100">
        <v>21.21</v>
      </c>
      <c r="M97" s="100">
        <v>76.349999999999994</v>
      </c>
      <c r="N97" s="100">
        <v>0</v>
      </c>
      <c r="O97" s="100">
        <v>0</v>
      </c>
      <c r="P97" s="100">
        <v>1.17</v>
      </c>
      <c r="Q97" s="100">
        <v>5.36</v>
      </c>
    </row>
    <row r="98" spans="1:22" customFormat="1">
      <c r="A98" s="70" t="s">
        <v>1384</v>
      </c>
      <c r="B98" s="100">
        <v>51.69</v>
      </c>
      <c r="C98" s="100">
        <v>32.71</v>
      </c>
      <c r="D98" s="100">
        <v>59.89</v>
      </c>
      <c r="E98" s="100">
        <v>9.58</v>
      </c>
      <c r="F98" s="100">
        <v>2.17</v>
      </c>
      <c r="G98" s="100">
        <v>124.41</v>
      </c>
      <c r="H98" s="100">
        <v>42.05</v>
      </c>
      <c r="I98" s="100">
        <v>10.5</v>
      </c>
      <c r="J98" s="100">
        <v>0.08</v>
      </c>
      <c r="K98" s="100">
        <v>149.16</v>
      </c>
      <c r="L98" s="100">
        <v>21.41</v>
      </c>
      <c r="M98" s="100">
        <v>73.430000000000007</v>
      </c>
      <c r="N98" s="100">
        <v>0</v>
      </c>
      <c r="O98" s="100">
        <v>0</v>
      </c>
      <c r="P98" s="100">
        <v>1.2</v>
      </c>
      <c r="Q98" s="100">
        <v>5.41</v>
      </c>
    </row>
    <row r="99" spans="1:22" customFormat="1">
      <c r="A99" s="70" t="s">
        <v>1385</v>
      </c>
      <c r="B99" s="100">
        <v>57.69</v>
      </c>
      <c r="C99" s="100">
        <v>33.700000000000003</v>
      </c>
      <c r="D99" s="100">
        <v>65.22</v>
      </c>
      <c r="E99" s="100">
        <v>9.4</v>
      </c>
      <c r="F99" s="100">
        <v>2.2799999999999998</v>
      </c>
      <c r="G99" s="100">
        <v>124.41</v>
      </c>
      <c r="H99" s="100">
        <v>42.05</v>
      </c>
      <c r="I99" s="100">
        <v>10.69</v>
      </c>
      <c r="J99" s="100">
        <v>0.19</v>
      </c>
      <c r="K99" s="100">
        <v>145.19999999999999</v>
      </c>
      <c r="L99" s="100">
        <v>21.22</v>
      </c>
      <c r="M99" s="100">
        <v>72.900000000000006</v>
      </c>
      <c r="N99" s="100">
        <v>0</v>
      </c>
      <c r="O99" s="100">
        <v>0</v>
      </c>
      <c r="P99" s="100">
        <v>1.24</v>
      </c>
      <c r="Q99" s="100">
        <v>5.47</v>
      </c>
    </row>
    <row r="100" spans="1:22" customFormat="1">
      <c r="A100" s="70" t="s">
        <v>1386</v>
      </c>
      <c r="B100" s="100">
        <v>61.29</v>
      </c>
      <c r="C100" s="100">
        <v>34.35</v>
      </c>
      <c r="D100" s="100">
        <v>68.44</v>
      </c>
      <c r="E100" s="100">
        <v>9.34</v>
      </c>
      <c r="F100" s="100">
        <v>2.33</v>
      </c>
      <c r="G100" s="100">
        <v>126.53</v>
      </c>
      <c r="H100" s="100">
        <v>42.22</v>
      </c>
      <c r="I100" s="100">
        <v>10.94</v>
      </c>
      <c r="J100" s="100">
        <v>0.95</v>
      </c>
      <c r="K100" s="100">
        <v>58.25</v>
      </c>
      <c r="L100" s="100">
        <v>21.59</v>
      </c>
      <c r="M100" s="100">
        <v>67.69</v>
      </c>
      <c r="N100" s="100">
        <v>0</v>
      </c>
      <c r="O100" s="100">
        <v>0</v>
      </c>
      <c r="P100" s="100">
        <v>1.25</v>
      </c>
      <c r="Q100" s="100">
        <v>5.49</v>
      </c>
    </row>
    <row r="101" spans="1:22" customFormat="1">
      <c r="A101" s="70" t="s">
        <v>1387</v>
      </c>
      <c r="B101" s="100">
        <v>61.41</v>
      </c>
      <c r="C101" s="100">
        <v>34.630000000000003</v>
      </c>
      <c r="D101" s="100">
        <v>68.69</v>
      </c>
      <c r="E101" s="100">
        <v>9.5500000000000007</v>
      </c>
      <c r="F101" s="100">
        <v>2.27</v>
      </c>
      <c r="G101" s="100">
        <v>135.63</v>
      </c>
      <c r="H101" s="100">
        <v>42.75</v>
      </c>
      <c r="I101" s="100">
        <v>11.19</v>
      </c>
      <c r="J101" s="100">
        <v>0.68</v>
      </c>
      <c r="K101" s="100">
        <v>54.05</v>
      </c>
      <c r="L101" s="100">
        <v>21.95</v>
      </c>
      <c r="M101" s="100">
        <v>63.89</v>
      </c>
      <c r="N101" s="100">
        <v>0</v>
      </c>
      <c r="O101" s="100">
        <v>0</v>
      </c>
      <c r="P101" s="100">
        <v>1.25</v>
      </c>
      <c r="Q101" s="100">
        <v>5.51</v>
      </c>
    </row>
    <row r="102" spans="1:22" customFormat="1">
      <c r="A102" s="70" t="s">
        <v>1388</v>
      </c>
      <c r="B102" s="100">
        <v>59.74</v>
      </c>
      <c r="C102" s="100">
        <v>34.35</v>
      </c>
      <c r="D102" s="100">
        <v>67.209999999999994</v>
      </c>
      <c r="E102" s="100">
        <v>9.61</v>
      </c>
      <c r="F102" s="100">
        <v>2.35</v>
      </c>
      <c r="G102" s="100">
        <v>135.63</v>
      </c>
      <c r="H102" s="100">
        <v>42.75</v>
      </c>
      <c r="I102" s="100">
        <v>11.29</v>
      </c>
      <c r="J102" s="100">
        <v>0.01</v>
      </c>
      <c r="K102" s="100">
        <v>153.21</v>
      </c>
      <c r="L102" s="100">
        <v>21.64</v>
      </c>
      <c r="M102" s="100">
        <v>66.13</v>
      </c>
      <c r="N102" s="100">
        <v>0</v>
      </c>
      <c r="O102" s="100">
        <v>0</v>
      </c>
      <c r="P102" s="100">
        <v>1.22</v>
      </c>
      <c r="Q102" s="100">
        <v>5.47</v>
      </c>
    </row>
    <row r="103" spans="1:22" customFormat="1">
      <c r="A103" s="70" t="s">
        <v>1389</v>
      </c>
      <c r="B103" s="100">
        <v>57.36</v>
      </c>
      <c r="C103" s="100">
        <v>34.4</v>
      </c>
      <c r="D103" s="100">
        <v>65.319999999999993</v>
      </c>
      <c r="E103" s="100">
        <v>9.76</v>
      </c>
      <c r="F103" s="100">
        <v>2.38</v>
      </c>
      <c r="G103" s="100">
        <v>135.63</v>
      </c>
      <c r="H103" s="100">
        <v>42.75</v>
      </c>
      <c r="I103" s="100">
        <v>11.25</v>
      </c>
      <c r="J103" s="100">
        <v>0.18</v>
      </c>
      <c r="K103" s="100">
        <v>147.12</v>
      </c>
      <c r="L103" s="100">
        <v>20.92</v>
      </c>
      <c r="M103" s="100">
        <v>69.599999999999994</v>
      </c>
      <c r="N103" s="100">
        <v>0</v>
      </c>
      <c r="O103" s="100">
        <v>0</v>
      </c>
      <c r="P103" s="100">
        <v>1.19</v>
      </c>
      <c r="Q103" s="100">
        <v>5.45</v>
      </c>
    </row>
    <row r="104" spans="1:22" customFormat="1">
      <c r="A104" s="70" t="s">
        <v>1390</v>
      </c>
      <c r="B104" s="100">
        <v>55.45</v>
      </c>
      <c r="C104" s="100">
        <v>34.4</v>
      </c>
      <c r="D104" s="100">
        <v>63.8</v>
      </c>
      <c r="E104" s="100">
        <v>9.44</v>
      </c>
      <c r="F104" s="100">
        <v>2.23</v>
      </c>
      <c r="G104" s="100">
        <v>132.75</v>
      </c>
      <c r="H104" s="100">
        <v>42.89</v>
      </c>
      <c r="I104" s="100">
        <v>11.14</v>
      </c>
      <c r="J104" s="100">
        <v>0.31</v>
      </c>
      <c r="K104" s="100">
        <v>64.400000000000006</v>
      </c>
      <c r="L104" s="100">
        <v>20.63</v>
      </c>
      <c r="M104" s="100">
        <v>69.37</v>
      </c>
      <c r="N104" s="100">
        <v>0</v>
      </c>
      <c r="O104" s="100">
        <v>0</v>
      </c>
      <c r="P104" s="100">
        <v>1.18</v>
      </c>
      <c r="Q104" s="100">
        <v>5.42</v>
      </c>
    </row>
    <row r="106" spans="1:22">
      <c r="A106" s="156" t="s">
        <v>48</v>
      </c>
      <c r="B106" s="157">
        <f>MIN(B9:B104)</f>
        <v>6.18</v>
      </c>
      <c r="C106" s="157">
        <f>MIN(C9:C104)</f>
        <v>16.309999999999999</v>
      </c>
      <c r="D106" s="157">
        <f t="shared" ref="D106:Q106" si="0">MIN(D9:D104)</f>
        <v>16.239999999999998</v>
      </c>
      <c r="E106" s="157">
        <f t="shared" si="0"/>
        <v>6.34</v>
      </c>
      <c r="F106" s="157">
        <f t="shared" si="0"/>
        <v>2.13</v>
      </c>
      <c r="G106" s="157">
        <f t="shared" si="0"/>
        <v>47.47</v>
      </c>
      <c r="H106" s="157">
        <f t="shared" si="0"/>
        <v>20.96</v>
      </c>
      <c r="I106" s="157">
        <f t="shared" si="0"/>
        <v>6.16</v>
      </c>
      <c r="J106" s="157">
        <f t="shared" si="0"/>
        <v>0.01</v>
      </c>
      <c r="K106" s="157">
        <f t="shared" si="0"/>
        <v>6.86</v>
      </c>
      <c r="L106" s="157">
        <f t="shared" si="0"/>
        <v>17.03</v>
      </c>
      <c r="M106" s="157">
        <f t="shared" si="0"/>
        <v>37.630000000000003</v>
      </c>
      <c r="N106" s="157">
        <f t="shared" si="0"/>
        <v>0</v>
      </c>
      <c r="O106" s="157">
        <f t="shared" si="0"/>
        <v>0</v>
      </c>
      <c r="P106" s="157">
        <f t="shared" si="0"/>
        <v>0.51</v>
      </c>
      <c r="Q106" s="157">
        <f t="shared" si="0"/>
        <v>4.75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61.41</v>
      </c>
      <c r="C107" s="156">
        <f t="shared" ref="C107:Q107" si="1">MAX(C9:C104)</f>
        <v>34.630000000000003</v>
      </c>
      <c r="D107" s="156">
        <f t="shared" si="1"/>
        <v>68.69</v>
      </c>
      <c r="E107" s="156">
        <f t="shared" si="1"/>
        <v>11.53</v>
      </c>
      <c r="F107" s="156">
        <f t="shared" si="1"/>
        <v>5.77</v>
      </c>
      <c r="G107" s="156">
        <f t="shared" si="1"/>
        <v>135.63</v>
      </c>
      <c r="H107" s="156">
        <f t="shared" si="1"/>
        <v>42.89</v>
      </c>
      <c r="I107" s="156">
        <f t="shared" si="1"/>
        <v>11.29</v>
      </c>
      <c r="J107" s="156">
        <f t="shared" si="1"/>
        <v>1.39</v>
      </c>
      <c r="K107" s="156">
        <f t="shared" si="1"/>
        <v>341.48</v>
      </c>
      <c r="L107" s="156">
        <f t="shared" si="1"/>
        <v>29.77</v>
      </c>
      <c r="M107" s="156">
        <f t="shared" si="1"/>
        <v>88.94</v>
      </c>
      <c r="N107" s="156">
        <f t="shared" si="1"/>
        <v>418</v>
      </c>
      <c r="O107" s="156">
        <f t="shared" si="1"/>
        <v>0</v>
      </c>
      <c r="P107" s="156">
        <f t="shared" si="1"/>
        <v>1.25</v>
      </c>
      <c r="Q107" s="156">
        <f t="shared" si="1"/>
        <v>5.51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22.803229166666672</v>
      </c>
      <c r="C108" s="157">
        <f t="shared" ref="C108:Q108" si="2">AVERAGE(C9:C104)</f>
        <v>25.41885416666668</v>
      </c>
      <c r="D108" s="157">
        <f t="shared" si="2"/>
        <v>32.917916666666663</v>
      </c>
      <c r="E108" s="157">
        <f t="shared" si="2"/>
        <v>8.9700000000000006</v>
      </c>
      <c r="F108" s="157">
        <f t="shared" si="2"/>
        <v>2.6229166666666672</v>
      </c>
      <c r="G108" s="157">
        <f t="shared" si="2"/>
        <v>79.207916666666691</v>
      </c>
      <c r="H108" s="157">
        <f t="shared" si="2"/>
        <v>30.827812499999993</v>
      </c>
      <c r="I108" s="157">
        <f t="shared" si="2"/>
        <v>8.2193750000000012</v>
      </c>
      <c r="J108" s="157">
        <f t="shared" si="2"/>
        <v>0.37760416666666657</v>
      </c>
      <c r="K108" s="157">
        <f t="shared" si="2"/>
        <v>119.32885416666664</v>
      </c>
      <c r="L108" s="157">
        <f t="shared" si="2"/>
        <v>22.551562499999999</v>
      </c>
      <c r="M108" s="157">
        <f t="shared" si="2"/>
        <v>63.964270833333359</v>
      </c>
      <c r="N108" s="157">
        <f t="shared" si="2"/>
        <v>86.348958333333357</v>
      </c>
      <c r="O108" s="157">
        <f t="shared" si="2"/>
        <v>0</v>
      </c>
      <c r="P108" s="157">
        <f t="shared" si="2"/>
        <v>0.74604166666666705</v>
      </c>
      <c r="Q108" s="157">
        <f t="shared" si="2"/>
        <v>5.0421874999999998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13.321695205450746</v>
      </c>
      <c r="C109" s="157">
        <f t="shared" ref="C109:Q109" si="3">STDEV(C9:C104)</f>
        <v>4.3548786604139815</v>
      </c>
      <c r="D109" s="157">
        <f t="shared" si="3"/>
        <v>12.502621276033659</v>
      </c>
      <c r="E109" s="157">
        <f t="shared" si="3"/>
        <v>1.0776299530866194</v>
      </c>
      <c r="F109" s="157">
        <f t="shared" si="3"/>
        <v>0.61797618190631465</v>
      </c>
      <c r="G109" s="157">
        <f t="shared" si="3"/>
        <v>23.705404088149358</v>
      </c>
      <c r="H109" s="157">
        <f t="shared" si="3"/>
        <v>6.2994255716609331</v>
      </c>
      <c r="I109" s="157">
        <f t="shared" si="3"/>
        <v>1.3602397718204351</v>
      </c>
      <c r="J109" s="157">
        <f t="shared" si="3"/>
        <v>0.34378924018454493</v>
      </c>
      <c r="K109" s="157">
        <f t="shared" si="3"/>
        <v>69.601100216195078</v>
      </c>
      <c r="L109" s="157">
        <f t="shared" si="3"/>
        <v>3.8408297700325376</v>
      </c>
      <c r="M109" s="157">
        <f t="shared" si="3"/>
        <v>16.591444259636013</v>
      </c>
      <c r="N109" s="157">
        <f t="shared" si="3"/>
        <v>141.93152759418641</v>
      </c>
      <c r="O109" s="157">
        <f t="shared" si="3"/>
        <v>0</v>
      </c>
      <c r="P109" s="157">
        <f t="shared" si="3"/>
        <v>0.19785416834078554</v>
      </c>
      <c r="Q109" s="157">
        <f t="shared" si="3"/>
        <v>0.17387959006768236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0" t="s">
        <v>1391</v>
      </c>
      <c r="B9" s="100">
        <v>53.95</v>
      </c>
      <c r="C9" s="100">
        <v>31.99</v>
      </c>
      <c r="D9" s="100">
        <v>61.33</v>
      </c>
      <c r="E9" s="100">
        <v>9.74</v>
      </c>
      <c r="F9" s="100">
        <v>2.2799999999999998</v>
      </c>
      <c r="G9" s="100">
        <v>120.37</v>
      </c>
      <c r="H9" s="100">
        <v>43.59</v>
      </c>
      <c r="I9" s="100">
        <v>11.01</v>
      </c>
      <c r="J9" s="100">
        <v>0.19</v>
      </c>
      <c r="K9" s="100">
        <v>88.33</v>
      </c>
      <c r="L9" s="100">
        <v>20.61</v>
      </c>
      <c r="M9" s="100">
        <v>66.349999999999994</v>
      </c>
      <c r="N9" s="100">
        <v>0</v>
      </c>
      <c r="O9" s="100">
        <v>0</v>
      </c>
      <c r="P9" s="100">
        <v>1.1499999999999999</v>
      </c>
      <c r="Q9" s="100">
        <v>5.42</v>
      </c>
    </row>
    <row r="10" spans="1:21" customFormat="1">
      <c r="A10" s="70" t="s">
        <v>1392</v>
      </c>
      <c r="B10" s="100">
        <v>52.26</v>
      </c>
      <c r="C10" s="100">
        <v>33.74</v>
      </c>
      <c r="D10" s="100">
        <v>60.89</v>
      </c>
      <c r="E10" s="100">
        <v>10.3</v>
      </c>
      <c r="F10" s="100">
        <v>2.21</v>
      </c>
      <c r="G10" s="100">
        <v>120.37</v>
      </c>
      <c r="H10" s="100">
        <v>43.59</v>
      </c>
      <c r="I10" s="100">
        <v>10.85</v>
      </c>
      <c r="J10" s="100">
        <v>0.15</v>
      </c>
      <c r="K10" s="100">
        <v>109.2</v>
      </c>
      <c r="L10" s="100">
        <v>20.36</v>
      </c>
      <c r="M10" s="100">
        <v>65.42</v>
      </c>
      <c r="N10" s="100">
        <v>0</v>
      </c>
      <c r="O10" s="100">
        <v>0</v>
      </c>
      <c r="P10" s="100">
        <v>1.1299999999999999</v>
      </c>
      <c r="Q10" s="100">
        <v>5.4</v>
      </c>
    </row>
    <row r="11" spans="1:21" customFormat="1">
      <c r="A11" s="70" t="s">
        <v>1393</v>
      </c>
      <c r="B11" s="100">
        <v>50.07</v>
      </c>
      <c r="C11" s="100">
        <v>33.700000000000003</v>
      </c>
      <c r="D11" s="100">
        <v>59.11</v>
      </c>
      <c r="E11" s="100">
        <v>9.32</v>
      </c>
      <c r="F11" s="100">
        <v>2.2200000000000002</v>
      </c>
      <c r="G11" s="100">
        <v>120.37</v>
      </c>
      <c r="H11" s="100">
        <v>43.59</v>
      </c>
      <c r="I11" s="100">
        <v>10.7</v>
      </c>
      <c r="J11" s="100">
        <v>0.11</v>
      </c>
      <c r="K11" s="100">
        <v>192.56</v>
      </c>
      <c r="L11" s="100">
        <v>19.8</v>
      </c>
      <c r="M11" s="100">
        <v>67.56</v>
      </c>
      <c r="N11" s="100">
        <v>0</v>
      </c>
      <c r="O11" s="100">
        <v>0</v>
      </c>
      <c r="P11" s="100">
        <v>1.0900000000000001</v>
      </c>
      <c r="Q11" s="100">
        <v>5.37</v>
      </c>
    </row>
    <row r="12" spans="1:21" customFormat="1">
      <c r="A12" s="70" t="s">
        <v>1394</v>
      </c>
      <c r="B12" s="100">
        <v>47.6</v>
      </c>
      <c r="C12" s="100">
        <v>34.299999999999997</v>
      </c>
      <c r="D12" s="100">
        <v>57.44</v>
      </c>
      <c r="E12" s="100">
        <v>9.76</v>
      </c>
      <c r="F12" s="100">
        <v>2.31</v>
      </c>
      <c r="G12" s="100">
        <v>116.71</v>
      </c>
      <c r="H12" s="100">
        <v>41.51</v>
      </c>
      <c r="I12" s="100">
        <v>10.55</v>
      </c>
      <c r="J12" s="100">
        <v>0.24</v>
      </c>
      <c r="K12" s="100">
        <v>52.5</v>
      </c>
      <c r="L12" s="100">
        <v>19.190000000000001</v>
      </c>
      <c r="M12" s="100">
        <v>72.650000000000006</v>
      </c>
      <c r="N12" s="100">
        <v>0</v>
      </c>
      <c r="O12" s="100">
        <v>0</v>
      </c>
      <c r="P12" s="100">
        <v>1.07</v>
      </c>
      <c r="Q12" s="100">
        <v>5.33</v>
      </c>
    </row>
    <row r="13" spans="1:21" customFormat="1">
      <c r="A13" s="70" t="s">
        <v>1395</v>
      </c>
      <c r="B13" s="100">
        <v>46.25</v>
      </c>
      <c r="C13" s="100">
        <v>31.99</v>
      </c>
      <c r="D13" s="100">
        <v>55.16</v>
      </c>
      <c r="E13" s="100">
        <v>9.58</v>
      </c>
      <c r="F13" s="100">
        <v>2.44</v>
      </c>
      <c r="G13" s="100">
        <v>101.02</v>
      </c>
      <c r="H13" s="100">
        <v>35.020000000000003</v>
      </c>
      <c r="I13" s="100">
        <v>10.37</v>
      </c>
      <c r="J13" s="100">
        <v>0.21</v>
      </c>
      <c r="K13" s="100">
        <v>100.4</v>
      </c>
      <c r="L13" s="100">
        <v>19.11</v>
      </c>
      <c r="M13" s="100">
        <v>70.2</v>
      </c>
      <c r="N13" s="100">
        <v>0</v>
      </c>
      <c r="O13" s="100">
        <v>0</v>
      </c>
      <c r="P13" s="100">
        <v>1.04</v>
      </c>
      <c r="Q13" s="100">
        <v>5.29</v>
      </c>
    </row>
    <row r="14" spans="1:21" customFormat="1">
      <c r="A14" s="70" t="s">
        <v>1396</v>
      </c>
      <c r="B14" s="100">
        <v>45.3</v>
      </c>
      <c r="C14" s="100">
        <v>28.52</v>
      </c>
      <c r="D14" s="100">
        <v>52.58</v>
      </c>
      <c r="E14" s="100">
        <v>9.5500000000000007</v>
      </c>
      <c r="F14" s="100">
        <v>2.65</v>
      </c>
      <c r="G14" s="100">
        <v>101.02</v>
      </c>
      <c r="H14" s="100">
        <v>35.020000000000003</v>
      </c>
      <c r="I14" s="100">
        <v>10.19</v>
      </c>
      <c r="J14" s="100">
        <v>0.13</v>
      </c>
      <c r="K14" s="100">
        <v>114.14</v>
      </c>
      <c r="L14" s="100">
        <v>18.66</v>
      </c>
      <c r="M14" s="100">
        <v>73.14</v>
      </c>
      <c r="N14" s="100">
        <v>0</v>
      </c>
      <c r="O14" s="100">
        <v>0</v>
      </c>
      <c r="P14" s="100">
        <v>1</v>
      </c>
      <c r="Q14" s="100">
        <v>5.29</v>
      </c>
    </row>
    <row r="15" spans="1:21" customFormat="1">
      <c r="A15" s="70" t="s">
        <v>1397</v>
      </c>
      <c r="B15" s="100">
        <v>44.57</v>
      </c>
      <c r="C15" s="100">
        <v>26.13</v>
      </c>
      <c r="D15" s="100">
        <v>50.75</v>
      </c>
      <c r="E15" s="100">
        <v>8.76</v>
      </c>
      <c r="F15" s="100">
        <v>2.56</v>
      </c>
      <c r="G15" s="100">
        <v>101.02</v>
      </c>
      <c r="H15" s="100">
        <v>35.020000000000003</v>
      </c>
      <c r="I15" s="100">
        <v>10.01</v>
      </c>
      <c r="J15" s="100">
        <v>0.14000000000000001</v>
      </c>
      <c r="K15" s="100">
        <v>100.15</v>
      </c>
      <c r="L15" s="100">
        <v>18.440000000000001</v>
      </c>
      <c r="M15" s="100">
        <v>74.290000000000006</v>
      </c>
      <c r="N15" s="100">
        <v>0</v>
      </c>
      <c r="O15" s="100">
        <v>0</v>
      </c>
      <c r="P15" s="100">
        <v>0.97</v>
      </c>
      <c r="Q15" s="100">
        <v>5.28</v>
      </c>
    </row>
    <row r="16" spans="1:21" customFormat="1">
      <c r="A16" s="70" t="s">
        <v>1398</v>
      </c>
      <c r="B16" s="100">
        <v>43.9</v>
      </c>
      <c r="C16" s="100">
        <v>25.58</v>
      </c>
      <c r="D16" s="100">
        <v>49.92</v>
      </c>
      <c r="E16" s="100">
        <v>8.69</v>
      </c>
      <c r="F16" s="100">
        <v>2.37</v>
      </c>
      <c r="G16" s="100">
        <v>99.98</v>
      </c>
      <c r="H16" s="100">
        <v>34.64</v>
      </c>
      <c r="I16" s="100">
        <v>9.86</v>
      </c>
      <c r="J16" s="100">
        <v>0.08</v>
      </c>
      <c r="K16" s="100">
        <v>172.25</v>
      </c>
      <c r="L16" s="100">
        <v>18.059999999999999</v>
      </c>
      <c r="M16" s="100">
        <v>77.2</v>
      </c>
      <c r="N16" s="100">
        <v>0</v>
      </c>
      <c r="O16" s="100">
        <v>0</v>
      </c>
      <c r="P16" s="100">
        <v>0.95</v>
      </c>
      <c r="Q16" s="100">
        <v>5.28</v>
      </c>
    </row>
    <row r="17" spans="1:17" customFormat="1">
      <c r="A17" s="70" t="s">
        <v>1399</v>
      </c>
      <c r="B17" s="100">
        <v>42.93</v>
      </c>
      <c r="C17" s="100">
        <v>26.06</v>
      </c>
      <c r="D17" s="100">
        <v>49.39</v>
      </c>
      <c r="E17" s="100">
        <v>7.22</v>
      </c>
      <c r="F17" s="100">
        <v>2.2999999999999998</v>
      </c>
      <c r="G17" s="100">
        <v>95.55</v>
      </c>
      <c r="H17" s="100">
        <v>33.46</v>
      </c>
      <c r="I17" s="100">
        <v>9.74</v>
      </c>
      <c r="J17" s="100">
        <v>0.09</v>
      </c>
      <c r="K17" s="100">
        <v>90.57</v>
      </c>
      <c r="L17" s="100">
        <v>17.86</v>
      </c>
      <c r="M17" s="100">
        <v>77.19</v>
      </c>
      <c r="N17" s="100">
        <v>0</v>
      </c>
      <c r="O17" s="100">
        <v>0</v>
      </c>
      <c r="P17" s="100">
        <v>0.93</v>
      </c>
      <c r="Q17" s="100">
        <v>5.27</v>
      </c>
    </row>
    <row r="18" spans="1:17" customFormat="1">
      <c r="A18" s="70" t="s">
        <v>1400</v>
      </c>
      <c r="B18" s="100">
        <v>41.9</v>
      </c>
      <c r="C18" s="100">
        <v>27.05</v>
      </c>
      <c r="D18" s="100">
        <v>49.09</v>
      </c>
      <c r="E18" s="100">
        <v>8.5500000000000007</v>
      </c>
      <c r="F18" s="100">
        <v>2.33</v>
      </c>
      <c r="G18" s="100">
        <v>95.55</v>
      </c>
      <c r="H18" s="100">
        <v>33.46</v>
      </c>
      <c r="I18" s="100">
        <v>9.6300000000000008</v>
      </c>
      <c r="J18" s="100">
        <v>0.11</v>
      </c>
      <c r="K18" s="100">
        <v>97.95</v>
      </c>
      <c r="L18" s="100">
        <v>18.11</v>
      </c>
      <c r="M18" s="100">
        <v>73.569999999999993</v>
      </c>
      <c r="N18" s="100">
        <v>0</v>
      </c>
      <c r="O18" s="100">
        <v>0</v>
      </c>
      <c r="P18" s="100">
        <v>0.93</v>
      </c>
      <c r="Q18" s="100">
        <v>5.27</v>
      </c>
    </row>
    <row r="19" spans="1:17" customFormat="1">
      <c r="A19" s="70" t="s">
        <v>1401</v>
      </c>
      <c r="B19" s="100">
        <v>41.6</v>
      </c>
      <c r="C19" s="100">
        <v>27.35</v>
      </c>
      <c r="D19" s="100">
        <v>49</v>
      </c>
      <c r="E19" s="100">
        <v>8.27</v>
      </c>
      <c r="F19" s="100">
        <v>2.36</v>
      </c>
      <c r="G19" s="100">
        <v>95.55</v>
      </c>
      <c r="H19" s="100">
        <v>33.46</v>
      </c>
      <c r="I19" s="100">
        <v>9.5500000000000007</v>
      </c>
      <c r="J19" s="100">
        <v>0.09</v>
      </c>
      <c r="K19" s="100">
        <v>244.95</v>
      </c>
      <c r="L19" s="100">
        <v>17.559999999999999</v>
      </c>
      <c r="M19" s="100">
        <v>79.08</v>
      </c>
      <c r="N19" s="100">
        <v>0</v>
      </c>
      <c r="O19" s="100">
        <v>0</v>
      </c>
      <c r="P19" s="100">
        <v>0.92</v>
      </c>
      <c r="Q19" s="100">
        <v>5.27</v>
      </c>
    </row>
    <row r="20" spans="1:17" customFormat="1">
      <c r="A20" s="70" t="s">
        <v>1402</v>
      </c>
      <c r="B20" s="100">
        <v>41.97</v>
      </c>
      <c r="C20" s="100">
        <v>27.45</v>
      </c>
      <c r="D20" s="100">
        <v>49.35</v>
      </c>
      <c r="E20" s="100">
        <v>8.65</v>
      </c>
      <c r="F20" s="100">
        <v>2.29</v>
      </c>
      <c r="G20" s="100">
        <v>97.57</v>
      </c>
      <c r="H20" s="100">
        <v>33.71</v>
      </c>
      <c r="I20" s="100">
        <v>9.48</v>
      </c>
      <c r="J20" s="100">
        <v>0.04</v>
      </c>
      <c r="K20" s="100">
        <v>183.81</v>
      </c>
      <c r="L20" s="100">
        <v>17.21</v>
      </c>
      <c r="M20" s="100">
        <v>79.44</v>
      </c>
      <c r="N20" s="100">
        <v>0</v>
      </c>
      <c r="O20" s="100">
        <v>0</v>
      </c>
      <c r="P20" s="100">
        <v>0.9</v>
      </c>
      <c r="Q20" s="100">
        <v>5.31</v>
      </c>
    </row>
    <row r="21" spans="1:17" customFormat="1">
      <c r="A21" s="70" t="s">
        <v>1403</v>
      </c>
      <c r="B21" s="100">
        <v>42.84</v>
      </c>
      <c r="C21" s="100">
        <v>27.21</v>
      </c>
      <c r="D21" s="100">
        <v>49.92</v>
      </c>
      <c r="E21" s="100">
        <v>8.27</v>
      </c>
      <c r="F21" s="100">
        <v>2.31</v>
      </c>
      <c r="G21" s="100">
        <v>106.23</v>
      </c>
      <c r="H21" s="100">
        <v>34.51</v>
      </c>
      <c r="I21" s="100">
        <v>9.4</v>
      </c>
      <c r="J21" s="100">
        <v>0.05</v>
      </c>
      <c r="K21" s="100">
        <v>213.42</v>
      </c>
      <c r="L21" s="100">
        <v>17.170000000000002</v>
      </c>
      <c r="M21" s="100">
        <v>78.760000000000005</v>
      </c>
      <c r="N21" s="100">
        <v>0</v>
      </c>
      <c r="O21" s="100">
        <v>0</v>
      </c>
      <c r="P21" s="100">
        <v>0.89</v>
      </c>
      <c r="Q21" s="100">
        <v>5.34</v>
      </c>
    </row>
    <row r="22" spans="1:17" customFormat="1">
      <c r="A22" s="70" t="s">
        <v>1404</v>
      </c>
      <c r="B22" s="100">
        <v>42.97</v>
      </c>
      <c r="C22" s="100">
        <v>26.99</v>
      </c>
      <c r="D22" s="100">
        <v>49.91</v>
      </c>
      <c r="E22" s="100">
        <v>7.99</v>
      </c>
      <c r="F22" s="100">
        <v>2.41</v>
      </c>
      <c r="G22" s="100">
        <v>106.23</v>
      </c>
      <c r="H22" s="100">
        <v>34.51</v>
      </c>
      <c r="I22" s="100">
        <v>9.3000000000000007</v>
      </c>
      <c r="J22" s="100">
        <v>0.15</v>
      </c>
      <c r="K22" s="100">
        <v>185.04</v>
      </c>
      <c r="L22" s="100">
        <v>17.04</v>
      </c>
      <c r="M22" s="100">
        <v>80.95</v>
      </c>
      <c r="N22" s="100">
        <v>0</v>
      </c>
      <c r="O22" s="100">
        <v>0</v>
      </c>
      <c r="P22" s="100">
        <v>0.87</v>
      </c>
      <c r="Q22" s="100">
        <v>5.33</v>
      </c>
    </row>
    <row r="23" spans="1:17" customFormat="1">
      <c r="A23" s="70" t="s">
        <v>1405</v>
      </c>
      <c r="B23" s="100">
        <v>42.17</v>
      </c>
      <c r="C23" s="100">
        <v>26.58</v>
      </c>
      <c r="D23" s="100">
        <v>49.05</v>
      </c>
      <c r="E23" s="100">
        <v>7.74</v>
      </c>
      <c r="F23" s="100">
        <v>2.31</v>
      </c>
      <c r="G23" s="100">
        <v>106.23</v>
      </c>
      <c r="H23" s="100">
        <v>34.51</v>
      </c>
      <c r="I23" s="100">
        <v>9.23</v>
      </c>
      <c r="J23" s="100">
        <v>0.14000000000000001</v>
      </c>
      <c r="K23" s="100">
        <v>191.41</v>
      </c>
      <c r="L23" s="100">
        <v>16.739999999999998</v>
      </c>
      <c r="M23" s="100">
        <v>85.46</v>
      </c>
      <c r="N23" s="100">
        <v>0</v>
      </c>
      <c r="O23" s="100">
        <v>0</v>
      </c>
      <c r="P23" s="100">
        <v>0.85</v>
      </c>
      <c r="Q23" s="100">
        <v>5.32</v>
      </c>
    </row>
    <row r="24" spans="1:17" customFormat="1">
      <c r="A24" s="70" t="s">
        <v>1406</v>
      </c>
      <c r="B24" s="100">
        <v>40.96</v>
      </c>
      <c r="C24" s="100">
        <v>24.69</v>
      </c>
      <c r="D24" s="100">
        <v>47.1</v>
      </c>
      <c r="E24" s="100">
        <v>7.93</v>
      </c>
      <c r="F24" s="100">
        <v>2.62</v>
      </c>
      <c r="G24" s="100">
        <v>104.79</v>
      </c>
      <c r="H24" s="100">
        <v>35.1</v>
      </c>
      <c r="I24" s="100">
        <v>9.14</v>
      </c>
      <c r="J24" s="100">
        <v>0.25</v>
      </c>
      <c r="K24" s="100">
        <v>183.52</v>
      </c>
      <c r="L24" s="100">
        <v>16.39</v>
      </c>
      <c r="M24" s="100">
        <v>88.19</v>
      </c>
      <c r="N24" s="100">
        <v>0</v>
      </c>
      <c r="O24" s="100">
        <v>0</v>
      </c>
      <c r="P24" s="100">
        <v>0.83</v>
      </c>
      <c r="Q24" s="100">
        <v>5.31</v>
      </c>
    </row>
    <row r="25" spans="1:17" customFormat="1">
      <c r="A25" s="70" t="s">
        <v>1407</v>
      </c>
      <c r="B25" s="100">
        <v>39.19</v>
      </c>
      <c r="C25" s="100">
        <v>24.65</v>
      </c>
      <c r="D25" s="100">
        <v>45.66</v>
      </c>
      <c r="E25" s="100">
        <v>7.82</v>
      </c>
      <c r="F25" s="100">
        <v>2.48</v>
      </c>
      <c r="G25" s="100">
        <v>98.6</v>
      </c>
      <c r="H25" s="100">
        <v>36.96</v>
      </c>
      <c r="I25" s="100">
        <v>9.02</v>
      </c>
      <c r="J25" s="100">
        <v>0.15</v>
      </c>
      <c r="K25" s="100">
        <v>197</v>
      </c>
      <c r="L25" s="100">
        <v>16.04</v>
      </c>
      <c r="M25" s="100">
        <v>87.69</v>
      </c>
      <c r="N25" s="100">
        <v>0</v>
      </c>
      <c r="O25" s="100">
        <v>0</v>
      </c>
      <c r="P25" s="100">
        <v>0.81</v>
      </c>
      <c r="Q25" s="100">
        <v>5.29</v>
      </c>
    </row>
    <row r="26" spans="1:17" customFormat="1">
      <c r="A26" s="70" t="s">
        <v>1408</v>
      </c>
      <c r="B26" s="100">
        <v>37.43</v>
      </c>
      <c r="C26" s="100">
        <v>24.16</v>
      </c>
      <c r="D26" s="100">
        <v>43.99</v>
      </c>
      <c r="E26" s="100">
        <v>7.79</v>
      </c>
      <c r="F26" s="100">
        <v>2.41</v>
      </c>
      <c r="G26" s="100">
        <v>98.6</v>
      </c>
      <c r="H26" s="100">
        <v>36.96</v>
      </c>
      <c r="I26" s="100">
        <v>8.91</v>
      </c>
      <c r="J26" s="100">
        <v>0.1</v>
      </c>
      <c r="K26" s="100">
        <v>186.09</v>
      </c>
      <c r="L26" s="100">
        <v>15.91</v>
      </c>
      <c r="M26" s="100">
        <v>87.27</v>
      </c>
      <c r="N26" s="100">
        <v>0</v>
      </c>
      <c r="O26" s="100">
        <v>0</v>
      </c>
      <c r="P26" s="100">
        <v>0.79</v>
      </c>
      <c r="Q26" s="100">
        <v>5.27</v>
      </c>
    </row>
    <row r="27" spans="1:17" customFormat="1">
      <c r="A27" s="70" t="s">
        <v>1409</v>
      </c>
      <c r="B27" s="100">
        <v>35.64</v>
      </c>
      <c r="C27" s="100">
        <v>24.91</v>
      </c>
      <c r="D27" s="100">
        <v>42.95</v>
      </c>
      <c r="E27" s="100">
        <v>7.82</v>
      </c>
      <c r="F27" s="100">
        <v>2.21</v>
      </c>
      <c r="G27" s="100">
        <v>98.6</v>
      </c>
      <c r="H27" s="100">
        <v>36.96</v>
      </c>
      <c r="I27" s="100">
        <v>8.83</v>
      </c>
      <c r="J27" s="100">
        <v>0.22</v>
      </c>
      <c r="K27" s="100">
        <v>192.72</v>
      </c>
      <c r="L27" s="100">
        <v>15.94</v>
      </c>
      <c r="M27" s="100">
        <v>87.89</v>
      </c>
      <c r="N27" s="100">
        <v>0</v>
      </c>
      <c r="O27" s="100">
        <v>0</v>
      </c>
      <c r="P27" s="100">
        <v>0.77</v>
      </c>
      <c r="Q27" s="100">
        <v>5.27</v>
      </c>
    </row>
    <row r="28" spans="1:17" customFormat="1">
      <c r="A28" s="70" t="s">
        <v>1410</v>
      </c>
      <c r="B28" s="100">
        <v>34.049999999999997</v>
      </c>
      <c r="C28" s="100">
        <v>23.52</v>
      </c>
      <c r="D28" s="100">
        <v>40.950000000000003</v>
      </c>
      <c r="E28" s="100">
        <v>8.06</v>
      </c>
      <c r="F28" s="100">
        <v>2.29</v>
      </c>
      <c r="G28" s="100">
        <v>96.39</v>
      </c>
      <c r="H28" s="100">
        <v>35.35</v>
      </c>
      <c r="I28" s="100">
        <v>8.73</v>
      </c>
      <c r="J28" s="100">
        <v>0.16</v>
      </c>
      <c r="K28" s="100">
        <v>239.43</v>
      </c>
      <c r="L28" s="100">
        <v>15.63</v>
      </c>
      <c r="M28" s="100">
        <v>88.29</v>
      </c>
      <c r="N28" s="100">
        <v>0</v>
      </c>
      <c r="O28" s="100">
        <v>0</v>
      </c>
      <c r="P28" s="100">
        <v>0.75</v>
      </c>
      <c r="Q28" s="100">
        <v>5.24</v>
      </c>
    </row>
    <row r="29" spans="1:17" customFormat="1">
      <c r="A29" s="70" t="s">
        <v>1411</v>
      </c>
      <c r="B29" s="100">
        <v>33.24</v>
      </c>
      <c r="C29" s="100">
        <v>24.28</v>
      </c>
      <c r="D29" s="100">
        <v>40.69</v>
      </c>
      <c r="E29" s="100">
        <v>8.17</v>
      </c>
      <c r="F29" s="100">
        <v>2.2000000000000002</v>
      </c>
      <c r="G29" s="100">
        <v>86.9</v>
      </c>
      <c r="H29" s="100">
        <v>30.31</v>
      </c>
      <c r="I29" s="100">
        <v>8.6300000000000008</v>
      </c>
      <c r="J29" s="100">
        <v>0.13</v>
      </c>
      <c r="K29" s="100">
        <v>139.82</v>
      </c>
      <c r="L29" s="100">
        <v>15.75</v>
      </c>
      <c r="M29" s="100">
        <v>87.93</v>
      </c>
      <c r="N29" s="100">
        <v>0</v>
      </c>
      <c r="O29" s="100">
        <v>0</v>
      </c>
      <c r="P29" s="100">
        <v>0.75</v>
      </c>
      <c r="Q29" s="100">
        <v>5.22</v>
      </c>
    </row>
    <row r="30" spans="1:17" customFormat="1">
      <c r="A30" s="70" t="s">
        <v>1412</v>
      </c>
      <c r="B30" s="100">
        <v>32.57</v>
      </c>
      <c r="C30" s="100">
        <v>24.29</v>
      </c>
      <c r="D30" s="100">
        <v>40.159999999999997</v>
      </c>
      <c r="E30" s="100">
        <v>7.9</v>
      </c>
      <c r="F30" s="100">
        <v>2.29</v>
      </c>
      <c r="G30" s="100">
        <v>86.9</v>
      </c>
      <c r="H30" s="100">
        <v>30.31</v>
      </c>
      <c r="I30" s="100">
        <v>8.56</v>
      </c>
      <c r="J30" s="100">
        <v>0.12</v>
      </c>
      <c r="K30" s="100">
        <v>143.19</v>
      </c>
      <c r="L30" s="100">
        <v>15.68</v>
      </c>
      <c r="M30" s="100">
        <v>86.93</v>
      </c>
      <c r="N30" s="100">
        <v>0</v>
      </c>
      <c r="O30" s="100">
        <v>0</v>
      </c>
      <c r="P30" s="100">
        <v>0.74</v>
      </c>
      <c r="Q30" s="100">
        <v>5.2</v>
      </c>
    </row>
    <row r="31" spans="1:17" customFormat="1">
      <c r="A31" s="70" t="s">
        <v>1413</v>
      </c>
      <c r="B31" s="100">
        <v>32.74</v>
      </c>
      <c r="C31" s="100">
        <v>24.91</v>
      </c>
      <c r="D31" s="100">
        <v>40.619999999999997</v>
      </c>
      <c r="E31" s="100">
        <v>8.2899999999999991</v>
      </c>
      <c r="F31" s="100">
        <v>2.13</v>
      </c>
      <c r="G31" s="100">
        <v>86.9</v>
      </c>
      <c r="H31" s="100">
        <v>30.31</v>
      </c>
      <c r="I31" s="100">
        <v>8.56</v>
      </c>
      <c r="J31" s="100">
        <v>0.09</v>
      </c>
      <c r="K31" s="100">
        <v>205.3</v>
      </c>
      <c r="L31" s="100">
        <v>15.83</v>
      </c>
      <c r="M31" s="100">
        <v>84.45</v>
      </c>
      <c r="N31" s="100">
        <v>0</v>
      </c>
      <c r="O31" s="100">
        <v>0</v>
      </c>
      <c r="P31" s="100">
        <v>0.74</v>
      </c>
      <c r="Q31" s="100">
        <v>5.21</v>
      </c>
    </row>
    <row r="32" spans="1:17" customFormat="1">
      <c r="A32" s="70" t="s">
        <v>1414</v>
      </c>
      <c r="B32" s="100">
        <v>36.69</v>
      </c>
      <c r="C32" s="100">
        <v>26.1</v>
      </c>
      <c r="D32" s="100">
        <v>44.41</v>
      </c>
      <c r="E32" s="100">
        <v>8.2100000000000009</v>
      </c>
      <c r="F32" s="100">
        <v>2.11</v>
      </c>
      <c r="G32" s="100">
        <v>85.6</v>
      </c>
      <c r="H32" s="100">
        <v>30.68</v>
      </c>
      <c r="I32" s="100">
        <v>8.52</v>
      </c>
      <c r="J32" s="100">
        <v>0.2</v>
      </c>
      <c r="K32" s="100">
        <v>249.49</v>
      </c>
      <c r="L32" s="100">
        <v>15.75</v>
      </c>
      <c r="M32" s="100">
        <v>85.09</v>
      </c>
      <c r="N32" s="100">
        <v>0</v>
      </c>
      <c r="O32" s="100">
        <v>0</v>
      </c>
      <c r="P32" s="100">
        <v>0.75</v>
      </c>
      <c r="Q32" s="100">
        <v>5.26</v>
      </c>
    </row>
    <row r="33" spans="1:17" customFormat="1">
      <c r="A33" s="70" t="s">
        <v>1415</v>
      </c>
      <c r="B33" s="100">
        <v>41.33</v>
      </c>
      <c r="C33" s="100">
        <v>27.09</v>
      </c>
      <c r="D33" s="100">
        <v>48.65</v>
      </c>
      <c r="E33" s="100">
        <v>8.61</v>
      </c>
      <c r="F33" s="100">
        <v>2.21</v>
      </c>
      <c r="G33" s="100">
        <v>80.02</v>
      </c>
      <c r="H33" s="100">
        <v>32.5</v>
      </c>
      <c r="I33" s="100">
        <v>8.4700000000000006</v>
      </c>
      <c r="J33" s="100">
        <v>0.16</v>
      </c>
      <c r="K33" s="100">
        <v>241.07</v>
      </c>
      <c r="L33" s="100">
        <v>15.53</v>
      </c>
      <c r="M33" s="100">
        <v>85.46</v>
      </c>
      <c r="N33" s="100">
        <v>0</v>
      </c>
      <c r="O33" s="100">
        <v>0</v>
      </c>
      <c r="P33" s="100">
        <v>0.75</v>
      </c>
      <c r="Q33" s="100">
        <v>5.29</v>
      </c>
    </row>
    <row r="34" spans="1:17" customFormat="1">
      <c r="A34" s="70" t="s">
        <v>1416</v>
      </c>
      <c r="B34" s="100">
        <v>46.44</v>
      </c>
      <c r="C34" s="100">
        <v>27.51</v>
      </c>
      <c r="D34" s="100">
        <v>52.97</v>
      </c>
      <c r="E34" s="100">
        <v>8.43</v>
      </c>
      <c r="F34" s="100">
        <v>2.27</v>
      </c>
      <c r="G34" s="100">
        <v>80.02</v>
      </c>
      <c r="H34" s="100">
        <v>32.5</v>
      </c>
      <c r="I34" s="100">
        <v>8.4499999999999993</v>
      </c>
      <c r="J34" s="100">
        <v>0.18</v>
      </c>
      <c r="K34" s="100">
        <v>211.02</v>
      </c>
      <c r="L34" s="100">
        <v>15.52</v>
      </c>
      <c r="M34" s="100">
        <v>87.83</v>
      </c>
      <c r="N34" s="100">
        <v>0</v>
      </c>
      <c r="O34" s="100">
        <v>0</v>
      </c>
      <c r="P34" s="100">
        <v>0.76</v>
      </c>
      <c r="Q34" s="100">
        <v>5.32</v>
      </c>
    </row>
    <row r="35" spans="1:17" customFormat="1">
      <c r="A35" s="70" t="s">
        <v>1417</v>
      </c>
      <c r="B35" s="100">
        <v>48.25</v>
      </c>
      <c r="C35" s="100">
        <v>27.56</v>
      </c>
      <c r="D35" s="100">
        <v>54.44</v>
      </c>
      <c r="E35" s="100">
        <v>8.11</v>
      </c>
      <c r="F35" s="100">
        <v>2.29</v>
      </c>
      <c r="G35" s="100">
        <v>80.02</v>
      </c>
      <c r="H35" s="100">
        <v>32.5</v>
      </c>
      <c r="I35" s="100">
        <v>8.4499999999999993</v>
      </c>
      <c r="J35" s="100">
        <v>0.16</v>
      </c>
      <c r="K35" s="100">
        <v>166.66</v>
      </c>
      <c r="L35" s="100">
        <v>15.48</v>
      </c>
      <c r="M35" s="100">
        <v>89.9</v>
      </c>
      <c r="N35" s="100">
        <v>0</v>
      </c>
      <c r="O35" s="100">
        <v>0</v>
      </c>
      <c r="P35" s="100">
        <v>0.75</v>
      </c>
      <c r="Q35" s="100">
        <v>5.37</v>
      </c>
    </row>
    <row r="36" spans="1:17" customFormat="1">
      <c r="A36" s="70" t="s">
        <v>1418</v>
      </c>
      <c r="B36" s="100">
        <v>46.94</v>
      </c>
      <c r="C36" s="100">
        <v>27.45</v>
      </c>
      <c r="D36" s="100">
        <v>53.34</v>
      </c>
      <c r="E36" s="100">
        <v>8.3000000000000007</v>
      </c>
      <c r="F36" s="100">
        <v>2.31</v>
      </c>
      <c r="G36" s="100">
        <v>79.06</v>
      </c>
      <c r="H36" s="100">
        <v>32.130000000000003</v>
      </c>
      <c r="I36" s="100">
        <v>8.44</v>
      </c>
      <c r="J36" s="100">
        <v>0.13</v>
      </c>
      <c r="K36" s="100">
        <v>159.15</v>
      </c>
      <c r="L36" s="100">
        <v>15.44</v>
      </c>
      <c r="M36" s="100">
        <v>88.5</v>
      </c>
      <c r="N36" s="100">
        <v>3.1</v>
      </c>
      <c r="O36" s="100">
        <v>0</v>
      </c>
      <c r="P36" s="100">
        <v>0.75</v>
      </c>
      <c r="Q36" s="100">
        <v>5.36</v>
      </c>
    </row>
    <row r="37" spans="1:17" customFormat="1">
      <c r="A37" s="70" t="s">
        <v>1419</v>
      </c>
      <c r="B37" s="100">
        <v>45.32</v>
      </c>
      <c r="C37" s="100">
        <v>27.18</v>
      </c>
      <c r="D37" s="100">
        <v>51.89</v>
      </c>
      <c r="E37" s="100">
        <v>8.0399999999999991</v>
      </c>
      <c r="F37" s="100">
        <v>2.27</v>
      </c>
      <c r="G37" s="100">
        <v>74.95</v>
      </c>
      <c r="H37" s="100">
        <v>30.99</v>
      </c>
      <c r="I37" s="100">
        <v>8.5500000000000007</v>
      </c>
      <c r="J37" s="100">
        <v>0.17</v>
      </c>
      <c r="K37" s="100">
        <v>142</v>
      </c>
      <c r="L37" s="100">
        <v>16.03</v>
      </c>
      <c r="M37" s="100">
        <v>83.29</v>
      </c>
      <c r="N37" s="100">
        <v>8.1999999999999993</v>
      </c>
      <c r="O37" s="100">
        <v>0</v>
      </c>
      <c r="P37" s="100">
        <v>0.75</v>
      </c>
      <c r="Q37" s="100">
        <v>5.34</v>
      </c>
    </row>
    <row r="38" spans="1:17" customFormat="1">
      <c r="A38" s="70" t="s">
        <v>1420</v>
      </c>
      <c r="B38" s="100">
        <v>43.65</v>
      </c>
      <c r="C38" s="100">
        <v>27.21</v>
      </c>
      <c r="D38" s="100">
        <v>50.57</v>
      </c>
      <c r="E38" s="100">
        <v>8.48</v>
      </c>
      <c r="F38" s="100">
        <v>2.2799999999999998</v>
      </c>
      <c r="G38" s="100">
        <v>74.95</v>
      </c>
      <c r="H38" s="100">
        <v>30.99</v>
      </c>
      <c r="I38" s="100">
        <v>8.65</v>
      </c>
      <c r="J38" s="100">
        <v>0.28999999999999998</v>
      </c>
      <c r="K38" s="100">
        <v>262.68</v>
      </c>
      <c r="L38" s="100">
        <v>16.350000000000001</v>
      </c>
      <c r="M38" s="100">
        <v>81.27</v>
      </c>
      <c r="N38" s="100">
        <v>19.100000000000001</v>
      </c>
      <c r="O38" s="100">
        <v>0</v>
      </c>
      <c r="P38" s="100">
        <v>0.74</v>
      </c>
      <c r="Q38" s="100">
        <v>5.33</v>
      </c>
    </row>
    <row r="39" spans="1:17" customFormat="1">
      <c r="A39" s="70" t="s">
        <v>1421</v>
      </c>
      <c r="B39" s="100">
        <v>41.56</v>
      </c>
      <c r="C39" s="100">
        <v>27.57</v>
      </c>
      <c r="D39" s="100">
        <v>49.09</v>
      </c>
      <c r="E39" s="100">
        <v>8.4</v>
      </c>
      <c r="F39" s="100">
        <v>2.2999999999999998</v>
      </c>
      <c r="G39" s="100">
        <v>74.95</v>
      </c>
      <c r="H39" s="100">
        <v>30.99</v>
      </c>
      <c r="I39" s="100">
        <v>8.68</v>
      </c>
      <c r="J39" s="100">
        <v>0.15</v>
      </c>
      <c r="K39" s="100">
        <v>216.48</v>
      </c>
      <c r="L39" s="100">
        <v>16.89</v>
      </c>
      <c r="M39" s="100">
        <v>78.08</v>
      </c>
      <c r="N39" s="100">
        <v>30.1</v>
      </c>
      <c r="O39" s="100">
        <v>0</v>
      </c>
      <c r="P39" s="100">
        <v>0.75</v>
      </c>
      <c r="Q39" s="100">
        <v>5.3</v>
      </c>
    </row>
    <row r="40" spans="1:17" customFormat="1">
      <c r="A40" s="70" t="s">
        <v>1422</v>
      </c>
      <c r="B40" s="100">
        <v>39.32</v>
      </c>
      <c r="C40" s="100">
        <v>27.74</v>
      </c>
      <c r="D40" s="100">
        <v>47.37</v>
      </c>
      <c r="E40" s="100">
        <v>8.06</v>
      </c>
      <c r="F40" s="100">
        <v>2.38</v>
      </c>
      <c r="G40" s="100">
        <v>74.92</v>
      </c>
      <c r="H40" s="100">
        <v>31.02</v>
      </c>
      <c r="I40" s="100">
        <v>8.6999999999999993</v>
      </c>
      <c r="J40" s="100">
        <v>0.21</v>
      </c>
      <c r="K40" s="100">
        <v>168.96</v>
      </c>
      <c r="L40" s="100">
        <v>17.989999999999998</v>
      </c>
      <c r="M40" s="100">
        <v>70.48</v>
      </c>
      <c r="N40" s="100">
        <v>39.9</v>
      </c>
      <c r="O40" s="100">
        <v>0</v>
      </c>
      <c r="P40" s="100">
        <v>0.75</v>
      </c>
      <c r="Q40" s="100">
        <v>5.26</v>
      </c>
    </row>
    <row r="41" spans="1:17" customFormat="1">
      <c r="A41" s="70" t="s">
        <v>1423</v>
      </c>
      <c r="B41" s="100">
        <v>37.08</v>
      </c>
      <c r="C41" s="100">
        <v>28.23</v>
      </c>
      <c r="D41" s="100">
        <v>45.84</v>
      </c>
      <c r="E41" s="100">
        <v>8.3000000000000007</v>
      </c>
      <c r="F41" s="100">
        <v>2.41</v>
      </c>
      <c r="G41" s="100">
        <v>74.819999999999993</v>
      </c>
      <c r="H41" s="100">
        <v>31.13</v>
      </c>
      <c r="I41" s="100">
        <v>8.74</v>
      </c>
      <c r="J41" s="100">
        <v>0.24</v>
      </c>
      <c r="K41" s="100">
        <v>115.97</v>
      </c>
      <c r="L41" s="100">
        <v>19.3</v>
      </c>
      <c r="M41" s="100">
        <v>58.19</v>
      </c>
      <c r="N41" s="100">
        <v>106</v>
      </c>
      <c r="O41" s="100">
        <v>0</v>
      </c>
      <c r="P41" s="100">
        <v>0.74</v>
      </c>
      <c r="Q41" s="100">
        <v>5.23</v>
      </c>
    </row>
    <row r="42" spans="1:17" customFormat="1">
      <c r="A42" s="70" t="s">
        <v>1424</v>
      </c>
      <c r="B42" s="100">
        <v>35.21</v>
      </c>
      <c r="C42" s="100">
        <v>28.72</v>
      </c>
      <c r="D42" s="100">
        <v>44.59</v>
      </c>
      <c r="E42" s="100">
        <v>8.4700000000000006</v>
      </c>
      <c r="F42" s="100">
        <v>2.34</v>
      </c>
      <c r="G42" s="100">
        <v>74.819999999999993</v>
      </c>
      <c r="H42" s="100">
        <v>31.13</v>
      </c>
      <c r="I42" s="100">
        <v>8.77</v>
      </c>
      <c r="J42" s="100">
        <v>0.88</v>
      </c>
      <c r="K42" s="100">
        <v>59.17</v>
      </c>
      <c r="L42" s="100">
        <v>20</v>
      </c>
      <c r="M42" s="100">
        <v>50.75</v>
      </c>
      <c r="N42" s="100">
        <v>155.6</v>
      </c>
      <c r="O42" s="100">
        <v>0</v>
      </c>
      <c r="P42" s="100">
        <v>0.73</v>
      </c>
      <c r="Q42" s="100">
        <v>5.2</v>
      </c>
    </row>
    <row r="43" spans="1:17" customFormat="1">
      <c r="A43" s="70" t="s">
        <v>1425</v>
      </c>
      <c r="B43" s="100">
        <v>33.69</v>
      </c>
      <c r="C43" s="100">
        <v>28.64</v>
      </c>
      <c r="D43" s="100">
        <v>43.33</v>
      </c>
      <c r="E43" s="100">
        <v>8.6</v>
      </c>
      <c r="F43" s="100">
        <v>2.46</v>
      </c>
      <c r="G43" s="100">
        <v>74.819999999999993</v>
      </c>
      <c r="H43" s="100">
        <v>31.13</v>
      </c>
      <c r="I43" s="100">
        <v>8.7899999999999991</v>
      </c>
      <c r="J43" s="100">
        <v>0.63</v>
      </c>
      <c r="K43" s="100">
        <v>69.099999999999994</v>
      </c>
      <c r="L43" s="100">
        <v>21.02</v>
      </c>
      <c r="M43" s="100">
        <v>46.95</v>
      </c>
      <c r="N43" s="100">
        <v>186.3</v>
      </c>
      <c r="O43" s="100">
        <v>0</v>
      </c>
      <c r="P43" s="100">
        <v>0.73</v>
      </c>
      <c r="Q43" s="100">
        <v>5.2</v>
      </c>
    </row>
    <row r="44" spans="1:17" customFormat="1">
      <c r="A44" s="70" t="s">
        <v>1426</v>
      </c>
      <c r="B44" s="100">
        <v>32.03</v>
      </c>
      <c r="C44" s="100">
        <v>28.7</v>
      </c>
      <c r="D44" s="100">
        <v>42.03</v>
      </c>
      <c r="E44" s="100">
        <v>8.82</v>
      </c>
      <c r="F44" s="100">
        <v>2.4500000000000002</v>
      </c>
      <c r="G44" s="100">
        <v>73.02</v>
      </c>
      <c r="H44" s="100">
        <v>29.45</v>
      </c>
      <c r="I44" s="100">
        <v>8.75</v>
      </c>
      <c r="J44" s="100">
        <v>0.98</v>
      </c>
      <c r="K44" s="100">
        <v>60.85</v>
      </c>
      <c r="L44" s="100">
        <v>21.78</v>
      </c>
      <c r="M44" s="100">
        <v>43.27</v>
      </c>
      <c r="N44" s="100">
        <v>218.1</v>
      </c>
      <c r="O44" s="100">
        <v>0</v>
      </c>
      <c r="P44" s="100">
        <v>0.71</v>
      </c>
      <c r="Q44" s="100">
        <v>5.18</v>
      </c>
    </row>
    <row r="45" spans="1:17" customFormat="1">
      <c r="A45" s="70" t="s">
        <v>1427</v>
      </c>
      <c r="B45" s="100">
        <v>30.68</v>
      </c>
      <c r="C45" s="100">
        <v>28.99</v>
      </c>
      <c r="D45" s="100">
        <v>41.1</v>
      </c>
      <c r="E45" s="100">
        <v>8.7100000000000009</v>
      </c>
      <c r="F45" s="100">
        <v>2.39</v>
      </c>
      <c r="G45" s="100">
        <v>65.290000000000006</v>
      </c>
      <c r="H45" s="100">
        <v>24.2</v>
      </c>
      <c r="I45" s="100">
        <v>8.68</v>
      </c>
      <c r="J45" s="100">
        <v>0.76</v>
      </c>
      <c r="K45" s="100">
        <v>65.33</v>
      </c>
      <c r="L45" s="100">
        <v>22.62</v>
      </c>
      <c r="M45" s="100">
        <v>41.37</v>
      </c>
      <c r="N45" s="100">
        <v>214</v>
      </c>
      <c r="O45" s="100">
        <v>0</v>
      </c>
      <c r="P45" s="100">
        <v>0.71</v>
      </c>
      <c r="Q45" s="100">
        <v>5.15</v>
      </c>
    </row>
    <row r="46" spans="1:17" customFormat="1">
      <c r="A46" s="70" t="s">
        <v>1428</v>
      </c>
      <c r="B46" s="100">
        <v>29.27</v>
      </c>
      <c r="C46" s="100">
        <v>29.18</v>
      </c>
      <c r="D46" s="100">
        <v>40.07</v>
      </c>
      <c r="E46" s="100">
        <v>9.52</v>
      </c>
      <c r="F46" s="100">
        <v>2.4500000000000002</v>
      </c>
      <c r="G46" s="100">
        <v>65.290000000000006</v>
      </c>
      <c r="H46" s="100">
        <v>24.2</v>
      </c>
      <c r="I46" s="100">
        <v>8.58</v>
      </c>
      <c r="J46" s="100">
        <v>0.56000000000000005</v>
      </c>
      <c r="K46" s="100">
        <v>68.5</v>
      </c>
      <c r="L46" s="100">
        <v>23.64</v>
      </c>
      <c r="M46" s="100">
        <v>39.270000000000003</v>
      </c>
      <c r="N46" s="100">
        <v>130.69999999999999</v>
      </c>
      <c r="O46" s="100">
        <v>0</v>
      </c>
      <c r="P46" s="100">
        <v>0.71</v>
      </c>
      <c r="Q46" s="100">
        <v>5.15</v>
      </c>
    </row>
    <row r="47" spans="1:17" customFormat="1">
      <c r="A47" s="70" t="s">
        <v>1429</v>
      </c>
      <c r="B47" s="100">
        <v>28.26</v>
      </c>
      <c r="C47" s="100">
        <v>29.35</v>
      </c>
      <c r="D47" s="100">
        <v>39.35</v>
      </c>
      <c r="E47" s="100">
        <v>9.82</v>
      </c>
      <c r="F47" s="100">
        <v>2.5299999999999998</v>
      </c>
      <c r="G47" s="100">
        <v>65.290000000000006</v>
      </c>
      <c r="H47" s="100">
        <v>24.2</v>
      </c>
      <c r="I47" s="100">
        <v>8.44</v>
      </c>
      <c r="J47" s="100">
        <v>0.28999999999999998</v>
      </c>
      <c r="K47" s="100">
        <v>174.36</v>
      </c>
      <c r="L47" s="100">
        <v>24.48</v>
      </c>
      <c r="M47" s="100">
        <v>37.979999999999997</v>
      </c>
      <c r="N47" s="100">
        <v>116.7</v>
      </c>
      <c r="O47" s="100">
        <v>0</v>
      </c>
      <c r="P47" s="100">
        <v>0.7</v>
      </c>
      <c r="Q47" s="100">
        <v>5.14</v>
      </c>
    </row>
    <row r="48" spans="1:17" customFormat="1">
      <c r="A48" s="70" t="s">
        <v>1430</v>
      </c>
      <c r="B48" s="100">
        <v>27.06</v>
      </c>
      <c r="C48" s="100">
        <v>29.34</v>
      </c>
      <c r="D48" s="100">
        <v>38.380000000000003</v>
      </c>
      <c r="E48" s="100">
        <v>9.93</v>
      </c>
      <c r="F48" s="100">
        <v>2.56</v>
      </c>
      <c r="G48" s="100">
        <v>64.58</v>
      </c>
      <c r="H48" s="100">
        <v>24.59</v>
      </c>
      <c r="I48" s="100">
        <v>8.32</v>
      </c>
      <c r="J48" s="100">
        <v>0.02</v>
      </c>
      <c r="K48" s="100">
        <v>188.86</v>
      </c>
      <c r="L48" s="100">
        <v>24.99</v>
      </c>
      <c r="M48" s="100">
        <v>37.020000000000003</v>
      </c>
      <c r="N48" s="100">
        <v>250</v>
      </c>
      <c r="O48" s="100">
        <v>0</v>
      </c>
      <c r="P48" s="100">
        <v>0.69</v>
      </c>
      <c r="Q48" s="100">
        <v>5.12</v>
      </c>
    </row>
    <row r="49" spans="1:17" customFormat="1">
      <c r="A49" s="70" t="s">
        <v>1431</v>
      </c>
      <c r="B49" s="100">
        <v>25.32</v>
      </c>
      <c r="C49" s="100">
        <v>28.99</v>
      </c>
      <c r="D49" s="100">
        <v>36.799999999999997</v>
      </c>
      <c r="E49" s="100">
        <v>7.42</v>
      </c>
      <c r="F49" s="100">
        <v>2.5499999999999998</v>
      </c>
      <c r="G49" s="100">
        <v>61.5</v>
      </c>
      <c r="H49" s="100">
        <v>25.8</v>
      </c>
      <c r="I49" s="100">
        <v>8.19</v>
      </c>
      <c r="J49" s="100">
        <v>0.14000000000000001</v>
      </c>
      <c r="K49" s="100">
        <v>155.37</v>
      </c>
      <c r="L49" s="100">
        <v>25.78</v>
      </c>
      <c r="M49" s="100">
        <v>36.04</v>
      </c>
      <c r="N49" s="100">
        <v>355.3</v>
      </c>
      <c r="O49" s="100">
        <v>0</v>
      </c>
      <c r="P49" s="100">
        <v>0.66</v>
      </c>
      <c r="Q49" s="100">
        <v>5.09</v>
      </c>
    </row>
    <row r="50" spans="1:17" customFormat="1">
      <c r="A50" s="70" t="s">
        <v>1432</v>
      </c>
      <c r="B50" s="100">
        <v>23.31</v>
      </c>
      <c r="C50" s="100">
        <v>28.9</v>
      </c>
      <c r="D50" s="100">
        <v>35.15</v>
      </c>
      <c r="E50" s="100">
        <v>8.86</v>
      </c>
      <c r="F50" s="100">
        <v>2.52</v>
      </c>
      <c r="G50" s="100">
        <v>61.5</v>
      </c>
      <c r="H50" s="100">
        <v>25.8</v>
      </c>
      <c r="I50" s="100">
        <v>8.01</v>
      </c>
      <c r="J50" s="100">
        <v>0.15</v>
      </c>
      <c r="K50" s="100">
        <v>337.54</v>
      </c>
      <c r="L50" s="100">
        <v>26.03</v>
      </c>
      <c r="M50" s="100">
        <v>36.99</v>
      </c>
      <c r="N50" s="100">
        <v>378.5</v>
      </c>
      <c r="O50" s="100">
        <v>0</v>
      </c>
      <c r="P50" s="100">
        <v>0.64</v>
      </c>
      <c r="Q50" s="100">
        <v>5.09</v>
      </c>
    </row>
    <row r="51" spans="1:17" customFormat="1">
      <c r="A51" s="70" t="s">
        <v>1433</v>
      </c>
      <c r="B51" s="100">
        <v>21.65</v>
      </c>
      <c r="C51" s="100">
        <v>28.69</v>
      </c>
      <c r="D51" s="100">
        <v>33.700000000000003</v>
      </c>
      <c r="E51" s="100">
        <v>8.5399999999999991</v>
      </c>
      <c r="F51" s="100">
        <v>2.6</v>
      </c>
      <c r="G51" s="100">
        <v>61.5</v>
      </c>
      <c r="H51" s="100">
        <v>25.8</v>
      </c>
      <c r="I51" s="100">
        <v>7.84</v>
      </c>
      <c r="J51" s="100">
        <v>0.55000000000000004</v>
      </c>
      <c r="K51" s="100">
        <v>277.7</v>
      </c>
      <c r="L51" s="100">
        <v>26.02</v>
      </c>
      <c r="M51" s="100">
        <v>37.68</v>
      </c>
      <c r="N51" s="100">
        <v>391.1</v>
      </c>
      <c r="O51" s="100">
        <v>0</v>
      </c>
      <c r="P51" s="100">
        <v>0.64</v>
      </c>
      <c r="Q51" s="100">
        <v>5.0599999999999996</v>
      </c>
    </row>
    <row r="52" spans="1:17" customFormat="1">
      <c r="A52" s="70" t="s">
        <v>1434</v>
      </c>
      <c r="B52" s="100">
        <v>20.5</v>
      </c>
      <c r="C52" s="100">
        <v>28.06</v>
      </c>
      <c r="D52" s="100">
        <v>32.450000000000003</v>
      </c>
      <c r="E52" s="100">
        <v>7.77</v>
      </c>
      <c r="F52" s="100">
        <v>2.57</v>
      </c>
      <c r="G52" s="100">
        <v>60.51</v>
      </c>
      <c r="H52" s="100">
        <v>25.16</v>
      </c>
      <c r="I52" s="100">
        <v>7.67</v>
      </c>
      <c r="J52" s="100">
        <v>0.1</v>
      </c>
      <c r="K52" s="100">
        <v>248.81</v>
      </c>
      <c r="L52" s="100">
        <v>26.75</v>
      </c>
      <c r="M52" s="100">
        <v>36.880000000000003</v>
      </c>
      <c r="N52" s="100">
        <v>404.3</v>
      </c>
      <c r="O52" s="100">
        <v>0</v>
      </c>
      <c r="P52" s="100">
        <v>0.63</v>
      </c>
      <c r="Q52" s="100">
        <v>5.01</v>
      </c>
    </row>
    <row r="53" spans="1:17" customFormat="1">
      <c r="A53" s="70" t="s">
        <v>1435</v>
      </c>
      <c r="B53" s="100">
        <v>19.7</v>
      </c>
      <c r="C53" s="100">
        <v>25.83</v>
      </c>
      <c r="D53" s="100">
        <v>30.65</v>
      </c>
      <c r="E53" s="100">
        <v>7.85</v>
      </c>
      <c r="F53" s="100">
        <v>2.89</v>
      </c>
      <c r="G53" s="100">
        <v>56.27</v>
      </c>
      <c r="H53" s="100">
        <v>23.15</v>
      </c>
      <c r="I53" s="100">
        <v>7.52</v>
      </c>
      <c r="J53" s="100">
        <v>0.31</v>
      </c>
      <c r="K53" s="100">
        <v>324.06</v>
      </c>
      <c r="L53" s="100">
        <v>27</v>
      </c>
      <c r="M53" s="100">
        <v>36.25</v>
      </c>
      <c r="N53" s="100">
        <v>383.1</v>
      </c>
      <c r="O53" s="100">
        <v>0</v>
      </c>
      <c r="P53" s="100">
        <v>0.62</v>
      </c>
      <c r="Q53" s="100">
        <v>4.99</v>
      </c>
    </row>
    <row r="54" spans="1:17" customFormat="1">
      <c r="A54" s="70" t="s">
        <v>1436</v>
      </c>
      <c r="B54" s="100">
        <v>18.77</v>
      </c>
      <c r="C54" s="100">
        <v>24.51</v>
      </c>
      <c r="D54" s="100">
        <v>29.21</v>
      </c>
      <c r="E54" s="100">
        <v>7.68</v>
      </c>
      <c r="F54" s="100">
        <v>2.78</v>
      </c>
      <c r="G54" s="100">
        <v>56.27</v>
      </c>
      <c r="H54" s="100">
        <v>23.15</v>
      </c>
      <c r="I54" s="100">
        <v>7.41</v>
      </c>
      <c r="J54" s="100">
        <v>0.54</v>
      </c>
      <c r="K54" s="100">
        <v>333.34</v>
      </c>
      <c r="L54" s="100">
        <v>26.77</v>
      </c>
      <c r="M54" s="100">
        <v>36.119999999999997</v>
      </c>
      <c r="N54" s="100">
        <v>433.5</v>
      </c>
      <c r="O54" s="100">
        <v>0</v>
      </c>
      <c r="P54" s="100">
        <v>0.61</v>
      </c>
      <c r="Q54" s="100">
        <v>4.9800000000000004</v>
      </c>
    </row>
    <row r="55" spans="1:17" customFormat="1">
      <c r="A55" s="70" t="s">
        <v>1437</v>
      </c>
      <c r="B55" s="100">
        <v>17.95</v>
      </c>
      <c r="C55" s="100">
        <v>23.79</v>
      </c>
      <c r="D55" s="100">
        <v>28.17</v>
      </c>
      <c r="E55" s="100">
        <v>7.36</v>
      </c>
      <c r="F55" s="100">
        <v>3.2</v>
      </c>
      <c r="G55" s="100">
        <v>56.27</v>
      </c>
      <c r="H55" s="100">
        <v>23.15</v>
      </c>
      <c r="I55" s="100">
        <v>7.3</v>
      </c>
      <c r="J55" s="100">
        <v>0.68</v>
      </c>
      <c r="K55" s="100">
        <v>23.61</v>
      </c>
      <c r="L55" s="100">
        <v>27.14</v>
      </c>
      <c r="M55" s="100">
        <v>35.65</v>
      </c>
      <c r="N55" s="100">
        <v>436.7</v>
      </c>
      <c r="O55" s="100">
        <v>0</v>
      </c>
      <c r="P55" s="100">
        <v>0.6</v>
      </c>
      <c r="Q55" s="100">
        <v>4.9800000000000004</v>
      </c>
    </row>
    <row r="56" spans="1:17" customFormat="1">
      <c r="A56" s="70" t="s">
        <v>1438</v>
      </c>
      <c r="B56" s="100">
        <v>17.170000000000002</v>
      </c>
      <c r="C56" s="100">
        <v>22.96</v>
      </c>
      <c r="D56" s="100">
        <v>27.12</v>
      </c>
      <c r="E56" s="100">
        <v>7.93</v>
      </c>
      <c r="F56" s="100">
        <v>3.3</v>
      </c>
      <c r="G56" s="100">
        <v>54.39</v>
      </c>
      <c r="H56" s="100">
        <v>22.79</v>
      </c>
      <c r="I56" s="100">
        <v>7.15</v>
      </c>
      <c r="J56" s="100">
        <v>0.51</v>
      </c>
      <c r="K56" s="100">
        <v>8.11</v>
      </c>
      <c r="L56" s="100">
        <v>27.25</v>
      </c>
      <c r="M56" s="100">
        <v>35.78</v>
      </c>
      <c r="N56" s="100">
        <v>438.7</v>
      </c>
      <c r="O56" s="100">
        <v>0</v>
      </c>
      <c r="P56" s="100">
        <v>0.59</v>
      </c>
      <c r="Q56" s="100">
        <v>4.95</v>
      </c>
    </row>
    <row r="57" spans="1:17" customFormat="1">
      <c r="A57" s="70" t="s">
        <v>1439</v>
      </c>
      <c r="B57" s="100">
        <v>16.190000000000001</v>
      </c>
      <c r="C57" s="100">
        <v>23.1</v>
      </c>
      <c r="D57" s="100">
        <v>26.4</v>
      </c>
      <c r="E57" s="100">
        <v>7.98</v>
      </c>
      <c r="F57" s="100">
        <v>3.37</v>
      </c>
      <c r="G57" s="100">
        <v>46.36</v>
      </c>
      <c r="H57" s="100">
        <v>20.98</v>
      </c>
      <c r="I57" s="100">
        <v>7.07</v>
      </c>
      <c r="J57" s="100">
        <v>0.25</v>
      </c>
      <c r="K57" s="100">
        <v>317.11</v>
      </c>
      <c r="L57" s="100">
        <v>27.69</v>
      </c>
      <c r="M57" s="100">
        <v>35.700000000000003</v>
      </c>
      <c r="N57" s="100">
        <v>429.6</v>
      </c>
      <c r="O57" s="100">
        <v>0</v>
      </c>
      <c r="P57" s="100">
        <v>0.59</v>
      </c>
      <c r="Q57" s="100">
        <v>4.95</v>
      </c>
    </row>
    <row r="58" spans="1:17" customFormat="1">
      <c r="A58" s="70" t="s">
        <v>1440</v>
      </c>
      <c r="B58" s="100">
        <v>15.21</v>
      </c>
      <c r="C58" s="100">
        <v>23.28</v>
      </c>
      <c r="D58" s="100">
        <v>25.71</v>
      </c>
      <c r="E58" s="100">
        <v>7.77</v>
      </c>
      <c r="F58" s="100">
        <v>2.95</v>
      </c>
      <c r="G58" s="100">
        <v>46.36</v>
      </c>
      <c r="H58" s="100">
        <v>20.98</v>
      </c>
      <c r="I58" s="100">
        <v>7</v>
      </c>
      <c r="J58" s="100">
        <v>0.48</v>
      </c>
      <c r="K58" s="100">
        <v>295.55</v>
      </c>
      <c r="L58" s="100">
        <v>28.07</v>
      </c>
      <c r="M58" s="100">
        <v>34.94</v>
      </c>
      <c r="N58" s="100">
        <v>398.1</v>
      </c>
      <c r="O58" s="100">
        <v>0</v>
      </c>
      <c r="P58" s="100">
        <v>0.57999999999999996</v>
      </c>
      <c r="Q58" s="100">
        <v>4.9400000000000004</v>
      </c>
    </row>
    <row r="59" spans="1:17" customFormat="1">
      <c r="A59" s="70" t="s">
        <v>1441</v>
      </c>
      <c r="B59" s="100">
        <v>13.21</v>
      </c>
      <c r="C59" s="100">
        <v>23.95</v>
      </c>
      <c r="D59" s="100">
        <v>24.46</v>
      </c>
      <c r="E59" s="100">
        <v>9.8699999999999992</v>
      </c>
      <c r="F59" s="100">
        <v>3.95</v>
      </c>
      <c r="G59" s="100">
        <v>46.36</v>
      </c>
      <c r="H59" s="100">
        <v>20.98</v>
      </c>
      <c r="I59" s="100">
        <v>6.96</v>
      </c>
      <c r="J59" s="100">
        <v>0.62</v>
      </c>
      <c r="K59" s="100">
        <v>321.41000000000003</v>
      </c>
      <c r="L59" s="100">
        <v>28.17</v>
      </c>
      <c r="M59" s="100">
        <v>34.590000000000003</v>
      </c>
      <c r="N59" s="100">
        <v>382.5</v>
      </c>
      <c r="O59" s="100">
        <v>0</v>
      </c>
      <c r="P59" s="100">
        <v>0.59</v>
      </c>
      <c r="Q59" s="100">
        <v>4.92</v>
      </c>
    </row>
    <row r="60" spans="1:17" customFormat="1">
      <c r="A60" s="70" t="s">
        <v>1442</v>
      </c>
      <c r="B60" s="100">
        <v>10.43</v>
      </c>
      <c r="C60" s="100">
        <v>24.61</v>
      </c>
      <c r="D60" s="100">
        <v>22.57</v>
      </c>
      <c r="E60" s="100">
        <v>8.5</v>
      </c>
      <c r="F60" s="100">
        <v>3.54</v>
      </c>
      <c r="G60" s="100">
        <v>49.57</v>
      </c>
      <c r="H60" s="100">
        <v>21.66</v>
      </c>
      <c r="I60" s="100">
        <v>6.95</v>
      </c>
      <c r="J60" s="100">
        <v>0.17</v>
      </c>
      <c r="K60" s="100">
        <v>49.1</v>
      </c>
      <c r="L60" s="100">
        <v>28.65</v>
      </c>
      <c r="M60" s="100">
        <v>34.299999999999997</v>
      </c>
      <c r="N60" s="100">
        <v>357.8</v>
      </c>
      <c r="O60" s="100">
        <v>0</v>
      </c>
      <c r="P60" s="100">
        <v>0.59</v>
      </c>
      <c r="Q60" s="100">
        <v>4.8899999999999997</v>
      </c>
    </row>
    <row r="61" spans="1:17" customFormat="1">
      <c r="A61" s="70" t="s">
        <v>1443</v>
      </c>
      <c r="B61" s="100">
        <v>8.44</v>
      </c>
      <c r="C61" s="100">
        <v>24.64</v>
      </c>
      <c r="D61" s="100">
        <v>20.99</v>
      </c>
      <c r="E61" s="100">
        <v>7.43</v>
      </c>
      <c r="F61" s="100">
        <v>3.27</v>
      </c>
      <c r="G61" s="100">
        <v>63.37</v>
      </c>
      <c r="H61" s="100">
        <v>23.8</v>
      </c>
      <c r="I61" s="100">
        <v>6.98</v>
      </c>
      <c r="J61" s="100">
        <v>0.43</v>
      </c>
      <c r="K61" s="100">
        <v>342.64</v>
      </c>
      <c r="L61" s="100">
        <v>29.03</v>
      </c>
      <c r="M61" s="100">
        <v>34.07</v>
      </c>
      <c r="N61" s="100">
        <v>354.4</v>
      </c>
      <c r="O61" s="100">
        <v>0</v>
      </c>
      <c r="P61" s="100">
        <v>0.6</v>
      </c>
      <c r="Q61" s="100">
        <v>4.87</v>
      </c>
    </row>
    <row r="62" spans="1:17" customFormat="1">
      <c r="A62" s="70" t="s">
        <v>1444</v>
      </c>
      <c r="B62" s="100">
        <v>7.24</v>
      </c>
      <c r="C62" s="100">
        <v>24.18</v>
      </c>
      <c r="D62" s="100">
        <v>19.79</v>
      </c>
      <c r="E62" s="100">
        <v>7.51</v>
      </c>
      <c r="F62" s="100">
        <v>3.36</v>
      </c>
      <c r="G62" s="100">
        <v>63.37</v>
      </c>
      <c r="H62" s="100">
        <v>23.8</v>
      </c>
      <c r="I62" s="100">
        <v>7.05</v>
      </c>
      <c r="J62" s="100">
        <v>0.87</v>
      </c>
      <c r="K62" s="100">
        <v>291.07</v>
      </c>
      <c r="L62" s="100">
        <v>29</v>
      </c>
      <c r="M62" s="100">
        <v>35.78</v>
      </c>
      <c r="N62" s="100">
        <v>376.2</v>
      </c>
      <c r="O62" s="100">
        <v>0</v>
      </c>
      <c r="P62" s="100">
        <v>0.61</v>
      </c>
      <c r="Q62" s="100">
        <v>4.87</v>
      </c>
    </row>
    <row r="63" spans="1:17" customFormat="1">
      <c r="A63" s="70" t="s">
        <v>1445</v>
      </c>
      <c r="B63" s="100">
        <v>6.14</v>
      </c>
      <c r="C63" s="100">
        <v>23.96</v>
      </c>
      <c r="D63" s="100">
        <v>18.8</v>
      </c>
      <c r="E63" s="100">
        <v>7.85</v>
      </c>
      <c r="F63" s="100">
        <v>3.63</v>
      </c>
      <c r="G63" s="100">
        <v>63.37</v>
      </c>
      <c r="H63" s="100">
        <v>23.8</v>
      </c>
      <c r="I63" s="100">
        <v>7.11</v>
      </c>
      <c r="J63" s="100">
        <v>0.65</v>
      </c>
      <c r="K63" s="100">
        <v>315.44</v>
      </c>
      <c r="L63" s="100">
        <v>29.04</v>
      </c>
      <c r="M63" s="100">
        <v>36.229999999999997</v>
      </c>
      <c r="N63" s="100">
        <v>377.2</v>
      </c>
      <c r="O63" s="100">
        <v>0</v>
      </c>
      <c r="P63" s="100">
        <v>0.6</v>
      </c>
      <c r="Q63" s="100">
        <v>4.8499999999999996</v>
      </c>
    </row>
    <row r="64" spans="1:17" customFormat="1">
      <c r="A64" s="70" t="s">
        <v>1446</v>
      </c>
      <c r="B64" s="100">
        <v>5.66</v>
      </c>
      <c r="C64" s="100">
        <v>23.52</v>
      </c>
      <c r="D64" s="100">
        <v>18.170000000000002</v>
      </c>
      <c r="E64" s="100">
        <v>7.62</v>
      </c>
      <c r="F64" s="100">
        <v>3.95</v>
      </c>
      <c r="G64" s="100">
        <v>64.28</v>
      </c>
      <c r="H64" s="100">
        <v>24.98</v>
      </c>
      <c r="I64" s="100">
        <v>7.09</v>
      </c>
      <c r="J64" s="100">
        <v>1.02</v>
      </c>
      <c r="K64" s="100">
        <v>316.38</v>
      </c>
      <c r="L64" s="100">
        <v>29.27</v>
      </c>
      <c r="M64" s="100">
        <v>36.020000000000003</v>
      </c>
      <c r="N64" s="100">
        <v>367.6</v>
      </c>
      <c r="O64" s="100">
        <v>0</v>
      </c>
      <c r="P64" s="100">
        <v>0.59</v>
      </c>
      <c r="Q64" s="100">
        <v>4.83</v>
      </c>
    </row>
    <row r="65" spans="1:17" customFormat="1">
      <c r="A65" s="70" t="s">
        <v>1447</v>
      </c>
      <c r="B65" s="100">
        <v>5.42</v>
      </c>
      <c r="C65" s="100">
        <v>22.8</v>
      </c>
      <c r="D65" s="100">
        <v>17.61</v>
      </c>
      <c r="E65" s="100">
        <v>7.06</v>
      </c>
      <c r="F65" s="100">
        <v>4.21</v>
      </c>
      <c r="G65" s="100">
        <v>68.17</v>
      </c>
      <c r="H65" s="100">
        <v>28.69</v>
      </c>
      <c r="I65" s="100">
        <v>7.01</v>
      </c>
      <c r="J65" s="100">
        <v>1.08</v>
      </c>
      <c r="K65" s="100">
        <v>311.92</v>
      </c>
      <c r="L65" s="100">
        <v>28.96</v>
      </c>
      <c r="M65" s="100">
        <v>36.74</v>
      </c>
      <c r="N65" s="100">
        <v>340.5</v>
      </c>
      <c r="O65" s="100">
        <v>0</v>
      </c>
      <c r="P65" s="100">
        <v>0.51</v>
      </c>
      <c r="Q65" s="100">
        <v>4.83</v>
      </c>
    </row>
    <row r="66" spans="1:17" customFormat="1">
      <c r="A66" s="70" t="s">
        <v>1448</v>
      </c>
      <c r="B66" s="100">
        <v>5.32</v>
      </c>
      <c r="C66" s="100">
        <v>22.21</v>
      </c>
      <c r="D66" s="100">
        <v>17.22</v>
      </c>
      <c r="E66" s="100">
        <v>7.26</v>
      </c>
      <c r="F66" s="100">
        <v>4.18</v>
      </c>
      <c r="G66" s="100">
        <v>68.17</v>
      </c>
      <c r="H66" s="100">
        <v>28.69</v>
      </c>
      <c r="I66" s="100">
        <v>6.92</v>
      </c>
      <c r="J66" s="100">
        <v>0.92</v>
      </c>
      <c r="K66" s="100">
        <v>312.27</v>
      </c>
      <c r="L66" s="100">
        <v>29</v>
      </c>
      <c r="M66" s="100">
        <v>37.020000000000003</v>
      </c>
      <c r="N66" s="100">
        <v>114.4</v>
      </c>
      <c r="O66" s="100">
        <v>0</v>
      </c>
      <c r="P66" s="100">
        <v>0.54</v>
      </c>
      <c r="Q66" s="100">
        <v>4.82</v>
      </c>
    </row>
    <row r="67" spans="1:17" customFormat="1">
      <c r="A67" s="70" t="s">
        <v>1449</v>
      </c>
      <c r="B67" s="100">
        <v>5.15</v>
      </c>
      <c r="C67" s="100">
        <v>21.41</v>
      </c>
      <c r="D67" s="100">
        <v>16.670000000000002</v>
      </c>
      <c r="E67" s="100">
        <v>7.71</v>
      </c>
      <c r="F67" s="100">
        <v>4.38</v>
      </c>
      <c r="G67" s="100">
        <v>68.17</v>
      </c>
      <c r="H67" s="100">
        <v>28.69</v>
      </c>
      <c r="I67" s="100">
        <v>6.82</v>
      </c>
      <c r="J67" s="100">
        <v>1.05</v>
      </c>
      <c r="K67" s="100">
        <v>303.04000000000002</v>
      </c>
      <c r="L67" s="100">
        <v>28.71</v>
      </c>
      <c r="M67" s="100">
        <v>37.32</v>
      </c>
      <c r="N67" s="100">
        <v>81.5</v>
      </c>
      <c r="O67" s="100">
        <v>0</v>
      </c>
      <c r="P67" s="100">
        <v>0.54</v>
      </c>
      <c r="Q67" s="100">
        <v>4.84</v>
      </c>
    </row>
    <row r="68" spans="1:17" customFormat="1">
      <c r="A68" s="70" t="s">
        <v>1450</v>
      </c>
      <c r="B68" s="100">
        <v>5.01</v>
      </c>
      <c r="C68" s="100">
        <v>20.8</v>
      </c>
      <c r="D68" s="100">
        <v>16.239999999999998</v>
      </c>
      <c r="E68" s="100">
        <v>8.17</v>
      </c>
      <c r="F68" s="100">
        <v>5.65</v>
      </c>
      <c r="G68" s="100">
        <v>66.540000000000006</v>
      </c>
      <c r="H68" s="100">
        <v>27.45</v>
      </c>
      <c r="I68" s="100">
        <v>6.75</v>
      </c>
      <c r="J68" s="100">
        <v>0.88</v>
      </c>
      <c r="K68" s="100">
        <v>307.41000000000003</v>
      </c>
      <c r="L68" s="100">
        <v>28.72</v>
      </c>
      <c r="M68" s="100">
        <v>37.53</v>
      </c>
      <c r="N68" s="100">
        <v>66.7</v>
      </c>
      <c r="O68" s="100">
        <v>0</v>
      </c>
      <c r="P68" s="100">
        <v>0.53</v>
      </c>
      <c r="Q68" s="100">
        <v>4.83</v>
      </c>
    </row>
    <row r="69" spans="1:17" customFormat="1">
      <c r="A69" s="70" t="s">
        <v>1451</v>
      </c>
      <c r="B69" s="100">
        <v>5.16</v>
      </c>
      <c r="C69" s="100">
        <v>20.14</v>
      </c>
      <c r="D69" s="100">
        <v>16.010000000000002</v>
      </c>
      <c r="E69" s="100">
        <v>8.34</v>
      </c>
      <c r="F69" s="100">
        <v>5.85</v>
      </c>
      <c r="G69" s="100">
        <v>59.57</v>
      </c>
      <c r="H69" s="100">
        <v>23.78</v>
      </c>
      <c r="I69" s="100">
        <v>6.64</v>
      </c>
      <c r="J69" s="100">
        <v>1.1200000000000001</v>
      </c>
      <c r="K69" s="100">
        <v>316.45</v>
      </c>
      <c r="L69" s="100">
        <v>28.79</v>
      </c>
      <c r="M69" s="100">
        <v>37.01</v>
      </c>
      <c r="N69" s="100">
        <v>57.3</v>
      </c>
      <c r="O69" s="100">
        <v>0</v>
      </c>
      <c r="P69" s="100">
        <v>0.52</v>
      </c>
      <c r="Q69" s="100">
        <v>4.83</v>
      </c>
    </row>
    <row r="70" spans="1:17" customFormat="1">
      <c r="A70" s="70" t="s">
        <v>1452</v>
      </c>
      <c r="B70" s="100">
        <v>5.21</v>
      </c>
      <c r="C70" s="100">
        <v>20.07</v>
      </c>
      <c r="D70" s="100">
        <v>16.010000000000002</v>
      </c>
      <c r="E70" s="100">
        <v>7.62</v>
      </c>
      <c r="F70" s="100">
        <v>5.23</v>
      </c>
      <c r="G70" s="100">
        <v>59.57</v>
      </c>
      <c r="H70" s="100">
        <v>23.78</v>
      </c>
      <c r="I70" s="100">
        <v>6.5</v>
      </c>
      <c r="J70" s="100">
        <v>0.57999999999999996</v>
      </c>
      <c r="K70" s="100">
        <v>14.7</v>
      </c>
      <c r="L70" s="100">
        <v>28.74</v>
      </c>
      <c r="M70" s="100">
        <v>37.770000000000003</v>
      </c>
      <c r="N70" s="100">
        <v>56.5</v>
      </c>
      <c r="O70" s="100">
        <v>0</v>
      </c>
      <c r="P70" s="100">
        <v>0.52</v>
      </c>
      <c r="Q70" s="100">
        <v>4.82</v>
      </c>
    </row>
    <row r="71" spans="1:17" customFormat="1">
      <c r="A71" s="70" t="s">
        <v>1453</v>
      </c>
      <c r="B71" s="100">
        <v>5.09</v>
      </c>
      <c r="C71" s="100">
        <v>20.61</v>
      </c>
      <c r="D71" s="100">
        <v>16.2</v>
      </c>
      <c r="E71" s="100">
        <v>7.81</v>
      </c>
      <c r="F71" s="100">
        <v>5.43</v>
      </c>
      <c r="G71" s="100">
        <v>59.57</v>
      </c>
      <c r="H71" s="100">
        <v>23.78</v>
      </c>
      <c r="I71" s="100">
        <v>6.38</v>
      </c>
      <c r="J71" s="100">
        <v>0.96</v>
      </c>
      <c r="K71" s="100">
        <v>304.19</v>
      </c>
      <c r="L71" s="100">
        <v>28.62</v>
      </c>
      <c r="M71" s="100">
        <v>37.92</v>
      </c>
      <c r="N71" s="100">
        <v>47.1</v>
      </c>
      <c r="O71" s="100">
        <v>0</v>
      </c>
      <c r="P71" s="100">
        <v>0.52</v>
      </c>
      <c r="Q71" s="100">
        <v>4.84</v>
      </c>
    </row>
    <row r="72" spans="1:17" customFormat="1">
      <c r="A72" s="70" t="s">
        <v>1454</v>
      </c>
      <c r="B72" s="100">
        <v>4.91</v>
      </c>
      <c r="C72" s="100">
        <v>21.25</v>
      </c>
      <c r="D72" s="100">
        <v>16.39</v>
      </c>
      <c r="E72" s="100">
        <v>8.33</v>
      </c>
      <c r="F72" s="100">
        <v>6.93</v>
      </c>
      <c r="G72" s="100">
        <v>59.14</v>
      </c>
      <c r="H72" s="100">
        <v>24</v>
      </c>
      <c r="I72" s="100">
        <v>6.33</v>
      </c>
      <c r="J72" s="100">
        <v>0.69</v>
      </c>
      <c r="K72" s="100">
        <v>324.33999999999997</v>
      </c>
      <c r="L72" s="100">
        <v>28.5</v>
      </c>
      <c r="M72" s="100">
        <v>38.28</v>
      </c>
      <c r="N72" s="100">
        <v>38.799999999999997</v>
      </c>
      <c r="O72" s="100">
        <v>0</v>
      </c>
      <c r="P72" s="100">
        <v>0.51</v>
      </c>
      <c r="Q72" s="100">
        <v>4.84</v>
      </c>
    </row>
    <row r="73" spans="1:17" customFormat="1">
      <c r="A73" s="70" t="s">
        <v>1455</v>
      </c>
      <c r="B73" s="100">
        <v>4.7300000000000004</v>
      </c>
      <c r="C73" s="100">
        <v>21.68</v>
      </c>
      <c r="D73" s="100">
        <v>16.47</v>
      </c>
      <c r="E73" s="100">
        <v>8.41</v>
      </c>
      <c r="F73" s="100">
        <v>6.17</v>
      </c>
      <c r="G73" s="100">
        <v>57.32</v>
      </c>
      <c r="H73" s="100">
        <v>24.67</v>
      </c>
      <c r="I73" s="100">
        <v>6.2</v>
      </c>
      <c r="J73" s="100">
        <v>0.73</v>
      </c>
      <c r="K73" s="100">
        <v>356.71</v>
      </c>
      <c r="L73" s="100">
        <v>28.42</v>
      </c>
      <c r="M73" s="100">
        <v>38.5</v>
      </c>
      <c r="N73" s="100">
        <v>34</v>
      </c>
      <c r="O73" s="100">
        <v>0</v>
      </c>
      <c r="P73" s="100">
        <v>0.5</v>
      </c>
      <c r="Q73" s="100">
        <v>4.84</v>
      </c>
    </row>
    <row r="74" spans="1:17" customFormat="1">
      <c r="A74" s="70" t="s">
        <v>1456</v>
      </c>
      <c r="B74" s="100">
        <v>4.8499999999999996</v>
      </c>
      <c r="C74" s="100">
        <v>22.34</v>
      </c>
      <c r="D74" s="100">
        <v>16.91</v>
      </c>
      <c r="E74" s="100">
        <v>8.24</v>
      </c>
      <c r="F74" s="100">
        <v>6.54</v>
      </c>
      <c r="G74" s="100">
        <v>57.32</v>
      </c>
      <c r="H74" s="100">
        <v>24.67</v>
      </c>
      <c r="I74" s="100">
        <v>6.01</v>
      </c>
      <c r="J74" s="100">
        <v>0.44</v>
      </c>
      <c r="K74" s="100">
        <v>13.49</v>
      </c>
      <c r="L74" s="100">
        <v>28.3</v>
      </c>
      <c r="M74" s="100">
        <v>39.01</v>
      </c>
      <c r="N74" s="100">
        <v>27.7</v>
      </c>
      <c r="O74" s="100">
        <v>0</v>
      </c>
      <c r="P74" s="100">
        <v>0.49</v>
      </c>
      <c r="Q74" s="100">
        <v>4.84</v>
      </c>
    </row>
    <row r="75" spans="1:17" customFormat="1">
      <c r="A75" s="70" t="s">
        <v>1457</v>
      </c>
      <c r="B75" s="100">
        <v>5.32</v>
      </c>
      <c r="C75" s="100">
        <v>23.2</v>
      </c>
      <c r="D75" s="100">
        <v>17.739999999999998</v>
      </c>
      <c r="E75" s="100">
        <v>8.6</v>
      </c>
      <c r="F75" s="100">
        <v>6.2</v>
      </c>
      <c r="G75" s="100">
        <v>57.32</v>
      </c>
      <c r="H75" s="100">
        <v>24.67</v>
      </c>
      <c r="I75" s="100">
        <v>5.87</v>
      </c>
      <c r="J75" s="100">
        <v>0.3</v>
      </c>
      <c r="K75" s="100">
        <v>5.65</v>
      </c>
      <c r="L75" s="100">
        <v>28.07</v>
      </c>
      <c r="M75" s="100">
        <v>40</v>
      </c>
      <c r="N75" s="100">
        <v>19.3</v>
      </c>
      <c r="O75" s="100">
        <v>0</v>
      </c>
      <c r="P75" s="100">
        <v>0.5</v>
      </c>
      <c r="Q75" s="100">
        <v>4.8499999999999996</v>
      </c>
    </row>
    <row r="76" spans="1:17" customFormat="1">
      <c r="A76" s="70" t="s">
        <v>1458</v>
      </c>
      <c r="B76" s="100">
        <v>5.47</v>
      </c>
      <c r="C76" s="100">
        <v>23.61</v>
      </c>
      <c r="D76" s="100">
        <v>18.07</v>
      </c>
      <c r="E76" s="100">
        <v>7.48</v>
      </c>
      <c r="F76" s="100">
        <v>4.53</v>
      </c>
      <c r="G76" s="100">
        <v>57.92</v>
      </c>
      <c r="H76" s="100">
        <v>24.35</v>
      </c>
      <c r="I76" s="100">
        <v>5.76</v>
      </c>
      <c r="J76" s="100">
        <v>0.42</v>
      </c>
      <c r="K76" s="100">
        <v>37.4</v>
      </c>
      <c r="L76" s="100">
        <v>27.72</v>
      </c>
      <c r="M76" s="100">
        <v>41.35</v>
      </c>
      <c r="N76" s="100">
        <v>11</v>
      </c>
      <c r="O76" s="100">
        <v>0</v>
      </c>
      <c r="P76" s="100">
        <v>0.52</v>
      </c>
      <c r="Q76" s="100">
        <v>4.84</v>
      </c>
    </row>
    <row r="77" spans="1:17" customFormat="1">
      <c r="A77" s="70" t="s">
        <v>1459</v>
      </c>
      <c r="B77" s="100">
        <v>5.57</v>
      </c>
      <c r="C77" s="100">
        <v>24.05</v>
      </c>
      <c r="D77" s="100">
        <v>18.39</v>
      </c>
      <c r="E77" s="100">
        <v>8.0299999999999994</v>
      </c>
      <c r="F77" s="100">
        <v>3.92</v>
      </c>
      <c r="G77" s="100">
        <v>60.5</v>
      </c>
      <c r="H77" s="100">
        <v>23.36</v>
      </c>
      <c r="I77" s="100">
        <v>5.74</v>
      </c>
      <c r="J77" s="100">
        <v>0.28000000000000003</v>
      </c>
      <c r="K77" s="100">
        <v>53.86</v>
      </c>
      <c r="L77" s="100">
        <v>27.32</v>
      </c>
      <c r="M77" s="100">
        <v>43.05</v>
      </c>
      <c r="N77" s="100">
        <v>3.1</v>
      </c>
      <c r="O77" s="100">
        <v>0</v>
      </c>
      <c r="P77" s="100">
        <v>0.53</v>
      </c>
      <c r="Q77" s="100">
        <v>4.8600000000000003</v>
      </c>
    </row>
    <row r="78" spans="1:17" customFormat="1">
      <c r="A78" s="70" t="s">
        <v>1460</v>
      </c>
      <c r="B78" s="100">
        <v>5.88</v>
      </c>
      <c r="C78" s="100">
        <v>24.56</v>
      </c>
      <c r="D78" s="100">
        <v>18.899999999999999</v>
      </c>
      <c r="E78" s="100">
        <v>7.17</v>
      </c>
      <c r="F78" s="100">
        <v>2.97</v>
      </c>
      <c r="G78" s="100">
        <v>60.5</v>
      </c>
      <c r="H78" s="100">
        <v>23.36</v>
      </c>
      <c r="I78" s="100">
        <v>5.72</v>
      </c>
      <c r="J78" s="100">
        <v>0.32</v>
      </c>
      <c r="K78" s="100">
        <v>174.22</v>
      </c>
      <c r="L78" s="100">
        <v>26.31</v>
      </c>
      <c r="M78" s="100">
        <v>49.42</v>
      </c>
      <c r="N78" s="100">
        <v>0</v>
      </c>
      <c r="O78" s="100">
        <v>0</v>
      </c>
      <c r="P78" s="100">
        <v>0.53</v>
      </c>
      <c r="Q78" s="100">
        <v>4.88</v>
      </c>
    </row>
    <row r="79" spans="1:17" customFormat="1">
      <c r="A79" s="70" t="s">
        <v>1461</v>
      </c>
      <c r="B79" s="100">
        <v>6</v>
      </c>
      <c r="C79" s="100">
        <v>24.71</v>
      </c>
      <c r="D79" s="100">
        <v>19.07</v>
      </c>
      <c r="E79" s="100">
        <v>7.19</v>
      </c>
      <c r="F79" s="100">
        <v>2.79</v>
      </c>
      <c r="G79" s="100">
        <v>60.5</v>
      </c>
      <c r="H79" s="100">
        <v>23.36</v>
      </c>
      <c r="I79" s="100">
        <v>5.74</v>
      </c>
      <c r="J79" s="100">
        <v>0.25</v>
      </c>
      <c r="K79" s="100">
        <v>171.28</v>
      </c>
      <c r="L79" s="100">
        <v>25.21</v>
      </c>
      <c r="M79" s="100">
        <v>57.93</v>
      </c>
      <c r="N79" s="100">
        <v>0</v>
      </c>
      <c r="O79" s="100">
        <v>0</v>
      </c>
      <c r="P79" s="100">
        <v>0.54</v>
      </c>
      <c r="Q79" s="100">
        <v>4.88</v>
      </c>
    </row>
    <row r="80" spans="1:17" customFormat="1">
      <c r="A80" s="70" t="s">
        <v>1462</v>
      </c>
      <c r="B80" s="100">
        <v>6.29</v>
      </c>
      <c r="C80" s="100">
        <v>24.79</v>
      </c>
      <c r="D80" s="100">
        <v>19.34</v>
      </c>
      <c r="E80" s="100">
        <v>7.39</v>
      </c>
      <c r="F80" s="100">
        <v>2.56</v>
      </c>
      <c r="G80" s="100">
        <v>61.85</v>
      </c>
      <c r="H80" s="100">
        <v>23.87</v>
      </c>
      <c r="I80" s="100">
        <v>5.76</v>
      </c>
      <c r="J80" s="100">
        <v>0.27</v>
      </c>
      <c r="K80" s="100">
        <v>169.78</v>
      </c>
      <c r="L80" s="100">
        <v>24.36</v>
      </c>
      <c r="M80" s="100">
        <v>60.61</v>
      </c>
      <c r="N80" s="100">
        <v>0</v>
      </c>
      <c r="O80" s="100">
        <v>0</v>
      </c>
      <c r="P80" s="100">
        <v>0.55000000000000004</v>
      </c>
      <c r="Q80" s="100">
        <v>4.88</v>
      </c>
    </row>
    <row r="81" spans="1:17" customFormat="1">
      <c r="A81" s="70" t="s">
        <v>1463</v>
      </c>
      <c r="B81" s="100">
        <v>6.61</v>
      </c>
      <c r="C81" s="100">
        <v>25.03</v>
      </c>
      <c r="D81" s="100">
        <v>19.73</v>
      </c>
      <c r="E81" s="100">
        <v>5.67</v>
      </c>
      <c r="F81" s="100">
        <v>2.41</v>
      </c>
      <c r="G81" s="100">
        <v>67.63</v>
      </c>
      <c r="H81" s="100">
        <v>26.19</v>
      </c>
      <c r="I81" s="100">
        <v>5.77</v>
      </c>
      <c r="J81" s="100">
        <v>0.27</v>
      </c>
      <c r="K81" s="100">
        <v>173.96</v>
      </c>
      <c r="L81" s="100">
        <v>23.57</v>
      </c>
      <c r="M81" s="100">
        <v>68.63</v>
      </c>
      <c r="N81" s="100">
        <v>0</v>
      </c>
      <c r="O81" s="100">
        <v>0</v>
      </c>
      <c r="P81" s="100">
        <v>0.55000000000000004</v>
      </c>
      <c r="Q81" s="100">
        <v>4.88</v>
      </c>
    </row>
    <row r="82" spans="1:17" customFormat="1">
      <c r="A82" s="70" t="s">
        <v>1464</v>
      </c>
      <c r="B82" s="100">
        <v>6.95</v>
      </c>
      <c r="C82" s="100">
        <v>24.97</v>
      </c>
      <c r="D82" s="100">
        <v>19.97</v>
      </c>
      <c r="E82" s="100">
        <v>6.87</v>
      </c>
      <c r="F82" s="100">
        <v>2.2000000000000002</v>
      </c>
      <c r="G82" s="100">
        <v>67.63</v>
      </c>
      <c r="H82" s="100">
        <v>26.19</v>
      </c>
      <c r="I82" s="100">
        <v>5.84</v>
      </c>
      <c r="J82" s="100">
        <v>0.22</v>
      </c>
      <c r="K82" s="100">
        <v>162.62</v>
      </c>
      <c r="L82" s="100">
        <v>22.96</v>
      </c>
      <c r="M82" s="100">
        <v>67.48</v>
      </c>
      <c r="N82" s="100">
        <v>0</v>
      </c>
      <c r="O82" s="100">
        <v>0</v>
      </c>
      <c r="P82" s="100">
        <v>0.56000000000000005</v>
      </c>
      <c r="Q82" s="100">
        <v>4.88</v>
      </c>
    </row>
    <row r="83" spans="1:17" customFormat="1">
      <c r="A83" s="70" t="s">
        <v>1465</v>
      </c>
      <c r="B83" s="100">
        <v>7.09</v>
      </c>
      <c r="C83" s="100">
        <v>25.04</v>
      </c>
      <c r="D83" s="100">
        <v>20.12</v>
      </c>
      <c r="E83" s="100">
        <v>6.98</v>
      </c>
      <c r="F83" s="100">
        <v>2.2400000000000002</v>
      </c>
      <c r="G83" s="100">
        <v>67.63</v>
      </c>
      <c r="H83" s="100">
        <v>26.19</v>
      </c>
      <c r="I83" s="100">
        <v>5.96</v>
      </c>
      <c r="J83" s="100">
        <v>0.19</v>
      </c>
      <c r="K83" s="100">
        <v>173.11</v>
      </c>
      <c r="L83" s="100">
        <v>22.68</v>
      </c>
      <c r="M83" s="100">
        <v>68.25</v>
      </c>
      <c r="N83" s="100">
        <v>0</v>
      </c>
      <c r="O83" s="100">
        <v>0</v>
      </c>
      <c r="P83" s="100">
        <v>0.57999999999999996</v>
      </c>
      <c r="Q83" s="100">
        <v>4.8899999999999997</v>
      </c>
    </row>
    <row r="84" spans="1:17" customFormat="1">
      <c r="A84" s="70" t="s">
        <v>1466</v>
      </c>
      <c r="B84" s="100">
        <v>7.34</v>
      </c>
      <c r="C84" s="100">
        <v>25.02</v>
      </c>
      <c r="D84" s="100">
        <v>20.309999999999999</v>
      </c>
      <c r="E84" s="100">
        <v>6.32</v>
      </c>
      <c r="F84" s="100">
        <v>2.2799999999999998</v>
      </c>
      <c r="G84" s="100">
        <v>66.849999999999994</v>
      </c>
      <c r="H84" s="100">
        <v>25.55</v>
      </c>
      <c r="I84" s="100">
        <v>6.08</v>
      </c>
      <c r="J84" s="100">
        <v>0.14000000000000001</v>
      </c>
      <c r="K84" s="100">
        <v>159.63999999999999</v>
      </c>
      <c r="L84" s="100">
        <v>22.24</v>
      </c>
      <c r="M84" s="100">
        <v>70.989999999999995</v>
      </c>
      <c r="N84" s="100">
        <v>0</v>
      </c>
      <c r="O84" s="100">
        <v>0</v>
      </c>
      <c r="P84" s="100">
        <v>0.59</v>
      </c>
      <c r="Q84" s="100">
        <v>4.8600000000000003</v>
      </c>
    </row>
    <row r="85" spans="1:17" customFormat="1">
      <c r="A85" s="70" t="s">
        <v>1467</v>
      </c>
      <c r="B85" s="100">
        <v>7.57</v>
      </c>
      <c r="C85" s="100">
        <v>25.14</v>
      </c>
      <c r="D85" s="100">
        <v>20.55</v>
      </c>
      <c r="E85" s="100">
        <v>6.75</v>
      </c>
      <c r="F85" s="100">
        <v>2.36</v>
      </c>
      <c r="G85" s="100">
        <v>63.5</v>
      </c>
      <c r="H85" s="100">
        <v>23.7</v>
      </c>
      <c r="I85" s="100">
        <v>6.23</v>
      </c>
      <c r="J85" s="100">
        <v>0.16</v>
      </c>
      <c r="K85" s="100">
        <v>176.04</v>
      </c>
      <c r="L85" s="100">
        <v>22.16</v>
      </c>
      <c r="M85" s="100">
        <v>68.91</v>
      </c>
      <c r="N85" s="100">
        <v>0</v>
      </c>
      <c r="O85" s="100">
        <v>0</v>
      </c>
      <c r="P85" s="100">
        <v>0.62</v>
      </c>
      <c r="Q85" s="100">
        <v>4.8499999999999996</v>
      </c>
    </row>
    <row r="86" spans="1:17" customFormat="1">
      <c r="A86" s="70" t="s">
        <v>1468</v>
      </c>
      <c r="B86" s="100">
        <v>8.16</v>
      </c>
      <c r="C86" s="100">
        <v>25.64</v>
      </c>
      <c r="D86" s="100">
        <v>21.29</v>
      </c>
      <c r="E86" s="100">
        <v>7.36</v>
      </c>
      <c r="F86" s="100">
        <v>2.2000000000000002</v>
      </c>
      <c r="G86" s="100">
        <v>63.5</v>
      </c>
      <c r="H86" s="100">
        <v>23.7</v>
      </c>
      <c r="I86" s="100">
        <v>6.44</v>
      </c>
      <c r="J86" s="100">
        <v>0.16</v>
      </c>
      <c r="K86" s="100">
        <v>189</v>
      </c>
      <c r="L86" s="100">
        <v>21.8</v>
      </c>
      <c r="M86" s="100">
        <v>72.47</v>
      </c>
      <c r="N86" s="100">
        <v>0</v>
      </c>
      <c r="O86" s="100">
        <v>0</v>
      </c>
      <c r="P86" s="100">
        <v>0.63</v>
      </c>
      <c r="Q86" s="100">
        <v>4.8600000000000003</v>
      </c>
    </row>
    <row r="87" spans="1:17" customFormat="1">
      <c r="A87" s="70" t="s">
        <v>1469</v>
      </c>
      <c r="B87" s="100">
        <v>8.73</v>
      </c>
      <c r="C87" s="100">
        <v>26.24</v>
      </c>
      <c r="D87" s="100">
        <v>22.06</v>
      </c>
      <c r="E87" s="100">
        <v>6.98</v>
      </c>
      <c r="F87" s="100">
        <v>2.12</v>
      </c>
      <c r="G87" s="100">
        <v>63.5</v>
      </c>
      <c r="H87" s="100">
        <v>23.7</v>
      </c>
      <c r="I87" s="100">
        <v>6.68</v>
      </c>
      <c r="J87" s="100">
        <v>0.21</v>
      </c>
      <c r="K87" s="100">
        <v>164</v>
      </c>
      <c r="L87" s="100">
        <v>21.72</v>
      </c>
      <c r="M87" s="100">
        <v>73.75</v>
      </c>
      <c r="N87" s="100">
        <v>0</v>
      </c>
      <c r="O87" s="100">
        <v>0</v>
      </c>
      <c r="P87" s="100">
        <v>0.66</v>
      </c>
      <c r="Q87" s="100">
        <v>4.87</v>
      </c>
    </row>
    <row r="88" spans="1:17" customFormat="1">
      <c r="A88" s="70" t="s">
        <v>1470</v>
      </c>
      <c r="B88" s="100">
        <v>9.89</v>
      </c>
      <c r="C88" s="100">
        <v>26.85</v>
      </c>
      <c r="D88" s="100">
        <v>23.31</v>
      </c>
      <c r="E88" s="100">
        <v>7.16</v>
      </c>
      <c r="F88" s="100">
        <v>2.16</v>
      </c>
      <c r="G88" s="100">
        <v>66.7</v>
      </c>
      <c r="H88" s="100">
        <v>24.94</v>
      </c>
      <c r="I88" s="100">
        <v>6.96</v>
      </c>
      <c r="J88" s="100">
        <v>0.2</v>
      </c>
      <c r="K88" s="100">
        <v>192.55</v>
      </c>
      <c r="L88" s="100">
        <v>21.46</v>
      </c>
      <c r="M88" s="100">
        <v>75.540000000000006</v>
      </c>
      <c r="N88" s="100">
        <v>0</v>
      </c>
      <c r="O88" s="100">
        <v>0</v>
      </c>
      <c r="P88" s="100">
        <v>0.68</v>
      </c>
      <c r="Q88" s="100">
        <v>4.87</v>
      </c>
    </row>
    <row r="89" spans="1:17" customFormat="1">
      <c r="A89" s="70" t="s">
        <v>1471</v>
      </c>
      <c r="B89" s="100">
        <v>11.26</v>
      </c>
      <c r="C89" s="100">
        <v>27.52</v>
      </c>
      <c r="D89" s="100">
        <v>24.76</v>
      </c>
      <c r="E89" s="100">
        <v>7.1</v>
      </c>
      <c r="F89" s="100">
        <v>2.14</v>
      </c>
      <c r="G89" s="100">
        <v>80.430000000000007</v>
      </c>
      <c r="H89" s="100">
        <v>28.6</v>
      </c>
      <c r="I89" s="100">
        <v>7.19</v>
      </c>
      <c r="J89" s="100">
        <v>0.17</v>
      </c>
      <c r="K89" s="100">
        <v>214.26</v>
      </c>
      <c r="L89" s="100">
        <v>20.86</v>
      </c>
      <c r="M89" s="100">
        <v>78.28</v>
      </c>
      <c r="N89" s="100">
        <v>0</v>
      </c>
      <c r="O89" s="100">
        <v>0</v>
      </c>
      <c r="P89" s="100">
        <v>0.71</v>
      </c>
      <c r="Q89" s="100">
        <v>4.91</v>
      </c>
    </row>
    <row r="90" spans="1:17" customFormat="1">
      <c r="A90" s="70" t="s">
        <v>1472</v>
      </c>
      <c r="B90" s="100">
        <v>11.92</v>
      </c>
      <c r="C90" s="100">
        <v>27.85</v>
      </c>
      <c r="D90" s="100">
        <v>25.46</v>
      </c>
      <c r="E90" s="100">
        <v>7.31</v>
      </c>
      <c r="F90" s="100">
        <v>2.14</v>
      </c>
      <c r="G90" s="100">
        <v>80.430000000000007</v>
      </c>
      <c r="H90" s="100">
        <v>28.6</v>
      </c>
      <c r="I90" s="100">
        <v>7.4</v>
      </c>
      <c r="J90" s="100">
        <v>0.2</v>
      </c>
      <c r="K90" s="100">
        <v>230.87</v>
      </c>
      <c r="L90" s="100">
        <v>20.36</v>
      </c>
      <c r="M90" s="100">
        <v>78.239999999999995</v>
      </c>
      <c r="N90" s="100">
        <v>0</v>
      </c>
      <c r="O90" s="100">
        <v>0</v>
      </c>
      <c r="P90" s="100">
        <v>0.72</v>
      </c>
      <c r="Q90" s="100">
        <v>4.9000000000000004</v>
      </c>
    </row>
    <row r="91" spans="1:17" customFormat="1">
      <c r="A91" s="70" t="s">
        <v>1473</v>
      </c>
      <c r="B91" s="100">
        <v>12.04</v>
      </c>
      <c r="C91" s="100">
        <v>28.25</v>
      </c>
      <c r="D91" s="100">
        <v>25.77</v>
      </c>
      <c r="E91" s="100">
        <v>6.66</v>
      </c>
      <c r="F91" s="100">
        <v>2.3199999999999998</v>
      </c>
      <c r="G91" s="100">
        <v>80.430000000000007</v>
      </c>
      <c r="H91" s="100">
        <v>28.6</v>
      </c>
      <c r="I91" s="100">
        <v>7.6</v>
      </c>
      <c r="J91" s="100">
        <v>0.16</v>
      </c>
      <c r="K91" s="100">
        <v>178</v>
      </c>
      <c r="L91" s="100">
        <v>20.22</v>
      </c>
      <c r="M91" s="100">
        <v>78.33</v>
      </c>
      <c r="N91" s="100">
        <v>0</v>
      </c>
      <c r="O91" s="100">
        <v>0</v>
      </c>
      <c r="P91" s="100">
        <v>0.73</v>
      </c>
      <c r="Q91" s="100">
        <v>4.87</v>
      </c>
    </row>
    <row r="92" spans="1:17" customFormat="1">
      <c r="A92" s="70" t="s">
        <v>1474</v>
      </c>
      <c r="B92" s="100">
        <v>12.24</v>
      </c>
      <c r="C92" s="100">
        <v>26.86</v>
      </c>
      <c r="D92" s="100">
        <v>25.2</v>
      </c>
      <c r="E92" s="100">
        <v>6.9</v>
      </c>
      <c r="F92" s="100">
        <v>2.41</v>
      </c>
      <c r="G92" s="100">
        <v>79.8</v>
      </c>
      <c r="H92" s="100">
        <v>28.27</v>
      </c>
      <c r="I92" s="100">
        <v>7.71</v>
      </c>
      <c r="J92" s="100">
        <v>0.59</v>
      </c>
      <c r="K92" s="100">
        <v>67.709999999999994</v>
      </c>
      <c r="L92" s="100">
        <v>20.25</v>
      </c>
      <c r="M92" s="100">
        <v>77.819999999999993</v>
      </c>
      <c r="N92" s="100">
        <v>0</v>
      </c>
      <c r="O92" s="100">
        <v>0</v>
      </c>
      <c r="P92" s="100">
        <v>0.74</v>
      </c>
      <c r="Q92" s="100">
        <v>4.88</v>
      </c>
    </row>
    <row r="93" spans="1:17" customFormat="1">
      <c r="A93" s="70" t="s">
        <v>1475</v>
      </c>
      <c r="B93" s="100">
        <v>13.18</v>
      </c>
      <c r="C93" s="100">
        <v>23.99</v>
      </c>
      <c r="D93" s="100">
        <v>24.45</v>
      </c>
      <c r="E93" s="100">
        <v>6.92</v>
      </c>
      <c r="F93" s="100">
        <v>2.52</v>
      </c>
      <c r="G93" s="100">
        <v>77.09</v>
      </c>
      <c r="H93" s="100">
        <v>27.28</v>
      </c>
      <c r="I93" s="100">
        <v>7.82</v>
      </c>
      <c r="J93" s="100">
        <v>0.28000000000000003</v>
      </c>
      <c r="K93" s="100">
        <v>56.95</v>
      </c>
      <c r="L93" s="100">
        <v>21.16</v>
      </c>
      <c r="M93" s="100">
        <v>68.27</v>
      </c>
      <c r="N93" s="100">
        <v>0</v>
      </c>
      <c r="O93" s="100">
        <v>0</v>
      </c>
      <c r="P93" s="100">
        <v>0.74</v>
      </c>
      <c r="Q93" s="100">
        <v>4.8600000000000003</v>
      </c>
    </row>
    <row r="94" spans="1:17" customFormat="1">
      <c r="A94" s="70" t="s">
        <v>1476</v>
      </c>
      <c r="B94" s="100">
        <v>14.53</v>
      </c>
      <c r="C94" s="100">
        <v>22.64</v>
      </c>
      <c r="D94" s="100">
        <v>24.83</v>
      </c>
      <c r="E94" s="100">
        <v>6.47</v>
      </c>
      <c r="F94" s="100">
        <v>2.4900000000000002</v>
      </c>
      <c r="G94" s="100">
        <v>77.09</v>
      </c>
      <c r="H94" s="100">
        <v>27.28</v>
      </c>
      <c r="I94" s="100">
        <v>8</v>
      </c>
      <c r="J94" s="100">
        <v>0.15</v>
      </c>
      <c r="K94" s="100">
        <v>207.45</v>
      </c>
      <c r="L94" s="100">
        <v>20.76</v>
      </c>
      <c r="M94" s="100">
        <v>70.959999999999994</v>
      </c>
      <c r="N94" s="100">
        <v>0</v>
      </c>
      <c r="O94" s="100">
        <v>0</v>
      </c>
      <c r="P94" s="100">
        <v>0.76</v>
      </c>
      <c r="Q94" s="100">
        <v>4.8899999999999997</v>
      </c>
    </row>
    <row r="95" spans="1:17" customFormat="1">
      <c r="A95" s="70" t="s">
        <v>1477</v>
      </c>
      <c r="B95" s="100">
        <v>15.4</v>
      </c>
      <c r="C95" s="100">
        <v>23.06</v>
      </c>
      <c r="D95" s="100">
        <v>25.75</v>
      </c>
      <c r="E95" s="100">
        <v>6.55</v>
      </c>
      <c r="F95" s="100">
        <v>2.31</v>
      </c>
      <c r="G95" s="100">
        <v>77.09</v>
      </c>
      <c r="H95" s="100">
        <v>27.28</v>
      </c>
      <c r="I95" s="100">
        <v>8.1999999999999993</v>
      </c>
      <c r="J95" s="100">
        <v>0.14000000000000001</v>
      </c>
      <c r="K95" s="100">
        <v>181.28</v>
      </c>
      <c r="L95" s="100">
        <v>20.329999999999998</v>
      </c>
      <c r="M95" s="100">
        <v>74.47</v>
      </c>
      <c r="N95" s="100">
        <v>0</v>
      </c>
      <c r="O95" s="100">
        <v>0</v>
      </c>
      <c r="P95" s="100">
        <v>0.76</v>
      </c>
      <c r="Q95" s="100">
        <v>4.93</v>
      </c>
    </row>
    <row r="96" spans="1:17" customFormat="1">
      <c r="A96" s="70" t="s">
        <v>1478</v>
      </c>
      <c r="B96" s="100">
        <v>16.25</v>
      </c>
      <c r="C96" s="100">
        <v>24.56</v>
      </c>
      <c r="D96" s="100">
        <v>27.21</v>
      </c>
      <c r="E96" s="100">
        <v>6.77</v>
      </c>
      <c r="F96" s="100">
        <v>2.25</v>
      </c>
      <c r="G96" s="100">
        <v>80.56</v>
      </c>
      <c r="H96" s="100">
        <v>28.19</v>
      </c>
      <c r="I96" s="100">
        <v>8.36</v>
      </c>
      <c r="J96" s="100">
        <v>0.15</v>
      </c>
      <c r="K96" s="100">
        <v>183.32</v>
      </c>
      <c r="L96" s="100">
        <v>20.149999999999999</v>
      </c>
      <c r="M96" s="100">
        <v>75.349999999999994</v>
      </c>
      <c r="N96" s="100">
        <v>0</v>
      </c>
      <c r="O96" s="100">
        <v>0</v>
      </c>
      <c r="P96" s="100">
        <v>0.79</v>
      </c>
      <c r="Q96" s="100">
        <v>4.9400000000000004</v>
      </c>
    </row>
    <row r="97" spans="1:22" customFormat="1">
      <c r="A97" s="70" t="s">
        <v>1479</v>
      </c>
      <c r="B97" s="100">
        <v>18.059999999999999</v>
      </c>
      <c r="C97" s="100">
        <v>26.06</v>
      </c>
      <c r="D97" s="100">
        <v>29.45</v>
      </c>
      <c r="E97" s="100">
        <v>7.03</v>
      </c>
      <c r="F97" s="100">
        <v>2.21</v>
      </c>
      <c r="G97" s="100">
        <v>95.46</v>
      </c>
      <c r="H97" s="100">
        <v>31.04</v>
      </c>
      <c r="I97" s="100">
        <v>8.51</v>
      </c>
      <c r="J97" s="100">
        <v>0.18</v>
      </c>
      <c r="K97" s="100">
        <v>188.04</v>
      </c>
      <c r="L97" s="100">
        <v>19.88</v>
      </c>
      <c r="M97" s="100">
        <v>77.28</v>
      </c>
      <c r="N97" s="100">
        <v>0</v>
      </c>
      <c r="O97" s="100">
        <v>0</v>
      </c>
      <c r="P97" s="100">
        <v>0.81</v>
      </c>
      <c r="Q97" s="100">
        <v>4.95</v>
      </c>
    </row>
    <row r="98" spans="1:22" customFormat="1">
      <c r="A98" s="70" t="s">
        <v>1480</v>
      </c>
      <c r="B98" s="100">
        <v>19.489999999999998</v>
      </c>
      <c r="C98" s="100">
        <v>26.43</v>
      </c>
      <c r="D98" s="100">
        <v>30.79</v>
      </c>
      <c r="E98" s="100">
        <v>7.08</v>
      </c>
      <c r="F98" s="100">
        <v>2.2599999999999998</v>
      </c>
      <c r="G98" s="100">
        <v>95.46</v>
      </c>
      <c r="H98" s="100">
        <v>31.04</v>
      </c>
      <c r="I98" s="100">
        <v>8.67</v>
      </c>
      <c r="J98" s="100">
        <v>0.26</v>
      </c>
      <c r="K98" s="100">
        <v>168.11</v>
      </c>
      <c r="L98" s="100">
        <v>19.45</v>
      </c>
      <c r="M98" s="100">
        <v>80.44</v>
      </c>
      <c r="N98" s="100">
        <v>0</v>
      </c>
      <c r="O98" s="100">
        <v>0</v>
      </c>
      <c r="P98" s="100">
        <v>0.81</v>
      </c>
      <c r="Q98" s="100">
        <v>5.01</v>
      </c>
    </row>
    <row r="99" spans="1:22" customFormat="1">
      <c r="A99" s="70" t="s">
        <v>1481</v>
      </c>
      <c r="B99" s="100">
        <v>19.989999999999998</v>
      </c>
      <c r="C99" s="100">
        <v>24.47</v>
      </c>
      <c r="D99" s="100">
        <v>30.17</v>
      </c>
      <c r="E99" s="100">
        <v>7.17</v>
      </c>
      <c r="F99" s="100">
        <v>2.52</v>
      </c>
      <c r="G99" s="100">
        <v>95.46</v>
      </c>
      <c r="H99" s="100">
        <v>31.04</v>
      </c>
      <c r="I99" s="100">
        <v>8.82</v>
      </c>
      <c r="J99" s="100">
        <v>0.17</v>
      </c>
      <c r="K99" s="100">
        <v>166.52</v>
      </c>
      <c r="L99" s="100">
        <v>19.77</v>
      </c>
      <c r="M99" s="100">
        <v>71.34</v>
      </c>
      <c r="N99" s="100">
        <v>0</v>
      </c>
      <c r="O99" s="100">
        <v>0</v>
      </c>
      <c r="P99" s="100">
        <v>0.81</v>
      </c>
      <c r="Q99" s="100">
        <v>5.03</v>
      </c>
    </row>
    <row r="100" spans="1:22" customFormat="1">
      <c r="A100" s="70" t="s">
        <v>1482</v>
      </c>
      <c r="B100" s="100">
        <v>19.84</v>
      </c>
      <c r="C100" s="100">
        <v>22.69</v>
      </c>
      <c r="D100" s="100">
        <v>29.12</v>
      </c>
      <c r="E100" s="100">
        <v>6.54</v>
      </c>
      <c r="F100" s="100">
        <v>2.4900000000000002</v>
      </c>
      <c r="G100" s="100">
        <v>94.89</v>
      </c>
      <c r="H100" s="100">
        <v>30.59</v>
      </c>
      <c r="I100" s="100">
        <v>8.92</v>
      </c>
      <c r="J100" s="100">
        <v>0.23</v>
      </c>
      <c r="K100" s="100">
        <v>147.66999999999999</v>
      </c>
      <c r="L100" s="100">
        <v>20.2</v>
      </c>
      <c r="M100" s="100">
        <v>65.05</v>
      </c>
      <c r="N100" s="100">
        <v>0</v>
      </c>
      <c r="O100" s="100">
        <v>0</v>
      </c>
      <c r="P100" s="100">
        <v>0.79</v>
      </c>
      <c r="Q100" s="100">
        <v>5.04</v>
      </c>
    </row>
    <row r="101" spans="1:22" customFormat="1">
      <c r="A101" s="70" t="s">
        <v>1483</v>
      </c>
      <c r="B101" s="100">
        <v>19.55</v>
      </c>
      <c r="C101" s="100">
        <v>22.6</v>
      </c>
      <c r="D101" s="100">
        <v>28.84</v>
      </c>
      <c r="E101" s="100">
        <v>6.77</v>
      </c>
      <c r="F101" s="100">
        <v>2.31</v>
      </c>
      <c r="G101" s="100">
        <v>92.45</v>
      </c>
      <c r="H101" s="100">
        <v>29.27</v>
      </c>
      <c r="I101" s="100">
        <v>8.94</v>
      </c>
      <c r="J101" s="100">
        <v>0.25</v>
      </c>
      <c r="K101" s="100">
        <v>187.99</v>
      </c>
      <c r="L101" s="100">
        <v>20.03</v>
      </c>
      <c r="M101" s="100">
        <v>69.05</v>
      </c>
      <c r="N101" s="100">
        <v>0</v>
      </c>
      <c r="O101" s="100">
        <v>0</v>
      </c>
      <c r="P101" s="100">
        <v>0.77</v>
      </c>
      <c r="Q101" s="100">
        <v>5.0199999999999996</v>
      </c>
    </row>
    <row r="102" spans="1:22" customFormat="1">
      <c r="A102" s="70" t="s">
        <v>1484</v>
      </c>
      <c r="B102" s="100">
        <v>19.02</v>
      </c>
      <c r="C102" s="100">
        <v>23.82</v>
      </c>
      <c r="D102" s="100">
        <v>29.05</v>
      </c>
      <c r="E102" s="100">
        <v>7.03</v>
      </c>
      <c r="F102" s="100">
        <v>2.15</v>
      </c>
      <c r="G102" s="100">
        <v>92.45</v>
      </c>
      <c r="H102" s="100">
        <v>29.27</v>
      </c>
      <c r="I102" s="100">
        <v>8.8699999999999992</v>
      </c>
      <c r="J102" s="100">
        <v>0.16</v>
      </c>
      <c r="K102" s="100">
        <v>231.08</v>
      </c>
      <c r="L102" s="100">
        <v>19.170000000000002</v>
      </c>
      <c r="M102" s="100">
        <v>75.069999999999993</v>
      </c>
      <c r="N102" s="100">
        <v>0</v>
      </c>
      <c r="O102" s="100">
        <v>0</v>
      </c>
      <c r="P102" s="100">
        <v>0.77</v>
      </c>
      <c r="Q102" s="100">
        <v>5</v>
      </c>
    </row>
    <row r="103" spans="1:22" customFormat="1">
      <c r="A103" s="70" t="s">
        <v>1485</v>
      </c>
      <c r="B103" s="100">
        <v>18.57</v>
      </c>
      <c r="C103" s="100">
        <v>24.3</v>
      </c>
      <c r="D103" s="100">
        <v>28.94</v>
      </c>
      <c r="E103" s="100">
        <v>6.79</v>
      </c>
      <c r="F103" s="100">
        <v>2.2200000000000002</v>
      </c>
      <c r="G103" s="100">
        <v>92.45</v>
      </c>
      <c r="H103" s="100">
        <v>29.27</v>
      </c>
      <c r="I103" s="100">
        <v>8.77</v>
      </c>
      <c r="J103" s="100">
        <v>0.03</v>
      </c>
      <c r="K103" s="100">
        <v>300.68</v>
      </c>
      <c r="L103" s="100">
        <v>18.97</v>
      </c>
      <c r="M103" s="100">
        <v>72.709999999999994</v>
      </c>
      <c r="N103" s="100">
        <v>0</v>
      </c>
      <c r="O103" s="100">
        <v>0</v>
      </c>
      <c r="P103" s="100">
        <v>0.77</v>
      </c>
      <c r="Q103" s="100">
        <v>4.99</v>
      </c>
    </row>
    <row r="104" spans="1:22" customFormat="1">
      <c r="A104" s="70" t="s">
        <v>1486</v>
      </c>
      <c r="B104" s="100">
        <v>19.64</v>
      </c>
      <c r="C104" s="100">
        <v>25.02</v>
      </c>
      <c r="D104" s="100">
        <v>30.17</v>
      </c>
      <c r="E104" s="100">
        <v>7.27</v>
      </c>
      <c r="F104" s="100">
        <v>2.27</v>
      </c>
      <c r="G104" s="100">
        <v>91.46</v>
      </c>
      <c r="H104" s="100">
        <v>29.36</v>
      </c>
      <c r="I104" s="100">
        <v>8.7100000000000009</v>
      </c>
      <c r="J104" s="100">
        <v>0.36</v>
      </c>
      <c r="K104" s="100">
        <v>21.26</v>
      </c>
      <c r="L104" s="100">
        <v>19.38</v>
      </c>
      <c r="M104" s="100">
        <v>67.06</v>
      </c>
      <c r="N104" s="100">
        <v>0</v>
      </c>
      <c r="O104" s="100">
        <v>0</v>
      </c>
      <c r="P104" s="100">
        <v>0.76</v>
      </c>
      <c r="Q104" s="100">
        <v>4.99</v>
      </c>
    </row>
    <row r="106" spans="1:22">
      <c r="A106" s="156" t="s">
        <v>48</v>
      </c>
      <c r="B106" s="157">
        <f>MIN(B9:B104)</f>
        <v>4.7300000000000004</v>
      </c>
      <c r="C106" s="157">
        <f>MIN(C9:C104)</f>
        <v>20.07</v>
      </c>
      <c r="D106" s="157">
        <f t="shared" ref="D106:Q106" si="0">MIN(D9:D104)</f>
        <v>16.010000000000002</v>
      </c>
      <c r="E106" s="157">
        <f t="shared" si="0"/>
        <v>5.67</v>
      </c>
      <c r="F106" s="157">
        <f t="shared" si="0"/>
        <v>2.11</v>
      </c>
      <c r="G106" s="157">
        <f t="shared" si="0"/>
        <v>46.36</v>
      </c>
      <c r="H106" s="157">
        <f t="shared" si="0"/>
        <v>20.98</v>
      </c>
      <c r="I106" s="157">
        <f t="shared" si="0"/>
        <v>5.72</v>
      </c>
      <c r="J106" s="157">
        <f t="shared" si="0"/>
        <v>0.02</v>
      </c>
      <c r="K106" s="157">
        <f t="shared" si="0"/>
        <v>5.65</v>
      </c>
      <c r="L106" s="157">
        <f t="shared" si="0"/>
        <v>15.44</v>
      </c>
      <c r="M106" s="157">
        <f t="shared" si="0"/>
        <v>34.07</v>
      </c>
      <c r="N106" s="157">
        <f t="shared" si="0"/>
        <v>0</v>
      </c>
      <c r="O106" s="157">
        <f t="shared" si="0"/>
        <v>0</v>
      </c>
      <c r="P106" s="157">
        <f t="shared" si="0"/>
        <v>0.49</v>
      </c>
      <c r="Q106" s="157">
        <f t="shared" si="0"/>
        <v>4.82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53.95</v>
      </c>
      <c r="C107" s="156">
        <f t="shared" ref="C107:Q107" si="1">MAX(C9:C104)</f>
        <v>34.299999999999997</v>
      </c>
      <c r="D107" s="156">
        <f t="shared" si="1"/>
        <v>61.33</v>
      </c>
      <c r="E107" s="156">
        <f t="shared" si="1"/>
        <v>10.3</v>
      </c>
      <c r="F107" s="156">
        <f t="shared" si="1"/>
        <v>6.93</v>
      </c>
      <c r="G107" s="156">
        <f t="shared" si="1"/>
        <v>120.37</v>
      </c>
      <c r="H107" s="156">
        <f t="shared" si="1"/>
        <v>43.59</v>
      </c>
      <c r="I107" s="156">
        <f t="shared" si="1"/>
        <v>11.01</v>
      </c>
      <c r="J107" s="156">
        <f t="shared" si="1"/>
        <v>1.1200000000000001</v>
      </c>
      <c r="K107" s="156">
        <f t="shared" si="1"/>
        <v>356.71</v>
      </c>
      <c r="L107" s="156">
        <f t="shared" si="1"/>
        <v>29.27</v>
      </c>
      <c r="M107" s="156">
        <f t="shared" si="1"/>
        <v>89.9</v>
      </c>
      <c r="N107" s="156">
        <f t="shared" si="1"/>
        <v>438.7</v>
      </c>
      <c r="O107" s="156">
        <f t="shared" si="1"/>
        <v>0</v>
      </c>
      <c r="P107" s="156">
        <f t="shared" si="1"/>
        <v>1.1499999999999999</v>
      </c>
      <c r="Q107" s="156">
        <f t="shared" si="1"/>
        <v>5.42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23.588229166666668</v>
      </c>
      <c r="C108" s="157">
        <f t="shared" ref="C108:Q108" si="2">AVERAGE(C9:C104)</f>
        <v>25.748541666666657</v>
      </c>
      <c r="D108" s="157">
        <f t="shared" si="2"/>
        <v>33.719895833333332</v>
      </c>
      <c r="E108" s="157">
        <f t="shared" si="2"/>
        <v>7.9185416666666635</v>
      </c>
      <c r="F108" s="157">
        <f t="shared" si="2"/>
        <v>2.8847916666666653</v>
      </c>
      <c r="G108" s="157">
        <f t="shared" si="2"/>
        <v>77.158229166666658</v>
      </c>
      <c r="H108" s="157">
        <f t="shared" si="2"/>
        <v>28.83625000000001</v>
      </c>
      <c r="I108" s="157">
        <f t="shared" si="2"/>
        <v>7.9805208333333377</v>
      </c>
      <c r="J108" s="157">
        <f t="shared" si="2"/>
        <v>0.33270833333333349</v>
      </c>
      <c r="K108" s="157">
        <f t="shared" si="2"/>
        <v>182.2860416666667</v>
      </c>
      <c r="L108" s="157">
        <f t="shared" si="2"/>
        <v>22.008750000000003</v>
      </c>
      <c r="M108" s="157">
        <f t="shared" si="2"/>
        <v>61.591875000000009</v>
      </c>
      <c r="N108" s="157">
        <f t="shared" si="2"/>
        <v>90.003125000000011</v>
      </c>
      <c r="O108" s="157">
        <f t="shared" si="2"/>
        <v>0</v>
      </c>
      <c r="P108" s="157">
        <f t="shared" si="2"/>
        <v>0.71395833333333358</v>
      </c>
      <c r="Q108" s="157">
        <f t="shared" si="2"/>
        <v>5.0618749999999979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15.489636806913456</v>
      </c>
      <c r="C109" s="157">
        <f t="shared" ref="C109:Q109" si="3">STDEV(C9:C104)</f>
        <v>2.8685620748369822</v>
      </c>
      <c r="D109" s="157">
        <f t="shared" si="3"/>
        <v>13.468713570797824</v>
      </c>
      <c r="E109" s="157">
        <f t="shared" si="3"/>
        <v>0.90803081232985605</v>
      </c>
      <c r="F109" s="157">
        <f t="shared" si="3"/>
        <v>1.1000459121200079</v>
      </c>
      <c r="G109" s="157">
        <f t="shared" si="3"/>
        <v>18.245330880430767</v>
      </c>
      <c r="H109" s="157">
        <f t="shared" si="3"/>
        <v>5.179506428425861</v>
      </c>
      <c r="I109" s="157">
        <f t="shared" si="3"/>
        <v>1.3360321220465869</v>
      </c>
      <c r="J109" s="157">
        <f t="shared" si="3"/>
        <v>0.27943355924993624</v>
      </c>
      <c r="K109" s="157">
        <f t="shared" si="3"/>
        <v>91.754797763319772</v>
      </c>
      <c r="L109" s="157">
        <f t="shared" si="3"/>
        <v>4.6279067110644663</v>
      </c>
      <c r="M109" s="157">
        <f t="shared" si="3"/>
        <v>19.685537641548972</v>
      </c>
      <c r="N109" s="157">
        <f t="shared" si="3"/>
        <v>148.69336123156981</v>
      </c>
      <c r="O109" s="157">
        <f t="shared" si="3"/>
        <v>0</v>
      </c>
      <c r="P109" s="157">
        <f t="shared" si="3"/>
        <v>0.15129948806165677</v>
      </c>
      <c r="Q109" s="157">
        <f t="shared" si="3"/>
        <v>0.19465658018810025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0" t="s">
        <v>1487</v>
      </c>
      <c r="B9" s="100">
        <v>22.37</v>
      </c>
      <c r="C9" s="100">
        <v>25.64</v>
      </c>
      <c r="D9" s="100">
        <v>32.69</v>
      </c>
      <c r="E9" s="100">
        <v>7.32</v>
      </c>
      <c r="F9" s="100">
        <v>2.29</v>
      </c>
      <c r="G9" s="100">
        <v>87.19</v>
      </c>
      <c r="H9" s="100">
        <v>29.81</v>
      </c>
      <c r="I9" s="100">
        <v>8.65</v>
      </c>
      <c r="J9" s="100">
        <v>0.32</v>
      </c>
      <c r="K9" s="100">
        <v>50.09</v>
      </c>
      <c r="L9" s="100">
        <v>19.329999999999998</v>
      </c>
      <c r="M9" s="100">
        <v>66.77</v>
      </c>
      <c r="N9" s="100">
        <v>0</v>
      </c>
      <c r="O9" s="100">
        <v>0</v>
      </c>
      <c r="P9" s="100">
        <v>0.76</v>
      </c>
      <c r="Q9" s="100">
        <v>5.0199999999999996</v>
      </c>
    </row>
    <row r="10" spans="1:21" customFormat="1">
      <c r="A10" s="70" t="s">
        <v>1488</v>
      </c>
      <c r="B10" s="100">
        <v>23.34</v>
      </c>
      <c r="C10" s="100">
        <v>25.87</v>
      </c>
      <c r="D10" s="100">
        <v>33.58</v>
      </c>
      <c r="E10" s="100">
        <v>7.22</v>
      </c>
      <c r="F10" s="100">
        <v>2.25</v>
      </c>
      <c r="G10" s="100">
        <v>87.19</v>
      </c>
      <c r="H10" s="100">
        <v>29.81</v>
      </c>
      <c r="I10" s="100">
        <v>8.58</v>
      </c>
      <c r="J10" s="100">
        <v>0.14000000000000001</v>
      </c>
      <c r="K10" s="100">
        <v>175.13</v>
      </c>
      <c r="L10" s="100">
        <v>19.079999999999998</v>
      </c>
      <c r="M10" s="100">
        <v>70.040000000000006</v>
      </c>
      <c r="N10" s="100">
        <v>0</v>
      </c>
      <c r="O10" s="100">
        <v>0</v>
      </c>
      <c r="P10" s="100">
        <v>0.75</v>
      </c>
      <c r="Q10" s="100">
        <v>5.05</v>
      </c>
    </row>
    <row r="11" spans="1:21" customFormat="1">
      <c r="A11" s="70" t="s">
        <v>1489</v>
      </c>
      <c r="B11" s="100">
        <v>23.99</v>
      </c>
      <c r="C11" s="100">
        <v>24.6</v>
      </c>
      <c r="D11" s="100">
        <v>33.44</v>
      </c>
      <c r="E11" s="100">
        <v>7.24</v>
      </c>
      <c r="F11" s="100">
        <v>2.4</v>
      </c>
      <c r="G11" s="100">
        <v>87.19</v>
      </c>
      <c r="H11" s="100">
        <v>29.81</v>
      </c>
      <c r="I11" s="100">
        <v>8.5299999999999994</v>
      </c>
      <c r="J11" s="100">
        <v>0.15</v>
      </c>
      <c r="K11" s="100">
        <v>216.16</v>
      </c>
      <c r="L11" s="100">
        <v>18.45</v>
      </c>
      <c r="M11" s="100">
        <v>75.72</v>
      </c>
      <c r="N11" s="100">
        <v>0</v>
      </c>
      <c r="O11" s="100">
        <v>0</v>
      </c>
      <c r="P11" s="100">
        <v>0.73</v>
      </c>
      <c r="Q11" s="100">
        <v>5.08</v>
      </c>
    </row>
    <row r="12" spans="1:21" customFormat="1">
      <c r="A12" s="70" t="s">
        <v>1490</v>
      </c>
      <c r="B12" s="100">
        <v>24.09</v>
      </c>
      <c r="C12" s="100">
        <v>24.57</v>
      </c>
      <c r="D12" s="100">
        <v>33.5</v>
      </c>
      <c r="E12" s="100">
        <v>6.94</v>
      </c>
      <c r="F12" s="100">
        <v>2.33</v>
      </c>
      <c r="G12" s="100">
        <v>86.03</v>
      </c>
      <c r="H12" s="100">
        <v>29.23</v>
      </c>
      <c r="I12" s="100">
        <v>8.43</v>
      </c>
      <c r="J12" s="100">
        <v>0.1</v>
      </c>
      <c r="K12" s="100">
        <v>190.63</v>
      </c>
      <c r="L12" s="100">
        <v>18.02</v>
      </c>
      <c r="M12" s="100">
        <v>78.72</v>
      </c>
      <c r="N12" s="100">
        <v>0</v>
      </c>
      <c r="O12" s="100">
        <v>0</v>
      </c>
      <c r="P12" s="100">
        <v>0.73</v>
      </c>
      <c r="Q12" s="100">
        <v>5.05</v>
      </c>
    </row>
    <row r="13" spans="1:21" customFormat="1">
      <c r="A13" s="70" t="s">
        <v>1491</v>
      </c>
      <c r="B13" s="100">
        <v>24.13</v>
      </c>
      <c r="C13" s="100">
        <v>24.46</v>
      </c>
      <c r="D13" s="100">
        <v>33.479999999999997</v>
      </c>
      <c r="E13" s="100">
        <v>6.64</v>
      </c>
      <c r="F13" s="100">
        <v>2.4</v>
      </c>
      <c r="G13" s="100">
        <v>81.08</v>
      </c>
      <c r="H13" s="100">
        <v>27.54</v>
      </c>
      <c r="I13" s="100">
        <v>8.32</v>
      </c>
      <c r="J13" s="100">
        <v>0.15</v>
      </c>
      <c r="K13" s="100">
        <v>156.09</v>
      </c>
      <c r="L13" s="100">
        <v>17.989999999999998</v>
      </c>
      <c r="M13" s="100">
        <v>78.58</v>
      </c>
      <c r="N13" s="100">
        <v>0</v>
      </c>
      <c r="O13" s="100">
        <v>0</v>
      </c>
      <c r="P13" s="100">
        <v>0.71</v>
      </c>
      <c r="Q13" s="100">
        <v>5.08</v>
      </c>
    </row>
    <row r="14" spans="1:21" customFormat="1">
      <c r="A14" s="70" t="s">
        <v>1492</v>
      </c>
      <c r="B14" s="100">
        <v>24.87</v>
      </c>
      <c r="C14" s="100">
        <v>26.27</v>
      </c>
      <c r="D14" s="100">
        <v>35.03</v>
      </c>
      <c r="E14" s="100">
        <v>7.02</v>
      </c>
      <c r="F14" s="100">
        <v>2.13</v>
      </c>
      <c r="G14" s="100">
        <v>81.08</v>
      </c>
      <c r="H14" s="100">
        <v>27.54</v>
      </c>
      <c r="I14" s="100">
        <v>8.24</v>
      </c>
      <c r="J14" s="100">
        <v>0.11</v>
      </c>
      <c r="K14" s="100">
        <v>189.29</v>
      </c>
      <c r="L14" s="100">
        <v>17.95</v>
      </c>
      <c r="M14" s="100">
        <v>78.650000000000006</v>
      </c>
      <c r="N14" s="100">
        <v>0</v>
      </c>
      <c r="O14" s="100">
        <v>0</v>
      </c>
      <c r="P14" s="100">
        <v>0.71</v>
      </c>
      <c r="Q14" s="100">
        <v>5.09</v>
      </c>
    </row>
    <row r="15" spans="1:21" customFormat="1">
      <c r="A15" s="70" t="s">
        <v>1493</v>
      </c>
      <c r="B15" s="100">
        <v>26.2</v>
      </c>
      <c r="C15" s="100">
        <v>27.34</v>
      </c>
      <c r="D15" s="100">
        <v>36.64</v>
      </c>
      <c r="E15" s="100">
        <v>7.43</v>
      </c>
      <c r="F15" s="100">
        <v>2.14</v>
      </c>
      <c r="G15" s="100">
        <v>81.08</v>
      </c>
      <c r="H15" s="100">
        <v>27.54</v>
      </c>
      <c r="I15" s="100">
        <v>8.14</v>
      </c>
      <c r="J15" s="100">
        <v>0.19</v>
      </c>
      <c r="K15" s="100">
        <v>157.52000000000001</v>
      </c>
      <c r="L15" s="100">
        <v>18.239999999999998</v>
      </c>
      <c r="M15" s="100">
        <v>79.989999999999995</v>
      </c>
      <c r="N15" s="100">
        <v>0</v>
      </c>
      <c r="O15" s="100">
        <v>0</v>
      </c>
      <c r="P15" s="100">
        <v>0.7</v>
      </c>
      <c r="Q15" s="100">
        <v>5.1100000000000003</v>
      </c>
    </row>
    <row r="16" spans="1:21" customFormat="1">
      <c r="A16" s="70" t="s">
        <v>1494</v>
      </c>
      <c r="B16" s="100">
        <v>27.16</v>
      </c>
      <c r="C16" s="100">
        <v>27.69</v>
      </c>
      <c r="D16" s="100">
        <v>37.590000000000003</v>
      </c>
      <c r="E16" s="100">
        <v>7.46</v>
      </c>
      <c r="F16" s="100">
        <v>2.23</v>
      </c>
      <c r="G16" s="100">
        <v>80.61</v>
      </c>
      <c r="H16" s="100">
        <v>27.82</v>
      </c>
      <c r="I16" s="100">
        <v>8.06</v>
      </c>
      <c r="J16" s="100">
        <v>0.18</v>
      </c>
      <c r="K16" s="100">
        <v>154.99</v>
      </c>
      <c r="L16" s="100">
        <v>18.239999999999998</v>
      </c>
      <c r="M16" s="100">
        <v>79.62</v>
      </c>
      <c r="N16" s="100">
        <v>0</v>
      </c>
      <c r="O16" s="100">
        <v>0</v>
      </c>
      <c r="P16" s="100">
        <v>0.71</v>
      </c>
      <c r="Q16" s="100">
        <v>5.12</v>
      </c>
    </row>
    <row r="17" spans="1:17" customFormat="1">
      <c r="A17" s="70" t="s">
        <v>1495</v>
      </c>
      <c r="B17" s="100">
        <v>28.73</v>
      </c>
      <c r="C17" s="100">
        <v>28.19</v>
      </c>
      <c r="D17" s="100">
        <v>39.119999999999997</v>
      </c>
      <c r="E17" s="100">
        <v>6.51</v>
      </c>
      <c r="F17" s="100">
        <v>2.27</v>
      </c>
      <c r="G17" s="100">
        <v>78.59</v>
      </c>
      <c r="H17" s="100">
        <v>28.68</v>
      </c>
      <c r="I17" s="100">
        <v>8.0399999999999991</v>
      </c>
      <c r="J17" s="100">
        <v>0.17</v>
      </c>
      <c r="K17" s="100">
        <v>222.17</v>
      </c>
      <c r="L17" s="100">
        <v>18.13</v>
      </c>
      <c r="M17" s="100">
        <v>79.56</v>
      </c>
      <c r="N17" s="100">
        <v>0</v>
      </c>
      <c r="O17" s="100">
        <v>0</v>
      </c>
      <c r="P17" s="100">
        <v>0.71</v>
      </c>
      <c r="Q17" s="100">
        <v>5.13</v>
      </c>
    </row>
    <row r="18" spans="1:17" customFormat="1">
      <c r="A18" s="70" t="s">
        <v>1496</v>
      </c>
      <c r="B18" s="100">
        <v>29.96</v>
      </c>
      <c r="C18" s="100">
        <v>28.13</v>
      </c>
      <c r="D18" s="100">
        <v>40.08</v>
      </c>
      <c r="E18" s="100">
        <v>7.49</v>
      </c>
      <c r="F18" s="100">
        <v>2.33</v>
      </c>
      <c r="G18" s="100">
        <v>78.59</v>
      </c>
      <c r="H18" s="100">
        <v>28.68</v>
      </c>
      <c r="I18" s="100">
        <v>8</v>
      </c>
      <c r="J18" s="100">
        <v>0.1</v>
      </c>
      <c r="K18" s="100">
        <v>167.32</v>
      </c>
      <c r="L18" s="100">
        <v>17.77</v>
      </c>
      <c r="M18" s="100">
        <v>83.18</v>
      </c>
      <c r="N18" s="100">
        <v>0</v>
      </c>
      <c r="O18" s="100">
        <v>0</v>
      </c>
      <c r="P18" s="100">
        <v>0.69</v>
      </c>
      <c r="Q18" s="100">
        <v>5.16</v>
      </c>
    </row>
    <row r="19" spans="1:17" customFormat="1">
      <c r="A19" s="70" t="s">
        <v>1497</v>
      </c>
      <c r="B19" s="100">
        <v>30.04</v>
      </c>
      <c r="C19" s="100">
        <v>28.29</v>
      </c>
      <c r="D19" s="100">
        <v>40.22</v>
      </c>
      <c r="E19" s="100">
        <v>7.42</v>
      </c>
      <c r="F19" s="100">
        <v>2.29</v>
      </c>
      <c r="G19" s="100">
        <v>78.59</v>
      </c>
      <c r="H19" s="100">
        <v>28.68</v>
      </c>
      <c r="I19" s="100">
        <v>7.94</v>
      </c>
      <c r="J19" s="100">
        <v>0.2</v>
      </c>
      <c r="K19" s="100">
        <v>212.21</v>
      </c>
      <c r="L19" s="100">
        <v>17.36</v>
      </c>
      <c r="M19" s="100">
        <v>82.96</v>
      </c>
      <c r="N19" s="100">
        <v>0</v>
      </c>
      <c r="O19" s="100">
        <v>0</v>
      </c>
      <c r="P19" s="100">
        <v>0.69</v>
      </c>
      <c r="Q19" s="100">
        <v>5.16</v>
      </c>
    </row>
    <row r="20" spans="1:17" customFormat="1">
      <c r="A20" s="70" t="s">
        <v>1498</v>
      </c>
      <c r="B20" s="100">
        <v>29.44</v>
      </c>
      <c r="C20" s="100">
        <v>28.18</v>
      </c>
      <c r="D20" s="100">
        <v>39.68</v>
      </c>
      <c r="E20" s="100">
        <v>7.07</v>
      </c>
      <c r="F20" s="100">
        <v>2.2200000000000002</v>
      </c>
      <c r="G20" s="100">
        <v>77.31</v>
      </c>
      <c r="H20" s="100">
        <v>28.07</v>
      </c>
      <c r="I20" s="100">
        <v>7.91</v>
      </c>
      <c r="J20" s="100">
        <v>0.26</v>
      </c>
      <c r="K20" s="100">
        <v>250.97</v>
      </c>
      <c r="L20" s="100">
        <v>16.829999999999998</v>
      </c>
      <c r="M20" s="100">
        <v>83.56</v>
      </c>
      <c r="N20" s="100">
        <v>0</v>
      </c>
      <c r="O20" s="100">
        <v>0</v>
      </c>
      <c r="P20" s="100">
        <v>0.69</v>
      </c>
      <c r="Q20" s="100">
        <v>5.14</v>
      </c>
    </row>
    <row r="21" spans="1:17" customFormat="1">
      <c r="A21" s="70" t="s">
        <v>1499</v>
      </c>
      <c r="B21" s="100">
        <v>28.67</v>
      </c>
      <c r="C21" s="100">
        <v>28.2</v>
      </c>
      <c r="D21" s="100">
        <v>39.07</v>
      </c>
      <c r="E21" s="100">
        <v>7.67</v>
      </c>
      <c r="F21" s="100">
        <v>2.29</v>
      </c>
      <c r="G21" s="100">
        <v>71.819999999999993</v>
      </c>
      <c r="H21" s="100">
        <v>26.18</v>
      </c>
      <c r="I21" s="100">
        <v>7.87</v>
      </c>
      <c r="J21" s="100">
        <v>0.15</v>
      </c>
      <c r="K21" s="100">
        <v>187.1</v>
      </c>
      <c r="L21" s="100">
        <v>16.760000000000002</v>
      </c>
      <c r="M21" s="100">
        <v>84.11</v>
      </c>
      <c r="N21" s="100">
        <v>0</v>
      </c>
      <c r="O21" s="100">
        <v>0</v>
      </c>
      <c r="P21" s="100">
        <v>0.69</v>
      </c>
      <c r="Q21" s="100">
        <v>5.14</v>
      </c>
    </row>
    <row r="22" spans="1:17" customFormat="1">
      <c r="A22" s="70" t="s">
        <v>1500</v>
      </c>
      <c r="B22" s="100">
        <v>27.76</v>
      </c>
      <c r="C22" s="100">
        <v>27.59</v>
      </c>
      <c r="D22" s="100">
        <v>38.03</v>
      </c>
      <c r="E22" s="100">
        <v>7.47</v>
      </c>
      <c r="F22" s="100">
        <v>2.36</v>
      </c>
      <c r="G22" s="100">
        <v>71.819999999999993</v>
      </c>
      <c r="H22" s="100">
        <v>26.18</v>
      </c>
      <c r="I22" s="100">
        <v>7.87</v>
      </c>
      <c r="J22" s="100">
        <v>0.11</v>
      </c>
      <c r="K22" s="100">
        <v>162.9</v>
      </c>
      <c r="L22" s="100">
        <v>16.77</v>
      </c>
      <c r="M22" s="100">
        <v>85.86</v>
      </c>
      <c r="N22" s="100">
        <v>0</v>
      </c>
      <c r="O22" s="100">
        <v>0</v>
      </c>
      <c r="P22" s="100">
        <v>0.67</v>
      </c>
      <c r="Q22" s="100">
        <v>5.13</v>
      </c>
    </row>
    <row r="23" spans="1:17" customFormat="1">
      <c r="A23" s="70" t="s">
        <v>1501</v>
      </c>
      <c r="B23" s="100">
        <v>26.71</v>
      </c>
      <c r="C23" s="100">
        <v>27.54</v>
      </c>
      <c r="D23" s="100">
        <v>37.15</v>
      </c>
      <c r="E23" s="100">
        <v>7.34</v>
      </c>
      <c r="F23" s="100">
        <v>2.2200000000000002</v>
      </c>
      <c r="G23" s="100">
        <v>71.819999999999993</v>
      </c>
      <c r="H23" s="100">
        <v>26.18</v>
      </c>
      <c r="I23" s="100">
        <v>7.87</v>
      </c>
      <c r="J23" s="100">
        <v>0.18</v>
      </c>
      <c r="K23" s="100">
        <v>238.29</v>
      </c>
      <c r="L23" s="100">
        <v>16.55</v>
      </c>
      <c r="M23" s="100">
        <v>84.83</v>
      </c>
      <c r="N23" s="100">
        <v>0</v>
      </c>
      <c r="O23" s="100">
        <v>0</v>
      </c>
      <c r="P23" s="100">
        <v>0.67</v>
      </c>
      <c r="Q23" s="100">
        <v>5.1100000000000003</v>
      </c>
    </row>
    <row r="24" spans="1:17" customFormat="1">
      <c r="A24" s="70" t="s">
        <v>1502</v>
      </c>
      <c r="B24" s="100">
        <v>25.75</v>
      </c>
      <c r="C24" s="100">
        <v>27.38</v>
      </c>
      <c r="D24" s="100">
        <v>36.31</v>
      </c>
      <c r="E24" s="100">
        <v>7.37</v>
      </c>
      <c r="F24" s="100">
        <v>2.2200000000000002</v>
      </c>
      <c r="G24" s="100">
        <v>72.02</v>
      </c>
      <c r="H24" s="100">
        <v>25.81</v>
      </c>
      <c r="I24" s="100">
        <v>7.88</v>
      </c>
      <c r="J24" s="100">
        <v>0.1</v>
      </c>
      <c r="K24" s="100">
        <v>217.78</v>
      </c>
      <c r="L24" s="100">
        <v>16.45</v>
      </c>
      <c r="M24" s="100">
        <v>84.13</v>
      </c>
      <c r="N24" s="100">
        <v>0</v>
      </c>
      <c r="O24" s="100">
        <v>0</v>
      </c>
      <c r="P24" s="100">
        <v>0.67</v>
      </c>
      <c r="Q24" s="100">
        <v>5.09</v>
      </c>
    </row>
    <row r="25" spans="1:17" customFormat="1">
      <c r="A25" s="70" t="s">
        <v>1503</v>
      </c>
      <c r="B25" s="100">
        <v>24.96</v>
      </c>
      <c r="C25" s="100">
        <v>27.22</v>
      </c>
      <c r="D25" s="100">
        <v>35.590000000000003</v>
      </c>
      <c r="E25" s="100">
        <v>7.56</v>
      </c>
      <c r="F25" s="100">
        <v>2.2599999999999998</v>
      </c>
      <c r="G25" s="100">
        <v>72.88</v>
      </c>
      <c r="H25" s="100">
        <v>24.66</v>
      </c>
      <c r="I25" s="100">
        <v>7.89</v>
      </c>
      <c r="J25" s="100">
        <v>0.13</v>
      </c>
      <c r="K25" s="100">
        <v>163.79</v>
      </c>
      <c r="L25" s="100">
        <v>16.54</v>
      </c>
      <c r="M25" s="100">
        <v>84.76</v>
      </c>
      <c r="N25" s="100">
        <v>0</v>
      </c>
      <c r="O25" s="100">
        <v>0</v>
      </c>
      <c r="P25" s="100">
        <v>0.66</v>
      </c>
      <c r="Q25" s="100">
        <v>5.08</v>
      </c>
    </row>
    <row r="26" spans="1:17" customFormat="1">
      <c r="A26" s="70" t="s">
        <v>1504</v>
      </c>
      <c r="B26" s="100">
        <v>24.33</v>
      </c>
      <c r="C26" s="100">
        <v>26.61</v>
      </c>
      <c r="D26" s="100">
        <v>34.770000000000003</v>
      </c>
      <c r="E26" s="100">
        <v>6.94</v>
      </c>
      <c r="F26" s="100">
        <v>2.2400000000000002</v>
      </c>
      <c r="G26" s="100">
        <v>72.88</v>
      </c>
      <c r="H26" s="100">
        <v>24.66</v>
      </c>
      <c r="I26" s="100">
        <v>7.88</v>
      </c>
      <c r="J26" s="100">
        <v>0.16</v>
      </c>
      <c r="K26" s="100">
        <v>198.01</v>
      </c>
      <c r="L26" s="100">
        <v>16.66</v>
      </c>
      <c r="M26" s="100">
        <v>85.18</v>
      </c>
      <c r="N26" s="100">
        <v>0</v>
      </c>
      <c r="O26" s="100">
        <v>0</v>
      </c>
      <c r="P26" s="100">
        <v>0.66</v>
      </c>
      <c r="Q26" s="100">
        <v>5.09</v>
      </c>
    </row>
    <row r="27" spans="1:17" customFormat="1">
      <c r="A27" s="70" t="s">
        <v>1505</v>
      </c>
      <c r="B27" s="100">
        <v>23.45</v>
      </c>
      <c r="C27" s="100">
        <v>26.33</v>
      </c>
      <c r="D27" s="100">
        <v>33.909999999999997</v>
      </c>
      <c r="E27" s="100">
        <v>7.65</v>
      </c>
      <c r="F27" s="100">
        <v>2.08</v>
      </c>
      <c r="G27" s="100">
        <v>72.88</v>
      </c>
      <c r="H27" s="100">
        <v>24.66</v>
      </c>
      <c r="I27" s="100">
        <v>7.91</v>
      </c>
      <c r="J27" s="100">
        <v>0.2</v>
      </c>
      <c r="K27" s="100">
        <v>160.05000000000001</v>
      </c>
      <c r="L27" s="100">
        <v>16.46</v>
      </c>
      <c r="M27" s="100">
        <v>86.49</v>
      </c>
      <c r="N27" s="100">
        <v>0</v>
      </c>
      <c r="O27" s="100">
        <v>0</v>
      </c>
      <c r="P27" s="100">
        <v>0.64</v>
      </c>
      <c r="Q27" s="100">
        <v>5.08</v>
      </c>
    </row>
    <row r="28" spans="1:17" customFormat="1">
      <c r="A28" s="70" t="s">
        <v>1506</v>
      </c>
      <c r="B28" s="100">
        <v>22.59</v>
      </c>
      <c r="C28" s="100">
        <v>26.21</v>
      </c>
      <c r="D28" s="100">
        <v>33.159999999999997</v>
      </c>
      <c r="E28" s="100">
        <v>7.84</v>
      </c>
      <c r="F28" s="100">
        <v>2.12</v>
      </c>
      <c r="G28" s="100">
        <v>72.08</v>
      </c>
      <c r="H28" s="100">
        <v>24.59</v>
      </c>
      <c r="I28" s="100">
        <v>7.92</v>
      </c>
      <c r="J28" s="100">
        <v>0.18</v>
      </c>
      <c r="K28" s="100">
        <v>160.51</v>
      </c>
      <c r="L28" s="100">
        <v>16.25</v>
      </c>
      <c r="M28" s="100">
        <v>85.12</v>
      </c>
      <c r="N28" s="100">
        <v>0</v>
      </c>
      <c r="O28" s="100">
        <v>0</v>
      </c>
      <c r="P28" s="100">
        <v>0.64</v>
      </c>
      <c r="Q28" s="100">
        <v>5.05</v>
      </c>
    </row>
    <row r="29" spans="1:17" customFormat="1">
      <c r="A29" s="70" t="s">
        <v>1507</v>
      </c>
      <c r="B29" s="100">
        <v>21.79</v>
      </c>
      <c r="C29" s="100">
        <v>25.92</v>
      </c>
      <c r="D29" s="100">
        <v>32.369999999999997</v>
      </c>
      <c r="E29" s="100">
        <v>7.71</v>
      </c>
      <c r="F29" s="100">
        <v>2.2000000000000002</v>
      </c>
      <c r="G29" s="100">
        <v>68.64</v>
      </c>
      <c r="H29" s="100">
        <v>24.37</v>
      </c>
      <c r="I29" s="100">
        <v>7.89</v>
      </c>
      <c r="J29" s="100">
        <v>0.14000000000000001</v>
      </c>
      <c r="K29" s="100">
        <v>169.81</v>
      </c>
      <c r="L29" s="100">
        <v>16.05</v>
      </c>
      <c r="M29" s="100">
        <v>85.49</v>
      </c>
      <c r="N29" s="100">
        <v>0</v>
      </c>
      <c r="O29" s="100">
        <v>0</v>
      </c>
      <c r="P29" s="100">
        <v>0.64</v>
      </c>
      <c r="Q29" s="100">
        <v>5.0199999999999996</v>
      </c>
    </row>
    <row r="30" spans="1:17" customFormat="1">
      <c r="A30" s="70" t="s">
        <v>1508</v>
      </c>
      <c r="B30" s="100">
        <v>20.91</v>
      </c>
      <c r="C30" s="100">
        <v>25.79</v>
      </c>
      <c r="D30" s="100">
        <v>31.59</v>
      </c>
      <c r="E30" s="100">
        <v>7.55</v>
      </c>
      <c r="F30" s="100">
        <v>2.21</v>
      </c>
      <c r="G30" s="100">
        <v>68.64</v>
      </c>
      <c r="H30" s="100">
        <v>24.37</v>
      </c>
      <c r="I30" s="100">
        <v>7.84</v>
      </c>
      <c r="J30" s="100">
        <v>0.1</v>
      </c>
      <c r="K30" s="100">
        <v>236.35</v>
      </c>
      <c r="L30" s="100">
        <v>15.81</v>
      </c>
      <c r="M30" s="100">
        <v>87.08</v>
      </c>
      <c r="N30" s="100">
        <v>0</v>
      </c>
      <c r="O30" s="100">
        <v>0</v>
      </c>
      <c r="P30" s="100">
        <v>0.63</v>
      </c>
      <c r="Q30" s="100">
        <v>5.0199999999999996</v>
      </c>
    </row>
    <row r="31" spans="1:17" customFormat="1">
      <c r="A31" s="70" t="s">
        <v>1509</v>
      </c>
      <c r="B31" s="100">
        <v>20.09</v>
      </c>
      <c r="C31" s="100">
        <v>25.28</v>
      </c>
      <c r="D31" s="100">
        <v>30.67</v>
      </c>
      <c r="E31" s="100">
        <v>7.18</v>
      </c>
      <c r="F31" s="100">
        <v>2.2599999999999998</v>
      </c>
      <c r="G31" s="100">
        <v>68.64</v>
      </c>
      <c r="H31" s="100">
        <v>24.37</v>
      </c>
      <c r="I31" s="100">
        <v>7.79</v>
      </c>
      <c r="J31" s="100">
        <v>0.21</v>
      </c>
      <c r="K31" s="100">
        <v>235.21</v>
      </c>
      <c r="L31" s="100">
        <v>15.64</v>
      </c>
      <c r="M31" s="100">
        <v>87.28</v>
      </c>
      <c r="N31" s="100">
        <v>0</v>
      </c>
      <c r="O31" s="100">
        <v>0</v>
      </c>
      <c r="P31" s="100">
        <v>0.62</v>
      </c>
      <c r="Q31" s="100">
        <v>5.01</v>
      </c>
    </row>
    <row r="32" spans="1:17" customFormat="1">
      <c r="A32" s="70" t="s">
        <v>1510</v>
      </c>
      <c r="B32" s="100">
        <v>19.34</v>
      </c>
      <c r="C32" s="100">
        <v>24.95</v>
      </c>
      <c r="D32" s="100">
        <v>29.9</v>
      </c>
      <c r="E32" s="100">
        <v>7.11</v>
      </c>
      <c r="F32" s="100">
        <v>2.19</v>
      </c>
      <c r="G32" s="100">
        <v>67.08</v>
      </c>
      <c r="H32" s="100">
        <v>24.34</v>
      </c>
      <c r="I32" s="100">
        <v>7.7</v>
      </c>
      <c r="J32" s="100">
        <v>0.09</v>
      </c>
      <c r="K32" s="100">
        <v>193.4</v>
      </c>
      <c r="L32" s="100">
        <v>15.51</v>
      </c>
      <c r="M32" s="100">
        <v>88.16</v>
      </c>
      <c r="N32" s="100">
        <v>0</v>
      </c>
      <c r="O32" s="100">
        <v>0</v>
      </c>
      <c r="P32" s="100">
        <v>0.61</v>
      </c>
      <c r="Q32" s="100">
        <v>5.01</v>
      </c>
    </row>
    <row r="33" spans="1:17" customFormat="1">
      <c r="A33" s="70" t="s">
        <v>1511</v>
      </c>
      <c r="B33" s="100">
        <v>18.670000000000002</v>
      </c>
      <c r="C33" s="100">
        <v>24.81</v>
      </c>
      <c r="D33" s="100">
        <v>29.28</v>
      </c>
      <c r="E33" s="100">
        <v>7.44</v>
      </c>
      <c r="F33" s="100">
        <v>2.14</v>
      </c>
      <c r="G33" s="100">
        <v>60.38</v>
      </c>
      <c r="H33" s="100">
        <v>24.2</v>
      </c>
      <c r="I33" s="100">
        <v>7.61</v>
      </c>
      <c r="J33" s="100">
        <v>0.1</v>
      </c>
      <c r="K33" s="100">
        <v>194.02</v>
      </c>
      <c r="L33" s="100">
        <v>15.57</v>
      </c>
      <c r="M33" s="100">
        <v>90.37</v>
      </c>
      <c r="N33" s="100">
        <v>0</v>
      </c>
      <c r="O33" s="100">
        <v>0</v>
      </c>
      <c r="P33" s="100">
        <v>0.6</v>
      </c>
      <c r="Q33" s="100">
        <v>4.9800000000000004</v>
      </c>
    </row>
    <row r="34" spans="1:17" customFormat="1">
      <c r="A34" s="70" t="s">
        <v>1512</v>
      </c>
      <c r="B34" s="100">
        <v>18.13</v>
      </c>
      <c r="C34" s="100">
        <v>24.42</v>
      </c>
      <c r="D34" s="100">
        <v>28.65</v>
      </c>
      <c r="E34" s="100">
        <v>7.62</v>
      </c>
      <c r="F34" s="100">
        <v>2.2400000000000002</v>
      </c>
      <c r="G34" s="100">
        <v>60.38</v>
      </c>
      <c r="H34" s="100">
        <v>24.2</v>
      </c>
      <c r="I34" s="100">
        <v>7.51</v>
      </c>
      <c r="J34" s="100">
        <v>0.2</v>
      </c>
      <c r="K34" s="100">
        <v>43.61</v>
      </c>
      <c r="L34" s="100">
        <v>15.65</v>
      </c>
      <c r="M34" s="100">
        <v>87.6</v>
      </c>
      <c r="N34" s="100">
        <v>0</v>
      </c>
      <c r="O34" s="100">
        <v>0</v>
      </c>
      <c r="P34" s="100">
        <v>0.59</v>
      </c>
      <c r="Q34" s="100">
        <v>4.99</v>
      </c>
    </row>
    <row r="35" spans="1:17" customFormat="1">
      <c r="A35" s="70" t="s">
        <v>1513</v>
      </c>
      <c r="B35" s="100">
        <v>19.39</v>
      </c>
      <c r="C35" s="100">
        <v>24.73</v>
      </c>
      <c r="D35" s="100">
        <v>29.82</v>
      </c>
      <c r="E35" s="100">
        <v>7.49</v>
      </c>
      <c r="F35" s="100">
        <v>2.25</v>
      </c>
      <c r="G35" s="100">
        <v>60.38</v>
      </c>
      <c r="H35" s="100">
        <v>24.2</v>
      </c>
      <c r="I35" s="100">
        <v>7.42</v>
      </c>
      <c r="J35" s="100">
        <v>0.26</v>
      </c>
      <c r="K35" s="100">
        <v>62.28</v>
      </c>
      <c r="L35" s="100">
        <v>16.11</v>
      </c>
      <c r="M35" s="100">
        <v>83.22</v>
      </c>
      <c r="N35" s="100">
        <v>0</v>
      </c>
      <c r="O35" s="100">
        <v>0</v>
      </c>
      <c r="P35" s="100">
        <v>0.59</v>
      </c>
      <c r="Q35" s="100">
        <v>4.97</v>
      </c>
    </row>
    <row r="36" spans="1:17" customFormat="1">
      <c r="A36" s="70" t="s">
        <v>1514</v>
      </c>
      <c r="B36" s="100">
        <v>22.86</v>
      </c>
      <c r="C36" s="100">
        <v>23.42</v>
      </c>
      <c r="D36" s="100">
        <v>31.92</v>
      </c>
      <c r="E36" s="100">
        <v>7</v>
      </c>
      <c r="F36" s="100">
        <v>2.42</v>
      </c>
      <c r="G36" s="100">
        <v>59.83</v>
      </c>
      <c r="H36" s="100">
        <v>24.6</v>
      </c>
      <c r="I36" s="100">
        <v>7.35</v>
      </c>
      <c r="J36" s="100">
        <v>0.28000000000000003</v>
      </c>
      <c r="K36" s="100">
        <v>77.11</v>
      </c>
      <c r="L36" s="100">
        <v>16.350000000000001</v>
      </c>
      <c r="M36" s="100">
        <v>81.86</v>
      </c>
      <c r="N36" s="100">
        <v>1.3</v>
      </c>
      <c r="O36" s="100">
        <v>0</v>
      </c>
      <c r="P36" s="100">
        <v>0.6</v>
      </c>
      <c r="Q36" s="100">
        <v>4.99</v>
      </c>
    </row>
    <row r="37" spans="1:17" customFormat="1">
      <c r="A37" s="70" t="s">
        <v>1515</v>
      </c>
      <c r="B37" s="100">
        <v>25.47</v>
      </c>
      <c r="C37" s="100">
        <v>23.24</v>
      </c>
      <c r="D37" s="100">
        <v>33.92</v>
      </c>
      <c r="E37" s="100">
        <v>7.06</v>
      </c>
      <c r="F37" s="100">
        <v>2.4900000000000002</v>
      </c>
      <c r="G37" s="100">
        <v>57.49</v>
      </c>
      <c r="H37" s="100">
        <v>25.85</v>
      </c>
      <c r="I37" s="100">
        <v>7.31</v>
      </c>
      <c r="J37" s="100">
        <v>0.76</v>
      </c>
      <c r="K37" s="100">
        <v>51.6</v>
      </c>
      <c r="L37" s="100">
        <v>16.809999999999999</v>
      </c>
      <c r="M37" s="100">
        <v>78.16</v>
      </c>
      <c r="N37" s="100">
        <v>9.1</v>
      </c>
      <c r="O37" s="100">
        <v>0</v>
      </c>
      <c r="P37" s="100">
        <v>0.59</v>
      </c>
      <c r="Q37" s="100">
        <v>5.03</v>
      </c>
    </row>
    <row r="38" spans="1:17" customFormat="1">
      <c r="A38" s="70" t="s">
        <v>1516</v>
      </c>
      <c r="B38" s="100">
        <v>27.37</v>
      </c>
      <c r="C38" s="100">
        <v>24.61</v>
      </c>
      <c r="D38" s="100">
        <v>36.159999999999997</v>
      </c>
      <c r="E38" s="100">
        <v>6.79</v>
      </c>
      <c r="F38" s="100">
        <v>2.5099999999999998</v>
      </c>
      <c r="G38" s="100">
        <v>57.49</v>
      </c>
      <c r="H38" s="100">
        <v>25.85</v>
      </c>
      <c r="I38" s="100">
        <v>7.36</v>
      </c>
      <c r="J38" s="100">
        <v>0.68</v>
      </c>
      <c r="K38" s="100">
        <v>39.020000000000003</v>
      </c>
      <c r="L38" s="100">
        <v>17.14</v>
      </c>
      <c r="M38" s="100">
        <v>76.67</v>
      </c>
      <c r="N38" s="100">
        <v>19.8</v>
      </c>
      <c r="O38" s="100">
        <v>0</v>
      </c>
      <c r="P38" s="100">
        <v>0.61</v>
      </c>
      <c r="Q38" s="100">
        <v>5.08</v>
      </c>
    </row>
    <row r="39" spans="1:17" customFormat="1">
      <c r="A39" s="70" t="s">
        <v>1517</v>
      </c>
      <c r="B39" s="100">
        <v>28.63</v>
      </c>
      <c r="C39" s="100">
        <v>25.7</v>
      </c>
      <c r="D39" s="100">
        <v>37.74</v>
      </c>
      <c r="E39" s="100">
        <v>7.45</v>
      </c>
      <c r="F39" s="100">
        <v>2.4700000000000002</v>
      </c>
      <c r="G39" s="100">
        <v>57.49</v>
      </c>
      <c r="H39" s="100">
        <v>25.85</v>
      </c>
      <c r="I39" s="100">
        <v>7.47</v>
      </c>
      <c r="J39" s="100">
        <v>1</v>
      </c>
      <c r="K39" s="100">
        <v>52.01</v>
      </c>
      <c r="L39" s="100">
        <v>17.43</v>
      </c>
      <c r="M39" s="100">
        <v>74.180000000000007</v>
      </c>
      <c r="N39" s="100">
        <v>37.700000000000003</v>
      </c>
      <c r="O39" s="100">
        <v>0</v>
      </c>
      <c r="P39" s="100">
        <v>0.63</v>
      </c>
      <c r="Q39" s="100">
        <v>5.0999999999999996</v>
      </c>
    </row>
    <row r="40" spans="1:17" customFormat="1">
      <c r="A40" s="70" t="s">
        <v>1518</v>
      </c>
      <c r="B40" s="100">
        <v>29.08</v>
      </c>
      <c r="C40" s="100">
        <v>26.14</v>
      </c>
      <c r="D40" s="100">
        <v>38.33</v>
      </c>
      <c r="E40" s="100">
        <v>7.51</v>
      </c>
      <c r="F40" s="100">
        <v>2.42</v>
      </c>
      <c r="G40" s="100">
        <v>60.62</v>
      </c>
      <c r="H40" s="100">
        <v>26.48</v>
      </c>
      <c r="I40" s="100">
        <v>7.64</v>
      </c>
      <c r="J40" s="100">
        <v>1.1000000000000001</v>
      </c>
      <c r="K40" s="100">
        <v>56.31</v>
      </c>
      <c r="L40" s="100">
        <v>17.97</v>
      </c>
      <c r="M40" s="100">
        <v>71.25</v>
      </c>
      <c r="N40" s="100">
        <v>48.7</v>
      </c>
      <c r="O40" s="100">
        <v>0</v>
      </c>
      <c r="P40" s="100">
        <v>0.64</v>
      </c>
      <c r="Q40" s="100">
        <v>5.1100000000000003</v>
      </c>
    </row>
    <row r="41" spans="1:17" customFormat="1">
      <c r="A41" s="70" t="s">
        <v>1519</v>
      </c>
      <c r="B41" s="100">
        <v>29.31</v>
      </c>
      <c r="C41" s="100">
        <v>26.52</v>
      </c>
      <c r="D41" s="100">
        <v>38.71</v>
      </c>
      <c r="E41" s="100">
        <v>8.0500000000000007</v>
      </c>
      <c r="F41" s="100">
        <v>2.5299999999999998</v>
      </c>
      <c r="G41" s="100">
        <v>74.040000000000006</v>
      </c>
      <c r="H41" s="100">
        <v>28.46</v>
      </c>
      <c r="I41" s="100">
        <v>7.82</v>
      </c>
      <c r="J41" s="100">
        <v>0.82</v>
      </c>
      <c r="K41" s="100">
        <v>53.77</v>
      </c>
      <c r="L41" s="100">
        <v>18.52</v>
      </c>
      <c r="M41" s="100">
        <v>68.62</v>
      </c>
      <c r="N41" s="100">
        <v>69.8</v>
      </c>
      <c r="O41" s="100">
        <v>0</v>
      </c>
      <c r="P41" s="100">
        <v>0.65</v>
      </c>
      <c r="Q41" s="100">
        <v>5.0999999999999996</v>
      </c>
    </row>
    <row r="42" spans="1:17" customFormat="1">
      <c r="A42" s="70" t="s">
        <v>1520</v>
      </c>
      <c r="B42" s="100">
        <v>29.38</v>
      </c>
      <c r="C42" s="100">
        <v>26.37</v>
      </c>
      <c r="D42" s="100">
        <v>38.69</v>
      </c>
      <c r="E42" s="100">
        <v>7.46</v>
      </c>
      <c r="F42" s="100">
        <v>2.35</v>
      </c>
      <c r="G42" s="100">
        <v>74.040000000000006</v>
      </c>
      <c r="H42" s="100">
        <v>28.46</v>
      </c>
      <c r="I42" s="100">
        <v>7.95</v>
      </c>
      <c r="J42" s="100">
        <v>0.57999999999999996</v>
      </c>
      <c r="K42" s="100">
        <v>56.66</v>
      </c>
      <c r="L42" s="100">
        <v>19.23</v>
      </c>
      <c r="M42" s="100">
        <v>65.56</v>
      </c>
      <c r="N42" s="100">
        <v>100</v>
      </c>
      <c r="O42" s="100">
        <v>0</v>
      </c>
      <c r="P42" s="100">
        <v>0.66</v>
      </c>
      <c r="Q42" s="100">
        <v>5.1100000000000003</v>
      </c>
    </row>
    <row r="43" spans="1:17" customFormat="1">
      <c r="A43" s="70" t="s">
        <v>1521</v>
      </c>
      <c r="B43" s="100">
        <v>29.29</v>
      </c>
      <c r="C43" s="100">
        <v>25.37</v>
      </c>
      <c r="D43" s="100">
        <v>38.1</v>
      </c>
      <c r="E43" s="100">
        <v>7.63</v>
      </c>
      <c r="F43" s="100">
        <v>2.52</v>
      </c>
      <c r="G43" s="100">
        <v>74.040000000000006</v>
      </c>
      <c r="H43" s="100">
        <v>28.46</v>
      </c>
      <c r="I43" s="100">
        <v>8.0399999999999991</v>
      </c>
      <c r="J43" s="100">
        <v>0.61</v>
      </c>
      <c r="K43" s="100">
        <v>58.48</v>
      </c>
      <c r="L43" s="100">
        <v>20.010000000000002</v>
      </c>
      <c r="M43" s="100">
        <v>62.81</v>
      </c>
      <c r="N43" s="100">
        <v>148.69999999999999</v>
      </c>
      <c r="O43" s="100">
        <v>0</v>
      </c>
      <c r="P43" s="100">
        <v>0.66</v>
      </c>
      <c r="Q43" s="100">
        <v>5.1100000000000003</v>
      </c>
    </row>
    <row r="44" spans="1:17" customFormat="1">
      <c r="A44" s="70" t="s">
        <v>1522</v>
      </c>
      <c r="B44" s="100">
        <v>28.86</v>
      </c>
      <c r="C44" s="100">
        <v>25.32</v>
      </c>
      <c r="D44" s="100">
        <v>37.72</v>
      </c>
      <c r="E44" s="100">
        <v>7.96</v>
      </c>
      <c r="F44" s="100">
        <v>2.34</v>
      </c>
      <c r="G44" s="100">
        <v>76.040000000000006</v>
      </c>
      <c r="H44" s="100">
        <v>29.56</v>
      </c>
      <c r="I44" s="100">
        <v>8.09</v>
      </c>
      <c r="J44" s="100">
        <v>0.8</v>
      </c>
      <c r="K44" s="100">
        <v>56.28</v>
      </c>
      <c r="L44" s="100">
        <v>20.77</v>
      </c>
      <c r="M44" s="100">
        <v>59.85</v>
      </c>
      <c r="N44" s="100">
        <v>187.5</v>
      </c>
      <c r="O44" s="100">
        <v>0</v>
      </c>
      <c r="P44" s="100">
        <v>0.67</v>
      </c>
      <c r="Q44" s="100">
        <v>5.12</v>
      </c>
    </row>
    <row r="45" spans="1:17" customFormat="1">
      <c r="A45" s="70" t="s">
        <v>1523</v>
      </c>
      <c r="B45" s="100">
        <v>28.25</v>
      </c>
      <c r="C45" s="100">
        <v>26.52</v>
      </c>
      <c r="D45" s="100">
        <v>37.869999999999997</v>
      </c>
      <c r="E45" s="100">
        <v>7.51</v>
      </c>
      <c r="F45" s="100">
        <v>2.3199999999999998</v>
      </c>
      <c r="G45" s="100">
        <v>84.64</v>
      </c>
      <c r="H45" s="100">
        <v>33.020000000000003</v>
      </c>
      <c r="I45" s="100">
        <v>8.1300000000000008</v>
      </c>
      <c r="J45" s="100">
        <v>0.69</v>
      </c>
      <c r="K45" s="100">
        <v>48.86</v>
      </c>
      <c r="L45" s="100">
        <v>21.73</v>
      </c>
      <c r="M45" s="100">
        <v>56.1</v>
      </c>
      <c r="N45" s="100">
        <v>197.8</v>
      </c>
      <c r="O45" s="100">
        <v>0</v>
      </c>
      <c r="P45" s="100">
        <v>0.68</v>
      </c>
      <c r="Q45" s="100">
        <v>5.12</v>
      </c>
    </row>
    <row r="46" spans="1:17" customFormat="1">
      <c r="A46" s="70" t="s">
        <v>1524</v>
      </c>
      <c r="B46" s="100">
        <v>27.78</v>
      </c>
      <c r="C46" s="100">
        <v>25.37</v>
      </c>
      <c r="D46" s="100">
        <v>36.880000000000003</v>
      </c>
      <c r="E46" s="100">
        <v>7.83</v>
      </c>
      <c r="F46" s="100">
        <v>2.4500000000000002</v>
      </c>
      <c r="G46" s="100">
        <v>84.64</v>
      </c>
      <c r="H46" s="100">
        <v>33.020000000000003</v>
      </c>
      <c r="I46" s="100">
        <v>8.15</v>
      </c>
      <c r="J46" s="100">
        <v>0.87</v>
      </c>
      <c r="K46" s="100">
        <v>56.79</v>
      </c>
      <c r="L46" s="100">
        <v>22.66</v>
      </c>
      <c r="M46" s="100">
        <v>51.94</v>
      </c>
      <c r="N46" s="100">
        <v>142.69999999999999</v>
      </c>
      <c r="O46" s="100">
        <v>0</v>
      </c>
      <c r="P46" s="100">
        <v>0.68</v>
      </c>
      <c r="Q46" s="100">
        <v>5.0999999999999996</v>
      </c>
    </row>
    <row r="47" spans="1:17" customFormat="1">
      <c r="A47" s="70" t="s">
        <v>1525</v>
      </c>
      <c r="B47" s="100">
        <v>27.04</v>
      </c>
      <c r="C47" s="100">
        <v>23.87</v>
      </c>
      <c r="D47" s="100">
        <v>35.51</v>
      </c>
      <c r="E47" s="100">
        <v>7.9</v>
      </c>
      <c r="F47" s="100">
        <v>2.56</v>
      </c>
      <c r="G47" s="100">
        <v>84.64</v>
      </c>
      <c r="H47" s="100">
        <v>33.020000000000003</v>
      </c>
      <c r="I47" s="100">
        <v>8.17</v>
      </c>
      <c r="J47" s="100">
        <v>0.98</v>
      </c>
      <c r="K47" s="100">
        <v>57.57</v>
      </c>
      <c r="L47" s="100">
        <v>23.13</v>
      </c>
      <c r="M47" s="100">
        <v>49.02</v>
      </c>
      <c r="N47" s="100">
        <v>132.80000000000001</v>
      </c>
      <c r="O47" s="100">
        <v>0</v>
      </c>
      <c r="P47" s="100">
        <v>0.68</v>
      </c>
      <c r="Q47" s="100">
        <v>5.0999999999999996</v>
      </c>
    </row>
    <row r="48" spans="1:17" customFormat="1">
      <c r="A48" s="70" t="s">
        <v>1526</v>
      </c>
      <c r="B48" s="100">
        <v>26.12</v>
      </c>
      <c r="C48" s="100">
        <v>23.39</v>
      </c>
      <c r="D48" s="100">
        <v>34.520000000000003</v>
      </c>
      <c r="E48" s="100">
        <v>8.0399999999999991</v>
      </c>
      <c r="F48" s="100">
        <v>2.5299999999999998</v>
      </c>
      <c r="G48" s="100">
        <v>85.21</v>
      </c>
      <c r="H48" s="100">
        <v>32.89</v>
      </c>
      <c r="I48" s="100">
        <v>8.1999999999999993</v>
      </c>
      <c r="J48" s="100">
        <v>0.34</v>
      </c>
      <c r="K48" s="100">
        <v>52</v>
      </c>
      <c r="L48" s="100">
        <v>24.01</v>
      </c>
      <c r="M48" s="100">
        <v>47.1</v>
      </c>
      <c r="N48" s="100">
        <v>237.3</v>
      </c>
      <c r="O48" s="100">
        <v>0</v>
      </c>
      <c r="P48" s="100">
        <v>0.68</v>
      </c>
      <c r="Q48" s="100">
        <v>5.1100000000000003</v>
      </c>
    </row>
    <row r="49" spans="1:17" customFormat="1">
      <c r="A49" s="70" t="s">
        <v>1527</v>
      </c>
      <c r="B49" s="100">
        <v>25.27</v>
      </c>
      <c r="C49" s="100">
        <v>24.28</v>
      </c>
      <c r="D49" s="100">
        <v>34.299999999999997</v>
      </c>
      <c r="E49" s="100">
        <v>7.67</v>
      </c>
      <c r="F49" s="100">
        <v>2.4700000000000002</v>
      </c>
      <c r="G49" s="100">
        <v>87.67</v>
      </c>
      <c r="H49" s="100">
        <v>32.51</v>
      </c>
      <c r="I49" s="100">
        <v>8.1999999999999993</v>
      </c>
      <c r="J49" s="100">
        <v>0.56000000000000005</v>
      </c>
      <c r="K49" s="100">
        <v>58.48</v>
      </c>
      <c r="L49" s="100">
        <v>24.64</v>
      </c>
      <c r="M49" s="100">
        <v>44.98</v>
      </c>
      <c r="N49" s="100">
        <v>309.89999999999998</v>
      </c>
      <c r="O49" s="100">
        <v>0</v>
      </c>
      <c r="P49" s="100">
        <v>0.68</v>
      </c>
      <c r="Q49" s="100">
        <v>5.08</v>
      </c>
    </row>
    <row r="50" spans="1:17" customFormat="1">
      <c r="A50" s="70" t="s">
        <v>1528</v>
      </c>
      <c r="B50" s="100">
        <v>24.53</v>
      </c>
      <c r="C50" s="100">
        <v>25.09</v>
      </c>
      <c r="D50" s="100">
        <v>34.130000000000003</v>
      </c>
      <c r="E50" s="100">
        <v>9.01</v>
      </c>
      <c r="F50" s="100">
        <v>2.58</v>
      </c>
      <c r="G50" s="100">
        <v>87.67</v>
      </c>
      <c r="H50" s="100">
        <v>32.51</v>
      </c>
      <c r="I50" s="100">
        <v>8.15</v>
      </c>
      <c r="J50" s="100">
        <v>0.72</v>
      </c>
      <c r="K50" s="100">
        <v>67.98</v>
      </c>
      <c r="L50" s="100">
        <v>25.19</v>
      </c>
      <c r="M50" s="100">
        <v>41.57</v>
      </c>
      <c r="N50" s="100">
        <v>339</v>
      </c>
      <c r="O50" s="100">
        <v>0</v>
      </c>
      <c r="P50" s="100">
        <v>0.69</v>
      </c>
      <c r="Q50" s="100">
        <v>5.08</v>
      </c>
    </row>
    <row r="51" spans="1:17" customFormat="1">
      <c r="A51" s="70" t="s">
        <v>1529</v>
      </c>
      <c r="B51" s="100">
        <v>23.71</v>
      </c>
      <c r="C51" s="100">
        <v>24.19</v>
      </c>
      <c r="D51" s="100">
        <v>33.01</v>
      </c>
      <c r="E51" s="100">
        <v>9.2799999999999994</v>
      </c>
      <c r="F51" s="100">
        <v>2.65</v>
      </c>
      <c r="G51" s="100">
        <v>87.67</v>
      </c>
      <c r="H51" s="100">
        <v>32.51</v>
      </c>
      <c r="I51" s="100">
        <v>8.1199999999999992</v>
      </c>
      <c r="J51" s="100">
        <v>0.44</v>
      </c>
      <c r="K51" s="100">
        <v>34.380000000000003</v>
      </c>
      <c r="L51" s="100">
        <v>25.61</v>
      </c>
      <c r="M51" s="100">
        <v>38.33</v>
      </c>
      <c r="N51" s="100">
        <v>360.9</v>
      </c>
      <c r="O51" s="100">
        <v>0</v>
      </c>
      <c r="P51" s="100">
        <v>0.67</v>
      </c>
      <c r="Q51" s="100">
        <v>5.05</v>
      </c>
    </row>
    <row r="52" spans="1:17" customFormat="1">
      <c r="A52" s="70" t="s">
        <v>1530</v>
      </c>
      <c r="B52" s="100">
        <v>22.95</v>
      </c>
      <c r="C52" s="100">
        <v>23.57</v>
      </c>
      <c r="D52" s="100">
        <v>32.07</v>
      </c>
      <c r="E52" s="100">
        <v>8.84</v>
      </c>
      <c r="F52" s="100">
        <v>2.63</v>
      </c>
      <c r="G52" s="100">
        <v>88.45</v>
      </c>
      <c r="H52" s="100">
        <v>32.11</v>
      </c>
      <c r="I52" s="100">
        <v>8.08</v>
      </c>
      <c r="J52" s="100">
        <v>0.52</v>
      </c>
      <c r="K52" s="100">
        <v>27.02</v>
      </c>
      <c r="L52" s="100">
        <v>26.05</v>
      </c>
      <c r="M52" s="100">
        <v>36.090000000000003</v>
      </c>
      <c r="N52" s="100">
        <v>375.2</v>
      </c>
      <c r="O52" s="100">
        <v>0</v>
      </c>
      <c r="P52" s="100">
        <v>0.67</v>
      </c>
      <c r="Q52" s="100">
        <v>5.04</v>
      </c>
    </row>
    <row r="53" spans="1:17" customFormat="1">
      <c r="A53" s="70" t="s">
        <v>1531</v>
      </c>
      <c r="B53" s="100">
        <v>22.48</v>
      </c>
      <c r="C53" s="100">
        <v>23.51</v>
      </c>
      <c r="D53" s="100">
        <v>31.67</v>
      </c>
      <c r="E53" s="100">
        <v>9.0399999999999991</v>
      </c>
      <c r="F53" s="100">
        <v>2.83</v>
      </c>
      <c r="G53" s="100">
        <v>91.77</v>
      </c>
      <c r="H53" s="100">
        <v>30.85</v>
      </c>
      <c r="I53" s="100">
        <v>8.0399999999999991</v>
      </c>
      <c r="J53" s="100">
        <v>0.49</v>
      </c>
      <c r="K53" s="100">
        <v>60.41</v>
      </c>
      <c r="L53" s="100">
        <v>26.71</v>
      </c>
      <c r="M53" s="100">
        <v>34.25</v>
      </c>
      <c r="N53" s="100">
        <v>362.6</v>
      </c>
      <c r="O53" s="100">
        <v>0</v>
      </c>
      <c r="P53" s="100">
        <v>0.66</v>
      </c>
      <c r="Q53" s="100">
        <v>5.07</v>
      </c>
    </row>
    <row r="54" spans="1:17" customFormat="1">
      <c r="A54" s="70" t="s">
        <v>1532</v>
      </c>
      <c r="B54" s="100">
        <v>21.4</v>
      </c>
      <c r="C54" s="100">
        <v>24.39</v>
      </c>
      <c r="D54" s="100">
        <v>31.26</v>
      </c>
      <c r="E54" s="100">
        <v>9.39</v>
      </c>
      <c r="F54" s="100">
        <v>3.27</v>
      </c>
      <c r="G54" s="100">
        <v>91.77</v>
      </c>
      <c r="H54" s="100">
        <v>30.85</v>
      </c>
      <c r="I54" s="100">
        <v>8.01</v>
      </c>
      <c r="J54" s="100">
        <v>0.37</v>
      </c>
      <c r="K54" s="100">
        <v>120.2</v>
      </c>
      <c r="L54" s="100">
        <v>27.61</v>
      </c>
      <c r="M54" s="100">
        <v>33.22</v>
      </c>
      <c r="N54" s="100">
        <v>400.5</v>
      </c>
      <c r="O54" s="100">
        <v>0</v>
      </c>
      <c r="P54" s="100">
        <v>0.64</v>
      </c>
      <c r="Q54" s="100">
        <v>5.05</v>
      </c>
    </row>
    <row r="55" spans="1:17" customFormat="1">
      <c r="A55" s="70" t="s">
        <v>1533</v>
      </c>
      <c r="B55" s="100">
        <v>19.13</v>
      </c>
      <c r="C55" s="100">
        <v>25.36</v>
      </c>
      <c r="D55" s="100">
        <v>29.94</v>
      </c>
      <c r="E55" s="100">
        <v>9.4</v>
      </c>
      <c r="F55" s="100">
        <v>3.17</v>
      </c>
      <c r="G55" s="100">
        <v>91.77</v>
      </c>
      <c r="H55" s="100">
        <v>30.85</v>
      </c>
      <c r="I55" s="100">
        <v>7.91</v>
      </c>
      <c r="J55" s="100">
        <v>0.71</v>
      </c>
      <c r="K55" s="100">
        <v>59.49</v>
      </c>
      <c r="L55" s="100">
        <v>27.33</v>
      </c>
      <c r="M55" s="100">
        <v>33.26</v>
      </c>
      <c r="N55" s="100">
        <v>411.4</v>
      </c>
      <c r="O55" s="100">
        <v>0</v>
      </c>
      <c r="P55" s="100">
        <v>0.63</v>
      </c>
      <c r="Q55" s="100">
        <v>5.03</v>
      </c>
    </row>
    <row r="56" spans="1:17" customFormat="1">
      <c r="A56" s="70" t="s">
        <v>1534</v>
      </c>
      <c r="B56" s="100">
        <v>17.13</v>
      </c>
      <c r="C56" s="100">
        <v>25.91</v>
      </c>
      <c r="D56" s="100">
        <v>28.63</v>
      </c>
      <c r="E56" s="100">
        <v>8.86</v>
      </c>
      <c r="F56" s="100">
        <v>3.61</v>
      </c>
      <c r="G56" s="100">
        <v>89.97</v>
      </c>
      <c r="H56" s="100">
        <v>30.28</v>
      </c>
      <c r="I56" s="100">
        <v>7.75</v>
      </c>
      <c r="J56" s="100">
        <v>0.33</v>
      </c>
      <c r="K56" s="100">
        <v>37.26</v>
      </c>
      <c r="L56" s="100">
        <v>27.4</v>
      </c>
      <c r="M56" s="100">
        <v>33.15</v>
      </c>
      <c r="N56" s="100">
        <v>419.1</v>
      </c>
      <c r="O56" s="100">
        <v>0</v>
      </c>
      <c r="P56" s="100">
        <v>0.62</v>
      </c>
      <c r="Q56" s="100">
        <v>5.01</v>
      </c>
    </row>
    <row r="57" spans="1:17" customFormat="1">
      <c r="A57" s="70" t="s">
        <v>1535</v>
      </c>
      <c r="B57" s="100">
        <v>15.24</v>
      </c>
      <c r="C57" s="100">
        <v>26.21</v>
      </c>
      <c r="D57" s="100">
        <v>27.27</v>
      </c>
      <c r="E57" s="100">
        <v>8.7200000000000006</v>
      </c>
      <c r="F57" s="100">
        <v>3.25</v>
      </c>
      <c r="G57" s="100">
        <v>82.22</v>
      </c>
      <c r="H57" s="100">
        <v>27.72</v>
      </c>
      <c r="I57" s="100">
        <v>7.57</v>
      </c>
      <c r="J57" s="100">
        <v>0.14000000000000001</v>
      </c>
      <c r="K57" s="100">
        <v>156.27000000000001</v>
      </c>
      <c r="L57" s="100">
        <v>28.36</v>
      </c>
      <c r="M57" s="100">
        <v>32.85</v>
      </c>
      <c r="N57" s="100">
        <v>420.1</v>
      </c>
      <c r="O57" s="100">
        <v>0</v>
      </c>
      <c r="P57" s="100">
        <v>0.61</v>
      </c>
      <c r="Q57" s="100">
        <v>4.97</v>
      </c>
    </row>
    <row r="58" spans="1:17" customFormat="1">
      <c r="A58" s="70" t="s">
        <v>1536</v>
      </c>
      <c r="B58" s="100">
        <v>13.34</v>
      </c>
      <c r="C58" s="100">
        <v>26.09</v>
      </c>
      <c r="D58" s="100">
        <v>25.68</v>
      </c>
      <c r="E58" s="100">
        <v>8.82</v>
      </c>
      <c r="F58" s="100">
        <v>3.35</v>
      </c>
      <c r="G58" s="100">
        <v>82.22</v>
      </c>
      <c r="H58" s="100">
        <v>27.72</v>
      </c>
      <c r="I58" s="100">
        <v>7.38</v>
      </c>
      <c r="J58" s="100">
        <v>0.4</v>
      </c>
      <c r="K58" s="100">
        <v>121.6</v>
      </c>
      <c r="L58" s="100">
        <v>29.03</v>
      </c>
      <c r="M58" s="100">
        <v>31.47</v>
      </c>
      <c r="N58" s="100">
        <v>426.7</v>
      </c>
      <c r="O58" s="100">
        <v>0</v>
      </c>
      <c r="P58" s="100">
        <v>0.59</v>
      </c>
      <c r="Q58" s="100">
        <v>4.9400000000000004</v>
      </c>
    </row>
    <row r="59" spans="1:17" customFormat="1">
      <c r="A59" s="70" t="s">
        <v>1537</v>
      </c>
      <c r="B59" s="100">
        <v>11.35</v>
      </c>
      <c r="C59" s="100">
        <v>25.9</v>
      </c>
      <c r="D59" s="100">
        <v>23.99</v>
      </c>
      <c r="E59" s="100">
        <v>9.19</v>
      </c>
      <c r="F59" s="100">
        <v>3.42</v>
      </c>
      <c r="G59" s="100">
        <v>82.22</v>
      </c>
      <c r="H59" s="100">
        <v>27.72</v>
      </c>
      <c r="I59" s="100">
        <v>7.2</v>
      </c>
      <c r="J59" s="100">
        <v>0.22</v>
      </c>
      <c r="K59" s="100">
        <v>211.78</v>
      </c>
      <c r="L59" s="100">
        <v>29.14</v>
      </c>
      <c r="M59" s="100">
        <v>32.18</v>
      </c>
      <c r="N59" s="100">
        <v>420.3</v>
      </c>
      <c r="O59" s="100">
        <v>0</v>
      </c>
      <c r="P59" s="100">
        <v>0.56000000000000005</v>
      </c>
      <c r="Q59" s="100">
        <v>4.93</v>
      </c>
    </row>
    <row r="60" spans="1:17" customFormat="1">
      <c r="A60" s="70" t="s">
        <v>1538</v>
      </c>
      <c r="B60" s="100">
        <v>9.6199999999999992</v>
      </c>
      <c r="C60" s="100">
        <v>25.73</v>
      </c>
      <c r="D60" s="100">
        <v>22.51</v>
      </c>
      <c r="E60" s="100">
        <v>8.6</v>
      </c>
      <c r="F60" s="100">
        <v>3.57</v>
      </c>
      <c r="G60" s="100">
        <v>79.099999999999994</v>
      </c>
      <c r="H60" s="100">
        <v>26.51</v>
      </c>
      <c r="I60" s="100">
        <v>7.04</v>
      </c>
      <c r="J60" s="100">
        <v>0.2</v>
      </c>
      <c r="K60" s="100">
        <v>30.53</v>
      </c>
      <c r="L60" s="100">
        <v>29.2</v>
      </c>
      <c r="M60" s="100">
        <v>32.07</v>
      </c>
      <c r="N60" s="100">
        <v>404.2</v>
      </c>
      <c r="O60" s="100">
        <v>0</v>
      </c>
      <c r="P60" s="100">
        <v>0.55000000000000004</v>
      </c>
      <c r="Q60" s="100">
        <v>4.91</v>
      </c>
    </row>
    <row r="61" spans="1:17" customFormat="1">
      <c r="A61" s="70" t="s">
        <v>1539</v>
      </c>
      <c r="B61" s="100">
        <v>8.43</v>
      </c>
      <c r="C61" s="100">
        <v>25.55</v>
      </c>
      <c r="D61" s="100">
        <v>21.46</v>
      </c>
      <c r="E61" s="100">
        <v>8.15</v>
      </c>
      <c r="F61" s="100">
        <v>3.26</v>
      </c>
      <c r="G61" s="100">
        <v>65.709999999999994</v>
      </c>
      <c r="H61" s="100">
        <v>22.96</v>
      </c>
      <c r="I61" s="100">
        <v>6.86</v>
      </c>
      <c r="J61" s="100">
        <v>0.36</v>
      </c>
      <c r="K61" s="100">
        <v>300.89</v>
      </c>
      <c r="L61" s="100">
        <v>29.15</v>
      </c>
      <c r="M61" s="100">
        <v>33.11</v>
      </c>
      <c r="N61" s="100">
        <v>371.3</v>
      </c>
      <c r="O61" s="100">
        <v>0</v>
      </c>
      <c r="P61" s="100">
        <v>0.54</v>
      </c>
      <c r="Q61" s="100">
        <v>4.8899999999999997</v>
      </c>
    </row>
    <row r="62" spans="1:17" customFormat="1">
      <c r="A62" s="70" t="s">
        <v>1540</v>
      </c>
      <c r="B62" s="100">
        <v>7.45</v>
      </c>
      <c r="C62" s="100">
        <v>24.98</v>
      </c>
      <c r="D62" s="100">
        <v>20.38</v>
      </c>
      <c r="E62" s="100">
        <v>8.3699999999999992</v>
      </c>
      <c r="F62" s="100">
        <v>4.3899999999999997</v>
      </c>
      <c r="G62" s="100">
        <v>65.709999999999994</v>
      </c>
      <c r="H62" s="100">
        <v>22.96</v>
      </c>
      <c r="I62" s="100">
        <v>6.66</v>
      </c>
      <c r="J62" s="100">
        <v>0.17</v>
      </c>
      <c r="K62" s="100">
        <v>330.42</v>
      </c>
      <c r="L62" s="100">
        <v>29.41</v>
      </c>
      <c r="M62" s="100">
        <v>33.01</v>
      </c>
      <c r="N62" s="100">
        <v>381.1</v>
      </c>
      <c r="O62" s="100">
        <v>0</v>
      </c>
      <c r="P62" s="100">
        <v>0.52</v>
      </c>
      <c r="Q62" s="100">
        <v>4.8499999999999996</v>
      </c>
    </row>
    <row r="63" spans="1:17" customFormat="1">
      <c r="A63" s="70" t="s">
        <v>1541</v>
      </c>
      <c r="B63" s="100">
        <v>6.63</v>
      </c>
      <c r="C63" s="100">
        <v>24.53</v>
      </c>
      <c r="D63" s="100">
        <v>19.489999999999998</v>
      </c>
      <c r="E63" s="100">
        <v>8.58</v>
      </c>
      <c r="F63" s="100">
        <v>3.9</v>
      </c>
      <c r="G63" s="100">
        <v>65.709999999999994</v>
      </c>
      <c r="H63" s="100">
        <v>22.96</v>
      </c>
      <c r="I63" s="100">
        <v>6.51</v>
      </c>
      <c r="J63" s="100">
        <v>0.35</v>
      </c>
      <c r="K63" s="100">
        <v>242.44</v>
      </c>
      <c r="L63" s="100">
        <v>29.58</v>
      </c>
      <c r="M63" s="100">
        <v>33.17</v>
      </c>
      <c r="N63" s="100">
        <v>368.2</v>
      </c>
      <c r="O63" s="100">
        <v>0</v>
      </c>
      <c r="P63" s="100">
        <v>0.53</v>
      </c>
      <c r="Q63" s="100">
        <v>4.8499999999999996</v>
      </c>
    </row>
    <row r="64" spans="1:17" customFormat="1">
      <c r="A64" s="70" t="s">
        <v>1542</v>
      </c>
      <c r="B64" s="100">
        <v>5.83</v>
      </c>
      <c r="C64" s="100">
        <v>24.21</v>
      </c>
      <c r="D64" s="100">
        <v>18.670000000000002</v>
      </c>
      <c r="E64" s="100">
        <v>8.4600000000000009</v>
      </c>
      <c r="F64" s="100">
        <v>4.42</v>
      </c>
      <c r="G64" s="100">
        <v>63.72</v>
      </c>
      <c r="H64" s="100">
        <v>22.79</v>
      </c>
      <c r="I64" s="100">
        <v>6.38</v>
      </c>
      <c r="J64" s="100">
        <v>0.26</v>
      </c>
      <c r="K64" s="100">
        <v>181.08</v>
      </c>
      <c r="L64" s="100">
        <v>30.06</v>
      </c>
      <c r="M64" s="100">
        <v>32.6</v>
      </c>
      <c r="N64" s="100">
        <v>346.1</v>
      </c>
      <c r="O64" s="100">
        <v>0</v>
      </c>
      <c r="P64" s="100">
        <v>0.52</v>
      </c>
      <c r="Q64" s="100">
        <v>4.84</v>
      </c>
    </row>
    <row r="65" spans="1:17" customFormat="1">
      <c r="A65" s="70" t="s">
        <v>1543</v>
      </c>
      <c r="B65" s="100">
        <v>5.2</v>
      </c>
      <c r="C65" s="100">
        <v>23.73</v>
      </c>
      <c r="D65" s="100">
        <v>17.920000000000002</v>
      </c>
      <c r="E65" s="100">
        <v>8.93</v>
      </c>
      <c r="F65" s="100">
        <v>5.12</v>
      </c>
      <c r="G65" s="100">
        <v>55.16</v>
      </c>
      <c r="H65" s="100">
        <v>22.28</v>
      </c>
      <c r="I65" s="100">
        <v>6.28</v>
      </c>
      <c r="J65" s="100">
        <v>0.16</v>
      </c>
      <c r="K65" s="100">
        <v>269.23</v>
      </c>
      <c r="L65" s="100">
        <v>29.77</v>
      </c>
      <c r="M65" s="100">
        <v>32.82</v>
      </c>
      <c r="N65" s="100">
        <v>299.7</v>
      </c>
      <c r="O65" s="100">
        <v>0</v>
      </c>
      <c r="P65" s="100">
        <v>0.49</v>
      </c>
      <c r="Q65" s="100">
        <v>4.84</v>
      </c>
    </row>
    <row r="66" spans="1:17" customFormat="1">
      <c r="A66" s="70" t="s">
        <v>1544</v>
      </c>
      <c r="B66" s="100">
        <v>4.87</v>
      </c>
      <c r="C66" s="100">
        <v>23.41</v>
      </c>
      <c r="D66" s="100">
        <v>17.489999999999998</v>
      </c>
      <c r="E66" s="100">
        <v>9.7899999999999991</v>
      </c>
      <c r="F66" s="100">
        <v>5.25</v>
      </c>
      <c r="G66" s="100">
        <v>55.16</v>
      </c>
      <c r="H66" s="100">
        <v>22.28</v>
      </c>
      <c r="I66" s="100">
        <v>6.17</v>
      </c>
      <c r="J66" s="100">
        <v>0.54</v>
      </c>
      <c r="K66" s="100">
        <v>332.26</v>
      </c>
      <c r="L66" s="100">
        <v>28.99</v>
      </c>
      <c r="M66" s="100">
        <v>33.6</v>
      </c>
      <c r="N66" s="100">
        <v>126.1</v>
      </c>
      <c r="O66" s="100">
        <v>0</v>
      </c>
      <c r="P66" s="100">
        <v>0.52</v>
      </c>
      <c r="Q66" s="100">
        <v>4.84</v>
      </c>
    </row>
    <row r="67" spans="1:17" customFormat="1">
      <c r="A67" s="70" t="s">
        <v>1545</v>
      </c>
      <c r="B67" s="100">
        <v>4.79</v>
      </c>
      <c r="C67" s="100">
        <v>23.5</v>
      </c>
      <c r="D67" s="100">
        <v>17.47</v>
      </c>
      <c r="E67" s="100">
        <v>10.45</v>
      </c>
      <c r="F67" s="100">
        <v>6.3</v>
      </c>
      <c r="G67" s="100">
        <v>55.16</v>
      </c>
      <c r="H67" s="100">
        <v>22.28</v>
      </c>
      <c r="I67" s="100">
        <v>6.08</v>
      </c>
      <c r="J67" s="100">
        <v>0.45</v>
      </c>
      <c r="K67" s="100">
        <v>20.86</v>
      </c>
      <c r="L67" s="100">
        <v>28.59</v>
      </c>
      <c r="M67" s="100">
        <v>34.46</v>
      </c>
      <c r="N67" s="100">
        <v>88.2</v>
      </c>
      <c r="O67" s="100">
        <v>0</v>
      </c>
      <c r="P67" s="100">
        <v>0.52</v>
      </c>
      <c r="Q67" s="100">
        <v>4.8099999999999996</v>
      </c>
    </row>
    <row r="68" spans="1:17" customFormat="1">
      <c r="A68" s="70" t="s">
        <v>1546</v>
      </c>
      <c r="B68" s="100">
        <v>4.6500000000000004</v>
      </c>
      <c r="C68" s="100">
        <v>23.35</v>
      </c>
      <c r="D68" s="100">
        <v>17.28</v>
      </c>
      <c r="E68" s="100">
        <v>10.29</v>
      </c>
      <c r="F68" s="100">
        <v>6.48</v>
      </c>
      <c r="G68" s="100">
        <v>56.26</v>
      </c>
      <c r="H68" s="100">
        <v>23.06</v>
      </c>
      <c r="I68" s="100">
        <v>6.04</v>
      </c>
      <c r="J68" s="100">
        <v>0.49</v>
      </c>
      <c r="K68" s="100">
        <v>315.81</v>
      </c>
      <c r="L68" s="100">
        <v>28.69</v>
      </c>
      <c r="M68" s="100">
        <v>33.78</v>
      </c>
      <c r="N68" s="100">
        <v>77.2</v>
      </c>
      <c r="O68" s="100">
        <v>0</v>
      </c>
      <c r="P68" s="100">
        <v>0.53</v>
      </c>
      <c r="Q68" s="100">
        <v>4.8099999999999996</v>
      </c>
    </row>
    <row r="69" spans="1:17" customFormat="1">
      <c r="A69" s="70" t="s">
        <v>1547</v>
      </c>
      <c r="B69" s="100">
        <v>4.62</v>
      </c>
      <c r="C69" s="100">
        <v>23.34</v>
      </c>
      <c r="D69" s="100">
        <v>17.25</v>
      </c>
      <c r="E69" s="100">
        <v>10.15</v>
      </c>
      <c r="F69" s="100">
        <v>6.42</v>
      </c>
      <c r="G69" s="100">
        <v>60.98</v>
      </c>
      <c r="H69" s="100">
        <v>25.48</v>
      </c>
      <c r="I69" s="100">
        <v>6.04</v>
      </c>
      <c r="J69" s="100">
        <v>0.08</v>
      </c>
      <c r="K69" s="100">
        <v>190.9</v>
      </c>
      <c r="L69" s="100">
        <v>28.52</v>
      </c>
      <c r="M69" s="100">
        <v>35.68</v>
      </c>
      <c r="N69" s="100">
        <v>66.2</v>
      </c>
      <c r="O69" s="100">
        <v>0</v>
      </c>
      <c r="P69" s="100">
        <v>0.53</v>
      </c>
      <c r="Q69" s="100">
        <v>4.8099999999999996</v>
      </c>
    </row>
    <row r="70" spans="1:17" customFormat="1">
      <c r="A70" s="70" t="s">
        <v>1548</v>
      </c>
      <c r="B70" s="100">
        <v>4.6100000000000003</v>
      </c>
      <c r="C70" s="100">
        <v>23.41</v>
      </c>
      <c r="D70" s="100">
        <v>17.28</v>
      </c>
      <c r="E70" s="100">
        <v>10.69</v>
      </c>
      <c r="F70" s="100">
        <v>7.15</v>
      </c>
      <c r="G70" s="100">
        <v>60.98</v>
      </c>
      <c r="H70" s="100">
        <v>25.48</v>
      </c>
      <c r="I70" s="100">
        <v>6.03</v>
      </c>
      <c r="J70" s="100">
        <v>0.85</v>
      </c>
      <c r="K70" s="100">
        <v>326.61</v>
      </c>
      <c r="L70" s="100">
        <v>28.59</v>
      </c>
      <c r="M70" s="100">
        <v>33.6</v>
      </c>
      <c r="N70" s="100">
        <v>64.2</v>
      </c>
      <c r="O70" s="100">
        <v>0</v>
      </c>
      <c r="P70" s="100">
        <v>0.53</v>
      </c>
      <c r="Q70" s="100">
        <v>4.8099999999999996</v>
      </c>
    </row>
    <row r="71" spans="1:17" customFormat="1">
      <c r="A71" s="70" t="s">
        <v>1549</v>
      </c>
      <c r="B71" s="100">
        <v>4.7</v>
      </c>
      <c r="C71" s="100">
        <v>23.67</v>
      </c>
      <c r="D71" s="100">
        <v>17.489999999999998</v>
      </c>
      <c r="E71" s="100">
        <v>9.98</v>
      </c>
      <c r="F71" s="100">
        <v>5.78</v>
      </c>
      <c r="G71" s="100">
        <v>60.98</v>
      </c>
      <c r="H71" s="100">
        <v>25.48</v>
      </c>
      <c r="I71" s="100">
        <v>6.01</v>
      </c>
      <c r="J71" s="100">
        <v>0.72</v>
      </c>
      <c r="K71" s="100">
        <v>307.74</v>
      </c>
      <c r="L71" s="100">
        <v>28.5</v>
      </c>
      <c r="M71" s="100">
        <v>34.31</v>
      </c>
      <c r="N71" s="100">
        <v>51.4</v>
      </c>
      <c r="O71" s="100">
        <v>0</v>
      </c>
      <c r="P71" s="100">
        <v>0.54</v>
      </c>
      <c r="Q71" s="100">
        <v>4.79</v>
      </c>
    </row>
    <row r="72" spans="1:17" customFormat="1">
      <c r="A72" s="70" t="s">
        <v>1550</v>
      </c>
      <c r="B72" s="100">
        <v>4.76</v>
      </c>
      <c r="C72" s="100">
        <v>23.81</v>
      </c>
      <c r="D72" s="100">
        <v>17.61</v>
      </c>
      <c r="E72" s="100">
        <v>10.52</v>
      </c>
      <c r="F72" s="100">
        <v>5.63</v>
      </c>
      <c r="G72" s="100">
        <v>61.05</v>
      </c>
      <c r="H72" s="100">
        <v>25.3</v>
      </c>
      <c r="I72" s="100">
        <v>5.95</v>
      </c>
      <c r="J72" s="100">
        <v>0.78</v>
      </c>
      <c r="K72" s="100">
        <v>309.83999999999997</v>
      </c>
      <c r="L72" s="100">
        <v>28.31</v>
      </c>
      <c r="M72" s="100">
        <v>34.76</v>
      </c>
      <c r="N72" s="100">
        <v>43.2</v>
      </c>
      <c r="O72" s="100">
        <v>0</v>
      </c>
      <c r="P72" s="100">
        <v>0.53</v>
      </c>
      <c r="Q72" s="100">
        <v>4.79</v>
      </c>
    </row>
    <row r="73" spans="1:17" customFormat="1">
      <c r="A73" s="70" t="s">
        <v>1551</v>
      </c>
      <c r="B73" s="100">
        <v>4.87</v>
      </c>
      <c r="C73" s="100">
        <v>23.57</v>
      </c>
      <c r="D73" s="100">
        <v>17.57</v>
      </c>
      <c r="E73" s="100">
        <v>9.68</v>
      </c>
      <c r="F73" s="100">
        <v>6.59</v>
      </c>
      <c r="G73" s="100">
        <v>61.37</v>
      </c>
      <c r="H73" s="100">
        <v>24.75</v>
      </c>
      <c r="I73" s="100">
        <v>5.9</v>
      </c>
      <c r="J73" s="100">
        <v>0.43</v>
      </c>
      <c r="K73" s="100">
        <v>342.99</v>
      </c>
      <c r="L73" s="100">
        <v>28.12</v>
      </c>
      <c r="M73" s="100">
        <v>36.47</v>
      </c>
      <c r="N73" s="100">
        <v>35.6</v>
      </c>
      <c r="O73" s="100">
        <v>0</v>
      </c>
      <c r="P73" s="100">
        <v>0.53</v>
      </c>
      <c r="Q73" s="100">
        <v>4.79</v>
      </c>
    </row>
    <row r="74" spans="1:17" customFormat="1">
      <c r="A74" s="70" t="s">
        <v>1552</v>
      </c>
      <c r="B74" s="100">
        <v>4.93</v>
      </c>
      <c r="C74" s="100">
        <v>23.82</v>
      </c>
      <c r="D74" s="100">
        <v>17.75</v>
      </c>
      <c r="E74" s="100">
        <v>8.7100000000000009</v>
      </c>
      <c r="F74" s="100">
        <v>4.93</v>
      </c>
      <c r="G74" s="100">
        <v>61.37</v>
      </c>
      <c r="H74" s="100">
        <v>24.75</v>
      </c>
      <c r="I74" s="100">
        <v>5.81</v>
      </c>
      <c r="J74" s="100">
        <v>0.62</v>
      </c>
      <c r="K74" s="100">
        <v>309.16000000000003</v>
      </c>
      <c r="L74" s="100">
        <v>28.01</v>
      </c>
      <c r="M74" s="100">
        <v>36.57</v>
      </c>
      <c r="N74" s="100">
        <v>29</v>
      </c>
      <c r="O74" s="100">
        <v>0</v>
      </c>
      <c r="P74" s="100">
        <v>0.52</v>
      </c>
      <c r="Q74" s="100">
        <v>4.7699999999999996</v>
      </c>
    </row>
    <row r="75" spans="1:17" customFormat="1">
      <c r="A75" s="70" t="s">
        <v>1553</v>
      </c>
      <c r="B75" s="100">
        <v>5.05</v>
      </c>
      <c r="C75" s="100">
        <v>22.93</v>
      </c>
      <c r="D75" s="100">
        <v>17.38</v>
      </c>
      <c r="E75" s="100">
        <v>8.8000000000000007</v>
      </c>
      <c r="F75" s="100">
        <v>4.0199999999999996</v>
      </c>
      <c r="G75" s="100">
        <v>61.37</v>
      </c>
      <c r="H75" s="100">
        <v>24.75</v>
      </c>
      <c r="I75" s="100">
        <v>5.74</v>
      </c>
      <c r="J75" s="100">
        <v>0.3</v>
      </c>
      <c r="K75" s="100">
        <v>25.23</v>
      </c>
      <c r="L75" s="100">
        <v>27.75</v>
      </c>
      <c r="M75" s="100">
        <v>38.21</v>
      </c>
      <c r="N75" s="100">
        <v>20.399999999999999</v>
      </c>
      <c r="O75" s="100">
        <v>0</v>
      </c>
      <c r="P75" s="100">
        <v>0.53</v>
      </c>
      <c r="Q75" s="100">
        <v>4.78</v>
      </c>
    </row>
    <row r="76" spans="1:17" customFormat="1">
      <c r="A76" s="70" t="s">
        <v>1554</v>
      </c>
      <c r="B76" s="100">
        <v>5.29</v>
      </c>
      <c r="C76" s="100">
        <v>21.3</v>
      </c>
      <c r="D76" s="100">
        <v>16.72</v>
      </c>
      <c r="E76" s="100">
        <v>8.35</v>
      </c>
      <c r="F76" s="100">
        <v>3.81</v>
      </c>
      <c r="G76" s="100">
        <v>61.57</v>
      </c>
      <c r="H76" s="100">
        <v>25.07</v>
      </c>
      <c r="I76" s="100">
        <v>5.72</v>
      </c>
      <c r="J76" s="100">
        <v>0.56999999999999995</v>
      </c>
      <c r="K76" s="100">
        <v>42.57</v>
      </c>
      <c r="L76" s="100">
        <v>27.37</v>
      </c>
      <c r="M76" s="100">
        <v>39.82</v>
      </c>
      <c r="N76" s="100">
        <v>12.3</v>
      </c>
      <c r="O76" s="100">
        <v>0</v>
      </c>
      <c r="P76" s="100">
        <v>0.54</v>
      </c>
      <c r="Q76" s="100">
        <v>4.7699999999999996</v>
      </c>
    </row>
    <row r="77" spans="1:17" customFormat="1">
      <c r="A77" s="70" t="s">
        <v>1555</v>
      </c>
      <c r="B77" s="100">
        <v>5.86</v>
      </c>
      <c r="C77" s="100">
        <v>20.57</v>
      </c>
      <c r="D77" s="100">
        <v>16.79</v>
      </c>
      <c r="E77" s="100">
        <v>8.26</v>
      </c>
      <c r="F77" s="100">
        <v>3.27</v>
      </c>
      <c r="G77" s="100">
        <v>62.43</v>
      </c>
      <c r="H77" s="100">
        <v>26</v>
      </c>
      <c r="I77" s="100">
        <v>5.69</v>
      </c>
      <c r="J77" s="100">
        <v>0.23</v>
      </c>
      <c r="K77" s="100">
        <v>63.27</v>
      </c>
      <c r="L77" s="100">
        <v>26.84</v>
      </c>
      <c r="M77" s="100">
        <v>42.83</v>
      </c>
      <c r="N77" s="100">
        <v>4</v>
      </c>
      <c r="O77" s="100">
        <v>0</v>
      </c>
      <c r="P77" s="100">
        <v>0.53</v>
      </c>
      <c r="Q77" s="100">
        <v>4.78</v>
      </c>
    </row>
    <row r="78" spans="1:17" customFormat="1">
      <c r="A78" s="70" t="s">
        <v>1556</v>
      </c>
      <c r="B78" s="100">
        <v>6.25</v>
      </c>
      <c r="C78" s="100">
        <v>20.350000000000001</v>
      </c>
      <c r="D78" s="100">
        <v>17</v>
      </c>
      <c r="E78" s="100">
        <v>7.31</v>
      </c>
      <c r="F78" s="100">
        <v>2.65</v>
      </c>
      <c r="G78" s="100">
        <v>62.43</v>
      </c>
      <c r="H78" s="100">
        <v>26</v>
      </c>
      <c r="I78" s="100">
        <v>5.69</v>
      </c>
      <c r="J78" s="100">
        <v>0.28000000000000003</v>
      </c>
      <c r="K78" s="100">
        <v>68.59</v>
      </c>
      <c r="L78" s="100">
        <v>26.1</v>
      </c>
      <c r="M78" s="100">
        <v>46.16</v>
      </c>
      <c r="N78" s="100">
        <v>0</v>
      </c>
      <c r="O78" s="100">
        <v>0</v>
      </c>
      <c r="P78" s="100">
        <v>0.53</v>
      </c>
      <c r="Q78" s="100">
        <v>4.79</v>
      </c>
    </row>
    <row r="79" spans="1:17" customFormat="1">
      <c r="A79" s="70" t="s">
        <v>1557</v>
      </c>
      <c r="B79" s="100">
        <v>6.62</v>
      </c>
      <c r="C79" s="100">
        <v>19.79</v>
      </c>
      <c r="D79" s="100">
        <v>17</v>
      </c>
      <c r="E79" s="100">
        <v>7.72</v>
      </c>
      <c r="F79" s="100">
        <v>2.65</v>
      </c>
      <c r="G79" s="100">
        <v>62.43</v>
      </c>
      <c r="H79" s="100">
        <v>26</v>
      </c>
      <c r="I79" s="100">
        <v>5.73</v>
      </c>
      <c r="J79" s="100">
        <v>0.19</v>
      </c>
      <c r="K79" s="100">
        <v>114.34</v>
      </c>
      <c r="L79" s="100">
        <v>25.06</v>
      </c>
      <c r="M79" s="100">
        <v>50.74</v>
      </c>
      <c r="N79" s="100">
        <v>0</v>
      </c>
      <c r="O79" s="100">
        <v>0</v>
      </c>
      <c r="P79" s="100">
        <v>0.54</v>
      </c>
      <c r="Q79" s="100">
        <v>4.8</v>
      </c>
    </row>
    <row r="80" spans="1:17" customFormat="1">
      <c r="A80" s="70" t="s">
        <v>1558</v>
      </c>
      <c r="B80" s="100">
        <v>7.08</v>
      </c>
      <c r="C80" s="100">
        <v>19.309999999999999</v>
      </c>
      <c r="D80" s="100">
        <v>17.11</v>
      </c>
      <c r="E80" s="100">
        <v>7.35</v>
      </c>
      <c r="F80" s="100">
        <v>2.5099999999999998</v>
      </c>
      <c r="G80" s="100">
        <v>66.260000000000005</v>
      </c>
      <c r="H80" s="100">
        <v>26.27</v>
      </c>
      <c r="I80" s="100">
        <v>5.77</v>
      </c>
      <c r="J80" s="100">
        <v>0.23</v>
      </c>
      <c r="K80" s="100">
        <v>157.25</v>
      </c>
      <c r="L80" s="100">
        <v>24.21</v>
      </c>
      <c r="M80" s="100">
        <v>54.17</v>
      </c>
      <c r="N80" s="100">
        <v>0</v>
      </c>
      <c r="O80" s="100">
        <v>0</v>
      </c>
      <c r="P80" s="100">
        <v>0.55000000000000004</v>
      </c>
      <c r="Q80" s="100">
        <v>4.8099999999999996</v>
      </c>
    </row>
    <row r="81" spans="1:17" customFormat="1">
      <c r="A81" s="70" t="s">
        <v>1559</v>
      </c>
      <c r="B81" s="100">
        <v>7.48</v>
      </c>
      <c r="C81" s="100">
        <v>19.739999999999998</v>
      </c>
      <c r="D81" s="100">
        <v>17.670000000000002</v>
      </c>
      <c r="E81" s="100">
        <v>6.49</v>
      </c>
      <c r="F81" s="100">
        <v>2.4</v>
      </c>
      <c r="G81" s="100">
        <v>82.73</v>
      </c>
      <c r="H81" s="100">
        <v>27.47</v>
      </c>
      <c r="I81" s="100">
        <v>5.82</v>
      </c>
      <c r="J81" s="100">
        <v>0.3</v>
      </c>
      <c r="K81" s="100">
        <v>158.54</v>
      </c>
      <c r="L81" s="100">
        <v>23.49</v>
      </c>
      <c r="M81" s="100">
        <v>56.85</v>
      </c>
      <c r="N81" s="100">
        <v>0</v>
      </c>
      <c r="O81" s="100">
        <v>0</v>
      </c>
      <c r="P81" s="100">
        <v>0.56000000000000005</v>
      </c>
      <c r="Q81" s="100">
        <v>4.82</v>
      </c>
    </row>
    <row r="82" spans="1:17" customFormat="1">
      <c r="A82" s="70" t="s">
        <v>1560</v>
      </c>
      <c r="B82" s="100">
        <v>7.81</v>
      </c>
      <c r="C82" s="100">
        <v>21.48</v>
      </c>
      <c r="D82" s="100">
        <v>18.84</v>
      </c>
      <c r="E82" s="100">
        <v>7.67</v>
      </c>
      <c r="F82" s="100">
        <v>2.25</v>
      </c>
      <c r="G82" s="100">
        <v>82.73</v>
      </c>
      <c r="H82" s="100">
        <v>27.47</v>
      </c>
      <c r="I82" s="100">
        <v>5.88</v>
      </c>
      <c r="J82" s="100">
        <v>0.28999999999999998</v>
      </c>
      <c r="K82" s="100">
        <v>166.68</v>
      </c>
      <c r="L82" s="100">
        <v>23.14</v>
      </c>
      <c r="M82" s="100">
        <v>59.4</v>
      </c>
      <c r="N82" s="100">
        <v>0</v>
      </c>
      <c r="O82" s="100">
        <v>0</v>
      </c>
      <c r="P82" s="100">
        <v>0.57999999999999996</v>
      </c>
      <c r="Q82" s="100">
        <v>4.83</v>
      </c>
    </row>
    <row r="83" spans="1:17" customFormat="1">
      <c r="A83" s="70" t="s">
        <v>1561</v>
      </c>
      <c r="B83" s="100">
        <v>8.2100000000000009</v>
      </c>
      <c r="C83" s="100">
        <v>22.42</v>
      </c>
      <c r="D83" s="100">
        <v>19.649999999999999</v>
      </c>
      <c r="E83" s="100">
        <v>7.72</v>
      </c>
      <c r="F83" s="100">
        <v>2.21</v>
      </c>
      <c r="G83" s="100">
        <v>82.73</v>
      </c>
      <c r="H83" s="100">
        <v>27.47</v>
      </c>
      <c r="I83" s="100">
        <v>5.96</v>
      </c>
      <c r="J83" s="100">
        <v>0.26</v>
      </c>
      <c r="K83" s="100">
        <v>170.57</v>
      </c>
      <c r="L83" s="100">
        <v>22.64</v>
      </c>
      <c r="M83" s="100">
        <v>67.61</v>
      </c>
      <c r="N83" s="100">
        <v>0</v>
      </c>
      <c r="O83" s="100">
        <v>0</v>
      </c>
      <c r="P83" s="100">
        <v>0.61</v>
      </c>
      <c r="Q83" s="100">
        <v>4.82</v>
      </c>
    </row>
    <row r="84" spans="1:17" customFormat="1">
      <c r="A84" s="70" t="s">
        <v>1562</v>
      </c>
      <c r="B84" s="100">
        <v>8.73</v>
      </c>
      <c r="C84" s="100">
        <v>22.68</v>
      </c>
      <c r="D84" s="100">
        <v>20.2</v>
      </c>
      <c r="E84" s="100">
        <v>7.44</v>
      </c>
      <c r="F84" s="100">
        <v>2.2200000000000002</v>
      </c>
      <c r="G84" s="100">
        <v>85.48</v>
      </c>
      <c r="H84" s="100">
        <v>28.45</v>
      </c>
      <c r="I84" s="100">
        <v>6.1</v>
      </c>
      <c r="J84" s="100">
        <v>0.22</v>
      </c>
      <c r="K84" s="100">
        <v>156.34</v>
      </c>
      <c r="L84" s="100">
        <v>22.27</v>
      </c>
      <c r="M84" s="100">
        <v>67.73</v>
      </c>
      <c r="N84" s="100">
        <v>0</v>
      </c>
      <c r="O84" s="100">
        <v>0</v>
      </c>
      <c r="P84" s="100">
        <v>0.63</v>
      </c>
      <c r="Q84" s="100">
        <v>4.84</v>
      </c>
    </row>
    <row r="85" spans="1:17" customFormat="1">
      <c r="A85" s="70" t="s">
        <v>1563</v>
      </c>
      <c r="B85" s="100">
        <v>9.4700000000000006</v>
      </c>
      <c r="C85" s="100">
        <v>22.47</v>
      </c>
      <c r="D85" s="100">
        <v>20.69</v>
      </c>
      <c r="E85" s="100">
        <v>7.34</v>
      </c>
      <c r="F85" s="100">
        <v>2.4700000000000002</v>
      </c>
      <c r="G85" s="100">
        <v>97.29</v>
      </c>
      <c r="H85" s="100">
        <v>31.5</v>
      </c>
      <c r="I85" s="100">
        <v>6.28</v>
      </c>
      <c r="J85" s="100">
        <v>0.16</v>
      </c>
      <c r="K85" s="100">
        <v>134.16999999999999</v>
      </c>
      <c r="L85" s="100">
        <v>22.16</v>
      </c>
      <c r="M85" s="100">
        <v>64.87</v>
      </c>
      <c r="N85" s="100">
        <v>0</v>
      </c>
      <c r="O85" s="100">
        <v>0</v>
      </c>
      <c r="P85" s="100">
        <v>0.66</v>
      </c>
      <c r="Q85" s="100">
        <v>4.8499999999999996</v>
      </c>
    </row>
    <row r="86" spans="1:17" customFormat="1">
      <c r="A86" s="70" t="s">
        <v>1564</v>
      </c>
      <c r="B86" s="100">
        <v>10.32</v>
      </c>
      <c r="C86" s="100">
        <v>21.57</v>
      </c>
      <c r="D86" s="100">
        <v>20.89</v>
      </c>
      <c r="E86" s="100">
        <v>7.67</v>
      </c>
      <c r="F86" s="100">
        <v>2.3199999999999998</v>
      </c>
      <c r="G86" s="100">
        <v>97.29</v>
      </c>
      <c r="H86" s="100">
        <v>31.5</v>
      </c>
      <c r="I86" s="100">
        <v>6.48</v>
      </c>
      <c r="J86" s="100">
        <v>0.21</v>
      </c>
      <c r="K86" s="100">
        <v>175.33</v>
      </c>
      <c r="L86" s="100">
        <v>21.8</v>
      </c>
      <c r="M86" s="100">
        <v>70.81</v>
      </c>
      <c r="N86" s="100">
        <v>0</v>
      </c>
      <c r="O86" s="100">
        <v>0</v>
      </c>
      <c r="P86" s="100">
        <v>0.68</v>
      </c>
      <c r="Q86" s="100">
        <v>4.8899999999999997</v>
      </c>
    </row>
    <row r="87" spans="1:17" customFormat="1">
      <c r="A87" s="70" t="s">
        <v>1565</v>
      </c>
      <c r="B87" s="100">
        <v>10.96</v>
      </c>
      <c r="C87" s="100">
        <v>21.18</v>
      </c>
      <c r="D87" s="100">
        <v>21.21</v>
      </c>
      <c r="E87" s="100">
        <v>7.27</v>
      </c>
      <c r="F87" s="100">
        <v>2.34</v>
      </c>
      <c r="G87" s="100">
        <v>97.29</v>
      </c>
      <c r="H87" s="100">
        <v>31.5</v>
      </c>
      <c r="I87" s="100">
        <v>6.72</v>
      </c>
      <c r="J87" s="100">
        <v>0.26</v>
      </c>
      <c r="K87" s="100">
        <v>181.68</v>
      </c>
      <c r="L87" s="100">
        <v>21.07</v>
      </c>
      <c r="M87" s="100">
        <v>75.33</v>
      </c>
      <c r="N87" s="100">
        <v>0</v>
      </c>
      <c r="O87" s="100">
        <v>0</v>
      </c>
      <c r="P87" s="100">
        <v>0.69</v>
      </c>
      <c r="Q87" s="100">
        <v>4.88</v>
      </c>
    </row>
    <row r="88" spans="1:17" customFormat="1">
      <c r="A88" s="70" t="s">
        <v>1566</v>
      </c>
      <c r="B88" s="100">
        <v>11.15</v>
      </c>
      <c r="C88" s="100">
        <v>22.63</v>
      </c>
      <c r="D88" s="100">
        <v>22.12</v>
      </c>
      <c r="E88" s="100">
        <v>7.06</v>
      </c>
      <c r="F88" s="100">
        <v>2.1800000000000002</v>
      </c>
      <c r="G88" s="100">
        <v>98.37</v>
      </c>
      <c r="H88" s="100">
        <v>31.29</v>
      </c>
      <c r="I88" s="100">
        <v>7.02</v>
      </c>
      <c r="J88" s="100">
        <v>0.15</v>
      </c>
      <c r="K88" s="100">
        <v>217.99</v>
      </c>
      <c r="L88" s="100">
        <v>20.48</v>
      </c>
      <c r="M88" s="100">
        <v>72.86</v>
      </c>
      <c r="N88" s="100">
        <v>0</v>
      </c>
      <c r="O88" s="100">
        <v>0</v>
      </c>
      <c r="P88" s="100">
        <v>0.72</v>
      </c>
      <c r="Q88" s="100">
        <v>4.9000000000000004</v>
      </c>
    </row>
    <row r="89" spans="1:17" customFormat="1">
      <c r="A89" s="70" t="s">
        <v>1567</v>
      </c>
      <c r="B89" s="100">
        <v>11.36</v>
      </c>
      <c r="C89" s="100">
        <v>23.64</v>
      </c>
      <c r="D89" s="100">
        <v>22.81</v>
      </c>
      <c r="E89" s="100">
        <v>7.46</v>
      </c>
      <c r="F89" s="100">
        <v>2.2799999999999998</v>
      </c>
      <c r="G89" s="100">
        <v>103</v>
      </c>
      <c r="H89" s="100">
        <v>30.68</v>
      </c>
      <c r="I89" s="100">
        <v>7.28</v>
      </c>
      <c r="J89" s="100">
        <v>0.25</v>
      </c>
      <c r="K89" s="100">
        <v>185.07</v>
      </c>
      <c r="L89" s="100">
        <v>20.190000000000001</v>
      </c>
      <c r="M89" s="100">
        <v>76.7</v>
      </c>
      <c r="N89" s="100">
        <v>0</v>
      </c>
      <c r="O89" s="100">
        <v>0</v>
      </c>
      <c r="P89" s="100">
        <v>0.73</v>
      </c>
      <c r="Q89" s="100">
        <v>4.91</v>
      </c>
    </row>
    <row r="90" spans="1:17" customFormat="1">
      <c r="A90" s="70" t="s">
        <v>1568</v>
      </c>
      <c r="B90" s="100">
        <v>11.4</v>
      </c>
      <c r="C90" s="100">
        <v>23.88</v>
      </c>
      <c r="D90" s="100">
        <v>22.96</v>
      </c>
      <c r="E90" s="100">
        <v>7.62</v>
      </c>
      <c r="F90" s="100">
        <v>2.17</v>
      </c>
      <c r="G90" s="100">
        <v>103</v>
      </c>
      <c r="H90" s="100">
        <v>30.68</v>
      </c>
      <c r="I90" s="100">
        <v>7.38</v>
      </c>
      <c r="J90" s="100">
        <v>0.12</v>
      </c>
      <c r="K90" s="100">
        <v>161.02000000000001</v>
      </c>
      <c r="L90" s="100">
        <v>19.920000000000002</v>
      </c>
      <c r="M90" s="100">
        <v>77.83</v>
      </c>
      <c r="N90" s="100">
        <v>0</v>
      </c>
      <c r="O90" s="100">
        <v>0</v>
      </c>
      <c r="P90" s="100">
        <v>0.74</v>
      </c>
      <c r="Q90" s="100">
        <v>4.91</v>
      </c>
    </row>
    <row r="91" spans="1:17" customFormat="1">
      <c r="A91" s="70" t="s">
        <v>1569</v>
      </c>
      <c r="B91" s="100">
        <v>11.51</v>
      </c>
      <c r="C91" s="100">
        <v>22.2</v>
      </c>
      <c r="D91" s="100">
        <v>22.18</v>
      </c>
      <c r="E91" s="100">
        <v>7.68</v>
      </c>
      <c r="F91" s="100">
        <v>2.29</v>
      </c>
      <c r="G91" s="100">
        <v>103</v>
      </c>
      <c r="H91" s="100">
        <v>30.68</v>
      </c>
      <c r="I91" s="100">
        <v>7.47</v>
      </c>
      <c r="J91" s="100">
        <v>0.08</v>
      </c>
      <c r="K91" s="100">
        <v>159.85</v>
      </c>
      <c r="L91" s="100">
        <v>20.02</v>
      </c>
      <c r="M91" s="100">
        <v>73.2</v>
      </c>
      <c r="N91" s="100">
        <v>0</v>
      </c>
      <c r="O91" s="100">
        <v>0</v>
      </c>
      <c r="P91" s="100">
        <v>0.74</v>
      </c>
      <c r="Q91" s="100">
        <v>4.9000000000000004</v>
      </c>
    </row>
    <row r="92" spans="1:17" customFormat="1">
      <c r="A92" s="70" t="s">
        <v>1570</v>
      </c>
      <c r="B92" s="100">
        <v>11.65</v>
      </c>
      <c r="C92" s="100">
        <v>20.239999999999998</v>
      </c>
      <c r="D92" s="100">
        <v>21.27</v>
      </c>
      <c r="E92" s="100">
        <v>7.57</v>
      </c>
      <c r="F92" s="100">
        <v>2.61</v>
      </c>
      <c r="G92" s="100">
        <v>101.07</v>
      </c>
      <c r="H92" s="100">
        <v>30.77</v>
      </c>
      <c r="I92" s="100">
        <v>7.57</v>
      </c>
      <c r="J92" s="100">
        <v>0.13</v>
      </c>
      <c r="K92" s="100">
        <v>180.99</v>
      </c>
      <c r="L92" s="100">
        <v>20.18</v>
      </c>
      <c r="M92" s="100">
        <v>70.28</v>
      </c>
      <c r="N92" s="100">
        <v>0</v>
      </c>
      <c r="O92" s="100">
        <v>0</v>
      </c>
      <c r="P92" s="100">
        <v>0.74</v>
      </c>
      <c r="Q92" s="100">
        <v>4.9000000000000004</v>
      </c>
    </row>
    <row r="93" spans="1:17" customFormat="1">
      <c r="A93" s="70" t="s">
        <v>1571</v>
      </c>
      <c r="B93" s="100">
        <v>11.49</v>
      </c>
      <c r="C93" s="100">
        <v>19.86</v>
      </c>
      <c r="D93" s="100">
        <v>20.94</v>
      </c>
      <c r="E93" s="100">
        <v>7.73</v>
      </c>
      <c r="F93" s="100">
        <v>2.67</v>
      </c>
      <c r="G93" s="100">
        <v>92.78</v>
      </c>
      <c r="H93" s="100">
        <v>31.04</v>
      </c>
      <c r="I93" s="100">
        <v>7.68</v>
      </c>
      <c r="J93" s="100">
        <v>0.18</v>
      </c>
      <c r="K93" s="100">
        <v>162.27000000000001</v>
      </c>
      <c r="L93" s="100">
        <v>20.25</v>
      </c>
      <c r="M93" s="100">
        <v>69.59</v>
      </c>
      <c r="N93" s="100">
        <v>0</v>
      </c>
      <c r="O93" s="100">
        <v>0</v>
      </c>
      <c r="P93" s="100">
        <v>0.73</v>
      </c>
      <c r="Q93" s="100">
        <v>4.92</v>
      </c>
    </row>
    <row r="94" spans="1:17" customFormat="1">
      <c r="A94" s="70" t="s">
        <v>1572</v>
      </c>
      <c r="B94" s="100">
        <v>11.23</v>
      </c>
      <c r="C94" s="100">
        <v>20.75</v>
      </c>
      <c r="D94" s="100">
        <v>21.2</v>
      </c>
      <c r="E94" s="100">
        <v>7.87</v>
      </c>
      <c r="F94" s="100">
        <v>2.5</v>
      </c>
      <c r="G94" s="100">
        <v>92.78</v>
      </c>
      <c r="H94" s="100">
        <v>31.04</v>
      </c>
      <c r="I94" s="100">
        <v>7.75</v>
      </c>
      <c r="J94" s="100">
        <v>0.17</v>
      </c>
      <c r="K94" s="100">
        <v>188.3</v>
      </c>
      <c r="L94" s="100">
        <v>20.149999999999999</v>
      </c>
      <c r="M94" s="100">
        <v>70.680000000000007</v>
      </c>
      <c r="N94" s="100">
        <v>0</v>
      </c>
      <c r="O94" s="100">
        <v>0</v>
      </c>
      <c r="P94" s="100">
        <v>0.75</v>
      </c>
      <c r="Q94" s="100">
        <v>4.92</v>
      </c>
    </row>
    <row r="95" spans="1:17" customFormat="1">
      <c r="A95" s="70" t="s">
        <v>1573</v>
      </c>
      <c r="B95" s="100">
        <v>10.88</v>
      </c>
      <c r="C95" s="100">
        <v>21.52</v>
      </c>
      <c r="D95" s="100">
        <v>21.32</v>
      </c>
      <c r="E95" s="100">
        <v>7.92</v>
      </c>
      <c r="F95" s="100">
        <v>2.38</v>
      </c>
      <c r="G95" s="100">
        <v>92.78</v>
      </c>
      <c r="H95" s="100">
        <v>31.04</v>
      </c>
      <c r="I95" s="100">
        <v>7.8</v>
      </c>
      <c r="J95" s="100">
        <v>0.16</v>
      </c>
      <c r="K95" s="100">
        <v>134.47999999999999</v>
      </c>
      <c r="L95" s="100">
        <v>20.100000000000001</v>
      </c>
      <c r="M95" s="100">
        <v>73.77</v>
      </c>
      <c r="N95" s="100">
        <v>0</v>
      </c>
      <c r="O95" s="100">
        <v>0</v>
      </c>
      <c r="P95" s="100">
        <v>0.75</v>
      </c>
      <c r="Q95" s="100">
        <v>4.93</v>
      </c>
    </row>
    <row r="96" spans="1:17" customFormat="1">
      <c r="A96" s="70" t="s">
        <v>1574</v>
      </c>
      <c r="B96" s="100">
        <v>11.65</v>
      </c>
      <c r="C96" s="100">
        <v>22.66</v>
      </c>
      <c r="D96" s="100">
        <v>22.54</v>
      </c>
      <c r="E96" s="100">
        <v>8.07</v>
      </c>
      <c r="F96" s="100">
        <v>2.42</v>
      </c>
      <c r="G96" s="100">
        <v>93.47</v>
      </c>
      <c r="H96" s="100">
        <v>32.229999999999997</v>
      </c>
      <c r="I96" s="100">
        <v>7.86</v>
      </c>
      <c r="J96" s="100">
        <v>0.32</v>
      </c>
      <c r="K96" s="100">
        <v>64.650000000000006</v>
      </c>
      <c r="L96" s="100">
        <v>20.28</v>
      </c>
      <c r="M96" s="100">
        <v>70.53</v>
      </c>
      <c r="N96" s="100">
        <v>0</v>
      </c>
      <c r="O96" s="100">
        <v>0</v>
      </c>
      <c r="P96" s="100">
        <v>0.77</v>
      </c>
      <c r="Q96" s="100">
        <v>4.93</v>
      </c>
    </row>
    <row r="97" spans="1:22" customFormat="1">
      <c r="A97" s="70" t="s">
        <v>1575</v>
      </c>
      <c r="B97" s="100">
        <v>14.36</v>
      </c>
      <c r="C97" s="100">
        <v>24.52</v>
      </c>
      <c r="D97" s="100">
        <v>25.67</v>
      </c>
      <c r="E97" s="100">
        <v>7.89</v>
      </c>
      <c r="F97" s="100">
        <v>2.4</v>
      </c>
      <c r="G97" s="100">
        <v>96.43</v>
      </c>
      <c r="H97" s="100">
        <v>35.76</v>
      </c>
      <c r="I97" s="100">
        <v>7.92</v>
      </c>
      <c r="J97" s="100">
        <v>0.27</v>
      </c>
      <c r="K97" s="100">
        <v>64.31</v>
      </c>
      <c r="L97" s="100">
        <v>20.22</v>
      </c>
      <c r="M97" s="100">
        <v>70.900000000000006</v>
      </c>
      <c r="N97" s="100">
        <v>0</v>
      </c>
      <c r="O97" s="100">
        <v>0</v>
      </c>
      <c r="P97" s="100">
        <v>0.81</v>
      </c>
      <c r="Q97" s="100">
        <v>4.96</v>
      </c>
    </row>
    <row r="98" spans="1:22" customFormat="1">
      <c r="A98" s="70" t="s">
        <v>1576</v>
      </c>
      <c r="B98" s="100">
        <v>17.05</v>
      </c>
      <c r="C98" s="100">
        <v>26.14</v>
      </c>
      <c r="D98" s="100">
        <v>28.68</v>
      </c>
      <c r="E98" s="100">
        <v>8.31</v>
      </c>
      <c r="F98" s="100">
        <v>2.34</v>
      </c>
      <c r="G98" s="100">
        <v>96.43</v>
      </c>
      <c r="H98" s="100">
        <v>35.76</v>
      </c>
      <c r="I98" s="100">
        <v>8.07</v>
      </c>
      <c r="J98" s="100">
        <v>0.32</v>
      </c>
      <c r="K98" s="100">
        <v>80.680000000000007</v>
      </c>
      <c r="L98" s="100">
        <v>20.440000000000001</v>
      </c>
      <c r="M98" s="100">
        <v>68.760000000000005</v>
      </c>
      <c r="N98" s="100">
        <v>0</v>
      </c>
      <c r="O98" s="100">
        <v>0</v>
      </c>
      <c r="P98" s="100">
        <v>0.83</v>
      </c>
      <c r="Q98" s="100">
        <v>4.99</v>
      </c>
    </row>
    <row r="99" spans="1:22" customFormat="1">
      <c r="A99" s="70" t="s">
        <v>1577</v>
      </c>
      <c r="B99" s="100">
        <v>18.73</v>
      </c>
      <c r="C99" s="100">
        <v>27.29</v>
      </c>
      <c r="D99" s="100">
        <v>30.63</v>
      </c>
      <c r="E99" s="100">
        <v>7.62</v>
      </c>
      <c r="F99" s="100">
        <v>2.2400000000000002</v>
      </c>
      <c r="G99" s="100">
        <v>96.43</v>
      </c>
      <c r="H99" s="100">
        <v>35.76</v>
      </c>
      <c r="I99" s="100">
        <v>8.43</v>
      </c>
      <c r="J99" s="100">
        <v>0.67</v>
      </c>
      <c r="K99" s="100">
        <v>68.31</v>
      </c>
      <c r="L99" s="100">
        <v>21.09</v>
      </c>
      <c r="M99" s="100">
        <v>63.12</v>
      </c>
      <c r="N99" s="100">
        <v>0</v>
      </c>
      <c r="O99" s="100">
        <v>0</v>
      </c>
      <c r="P99" s="100">
        <v>0.85</v>
      </c>
      <c r="Q99" s="100">
        <v>5.03</v>
      </c>
    </row>
    <row r="100" spans="1:22" customFormat="1">
      <c r="A100" s="70" t="s">
        <v>1578</v>
      </c>
      <c r="B100" s="100">
        <v>18.940000000000001</v>
      </c>
      <c r="C100" s="100">
        <v>28.05</v>
      </c>
      <c r="D100" s="100">
        <v>31.2</v>
      </c>
      <c r="E100" s="100">
        <v>7.98</v>
      </c>
      <c r="F100" s="100">
        <v>2.36</v>
      </c>
      <c r="G100" s="100">
        <v>96.2</v>
      </c>
      <c r="H100" s="100">
        <v>35.75</v>
      </c>
      <c r="I100" s="100">
        <v>8.86</v>
      </c>
      <c r="J100" s="100">
        <v>0.53</v>
      </c>
      <c r="K100" s="100">
        <v>76.150000000000006</v>
      </c>
      <c r="L100" s="100">
        <v>21.12</v>
      </c>
      <c r="M100" s="100">
        <v>61.99</v>
      </c>
      <c r="N100" s="100">
        <v>0</v>
      </c>
      <c r="O100" s="100">
        <v>0</v>
      </c>
      <c r="P100" s="100">
        <v>0.84</v>
      </c>
      <c r="Q100" s="100">
        <v>5.05</v>
      </c>
    </row>
    <row r="101" spans="1:22" customFormat="1">
      <c r="A101" s="70" t="s">
        <v>1579</v>
      </c>
      <c r="B101" s="100">
        <v>18.100000000000001</v>
      </c>
      <c r="C101" s="100">
        <v>28.36</v>
      </c>
      <c r="D101" s="100">
        <v>30.69</v>
      </c>
      <c r="E101" s="100">
        <v>7.63</v>
      </c>
      <c r="F101" s="100">
        <v>2.46</v>
      </c>
      <c r="G101" s="100">
        <v>95.21</v>
      </c>
      <c r="H101" s="100">
        <v>35.729999999999997</v>
      </c>
      <c r="I101" s="100">
        <v>9.02</v>
      </c>
      <c r="J101" s="100">
        <v>0.76</v>
      </c>
      <c r="K101" s="100">
        <v>64.94</v>
      </c>
      <c r="L101" s="100">
        <v>21.19</v>
      </c>
      <c r="M101" s="100">
        <v>59.81</v>
      </c>
      <c r="N101" s="100">
        <v>0</v>
      </c>
      <c r="O101" s="100">
        <v>0</v>
      </c>
      <c r="P101" s="100">
        <v>0.83</v>
      </c>
      <c r="Q101" s="100">
        <v>5.0599999999999996</v>
      </c>
    </row>
    <row r="102" spans="1:22" customFormat="1">
      <c r="A102" s="70" t="s">
        <v>1580</v>
      </c>
      <c r="B102" s="100">
        <v>17.100000000000001</v>
      </c>
      <c r="C102" s="100">
        <v>28.48</v>
      </c>
      <c r="D102" s="100">
        <v>29.95</v>
      </c>
      <c r="E102" s="100">
        <v>7.54</v>
      </c>
      <c r="F102" s="100">
        <v>2.39</v>
      </c>
      <c r="G102" s="100">
        <v>95.21</v>
      </c>
      <c r="H102" s="100">
        <v>35.729999999999997</v>
      </c>
      <c r="I102" s="100">
        <v>8.9700000000000006</v>
      </c>
      <c r="J102" s="100">
        <v>0.54</v>
      </c>
      <c r="K102" s="100">
        <v>66.819999999999993</v>
      </c>
      <c r="L102" s="100">
        <v>20.99</v>
      </c>
      <c r="M102" s="100">
        <v>60.29</v>
      </c>
      <c r="N102" s="100">
        <v>0</v>
      </c>
      <c r="O102" s="100">
        <v>0</v>
      </c>
      <c r="P102" s="100">
        <v>0.82</v>
      </c>
      <c r="Q102" s="100">
        <v>5.03</v>
      </c>
    </row>
    <row r="103" spans="1:22" customFormat="1">
      <c r="A103" s="70" t="s">
        <v>1581</v>
      </c>
      <c r="B103" s="100">
        <v>16.309999999999999</v>
      </c>
      <c r="C103" s="100">
        <v>28.7</v>
      </c>
      <c r="D103" s="100">
        <v>29.43</v>
      </c>
      <c r="E103" s="100">
        <v>8.0500000000000007</v>
      </c>
      <c r="F103" s="100">
        <v>2.4900000000000002</v>
      </c>
      <c r="G103" s="100">
        <v>95.21</v>
      </c>
      <c r="H103" s="100">
        <v>35.729999999999997</v>
      </c>
      <c r="I103" s="100">
        <v>8.86</v>
      </c>
      <c r="J103" s="100">
        <v>0.55000000000000004</v>
      </c>
      <c r="K103" s="100">
        <v>61.35</v>
      </c>
      <c r="L103" s="100">
        <v>20.69</v>
      </c>
      <c r="M103" s="100">
        <v>60.64</v>
      </c>
      <c r="N103" s="100">
        <v>0</v>
      </c>
      <c r="O103" s="100">
        <v>0</v>
      </c>
      <c r="P103" s="100">
        <v>0.8</v>
      </c>
      <c r="Q103" s="100">
        <v>5</v>
      </c>
    </row>
    <row r="104" spans="1:22" customFormat="1">
      <c r="A104" s="70" t="s">
        <v>1582</v>
      </c>
      <c r="B104" s="100">
        <v>15.82</v>
      </c>
      <c r="C104" s="100">
        <v>29.34</v>
      </c>
      <c r="D104" s="100">
        <v>29.37</v>
      </c>
      <c r="E104" s="100">
        <v>7.94</v>
      </c>
      <c r="F104" s="100">
        <v>2.4700000000000002</v>
      </c>
      <c r="G104" s="100">
        <v>93.62</v>
      </c>
      <c r="H104" s="100">
        <v>35.380000000000003</v>
      </c>
      <c r="I104" s="100">
        <v>8.6999999999999993</v>
      </c>
      <c r="J104" s="100">
        <v>0.17</v>
      </c>
      <c r="K104" s="100">
        <v>115.1</v>
      </c>
      <c r="L104" s="100">
        <v>20.36</v>
      </c>
      <c r="M104" s="100">
        <v>62.33</v>
      </c>
      <c r="N104" s="100">
        <v>0</v>
      </c>
      <c r="O104" s="100">
        <v>0</v>
      </c>
      <c r="P104" s="100">
        <v>0.79</v>
      </c>
      <c r="Q104" s="100">
        <v>4.99</v>
      </c>
    </row>
    <row r="106" spans="1:22">
      <c r="A106" s="156" t="s">
        <v>48</v>
      </c>
      <c r="B106" s="157">
        <f>MIN(B9:B104)</f>
        <v>4.6100000000000003</v>
      </c>
      <c r="C106" s="157">
        <f>MIN(C9:C104)</f>
        <v>19.309999999999999</v>
      </c>
      <c r="D106" s="157">
        <f t="shared" ref="D106:Q106" si="0">MIN(D9:D104)</f>
        <v>16.72</v>
      </c>
      <c r="E106" s="157">
        <f t="shared" si="0"/>
        <v>6.49</v>
      </c>
      <c r="F106" s="157">
        <f t="shared" si="0"/>
        <v>2.08</v>
      </c>
      <c r="G106" s="157">
        <f t="shared" si="0"/>
        <v>55.16</v>
      </c>
      <c r="H106" s="157">
        <f t="shared" si="0"/>
        <v>22.28</v>
      </c>
      <c r="I106" s="157">
        <f t="shared" si="0"/>
        <v>5.69</v>
      </c>
      <c r="J106" s="157">
        <f t="shared" si="0"/>
        <v>0.08</v>
      </c>
      <c r="K106" s="157">
        <f t="shared" si="0"/>
        <v>20.86</v>
      </c>
      <c r="L106" s="157">
        <f t="shared" si="0"/>
        <v>15.51</v>
      </c>
      <c r="M106" s="157">
        <f t="shared" si="0"/>
        <v>31.47</v>
      </c>
      <c r="N106" s="157">
        <f t="shared" si="0"/>
        <v>0</v>
      </c>
      <c r="O106" s="157">
        <f t="shared" si="0"/>
        <v>0</v>
      </c>
      <c r="P106" s="157">
        <f t="shared" si="0"/>
        <v>0.49</v>
      </c>
      <c r="Q106" s="157">
        <f t="shared" si="0"/>
        <v>4.7699999999999996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30.04</v>
      </c>
      <c r="C107" s="156">
        <f t="shared" ref="C107:Q107" si="1">MAX(C9:C104)</f>
        <v>29.34</v>
      </c>
      <c r="D107" s="156">
        <f t="shared" si="1"/>
        <v>40.22</v>
      </c>
      <c r="E107" s="156">
        <f t="shared" si="1"/>
        <v>10.69</v>
      </c>
      <c r="F107" s="156">
        <f t="shared" si="1"/>
        <v>7.15</v>
      </c>
      <c r="G107" s="156">
        <f t="shared" si="1"/>
        <v>103</v>
      </c>
      <c r="H107" s="156">
        <f t="shared" si="1"/>
        <v>35.76</v>
      </c>
      <c r="I107" s="156">
        <f t="shared" si="1"/>
        <v>9.02</v>
      </c>
      <c r="J107" s="156">
        <f t="shared" si="1"/>
        <v>1.1000000000000001</v>
      </c>
      <c r="K107" s="156">
        <f t="shared" si="1"/>
        <v>342.99</v>
      </c>
      <c r="L107" s="156">
        <f t="shared" si="1"/>
        <v>30.06</v>
      </c>
      <c r="M107" s="156">
        <f t="shared" si="1"/>
        <v>90.37</v>
      </c>
      <c r="N107" s="156">
        <f t="shared" si="1"/>
        <v>426.7</v>
      </c>
      <c r="O107" s="156">
        <f t="shared" si="1"/>
        <v>0</v>
      </c>
      <c r="P107" s="156">
        <f t="shared" si="1"/>
        <v>0.85</v>
      </c>
      <c r="Q107" s="156">
        <f t="shared" si="1"/>
        <v>5.16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17.256770833333331</v>
      </c>
      <c r="C108" s="157">
        <f t="shared" ref="C108:Q108" si="2">AVERAGE(C9:C104)</f>
        <v>24.658437500000002</v>
      </c>
      <c r="D108" s="157">
        <f t="shared" si="2"/>
        <v>28.073645833333327</v>
      </c>
      <c r="E108" s="157">
        <f t="shared" si="2"/>
        <v>7.9873958333333333</v>
      </c>
      <c r="F108" s="157">
        <f t="shared" si="2"/>
        <v>2.9235416666666665</v>
      </c>
      <c r="G108" s="157">
        <f t="shared" si="2"/>
        <v>77.978333333333282</v>
      </c>
      <c r="H108" s="157">
        <f t="shared" si="2"/>
        <v>28.241145833333334</v>
      </c>
      <c r="I108" s="157">
        <f t="shared" si="2"/>
        <v>7.4141666666666675</v>
      </c>
      <c r="J108" s="157">
        <f t="shared" si="2"/>
        <v>0.35541666666666666</v>
      </c>
      <c r="K108" s="157">
        <f t="shared" si="2"/>
        <v>144.94385416666668</v>
      </c>
      <c r="L108" s="157">
        <f t="shared" si="2"/>
        <v>21.958958333333332</v>
      </c>
      <c r="M108" s="157">
        <f t="shared" si="2"/>
        <v>61.138749999999995</v>
      </c>
      <c r="N108" s="157">
        <f t="shared" si="2"/>
        <v>87.159375000000011</v>
      </c>
      <c r="O108" s="157">
        <f t="shared" si="2"/>
        <v>0</v>
      </c>
      <c r="P108" s="157">
        <f t="shared" si="2"/>
        <v>0.64979166666666699</v>
      </c>
      <c r="Q108" s="157">
        <f t="shared" si="2"/>
        <v>4.9768750000000006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8.5972070733884003</v>
      </c>
      <c r="C109" s="157">
        <f t="shared" ref="C109:Q109" si="3">STDEV(C9:C104)</f>
        <v>2.3300247697463599</v>
      </c>
      <c r="D109" s="157">
        <f t="shared" si="3"/>
        <v>7.7149787487911325</v>
      </c>
      <c r="E109" s="157">
        <f t="shared" si="3"/>
        <v>0.92473751017210692</v>
      </c>
      <c r="F109" s="157">
        <f t="shared" si="3"/>
        <v>1.1728624266851713</v>
      </c>
      <c r="G109" s="157">
        <f t="shared" si="3"/>
        <v>13.944486076217865</v>
      </c>
      <c r="H109" s="157">
        <f t="shared" si="3"/>
        <v>3.7127878218513235</v>
      </c>
      <c r="I109" s="157">
        <f t="shared" si="3"/>
        <v>0.93039059897799259</v>
      </c>
      <c r="J109" s="157">
        <f t="shared" si="3"/>
        <v>0.24909485264460024</v>
      </c>
      <c r="K109" s="157">
        <f t="shared" si="3"/>
        <v>86.543103448297458</v>
      </c>
      <c r="L109" s="157">
        <f t="shared" si="3"/>
        <v>4.6217976632854576</v>
      </c>
      <c r="M109" s="157">
        <f t="shared" si="3"/>
        <v>19.690786905234877</v>
      </c>
      <c r="N109" s="157">
        <f t="shared" si="3"/>
        <v>144.05851192676062</v>
      </c>
      <c r="O109" s="157">
        <f t="shared" si="3"/>
        <v>0</v>
      </c>
      <c r="P109" s="157">
        <f t="shared" si="3"/>
        <v>8.8412658853884038E-2</v>
      </c>
      <c r="Q109" s="157">
        <f t="shared" si="3"/>
        <v>0.11784300439232925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15/01/2024 00:15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0" t="s">
        <v>1583</v>
      </c>
      <c r="B9" s="100">
        <v>14.54</v>
      </c>
      <c r="C9" s="100">
        <v>29.2</v>
      </c>
      <c r="D9" s="100">
        <v>28.27</v>
      </c>
      <c r="E9" s="100">
        <v>7.91</v>
      </c>
      <c r="F9" s="100">
        <v>2.44</v>
      </c>
      <c r="G9" s="100">
        <v>86.8</v>
      </c>
      <c r="H9" s="100">
        <v>33.450000000000003</v>
      </c>
      <c r="I9" s="100">
        <v>8.5299999999999994</v>
      </c>
      <c r="J9" s="100">
        <v>0.39</v>
      </c>
      <c r="K9" s="100">
        <v>77.41</v>
      </c>
      <c r="L9" s="100">
        <v>20.190000000000001</v>
      </c>
      <c r="M9" s="100">
        <v>61.99</v>
      </c>
      <c r="N9" s="100">
        <v>0</v>
      </c>
      <c r="O9" s="100">
        <v>0</v>
      </c>
      <c r="P9" s="100">
        <v>0.78</v>
      </c>
      <c r="Q9" s="100">
        <v>4.99</v>
      </c>
    </row>
    <row r="10" spans="1:21" customFormat="1">
      <c r="A10" s="70" t="s">
        <v>1584</v>
      </c>
      <c r="B10" s="100">
        <v>13.8</v>
      </c>
      <c r="C10" s="100">
        <v>29.51</v>
      </c>
      <c r="D10" s="100">
        <v>27.83</v>
      </c>
      <c r="E10" s="100">
        <v>7.57</v>
      </c>
      <c r="F10" s="100">
        <v>2.34</v>
      </c>
      <c r="G10" s="100">
        <v>86.8</v>
      </c>
      <c r="H10" s="100">
        <v>33.450000000000003</v>
      </c>
      <c r="I10" s="100">
        <v>8.36</v>
      </c>
      <c r="J10" s="100">
        <v>0.5</v>
      </c>
      <c r="K10" s="100">
        <v>71.98</v>
      </c>
      <c r="L10" s="100">
        <v>20.09</v>
      </c>
      <c r="M10" s="100">
        <v>61.88</v>
      </c>
      <c r="N10" s="100">
        <v>0</v>
      </c>
      <c r="O10" s="100">
        <v>0</v>
      </c>
      <c r="P10" s="100">
        <v>0.75</v>
      </c>
      <c r="Q10" s="100">
        <v>4.97</v>
      </c>
    </row>
    <row r="11" spans="1:21" customFormat="1">
      <c r="A11" s="70" t="s">
        <v>1585</v>
      </c>
      <c r="B11" s="100">
        <v>13.06</v>
      </c>
      <c r="C11" s="100">
        <v>29.37</v>
      </c>
      <c r="D11" s="100">
        <v>27.17</v>
      </c>
      <c r="E11" s="100">
        <v>7.57</v>
      </c>
      <c r="F11" s="100">
        <v>2.5299999999999998</v>
      </c>
      <c r="G11" s="100">
        <v>86.8</v>
      </c>
      <c r="H11" s="100">
        <v>33.450000000000003</v>
      </c>
      <c r="I11" s="100">
        <v>8.24</v>
      </c>
      <c r="J11" s="100">
        <v>0.47</v>
      </c>
      <c r="K11" s="100">
        <v>54.72</v>
      </c>
      <c r="L11" s="100">
        <v>19.920000000000002</v>
      </c>
      <c r="M11" s="100">
        <v>62.45</v>
      </c>
      <c r="N11" s="100">
        <v>0</v>
      </c>
      <c r="O11" s="100">
        <v>0</v>
      </c>
      <c r="P11" s="100">
        <v>0.75</v>
      </c>
      <c r="Q11" s="100">
        <v>4.97</v>
      </c>
    </row>
    <row r="12" spans="1:21" customFormat="1">
      <c r="A12" s="70" t="s">
        <v>1586</v>
      </c>
      <c r="B12" s="100">
        <v>12.79</v>
      </c>
      <c r="C12" s="100">
        <v>29.45</v>
      </c>
      <c r="D12" s="100">
        <v>27</v>
      </c>
      <c r="E12" s="100">
        <v>7.87</v>
      </c>
      <c r="F12" s="100">
        <v>2.5499999999999998</v>
      </c>
      <c r="G12" s="100">
        <v>84.85</v>
      </c>
      <c r="H12" s="100">
        <v>32.729999999999997</v>
      </c>
      <c r="I12" s="100">
        <v>8.11</v>
      </c>
      <c r="J12" s="100">
        <v>0.37</v>
      </c>
      <c r="K12" s="100">
        <v>52.11</v>
      </c>
      <c r="L12" s="100">
        <v>19.68</v>
      </c>
      <c r="M12" s="100">
        <v>63.57</v>
      </c>
      <c r="N12" s="100">
        <v>0</v>
      </c>
      <c r="O12" s="100">
        <v>0</v>
      </c>
      <c r="P12" s="100">
        <v>0.74</v>
      </c>
      <c r="Q12" s="100">
        <v>4.97</v>
      </c>
    </row>
    <row r="13" spans="1:21" customFormat="1">
      <c r="A13" s="70" t="s">
        <v>1587</v>
      </c>
      <c r="B13" s="100">
        <v>13.13</v>
      </c>
      <c r="C13" s="100">
        <v>29.59</v>
      </c>
      <c r="D13" s="100">
        <v>27.34</v>
      </c>
      <c r="E13" s="100">
        <v>8.01</v>
      </c>
      <c r="F13" s="100">
        <v>2.48</v>
      </c>
      <c r="G13" s="100">
        <v>76.48</v>
      </c>
      <c r="H13" s="100">
        <v>30.61</v>
      </c>
      <c r="I13" s="100">
        <v>7.99</v>
      </c>
      <c r="J13" s="100">
        <v>0.28999999999999998</v>
      </c>
      <c r="K13" s="100">
        <v>60.22</v>
      </c>
      <c r="L13" s="100">
        <v>19.45</v>
      </c>
      <c r="M13" s="100">
        <v>64.47</v>
      </c>
      <c r="N13" s="100">
        <v>0</v>
      </c>
      <c r="O13" s="100">
        <v>0</v>
      </c>
      <c r="P13" s="100">
        <v>0.74</v>
      </c>
      <c r="Q13" s="100">
        <v>4.97</v>
      </c>
    </row>
    <row r="14" spans="1:21" customFormat="1">
      <c r="A14" s="70" t="s">
        <v>1588</v>
      </c>
      <c r="B14" s="100">
        <v>13.27</v>
      </c>
      <c r="C14" s="100">
        <v>29.91</v>
      </c>
      <c r="D14" s="100">
        <v>27.62</v>
      </c>
      <c r="E14" s="100">
        <v>7.96</v>
      </c>
      <c r="F14" s="100">
        <v>2.33</v>
      </c>
      <c r="G14" s="100">
        <v>76.48</v>
      </c>
      <c r="H14" s="100">
        <v>30.61</v>
      </c>
      <c r="I14" s="100">
        <v>7.94</v>
      </c>
      <c r="J14" s="100">
        <v>0.44</v>
      </c>
      <c r="K14" s="100">
        <v>56.81</v>
      </c>
      <c r="L14" s="100">
        <v>19.21</v>
      </c>
      <c r="M14" s="100">
        <v>65.16</v>
      </c>
      <c r="N14" s="100">
        <v>0</v>
      </c>
      <c r="O14" s="100">
        <v>0</v>
      </c>
      <c r="P14" s="100">
        <v>0.72</v>
      </c>
      <c r="Q14" s="100">
        <v>4.97</v>
      </c>
    </row>
    <row r="15" spans="1:21" customFormat="1">
      <c r="A15" s="70" t="s">
        <v>1589</v>
      </c>
      <c r="B15" s="100">
        <v>13.19</v>
      </c>
      <c r="C15" s="100">
        <v>29.89</v>
      </c>
      <c r="D15" s="100">
        <v>27.55</v>
      </c>
      <c r="E15" s="100">
        <v>7.92</v>
      </c>
      <c r="F15" s="100">
        <v>2.38</v>
      </c>
      <c r="G15" s="100">
        <v>76.48</v>
      </c>
      <c r="H15" s="100">
        <v>30.61</v>
      </c>
      <c r="I15" s="100">
        <v>7.86</v>
      </c>
      <c r="J15" s="100">
        <v>0.23</v>
      </c>
      <c r="K15" s="100">
        <v>98.52</v>
      </c>
      <c r="L15" s="100">
        <v>19.149999999999999</v>
      </c>
      <c r="M15" s="100">
        <v>65.59</v>
      </c>
      <c r="N15" s="100">
        <v>0</v>
      </c>
      <c r="O15" s="100">
        <v>0</v>
      </c>
      <c r="P15" s="100">
        <v>0.71</v>
      </c>
      <c r="Q15" s="100">
        <v>4.97</v>
      </c>
    </row>
    <row r="16" spans="1:21" customFormat="1">
      <c r="A16" s="70" t="s">
        <v>1590</v>
      </c>
      <c r="B16" s="100">
        <v>12.69</v>
      </c>
      <c r="C16" s="100">
        <v>29.69</v>
      </c>
      <c r="D16" s="100">
        <v>27.04</v>
      </c>
      <c r="E16" s="100">
        <v>7.54</v>
      </c>
      <c r="F16" s="100">
        <v>2.39</v>
      </c>
      <c r="G16" s="100">
        <v>77.44</v>
      </c>
      <c r="H16" s="100">
        <v>31.54</v>
      </c>
      <c r="I16" s="100">
        <v>7.78</v>
      </c>
      <c r="J16" s="100">
        <v>0.16</v>
      </c>
      <c r="K16" s="100">
        <v>119.78</v>
      </c>
      <c r="L16" s="100">
        <v>19.11</v>
      </c>
      <c r="M16" s="100">
        <v>65.959999999999994</v>
      </c>
      <c r="N16" s="100">
        <v>0</v>
      </c>
      <c r="O16" s="100">
        <v>0</v>
      </c>
      <c r="P16" s="100">
        <v>0.7</v>
      </c>
      <c r="Q16" s="100">
        <v>4.95</v>
      </c>
    </row>
    <row r="17" spans="1:17" customFormat="1">
      <c r="A17" s="70" t="s">
        <v>1591</v>
      </c>
      <c r="B17" s="100">
        <v>12.13</v>
      </c>
      <c r="C17" s="100">
        <v>29.4</v>
      </c>
      <c r="D17" s="100">
        <v>26.44</v>
      </c>
      <c r="E17" s="100">
        <v>7.77</v>
      </c>
      <c r="F17" s="100">
        <v>2.4</v>
      </c>
      <c r="G17" s="100">
        <v>81.56</v>
      </c>
      <c r="H17" s="100">
        <v>34.42</v>
      </c>
      <c r="I17" s="100">
        <v>7.66</v>
      </c>
      <c r="J17" s="100">
        <v>0.33</v>
      </c>
      <c r="K17" s="100">
        <v>75.540000000000006</v>
      </c>
      <c r="L17" s="100">
        <v>19.02</v>
      </c>
      <c r="M17" s="100">
        <v>64.91</v>
      </c>
      <c r="N17" s="100">
        <v>0</v>
      </c>
      <c r="O17" s="100">
        <v>0</v>
      </c>
      <c r="P17" s="100">
        <v>0.7</v>
      </c>
      <c r="Q17" s="100">
        <v>4.9400000000000004</v>
      </c>
    </row>
    <row r="18" spans="1:17" customFormat="1">
      <c r="A18" s="70" t="s">
        <v>1592</v>
      </c>
      <c r="B18" s="100">
        <v>11.88</v>
      </c>
      <c r="C18" s="100">
        <v>29.55</v>
      </c>
      <c r="D18" s="100">
        <v>26.31</v>
      </c>
      <c r="E18" s="100">
        <v>8.6999999999999993</v>
      </c>
      <c r="F18" s="100">
        <v>2.42</v>
      </c>
      <c r="G18" s="100">
        <v>81.56</v>
      </c>
      <c r="H18" s="100">
        <v>34.42</v>
      </c>
      <c r="I18" s="100">
        <v>7.52</v>
      </c>
      <c r="J18" s="100">
        <v>0.4</v>
      </c>
      <c r="K18" s="100">
        <v>74.27</v>
      </c>
      <c r="L18" s="100">
        <v>19</v>
      </c>
      <c r="M18" s="100">
        <v>63.93</v>
      </c>
      <c r="N18" s="100">
        <v>0</v>
      </c>
      <c r="O18" s="100">
        <v>0</v>
      </c>
      <c r="P18" s="100">
        <v>0.69</v>
      </c>
      <c r="Q18" s="100">
        <v>4.9000000000000004</v>
      </c>
    </row>
    <row r="19" spans="1:17" customFormat="1">
      <c r="A19" s="70" t="s">
        <v>1593</v>
      </c>
      <c r="B19" s="100">
        <v>11.74</v>
      </c>
      <c r="C19" s="100">
        <v>26.47</v>
      </c>
      <c r="D19" s="100">
        <v>24.59</v>
      </c>
      <c r="E19" s="100">
        <v>8.32</v>
      </c>
      <c r="F19" s="100">
        <v>2.63</v>
      </c>
      <c r="G19" s="100">
        <v>81.56</v>
      </c>
      <c r="H19" s="100">
        <v>34.42</v>
      </c>
      <c r="I19" s="100">
        <v>7.47</v>
      </c>
      <c r="J19" s="100">
        <v>0.31</v>
      </c>
      <c r="K19" s="100">
        <v>97.04</v>
      </c>
      <c r="L19" s="100">
        <v>19.14</v>
      </c>
      <c r="M19" s="100">
        <v>62.24</v>
      </c>
      <c r="N19" s="100">
        <v>0</v>
      </c>
      <c r="O19" s="100">
        <v>0</v>
      </c>
      <c r="P19" s="100">
        <v>0.67</v>
      </c>
      <c r="Q19" s="100">
        <v>4.8899999999999997</v>
      </c>
    </row>
    <row r="20" spans="1:17" customFormat="1">
      <c r="A20" s="70" t="s">
        <v>1594</v>
      </c>
      <c r="B20" s="100">
        <v>11.47</v>
      </c>
      <c r="C20" s="100">
        <v>24.54</v>
      </c>
      <c r="D20" s="100">
        <v>23.38</v>
      </c>
      <c r="E20" s="100">
        <v>8.5</v>
      </c>
      <c r="F20" s="100">
        <v>2.6</v>
      </c>
      <c r="G20" s="100">
        <v>80.48</v>
      </c>
      <c r="H20" s="100">
        <v>33.32</v>
      </c>
      <c r="I20" s="100">
        <v>7.4</v>
      </c>
      <c r="J20" s="100">
        <v>0.57999999999999996</v>
      </c>
      <c r="K20" s="100">
        <v>66.84</v>
      </c>
      <c r="L20" s="100">
        <v>19</v>
      </c>
      <c r="M20" s="100">
        <v>60.53</v>
      </c>
      <c r="N20" s="100">
        <v>0</v>
      </c>
      <c r="O20" s="100">
        <v>0</v>
      </c>
      <c r="P20" s="100">
        <v>0.65</v>
      </c>
      <c r="Q20" s="100">
        <v>4.9000000000000004</v>
      </c>
    </row>
    <row r="21" spans="1:17" customFormat="1">
      <c r="A21" s="70" t="s">
        <v>1595</v>
      </c>
      <c r="B21" s="100">
        <v>11.03</v>
      </c>
      <c r="C21" s="100">
        <v>25.37</v>
      </c>
      <c r="D21" s="100">
        <v>23.46</v>
      </c>
      <c r="E21" s="100">
        <v>7.83</v>
      </c>
      <c r="F21" s="100">
        <v>2.5099999999999998</v>
      </c>
      <c r="G21" s="100">
        <v>75.84</v>
      </c>
      <c r="H21" s="100">
        <v>29.88</v>
      </c>
      <c r="I21" s="100">
        <v>7.34</v>
      </c>
      <c r="J21" s="100">
        <v>0.42</v>
      </c>
      <c r="K21" s="100">
        <v>74.260000000000005</v>
      </c>
      <c r="L21" s="100">
        <v>18.95</v>
      </c>
      <c r="M21" s="100">
        <v>60.21</v>
      </c>
      <c r="N21" s="100">
        <v>0</v>
      </c>
      <c r="O21" s="100">
        <v>0</v>
      </c>
      <c r="P21" s="100">
        <v>0.65</v>
      </c>
      <c r="Q21" s="100">
        <v>4.9000000000000004</v>
      </c>
    </row>
    <row r="22" spans="1:17" customFormat="1">
      <c r="A22" s="70" t="s">
        <v>1596</v>
      </c>
      <c r="B22" s="100">
        <v>10.68</v>
      </c>
      <c r="C22" s="100">
        <v>24.43</v>
      </c>
      <c r="D22" s="100">
        <v>22.68</v>
      </c>
      <c r="E22" s="100">
        <v>8.23</v>
      </c>
      <c r="F22" s="100">
        <v>2.31</v>
      </c>
      <c r="G22" s="100">
        <v>75.84</v>
      </c>
      <c r="H22" s="100">
        <v>29.88</v>
      </c>
      <c r="I22" s="100">
        <v>7.28</v>
      </c>
      <c r="J22" s="100">
        <v>0.46</v>
      </c>
      <c r="K22" s="100">
        <v>79.62</v>
      </c>
      <c r="L22" s="100">
        <v>18.899999999999999</v>
      </c>
      <c r="M22" s="100">
        <v>59.07</v>
      </c>
      <c r="N22" s="100">
        <v>0</v>
      </c>
      <c r="O22" s="100">
        <v>0</v>
      </c>
      <c r="P22" s="100">
        <v>0.63</v>
      </c>
      <c r="Q22" s="100">
        <v>4.8899999999999997</v>
      </c>
    </row>
    <row r="23" spans="1:17" customFormat="1">
      <c r="A23" s="70" t="s">
        <v>1597</v>
      </c>
      <c r="B23" s="100">
        <v>10.17</v>
      </c>
      <c r="C23" s="100">
        <v>23.89</v>
      </c>
      <c r="D23" s="100">
        <v>21.99</v>
      </c>
      <c r="E23" s="100">
        <v>8.4</v>
      </c>
      <c r="F23" s="100">
        <v>2.38</v>
      </c>
      <c r="G23" s="100">
        <v>75.84</v>
      </c>
      <c r="H23" s="100">
        <v>29.88</v>
      </c>
      <c r="I23" s="100">
        <v>7.17</v>
      </c>
      <c r="J23" s="100">
        <v>0.85</v>
      </c>
      <c r="K23" s="100">
        <v>67.599999999999994</v>
      </c>
      <c r="L23" s="100">
        <v>18.79</v>
      </c>
      <c r="M23" s="100">
        <v>57.07</v>
      </c>
      <c r="N23" s="100">
        <v>0</v>
      </c>
      <c r="O23" s="100">
        <v>0</v>
      </c>
      <c r="P23" s="100">
        <v>0.61</v>
      </c>
      <c r="Q23" s="100">
        <v>4.9000000000000004</v>
      </c>
    </row>
    <row r="24" spans="1:17" customFormat="1">
      <c r="A24" s="70" t="s">
        <v>1598</v>
      </c>
      <c r="B24" s="100">
        <v>9.76</v>
      </c>
      <c r="C24" s="100">
        <v>23.45</v>
      </c>
      <c r="D24" s="100">
        <v>21.43</v>
      </c>
      <c r="E24" s="100">
        <v>8.5399999999999991</v>
      </c>
      <c r="F24" s="100">
        <v>2.33</v>
      </c>
      <c r="G24" s="100">
        <v>73.5</v>
      </c>
      <c r="H24" s="100">
        <v>29.33</v>
      </c>
      <c r="I24" s="100">
        <v>7.08</v>
      </c>
      <c r="J24" s="100">
        <v>0.81</v>
      </c>
      <c r="K24" s="100">
        <v>70.16</v>
      </c>
      <c r="L24" s="100">
        <v>18.72</v>
      </c>
      <c r="M24" s="100">
        <v>55.45</v>
      </c>
      <c r="N24" s="100">
        <v>0</v>
      </c>
      <c r="O24" s="100">
        <v>0</v>
      </c>
      <c r="P24" s="100">
        <v>0.6</v>
      </c>
      <c r="Q24" s="100">
        <v>4.9000000000000004</v>
      </c>
    </row>
    <row r="25" spans="1:17" customFormat="1">
      <c r="A25" s="70" t="s">
        <v>1599</v>
      </c>
      <c r="B25" s="100">
        <v>9.26</v>
      </c>
      <c r="C25" s="100">
        <v>23</v>
      </c>
      <c r="D25" s="100">
        <v>20.8</v>
      </c>
      <c r="E25" s="100">
        <v>8.6</v>
      </c>
      <c r="F25" s="100">
        <v>2.44</v>
      </c>
      <c r="G25" s="100">
        <v>63.47</v>
      </c>
      <c r="H25" s="100">
        <v>27.59</v>
      </c>
      <c r="I25" s="100">
        <v>7</v>
      </c>
      <c r="J25" s="100">
        <v>0.75</v>
      </c>
      <c r="K25" s="100">
        <v>72.459999999999994</v>
      </c>
      <c r="L25" s="100">
        <v>18.5</v>
      </c>
      <c r="M25" s="100">
        <v>55.64</v>
      </c>
      <c r="N25" s="100">
        <v>0</v>
      </c>
      <c r="O25" s="100">
        <v>0</v>
      </c>
      <c r="P25" s="100">
        <v>0.59</v>
      </c>
      <c r="Q25" s="100">
        <v>4.91</v>
      </c>
    </row>
    <row r="26" spans="1:17" customFormat="1">
      <c r="A26" s="70" t="s">
        <v>1600</v>
      </c>
      <c r="B26" s="100">
        <v>8.93</v>
      </c>
      <c r="C26" s="100">
        <v>23.51</v>
      </c>
      <c r="D26" s="100">
        <v>20.8</v>
      </c>
      <c r="E26" s="100">
        <v>8.11</v>
      </c>
      <c r="F26" s="100">
        <v>2.21</v>
      </c>
      <c r="G26" s="100">
        <v>63.47</v>
      </c>
      <c r="H26" s="100">
        <v>27.59</v>
      </c>
      <c r="I26" s="100">
        <v>6.93</v>
      </c>
      <c r="J26" s="100">
        <v>0.6</v>
      </c>
      <c r="K26" s="100">
        <v>68.28</v>
      </c>
      <c r="L26" s="100">
        <v>18.38</v>
      </c>
      <c r="M26" s="100">
        <v>55.88</v>
      </c>
      <c r="N26" s="100">
        <v>0</v>
      </c>
      <c r="O26" s="100">
        <v>0</v>
      </c>
      <c r="P26" s="100">
        <v>0.59</v>
      </c>
      <c r="Q26" s="100">
        <v>4.88</v>
      </c>
    </row>
    <row r="27" spans="1:17" customFormat="1">
      <c r="A27" s="70" t="s">
        <v>1601</v>
      </c>
      <c r="B27" s="100">
        <v>8.68</v>
      </c>
      <c r="C27" s="100">
        <v>23.02</v>
      </c>
      <c r="D27" s="100">
        <v>20.34</v>
      </c>
      <c r="E27" s="100">
        <v>8.64</v>
      </c>
      <c r="F27" s="100">
        <v>2.29</v>
      </c>
      <c r="G27" s="100">
        <v>63.47</v>
      </c>
      <c r="H27" s="100">
        <v>27.59</v>
      </c>
      <c r="I27" s="100">
        <v>6.89</v>
      </c>
      <c r="J27" s="100">
        <v>0.82</v>
      </c>
      <c r="K27" s="100">
        <v>66.88</v>
      </c>
      <c r="L27" s="100">
        <v>18.559999999999999</v>
      </c>
      <c r="M27" s="100">
        <v>53.61</v>
      </c>
      <c r="N27" s="100">
        <v>0</v>
      </c>
      <c r="O27" s="100">
        <v>0</v>
      </c>
      <c r="P27" s="100">
        <v>0.57999999999999996</v>
      </c>
      <c r="Q27" s="100">
        <v>4.87</v>
      </c>
    </row>
    <row r="28" spans="1:17" customFormat="1">
      <c r="A28" s="70" t="s">
        <v>1602</v>
      </c>
      <c r="B28" s="100">
        <v>8.48</v>
      </c>
      <c r="C28" s="100">
        <v>22.85</v>
      </c>
      <c r="D28" s="100">
        <v>20.09</v>
      </c>
      <c r="E28" s="100">
        <v>8.39</v>
      </c>
      <c r="F28" s="100">
        <v>2.5</v>
      </c>
      <c r="G28" s="100">
        <v>61.49</v>
      </c>
      <c r="H28" s="100">
        <v>26.78</v>
      </c>
      <c r="I28" s="100">
        <v>6.85</v>
      </c>
      <c r="J28" s="100">
        <v>0.61</v>
      </c>
      <c r="K28" s="100">
        <v>69.61</v>
      </c>
      <c r="L28" s="100">
        <v>18.52</v>
      </c>
      <c r="M28" s="100">
        <v>53.48</v>
      </c>
      <c r="N28" s="100">
        <v>0</v>
      </c>
      <c r="O28" s="100">
        <v>0</v>
      </c>
      <c r="P28" s="100">
        <v>0.56000000000000005</v>
      </c>
      <c r="Q28" s="100">
        <v>4.8600000000000003</v>
      </c>
    </row>
    <row r="29" spans="1:17" customFormat="1">
      <c r="A29" s="70" t="s">
        <v>1603</v>
      </c>
      <c r="B29" s="100">
        <v>8.57</v>
      </c>
      <c r="C29" s="100">
        <v>23.06</v>
      </c>
      <c r="D29" s="100">
        <v>20.28</v>
      </c>
      <c r="E29" s="100">
        <v>8.3800000000000008</v>
      </c>
      <c r="F29" s="100">
        <v>2.29</v>
      </c>
      <c r="G29" s="100">
        <v>53.03</v>
      </c>
      <c r="H29" s="100">
        <v>24.24</v>
      </c>
      <c r="I29" s="100">
        <v>6.84</v>
      </c>
      <c r="J29" s="100">
        <v>0.68</v>
      </c>
      <c r="K29" s="100">
        <v>59.89</v>
      </c>
      <c r="L29" s="100">
        <v>18.43</v>
      </c>
      <c r="M29" s="100">
        <v>53.12</v>
      </c>
      <c r="N29" s="100">
        <v>0</v>
      </c>
      <c r="O29" s="100">
        <v>0</v>
      </c>
      <c r="P29" s="100">
        <v>0.56000000000000005</v>
      </c>
      <c r="Q29" s="100">
        <v>4.87</v>
      </c>
    </row>
    <row r="30" spans="1:17" customFormat="1">
      <c r="A30" s="70" t="s">
        <v>1604</v>
      </c>
      <c r="B30" s="100">
        <v>8.67</v>
      </c>
      <c r="C30" s="100">
        <v>22.89</v>
      </c>
      <c r="D30" s="100">
        <v>20.260000000000002</v>
      </c>
      <c r="E30" s="100">
        <v>8.1999999999999993</v>
      </c>
      <c r="F30" s="100">
        <v>2.41</v>
      </c>
      <c r="G30" s="100">
        <v>53.03</v>
      </c>
      <c r="H30" s="100">
        <v>24.24</v>
      </c>
      <c r="I30" s="100">
        <v>6.81</v>
      </c>
      <c r="J30" s="100">
        <v>0.41</v>
      </c>
      <c r="K30" s="100">
        <v>77.55</v>
      </c>
      <c r="L30" s="100">
        <v>18.36</v>
      </c>
      <c r="M30" s="100">
        <v>53.56</v>
      </c>
      <c r="N30" s="100">
        <v>0</v>
      </c>
      <c r="O30" s="100">
        <v>0</v>
      </c>
      <c r="P30" s="100">
        <v>0.54</v>
      </c>
      <c r="Q30" s="100">
        <v>4.87</v>
      </c>
    </row>
    <row r="31" spans="1:17" customFormat="1">
      <c r="A31" s="70" t="s">
        <v>1605</v>
      </c>
      <c r="B31" s="100">
        <v>8.7200000000000006</v>
      </c>
      <c r="C31" s="100">
        <v>23.32</v>
      </c>
      <c r="D31" s="100">
        <v>20.52</v>
      </c>
      <c r="E31" s="100">
        <v>8.5399999999999991</v>
      </c>
      <c r="F31" s="100">
        <v>2.35</v>
      </c>
      <c r="G31" s="100">
        <v>53.03</v>
      </c>
      <c r="H31" s="100">
        <v>24.24</v>
      </c>
      <c r="I31" s="100">
        <v>6.8</v>
      </c>
      <c r="J31" s="100">
        <v>0.18</v>
      </c>
      <c r="K31" s="100">
        <v>76.05</v>
      </c>
      <c r="L31" s="100">
        <v>18.02</v>
      </c>
      <c r="M31" s="100">
        <v>55.6</v>
      </c>
      <c r="N31" s="100">
        <v>0</v>
      </c>
      <c r="O31" s="100">
        <v>0</v>
      </c>
      <c r="P31" s="100">
        <v>0.55000000000000004</v>
      </c>
      <c r="Q31" s="100">
        <v>4.87</v>
      </c>
    </row>
    <row r="32" spans="1:17" customFormat="1">
      <c r="A32" s="70" t="s">
        <v>1606</v>
      </c>
      <c r="B32" s="100">
        <v>8.81</v>
      </c>
      <c r="C32" s="100">
        <v>23.47</v>
      </c>
      <c r="D32" s="100">
        <v>20.68</v>
      </c>
      <c r="E32" s="100">
        <v>8.5399999999999991</v>
      </c>
      <c r="F32" s="100">
        <v>2.39</v>
      </c>
      <c r="G32" s="100">
        <v>51.91</v>
      </c>
      <c r="H32" s="100">
        <v>23.88</v>
      </c>
      <c r="I32" s="100">
        <v>6.78</v>
      </c>
      <c r="J32" s="100">
        <v>0.57999999999999996</v>
      </c>
      <c r="K32" s="100">
        <v>69.11</v>
      </c>
      <c r="L32" s="100">
        <v>17.96</v>
      </c>
      <c r="M32" s="100">
        <v>54.94</v>
      </c>
      <c r="N32" s="100">
        <v>0</v>
      </c>
      <c r="O32" s="100">
        <v>0</v>
      </c>
      <c r="P32" s="100">
        <v>0.54</v>
      </c>
      <c r="Q32" s="100">
        <v>4.8499999999999996</v>
      </c>
    </row>
    <row r="33" spans="1:17" customFormat="1">
      <c r="A33" s="70" t="s">
        <v>1607</v>
      </c>
      <c r="B33" s="100">
        <v>8.75</v>
      </c>
      <c r="C33" s="100">
        <v>23.85</v>
      </c>
      <c r="D33" s="100">
        <v>20.83</v>
      </c>
      <c r="E33" s="100">
        <v>8.57</v>
      </c>
      <c r="F33" s="100">
        <v>2.44</v>
      </c>
      <c r="G33" s="100">
        <v>47.11</v>
      </c>
      <c r="H33" s="100">
        <v>22.09</v>
      </c>
      <c r="I33" s="100">
        <v>6.74</v>
      </c>
      <c r="J33" s="100">
        <v>0.28000000000000003</v>
      </c>
      <c r="K33" s="100">
        <v>59.98</v>
      </c>
      <c r="L33" s="100">
        <v>17.89</v>
      </c>
      <c r="M33" s="100">
        <v>55.14</v>
      </c>
      <c r="N33" s="100">
        <v>0</v>
      </c>
      <c r="O33" s="100">
        <v>0</v>
      </c>
      <c r="P33" s="100">
        <v>0.53</v>
      </c>
      <c r="Q33" s="100">
        <v>4.84</v>
      </c>
    </row>
    <row r="34" spans="1:17" customFormat="1">
      <c r="A34" s="70" t="s">
        <v>1608</v>
      </c>
      <c r="B34" s="100">
        <v>8.93</v>
      </c>
      <c r="C34" s="100">
        <v>24.22</v>
      </c>
      <c r="D34" s="100">
        <v>21.17</v>
      </c>
      <c r="E34" s="100">
        <v>8.5399999999999991</v>
      </c>
      <c r="F34" s="100">
        <v>2.4</v>
      </c>
      <c r="G34" s="100">
        <v>47.11</v>
      </c>
      <c r="H34" s="100">
        <v>22.09</v>
      </c>
      <c r="I34" s="100">
        <v>6.71</v>
      </c>
      <c r="J34" s="100">
        <v>0.15</v>
      </c>
      <c r="K34" s="100">
        <v>73.489999999999995</v>
      </c>
      <c r="L34" s="100">
        <v>17.79</v>
      </c>
      <c r="M34" s="100">
        <v>56.93</v>
      </c>
      <c r="N34" s="100">
        <v>0</v>
      </c>
      <c r="O34" s="100">
        <v>0</v>
      </c>
      <c r="P34" s="100">
        <v>0.53</v>
      </c>
      <c r="Q34" s="100">
        <v>4.8499999999999996</v>
      </c>
    </row>
    <row r="35" spans="1:17" customFormat="1">
      <c r="A35" s="70" t="s">
        <v>1609</v>
      </c>
      <c r="B35" s="100">
        <v>9.4499999999999993</v>
      </c>
      <c r="C35" s="100">
        <v>24.37</v>
      </c>
      <c r="D35" s="100">
        <v>21.67</v>
      </c>
      <c r="E35" s="100">
        <v>8.4700000000000006</v>
      </c>
      <c r="F35" s="100">
        <v>2.2200000000000002</v>
      </c>
      <c r="G35" s="100">
        <v>47.11</v>
      </c>
      <c r="H35" s="100">
        <v>22.09</v>
      </c>
      <c r="I35" s="100">
        <v>6.71</v>
      </c>
      <c r="J35" s="100">
        <v>0.14000000000000001</v>
      </c>
      <c r="K35" s="100">
        <v>83.95</v>
      </c>
      <c r="L35" s="100">
        <v>17.45</v>
      </c>
      <c r="M35" s="100">
        <v>59.74</v>
      </c>
      <c r="N35" s="100">
        <v>0</v>
      </c>
      <c r="O35" s="100">
        <v>0</v>
      </c>
      <c r="P35" s="100">
        <v>0.52</v>
      </c>
      <c r="Q35" s="100">
        <v>4.8600000000000003</v>
      </c>
    </row>
    <row r="36" spans="1:17" customFormat="1">
      <c r="A36" s="70" t="s">
        <v>1610</v>
      </c>
      <c r="B36" s="100">
        <v>10.3</v>
      </c>
      <c r="C36" s="100">
        <v>24.4</v>
      </c>
      <c r="D36" s="100">
        <v>22.36</v>
      </c>
      <c r="E36" s="100">
        <v>8.1199999999999992</v>
      </c>
      <c r="F36" s="100">
        <v>2.44</v>
      </c>
      <c r="G36" s="100">
        <v>47.26</v>
      </c>
      <c r="H36" s="100">
        <v>21.85</v>
      </c>
      <c r="I36" s="100">
        <v>6.71</v>
      </c>
      <c r="J36" s="100">
        <v>0.53</v>
      </c>
      <c r="K36" s="100">
        <v>63.23</v>
      </c>
      <c r="L36" s="100">
        <v>17.62</v>
      </c>
      <c r="M36" s="100">
        <v>57.46</v>
      </c>
      <c r="N36" s="100">
        <v>0.2</v>
      </c>
      <c r="O36" s="100">
        <v>0</v>
      </c>
      <c r="P36" s="100">
        <v>0.52</v>
      </c>
      <c r="Q36" s="100">
        <v>4.88</v>
      </c>
    </row>
    <row r="37" spans="1:17" customFormat="1">
      <c r="A37" s="70" t="s">
        <v>1611</v>
      </c>
      <c r="B37" s="100">
        <v>11.45</v>
      </c>
      <c r="C37" s="100">
        <v>24.49</v>
      </c>
      <c r="D37" s="100">
        <v>23.33</v>
      </c>
      <c r="E37" s="100">
        <v>8.6199999999999992</v>
      </c>
      <c r="F37" s="100">
        <v>2.46</v>
      </c>
      <c r="G37" s="100">
        <v>47.9</v>
      </c>
      <c r="H37" s="100">
        <v>21.11</v>
      </c>
      <c r="I37" s="100">
        <v>6.7</v>
      </c>
      <c r="J37" s="100">
        <v>0.83</v>
      </c>
      <c r="K37" s="100">
        <v>63.9</v>
      </c>
      <c r="L37" s="100">
        <v>17.77</v>
      </c>
      <c r="M37" s="100">
        <v>55.86</v>
      </c>
      <c r="N37" s="100">
        <v>10.3</v>
      </c>
      <c r="O37" s="100">
        <v>0</v>
      </c>
      <c r="P37" s="100">
        <v>0.52</v>
      </c>
      <c r="Q37" s="100">
        <v>4.9000000000000004</v>
      </c>
    </row>
    <row r="38" spans="1:17" customFormat="1">
      <c r="A38" s="70" t="s">
        <v>1612</v>
      </c>
      <c r="B38" s="100">
        <v>12.06</v>
      </c>
      <c r="C38" s="100">
        <v>25.1</v>
      </c>
      <c r="D38" s="100">
        <v>24.14</v>
      </c>
      <c r="E38" s="100">
        <v>8.11</v>
      </c>
      <c r="F38" s="100">
        <v>2.41</v>
      </c>
      <c r="G38" s="100">
        <v>47.9</v>
      </c>
      <c r="H38" s="100">
        <v>21.11</v>
      </c>
      <c r="I38" s="100">
        <v>6.74</v>
      </c>
      <c r="J38" s="100">
        <v>0.41</v>
      </c>
      <c r="K38" s="100">
        <v>33.6</v>
      </c>
      <c r="L38" s="100">
        <v>18.18</v>
      </c>
      <c r="M38" s="100">
        <v>54.65</v>
      </c>
      <c r="N38" s="100">
        <v>26.1</v>
      </c>
      <c r="O38" s="100">
        <v>0</v>
      </c>
      <c r="P38" s="100">
        <v>0.54</v>
      </c>
      <c r="Q38" s="100">
        <v>4.91</v>
      </c>
    </row>
    <row r="39" spans="1:17" customFormat="1">
      <c r="A39" s="70" t="s">
        <v>1613</v>
      </c>
      <c r="B39" s="100">
        <v>12.69</v>
      </c>
      <c r="C39" s="100">
        <v>25.78</v>
      </c>
      <c r="D39" s="100">
        <v>25</v>
      </c>
      <c r="E39" s="100">
        <v>8.2200000000000006</v>
      </c>
      <c r="F39" s="100">
        <v>2.5099999999999998</v>
      </c>
      <c r="G39" s="100">
        <v>47.9</v>
      </c>
      <c r="H39" s="100">
        <v>21.11</v>
      </c>
      <c r="I39" s="100">
        <v>6.82</v>
      </c>
      <c r="J39" s="100">
        <v>0.68</v>
      </c>
      <c r="K39" s="100">
        <v>65.39</v>
      </c>
      <c r="L39" s="100">
        <v>18.5</v>
      </c>
      <c r="M39" s="100">
        <v>54.53</v>
      </c>
      <c r="N39" s="100">
        <v>25</v>
      </c>
      <c r="O39" s="100">
        <v>0</v>
      </c>
      <c r="P39" s="100">
        <v>0.56000000000000005</v>
      </c>
      <c r="Q39" s="100">
        <v>4.91</v>
      </c>
    </row>
    <row r="40" spans="1:17" customFormat="1">
      <c r="A40" s="70" t="s">
        <v>1614</v>
      </c>
      <c r="B40" s="100">
        <v>13.43</v>
      </c>
      <c r="C40" s="100">
        <v>26.51</v>
      </c>
      <c r="D40" s="100">
        <v>25.97</v>
      </c>
      <c r="E40" s="100">
        <v>8.68</v>
      </c>
      <c r="F40" s="100">
        <v>2.4300000000000002</v>
      </c>
      <c r="G40" s="100">
        <v>49.7</v>
      </c>
      <c r="H40" s="100">
        <v>22.36</v>
      </c>
      <c r="I40" s="100">
        <v>7.04</v>
      </c>
      <c r="J40" s="100">
        <v>0.92</v>
      </c>
      <c r="K40" s="100">
        <v>57.85</v>
      </c>
      <c r="L40" s="100">
        <v>18.72</v>
      </c>
      <c r="M40" s="100">
        <v>54.52</v>
      </c>
      <c r="N40" s="100">
        <v>46</v>
      </c>
      <c r="O40" s="100">
        <v>0</v>
      </c>
      <c r="P40" s="100">
        <v>0.57999999999999996</v>
      </c>
      <c r="Q40" s="100">
        <v>4.93</v>
      </c>
    </row>
    <row r="41" spans="1:17" customFormat="1">
      <c r="A41" s="70" t="s">
        <v>1615</v>
      </c>
      <c r="B41" s="100">
        <v>14</v>
      </c>
      <c r="C41" s="100">
        <v>27.22</v>
      </c>
      <c r="D41" s="100">
        <v>26.8</v>
      </c>
      <c r="E41" s="100">
        <v>8.4</v>
      </c>
      <c r="F41" s="100">
        <v>2.5</v>
      </c>
      <c r="G41" s="100">
        <v>57.43</v>
      </c>
      <c r="H41" s="100">
        <v>26.25</v>
      </c>
      <c r="I41" s="100">
        <v>7.32</v>
      </c>
      <c r="J41" s="100">
        <v>0.91</v>
      </c>
      <c r="K41" s="100">
        <v>68.94</v>
      </c>
      <c r="L41" s="100">
        <v>19.11</v>
      </c>
      <c r="M41" s="100">
        <v>53.54</v>
      </c>
      <c r="N41" s="100">
        <v>76.5</v>
      </c>
      <c r="O41" s="100">
        <v>0</v>
      </c>
      <c r="P41" s="100">
        <v>0.6</v>
      </c>
      <c r="Q41" s="100">
        <v>4.95</v>
      </c>
    </row>
    <row r="42" spans="1:17" customFormat="1">
      <c r="A42" s="70" t="s">
        <v>1616</v>
      </c>
      <c r="B42" s="100">
        <v>14.03</v>
      </c>
      <c r="C42" s="100">
        <v>27.25</v>
      </c>
      <c r="D42" s="100">
        <v>26.84</v>
      </c>
      <c r="E42" s="100">
        <v>8.6999999999999993</v>
      </c>
      <c r="F42" s="100">
        <v>2.6</v>
      </c>
      <c r="G42" s="100">
        <v>57.43</v>
      </c>
      <c r="H42" s="100">
        <v>26.25</v>
      </c>
      <c r="I42" s="100">
        <v>7.68</v>
      </c>
      <c r="J42" s="100">
        <v>1.06</v>
      </c>
      <c r="K42" s="100">
        <v>60.02</v>
      </c>
      <c r="L42" s="100">
        <v>19.600000000000001</v>
      </c>
      <c r="M42" s="100">
        <v>51.2</v>
      </c>
      <c r="N42" s="100">
        <v>126.9</v>
      </c>
      <c r="O42" s="100">
        <v>0</v>
      </c>
      <c r="P42" s="100">
        <v>0.6</v>
      </c>
      <c r="Q42" s="100">
        <v>4.9400000000000004</v>
      </c>
    </row>
    <row r="43" spans="1:17" customFormat="1">
      <c r="A43" s="70" t="s">
        <v>1617</v>
      </c>
      <c r="B43" s="100">
        <v>14.01</v>
      </c>
      <c r="C43" s="100">
        <v>27.5</v>
      </c>
      <c r="D43" s="100">
        <v>26.95</v>
      </c>
      <c r="E43" s="100">
        <v>8.8800000000000008</v>
      </c>
      <c r="F43" s="100">
        <v>2.5099999999999998</v>
      </c>
      <c r="G43" s="100">
        <v>57.43</v>
      </c>
      <c r="H43" s="100">
        <v>26.25</v>
      </c>
      <c r="I43" s="100">
        <v>8.1199999999999992</v>
      </c>
      <c r="J43" s="100">
        <v>0.83</v>
      </c>
      <c r="K43" s="100">
        <v>65.040000000000006</v>
      </c>
      <c r="L43" s="100">
        <v>20.46</v>
      </c>
      <c r="M43" s="100">
        <v>48.99</v>
      </c>
      <c r="N43" s="100">
        <v>156</v>
      </c>
      <c r="O43" s="100">
        <v>0</v>
      </c>
      <c r="P43" s="100">
        <v>0.61</v>
      </c>
      <c r="Q43" s="100">
        <v>4.9400000000000004</v>
      </c>
    </row>
    <row r="44" spans="1:17" customFormat="1">
      <c r="A44" s="70" t="s">
        <v>1618</v>
      </c>
      <c r="B44" s="100">
        <v>13.93</v>
      </c>
      <c r="C44" s="100">
        <v>27.84</v>
      </c>
      <c r="D44" s="100">
        <v>27.07</v>
      </c>
      <c r="E44" s="100">
        <v>9.11</v>
      </c>
      <c r="F44" s="100">
        <v>2.46</v>
      </c>
      <c r="G44" s="100">
        <v>59.81</v>
      </c>
      <c r="H44" s="100">
        <v>26.2</v>
      </c>
      <c r="I44" s="100">
        <v>8.4499999999999993</v>
      </c>
      <c r="J44" s="100">
        <v>1</v>
      </c>
      <c r="K44" s="100">
        <v>65.98</v>
      </c>
      <c r="L44" s="100">
        <v>21.48</v>
      </c>
      <c r="M44" s="100">
        <v>45.79</v>
      </c>
      <c r="N44" s="100">
        <v>180.3</v>
      </c>
      <c r="O44" s="100">
        <v>0</v>
      </c>
      <c r="P44" s="100">
        <v>0.61</v>
      </c>
      <c r="Q44" s="100">
        <v>4.95</v>
      </c>
    </row>
    <row r="45" spans="1:17" customFormat="1">
      <c r="A45" s="70" t="s">
        <v>1619</v>
      </c>
      <c r="B45" s="100">
        <v>13.72</v>
      </c>
      <c r="C45" s="100">
        <v>28.11</v>
      </c>
      <c r="D45" s="100">
        <v>27.04</v>
      </c>
      <c r="E45" s="100">
        <v>9.89</v>
      </c>
      <c r="F45" s="100">
        <v>2.4700000000000002</v>
      </c>
      <c r="G45" s="100">
        <v>70.02</v>
      </c>
      <c r="H45" s="100">
        <v>26.06</v>
      </c>
      <c r="I45" s="100">
        <v>8.6</v>
      </c>
      <c r="J45" s="100">
        <v>0.81</v>
      </c>
      <c r="K45" s="100">
        <v>67.3</v>
      </c>
      <c r="L45" s="100">
        <v>22.34</v>
      </c>
      <c r="M45" s="100">
        <v>43.45</v>
      </c>
      <c r="N45" s="100">
        <v>200.3</v>
      </c>
      <c r="O45" s="100">
        <v>0</v>
      </c>
      <c r="P45" s="100">
        <v>0.61</v>
      </c>
      <c r="Q45" s="100">
        <v>4.9400000000000004</v>
      </c>
    </row>
    <row r="46" spans="1:17" customFormat="1">
      <c r="A46" s="70" t="s">
        <v>1620</v>
      </c>
      <c r="B46" s="100">
        <v>13.79</v>
      </c>
      <c r="C46" s="100">
        <v>28.57</v>
      </c>
      <c r="D46" s="100">
        <v>27.33</v>
      </c>
      <c r="E46" s="100">
        <v>9.86</v>
      </c>
      <c r="F46" s="100">
        <v>2.35</v>
      </c>
      <c r="G46" s="100">
        <v>70.02</v>
      </c>
      <c r="H46" s="100">
        <v>26.06</v>
      </c>
      <c r="I46" s="100">
        <v>8.64</v>
      </c>
      <c r="J46" s="100">
        <v>1.0900000000000001</v>
      </c>
      <c r="K46" s="100">
        <v>59.01</v>
      </c>
      <c r="L46" s="100">
        <v>23.04</v>
      </c>
      <c r="M46" s="100">
        <v>39.07</v>
      </c>
      <c r="N46" s="100">
        <v>156.19999999999999</v>
      </c>
      <c r="O46" s="100">
        <v>0</v>
      </c>
      <c r="P46" s="100">
        <v>0.61</v>
      </c>
      <c r="Q46" s="100">
        <v>4.95</v>
      </c>
    </row>
    <row r="47" spans="1:17" customFormat="1">
      <c r="A47" s="70" t="s">
        <v>1621</v>
      </c>
      <c r="B47" s="100">
        <v>14.03</v>
      </c>
      <c r="C47" s="100">
        <v>29.12</v>
      </c>
      <c r="D47" s="100">
        <v>27.82</v>
      </c>
      <c r="E47" s="100">
        <v>10.35</v>
      </c>
      <c r="F47" s="100">
        <v>2.54</v>
      </c>
      <c r="G47" s="100">
        <v>70.02</v>
      </c>
      <c r="H47" s="100">
        <v>26.06</v>
      </c>
      <c r="I47" s="100">
        <v>8.59</v>
      </c>
      <c r="J47" s="100">
        <v>1.03</v>
      </c>
      <c r="K47" s="100">
        <v>71.94</v>
      </c>
      <c r="L47" s="100">
        <v>23.29</v>
      </c>
      <c r="M47" s="100">
        <v>38.79</v>
      </c>
      <c r="N47" s="100">
        <v>150.69999999999999</v>
      </c>
      <c r="O47" s="100">
        <v>0</v>
      </c>
      <c r="P47" s="100">
        <v>0.61</v>
      </c>
      <c r="Q47" s="100">
        <v>4.9400000000000004</v>
      </c>
    </row>
    <row r="48" spans="1:17" customFormat="1">
      <c r="A48" s="70" t="s">
        <v>1622</v>
      </c>
      <c r="B48" s="100">
        <v>14.41</v>
      </c>
      <c r="C48" s="100">
        <v>29.47</v>
      </c>
      <c r="D48" s="100">
        <v>28.3</v>
      </c>
      <c r="E48" s="100">
        <v>10.220000000000001</v>
      </c>
      <c r="F48" s="100">
        <v>2.64</v>
      </c>
      <c r="G48" s="100">
        <v>70.91</v>
      </c>
      <c r="H48" s="100">
        <v>25.72</v>
      </c>
      <c r="I48" s="100">
        <v>8.44</v>
      </c>
      <c r="J48" s="100">
        <v>1.08</v>
      </c>
      <c r="K48" s="100">
        <v>60.79</v>
      </c>
      <c r="L48" s="100">
        <v>23.78</v>
      </c>
      <c r="M48" s="100">
        <v>37.479999999999997</v>
      </c>
      <c r="N48" s="100">
        <v>207.9</v>
      </c>
      <c r="O48" s="100">
        <v>0</v>
      </c>
      <c r="P48" s="100">
        <v>0.6</v>
      </c>
      <c r="Q48" s="100">
        <v>4.95</v>
      </c>
    </row>
    <row r="49" spans="1:17" customFormat="1">
      <c r="A49" s="70" t="s">
        <v>1623</v>
      </c>
      <c r="B49" s="100">
        <v>14.8</v>
      </c>
      <c r="C49" s="100">
        <v>30.01</v>
      </c>
      <c r="D49" s="100">
        <v>28.9</v>
      </c>
      <c r="E49" s="100">
        <v>9.16</v>
      </c>
      <c r="F49" s="100">
        <v>2.7</v>
      </c>
      <c r="G49" s="100">
        <v>74.7</v>
      </c>
      <c r="H49" s="100">
        <v>24.63</v>
      </c>
      <c r="I49" s="100">
        <v>8.2200000000000006</v>
      </c>
      <c r="J49" s="100">
        <v>1.53</v>
      </c>
      <c r="K49" s="100">
        <v>57.22</v>
      </c>
      <c r="L49" s="100">
        <v>24.1</v>
      </c>
      <c r="M49" s="100">
        <v>35.049999999999997</v>
      </c>
      <c r="N49" s="100">
        <v>252.7</v>
      </c>
      <c r="O49" s="100">
        <v>0</v>
      </c>
      <c r="P49" s="100">
        <v>0.59</v>
      </c>
      <c r="Q49" s="100">
        <v>4.96</v>
      </c>
    </row>
    <row r="50" spans="1:17" customFormat="1">
      <c r="A50" s="70" t="s">
        <v>1624</v>
      </c>
      <c r="B50" s="100">
        <v>14.5</v>
      </c>
      <c r="C50" s="100">
        <v>30.53</v>
      </c>
      <c r="D50" s="100">
        <v>28.93</v>
      </c>
      <c r="E50" s="100">
        <v>9.77</v>
      </c>
      <c r="F50" s="100">
        <v>2.82</v>
      </c>
      <c r="G50" s="100">
        <v>74.7</v>
      </c>
      <c r="H50" s="100">
        <v>24.63</v>
      </c>
      <c r="I50" s="100">
        <v>8.01</v>
      </c>
      <c r="J50" s="100">
        <v>1.1200000000000001</v>
      </c>
      <c r="K50" s="100">
        <v>65.959999999999994</v>
      </c>
      <c r="L50" s="100">
        <v>24.49</v>
      </c>
      <c r="M50" s="100">
        <v>33.53</v>
      </c>
      <c r="N50" s="100">
        <v>247.3</v>
      </c>
      <c r="O50" s="100">
        <v>0</v>
      </c>
      <c r="P50" s="100">
        <v>0.59</v>
      </c>
      <c r="Q50" s="100">
        <v>4.96</v>
      </c>
    </row>
    <row r="51" spans="1:17" customFormat="1">
      <c r="A51" s="70" t="s">
        <v>1625</v>
      </c>
      <c r="B51" s="100">
        <v>14.18</v>
      </c>
      <c r="C51" s="100">
        <v>31.06</v>
      </c>
      <c r="D51" s="100">
        <v>28.95</v>
      </c>
      <c r="E51" s="100">
        <v>10.14</v>
      </c>
      <c r="F51" s="100">
        <v>2.68</v>
      </c>
      <c r="G51" s="100">
        <v>74.7</v>
      </c>
      <c r="H51" s="100">
        <v>24.63</v>
      </c>
      <c r="I51" s="100">
        <v>7.82</v>
      </c>
      <c r="J51" s="100">
        <v>1.31</v>
      </c>
      <c r="K51" s="100">
        <v>54.25</v>
      </c>
      <c r="L51" s="100">
        <v>24.82</v>
      </c>
      <c r="M51" s="100">
        <v>33.42</v>
      </c>
      <c r="N51" s="100">
        <v>284.10000000000002</v>
      </c>
      <c r="O51" s="100">
        <v>0</v>
      </c>
      <c r="P51" s="100">
        <v>0.57999999999999996</v>
      </c>
      <c r="Q51" s="100">
        <v>4.96</v>
      </c>
    </row>
    <row r="52" spans="1:17" customFormat="1">
      <c r="A52" s="70" t="s">
        <v>1626</v>
      </c>
      <c r="B52" s="100">
        <v>14.14</v>
      </c>
      <c r="C52" s="100">
        <v>31.01</v>
      </c>
      <c r="D52" s="100">
        <v>28.89</v>
      </c>
      <c r="E52" s="100">
        <v>10.41</v>
      </c>
      <c r="F52" s="100">
        <v>2.82</v>
      </c>
      <c r="G52" s="100">
        <v>73.73</v>
      </c>
      <c r="H52" s="100">
        <v>24.48</v>
      </c>
      <c r="I52" s="100">
        <v>7.6</v>
      </c>
      <c r="J52" s="100">
        <v>1.52</v>
      </c>
      <c r="K52" s="100">
        <v>55.81</v>
      </c>
      <c r="L52" s="100">
        <v>24.81</v>
      </c>
      <c r="M52" s="100">
        <v>32.950000000000003</v>
      </c>
      <c r="N52" s="100">
        <v>303.8</v>
      </c>
      <c r="O52" s="100">
        <v>0</v>
      </c>
      <c r="P52" s="100">
        <v>0.57999999999999996</v>
      </c>
      <c r="Q52" s="100">
        <v>4.97</v>
      </c>
    </row>
    <row r="53" spans="1:17" customFormat="1">
      <c r="A53" s="70" t="s">
        <v>1627</v>
      </c>
      <c r="B53" s="100">
        <v>14.34</v>
      </c>
      <c r="C53" s="100">
        <v>31.25</v>
      </c>
      <c r="D53" s="100">
        <v>29.17</v>
      </c>
      <c r="E53" s="100">
        <v>10.27</v>
      </c>
      <c r="F53" s="100">
        <v>3.02</v>
      </c>
      <c r="G53" s="100">
        <v>69.58</v>
      </c>
      <c r="H53" s="100">
        <v>23.98</v>
      </c>
      <c r="I53" s="100">
        <v>7.41</v>
      </c>
      <c r="J53" s="100">
        <v>1.36</v>
      </c>
      <c r="K53" s="100">
        <v>55.93</v>
      </c>
      <c r="L53" s="100">
        <v>25.27</v>
      </c>
      <c r="M53" s="100">
        <v>31.83</v>
      </c>
      <c r="N53" s="100">
        <v>336.1</v>
      </c>
      <c r="O53" s="100">
        <v>0</v>
      </c>
      <c r="P53" s="100">
        <v>0.56000000000000005</v>
      </c>
      <c r="Q53" s="100">
        <v>4.96</v>
      </c>
    </row>
    <row r="54" spans="1:17" customFormat="1">
      <c r="A54" s="70" t="s">
        <v>1628</v>
      </c>
      <c r="B54" s="100">
        <v>14.07</v>
      </c>
      <c r="C54" s="100">
        <v>31.42</v>
      </c>
      <c r="D54" s="100">
        <v>29.05</v>
      </c>
      <c r="E54" s="100">
        <v>11.13</v>
      </c>
      <c r="F54" s="100">
        <v>2.96</v>
      </c>
      <c r="G54" s="100">
        <v>69.58</v>
      </c>
      <c r="H54" s="100">
        <v>23.98</v>
      </c>
      <c r="I54" s="100">
        <v>7.18</v>
      </c>
      <c r="J54" s="100">
        <v>1.51</v>
      </c>
      <c r="K54" s="100">
        <v>48.08</v>
      </c>
      <c r="L54" s="100">
        <v>25.3</v>
      </c>
      <c r="M54" s="100">
        <v>31.47</v>
      </c>
      <c r="N54" s="100">
        <v>343.1</v>
      </c>
      <c r="O54" s="100">
        <v>0</v>
      </c>
      <c r="P54" s="100">
        <v>0.56000000000000005</v>
      </c>
      <c r="Q54" s="100">
        <v>4.95</v>
      </c>
    </row>
    <row r="55" spans="1:17" customFormat="1">
      <c r="A55" s="70" t="s">
        <v>1629</v>
      </c>
      <c r="B55" s="100">
        <v>13.84</v>
      </c>
      <c r="C55" s="100">
        <v>31.37</v>
      </c>
      <c r="D55" s="100">
        <v>28.83</v>
      </c>
      <c r="E55" s="100">
        <v>10.65</v>
      </c>
      <c r="F55" s="100">
        <v>2.98</v>
      </c>
      <c r="G55" s="100">
        <v>69.58</v>
      </c>
      <c r="H55" s="100">
        <v>23.98</v>
      </c>
      <c r="I55" s="100">
        <v>6.97</v>
      </c>
      <c r="J55" s="100">
        <v>1.61</v>
      </c>
      <c r="K55" s="100">
        <v>53.22</v>
      </c>
      <c r="L55" s="100">
        <v>25.5</v>
      </c>
      <c r="M55" s="100">
        <v>31.91</v>
      </c>
      <c r="N55" s="100">
        <v>356.9</v>
      </c>
      <c r="O55" s="100">
        <v>0</v>
      </c>
      <c r="P55" s="100">
        <v>0.55000000000000004</v>
      </c>
      <c r="Q55" s="100">
        <v>4.95</v>
      </c>
    </row>
    <row r="56" spans="1:17" customFormat="1">
      <c r="A56" s="70" t="s">
        <v>1630</v>
      </c>
      <c r="B56" s="100">
        <v>15.06</v>
      </c>
      <c r="C56" s="100">
        <v>30.25</v>
      </c>
      <c r="D56" s="100">
        <v>29.23</v>
      </c>
      <c r="E56" s="100">
        <v>11.43</v>
      </c>
      <c r="F56" s="100">
        <v>3.19</v>
      </c>
      <c r="G56" s="100">
        <v>70.569999999999993</v>
      </c>
      <c r="H56" s="100">
        <v>23.64</v>
      </c>
      <c r="I56" s="100">
        <v>6.78</v>
      </c>
      <c r="J56" s="100">
        <v>1.82</v>
      </c>
      <c r="K56" s="100">
        <v>50.63</v>
      </c>
      <c r="L56" s="100">
        <v>25.54</v>
      </c>
      <c r="M56" s="100">
        <v>31.86</v>
      </c>
      <c r="N56" s="100">
        <v>373.5</v>
      </c>
      <c r="O56" s="100">
        <v>0</v>
      </c>
      <c r="P56" s="100">
        <v>0.55000000000000004</v>
      </c>
      <c r="Q56" s="100">
        <v>4.96</v>
      </c>
    </row>
    <row r="57" spans="1:17" customFormat="1">
      <c r="A57" s="70" t="s">
        <v>1631</v>
      </c>
      <c r="B57" s="100">
        <v>13.56</v>
      </c>
      <c r="C57" s="100">
        <v>31.21</v>
      </c>
      <c r="D57" s="100">
        <v>28.54</v>
      </c>
      <c r="E57" s="100">
        <v>10.81</v>
      </c>
      <c r="F57" s="100">
        <v>3.13</v>
      </c>
      <c r="G57" s="100">
        <v>74.8</v>
      </c>
      <c r="H57" s="100">
        <v>21.97</v>
      </c>
      <c r="I57" s="100">
        <v>6.63</v>
      </c>
      <c r="J57" s="100">
        <v>1.56</v>
      </c>
      <c r="K57" s="100">
        <v>52</v>
      </c>
      <c r="L57" s="100">
        <v>25.55</v>
      </c>
      <c r="M57" s="100">
        <v>31.88</v>
      </c>
      <c r="N57" s="100">
        <v>344.9</v>
      </c>
      <c r="O57" s="100">
        <v>0</v>
      </c>
      <c r="P57" s="100">
        <v>0.54</v>
      </c>
      <c r="Q57" s="100">
        <v>4.9400000000000004</v>
      </c>
    </row>
    <row r="58" spans="1:17" customFormat="1">
      <c r="A58" s="70" t="s">
        <v>1632</v>
      </c>
      <c r="B58" s="100">
        <v>13.11</v>
      </c>
      <c r="C58" s="100">
        <v>30.48</v>
      </c>
      <c r="D58" s="100">
        <v>27.79</v>
      </c>
      <c r="E58" s="100">
        <v>8.84</v>
      </c>
      <c r="F58" s="100">
        <v>2.97</v>
      </c>
      <c r="G58" s="100">
        <v>74.8</v>
      </c>
      <c r="H58" s="100">
        <v>21.97</v>
      </c>
      <c r="I58" s="100">
        <v>6.46</v>
      </c>
      <c r="J58" s="100">
        <v>0.93</v>
      </c>
      <c r="K58" s="100">
        <v>38.9</v>
      </c>
      <c r="L58" s="100">
        <v>25.73</v>
      </c>
      <c r="M58" s="100">
        <v>31.76</v>
      </c>
      <c r="N58" s="100">
        <v>312.5</v>
      </c>
      <c r="O58" s="100">
        <v>0</v>
      </c>
      <c r="P58" s="100">
        <v>0.54</v>
      </c>
      <c r="Q58" s="100">
        <v>4.93</v>
      </c>
    </row>
    <row r="59" spans="1:17" customFormat="1">
      <c r="A59" s="70" t="s">
        <v>1633</v>
      </c>
      <c r="B59" s="100">
        <v>12.76</v>
      </c>
      <c r="C59" s="100">
        <v>29.22</v>
      </c>
      <c r="D59" s="100">
        <v>26.85</v>
      </c>
      <c r="E59" s="100">
        <v>8.06</v>
      </c>
      <c r="F59" s="100">
        <v>2.91</v>
      </c>
      <c r="G59" s="100">
        <v>74.8</v>
      </c>
      <c r="H59" s="100">
        <v>21.97</v>
      </c>
      <c r="I59" s="100">
        <v>6.33</v>
      </c>
      <c r="J59" s="100">
        <v>0.96</v>
      </c>
      <c r="K59" s="100">
        <v>42.44</v>
      </c>
      <c r="L59" s="100">
        <v>25.97</v>
      </c>
      <c r="M59" s="100">
        <v>31.92</v>
      </c>
      <c r="N59" s="100">
        <v>313.89999999999998</v>
      </c>
      <c r="O59" s="100">
        <v>0</v>
      </c>
      <c r="P59" s="100">
        <v>0.54</v>
      </c>
      <c r="Q59" s="100">
        <v>4.91</v>
      </c>
    </row>
    <row r="60" spans="1:17" customFormat="1">
      <c r="A60" s="70" t="s">
        <v>1634</v>
      </c>
      <c r="B60" s="100">
        <v>12.58</v>
      </c>
      <c r="C60" s="100">
        <v>28.15</v>
      </c>
      <c r="D60" s="100">
        <v>26.14</v>
      </c>
      <c r="E60" s="100">
        <v>9.1300000000000008</v>
      </c>
      <c r="F60" s="100">
        <v>3.06</v>
      </c>
      <c r="G60" s="100">
        <v>73.540000000000006</v>
      </c>
      <c r="H60" s="100">
        <v>22.1</v>
      </c>
      <c r="I60" s="100">
        <v>6.26</v>
      </c>
      <c r="J60" s="100">
        <v>0.77</v>
      </c>
      <c r="K60" s="100">
        <v>47.89</v>
      </c>
      <c r="L60" s="100">
        <v>26.52</v>
      </c>
      <c r="M60" s="100">
        <v>31.85</v>
      </c>
      <c r="N60" s="100">
        <v>375</v>
      </c>
      <c r="O60" s="100">
        <v>0</v>
      </c>
      <c r="P60" s="100">
        <v>0.52</v>
      </c>
      <c r="Q60" s="100">
        <v>4.91</v>
      </c>
    </row>
    <row r="61" spans="1:17" customFormat="1">
      <c r="A61" s="70" t="s">
        <v>1635</v>
      </c>
      <c r="B61" s="100">
        <v>12.38</v>
      </c>
      <c r="C61" s="100">
        <v>27.2</v>
      </c>
      <c r="D61" s="100">
        <v>25.49</v>
      </c>
      <c r="E61" s="100">
        <v>9.14</v>
      </c>
      <c r="F61" s="100">
        <v>3.05</v>
      </c>
      <c r="G61" s="100">
        <v>68.150000000000006</v>
      </c>
      <c r="H61" s="100">
        <v>22.51</v>
      </c>
      <c r="I61" s="100">
        <v>6.17</v>
      </c>
      <c r="J61" s="100">
        <v>1.05</v>
      </c>
      <c r="K61" s="100">
        <v>56.67</v>
      </c>
      <c r="L61" s="100">
        <v>26.78</v>
      </c>
      <c r="M61" s="100">
        <v>31.47</v>
      </c>
      <c r="N61" s="100">
        <v>324.5</v>
      </c>
      <c r="O61" s="100">
        <v>0</v>
      </c>
      <c r="P61" s="100">
        <v>0.52</v>
      </c>
      <c r="Q61" s="100">
        <v>4.91</v>
      </c>
    </row>
    <row r="62" spans="1:17" customFormat="1">
      <c r="A62" s="70" t="s">
        <v>1636</v>
      </c>
      <c r="B62" s="100">
        <v>11.98</v>
      </c>
      <c r="C62" s="100">
        <v>26.41</v>
      </c>
      <c r="D62" s="100">
        <v>24.76</v>
      </c>
      <c r="E62" s="100">
        <v>8.6199999999999992</v>
      </c>
      <c r="F62" s="100">
        <v>2.91</v>
      </c>
      <c r="G62" s="100">
        <v>68.150000000000006</v>
      </c>
      <c r="H62" s="100">
        <v>22.51</v>
      </c>
      <c r="I62" s="100">
        <v>6.07</v>
      </c>
      <c r="J62" s="100">
        <v>0.78</v>
      </c>
      <c r="K62" s="100">
        <v>61.46</v>
      </c>
      <c r="L62" s="100">
        <v>26.61</v>
      </c>
      <c r="M62" s="100">
        <v>31.77</v>
      </c>
      <c r="N62" s="100">
        <v>348.1</v>
      </c>
      <c r="O62" s="100">
        <v>0</v>
      </c>
      <c r="P62" s="100">
        <v>0.5</v>
      </c>
      <c r="Q62" s="100">
        <v>4.91</v>
      </c>
    </row>
    <row r="63" spans="1:17" customFormat="1">
      <c r="A63" s="70" t="s">
        <v>1637</v>
      </c>
      <c r="B63" s="100">
        <v>11.41</v>
      </c>
      <c r="C63" s="100">
        <v>25.72</v>
      </c>
      <c r="D63" s="100">
        <v>23.94</v>
      </c>
      <c r="E63" s="100">
        <v>8.1999999999999993</v>
      </c>
      <c r="F63" s="100">
        <v>2.83</v>
      </c>
      <c r="G63" s="100">
        <v>68.150000000000006</v>
      </c>
      <c r="H63" s="100">
        <v>22.51</v>
      </c>
      <c r="I63" s="100">
        <v>6</v>
      </c>
      <c r="J63" s="100">
        <v>0.33</v>
      </c>
      <c r="K63" s="100">
        <v>359.89</v>
      </c>
      <c r="L63" s="100">
        <v>27.33</v>
      </c>
      <c r="M63" s="100">
        <v>30.5</v>
      </c>
      <c r="N63" s="100">
        <v>334.4</v>
      </c>
      <c r="O63" s="100">
        <v>0</v>
      </c>
      <c r="P63" s="100">
        <v>0.51</v>
      </c>
      <c r="Q63" s="100">
        <v>4.9000000000000004</v>
      </c>
    </row>
    <row r="64" spans="1:17" customFormat="1">
      <c r="A64" s="70" t="s">
        <v>1638</v>
      </c>
      <c r="B64" s="100">
        <v>10.91</v>
      </c>
      <c r="C64" s="100">
        <v>25.21</v>
      </c>
      <c r="D64" s="100">
        <v>23.27</v>
      </c>
      <c r="E64" s="100">
        <v>7.79</v>
      </c>
      <c r="F64" s="100">
        <v>2.72</v>
      </c>
      <c r="G64" s="100">
        <v>66.38</v>
      </c>
      <c r="H64" s="100">
        <v>22.02</v>
      </c>
      <c r="I64" s="100">
        <v>5.91</v>
      </c>
      <c r="J64" s="100">
        <v>1.04</v>
      </c>
      <c r="K64" s="100">
        <v>59.4</v>
      </c>
      <c r="L64" s="100">
        <v>27.15</v>
      </c>
      <c r="M64" s="100">
        <v>31.46</v>
      </c>
      <c r="N64" s="100">
        <v>325.60000000000002</v>
      </c>
      <c r="O64" s="100">
        <v>0</v>
      </c>
      <c r="P64" s="100">
        <v>0.5</v>
      </c>
      <c r="Q64" s="100">
        <v>4.9000000000000004</v>
      </c>
    </row>
    <row r="65" spans="1:17" customFormat="1">
      <c r="A65" s="70" t="s">
        <v>1639</v>
      </c>
      <c r="B65" s="100">
        <v>10.46</v>
      </c>
      <c r="C65" s="100">
        <v>24.85</v>
      </c>
      <c r="D65" s="100">
        <v>22.72</v>
      </c>
      <c r="E65" s="100">
        <v>8.1300000000000008</v>
      </c>
      <c r="F65" s="100">
        <v>2.89</v>
      </c>
      <c r="G65" s="100">
        <v>58.75</v>
      </c>
      <c r="H65" s="100">
        <v>20.51</v>
      </c>
      <c r="I65" s="100">
        <v>5.81</v>
      </c>
      <c r="J65" s="100">
        <v>0.64</v>
      </c>
      <c r="K65" s="100">
        <v>66.87</v>
      </c>
      <c r="L65" s="100">
        <v>27.12</v>
      </c>
      <c r="M65" s="100">
        <v>31.87</v>
      </c>
      <c r="N65" s="100">
        <v>306.89999999999998</v>
      </c>
      <c r="O65" s="100">
        <v>0</v>
      </c>
      <c r="P65" s="100">
        <v>0.47</v>
      </c>
      <c r="Q65" s="100">
        <v>4.8899999999999997</v>
      </c>
    </row>
    <row r="66" spans="1:17" customFormat="1">
      <c r="A66" s="70" t="s">
        <v>1640</v>
      </c>
      <c r="B66" s="100">
        <v>9.8699999999999992</v>
      </c>
      <c r="C66" s="100">
        <v>24.47</v>
      </c>
      <c r="D66" s="100">
        <v>22.06</v>
      </c>
      <c r="E66" s="100">
        <v>8.16</v>
      </c>
      <c r="F66" s="100">
        <v>2.9</v>
      </c>
      <c r="G66" s="100">
        <v>58.75</v>
      </c>
      <c r="H66" s="100">
        <v>20.51</v>
      </c>
      <c r="I66" s="100">
        <v>5.75</v>
      </c>
      <c r="J66" s="100">
        <v>0.79</v>
      </c>
      <c r="K66" s="100">
        <v>45.17</v>
      </c>
      <c r="L66" s="100">
        <v>26.98</v>
      </c>
      <c r="M66" s="100">
        <v>31.86</v>
      </c>
      <c r="N66" s="100">
        <v>137.19999999999999</v>
      </c>
      <c r="O66" s="100">
        <v>0</v>
      </c>
      <c r="P66" s="100">
        <v>0.49</v>
      </c>
      <c r="Q66" s="100">
        <v>4.87</v>
      </c>
    </row>
    <row r="67" spans="1:17" customFormat="1">
      <c r="A67" s="70" t="s">
        <v>1641</v>
      </c>
      <c r="B67" s="100">
        <v>9.49</v>
      </c>
      <c r="C67" s="100">
        <v>24.11</v>
      </c>
      <c r="D67" s="100">
        <v>21.56</v>
      </c>
      <c r="E67" s="100">
        <v>8.24</v>
      </c>
      <c r="F67" s="100">
        <v>2.83</v>
      </c>
      <c r="G67" s="100">
        <v>58.75</v>
      </c>
      <c r="H67" s="100">
        <v>20.51</v>
      </c>
      <c r="I67" s="100">
        <v>5.69</v>
      </c>
      <c r="J67" s="100">
        <v>0.11</v>
      </c>
      <c r="K67" s="100">
        <v>328.92</v>
      </c>
      <c r="L67" s="100">
        <v>26.62</v>
      </c>
      <c r="M67" s="100">
        <v>33.07</v>
      </c>
      <c r="N67" s="100">
        <v>87.2</v>
      </c>
      <c r="O67" s="100">
        <v>0</v>
      </c>
      <c r="P67" s="100">
        <v>0.49</v>
      </c>
      <c r="Q67" s="100">
        <v>4.88</v>
      </c>
    </row>
    <row r="68" spans="1:17" customFormat="1">
      <c r="A68" s="70" t="s">
        <v>1642</v>
      </c>
      <c r="B68" s="100">
        <v>9.43</v>
      </c>
      <c r="C68" s="100">
        <v>23.28</v>
      </c>
      <c r="D68" s="100">
        <v>21.08</v>
      </c>
      <c r="E68" s="100">
        <v>7.74</v>
      </c>
      <c r="F68" s="100">
        <v>2.92</v>
      </c>
      <c r="G68" s="100">
        <v>56.62</v>
      </c>
      <c r="H68" s="100">
        <v>19.920000000000002</v>
      </c>
      <c r="I68" s="100">
        <v>5.65</v>
      </c>
      <c r="J68" s="100">
        <v>0.32</v>
      </c>
      <c r="K68" s="100">
        <v>59.48</v>
      </c>
      <c r="L68" s="100">
        <v>26.93</v>
      </c>
      <c r="M68" s="100">
        <v>33.9</v>
      </c>
      <c r="N68" s="100">
        <v>77.7</v>
      </c>
      <c r="O68" s="100">
        <v>0</v>
      </c>
      <c r="P68" s="100">
        <v>0.48</v>
      </c>
      <c r="Q68" s="100">
        <v>4.88</v>
      </c>
    </row>
    <row r="69" spans="1:17" customFormat="1">
      <c r="A69" s="70" t="s">
        <v>1643</v>
      </c>
      <c r="B69" s="100">
        <v>9.35</v>
      </c>
      <c r="C69" s="100">
        <v>23.05</v>
      </c>
      <c r="D69" s="100">
        <v>20.89</v>
      </c>
      <c r="E69" s="100">
        <v>7.92</v>
      </c>
      <c r="F69" s="100">
        <v>2.85</v>
      </c>
      <c r="G69" s="100">
        <v>47.46</v>
      </c>
      <c r="H69" s="100">
        <v>18.16</v>
      </c>
      <c r="I69" s="100">
        <v>5.61</v>
      </c>
      <c r="J69" s="100">
        <v>0.85</v>
      </c>
      <c r="K69" s="100">
        <v>64.31</v>
      </c>
      <c r="L69" s="100">
        <v>26.82</v>
      </c>
      <c r="M69" s="100">
        <v>33.03</v>
      </c>
      <c r="N69" s="100">
        <v>68.5</v>
      </c>
      <c r="O69" s="100">
        <v>0</v>
      </c>
      <c r="P69" s="100">
        <v>0.49</v>
      </c>
      <c r="Q69" s="100">
        <v>4.88</v>
      </c>
    </row>
    <row r="70" spans="1:17" customFormat="1">
      <c r="A70" s="70" t="s">
        <v>1644</v>
      </c>
      <c r="B70" s="100">
        <v>8.9700000000000006</v>
      </c>
      <c r="C70" s="100">
        <v>22.64</v>
      </c>
      <c r="D70" s="100">
        <v>20.37</v>
      </c>
      <c r="E70" s="100">
        <v>7.28</v>
      </c>
      <c r="F70" s="100">
        <v>2.9</v>
      </c>
      <c r="G70" s="100">
        <v>47.46</v>
      </c>
      <c r="H70" s="100">
        <v>18.16</v>
      </c>
      <c r="I70" s="100">
        <v>5.57</v>
      </c>
      <c r="J70" s="100">
        <v>0.3</v>
      </c>
      <c r="K70" s="100">
        <v>84.8</v>
      </c>
      <c r="L70" s="100">
        <v>26.82</v>
      </c>
      <c r="M70" s="100">
        <v>33.69</v>
      </c>
      <c r="N70" s="100">
        <v>65.5</v>
      </c>
      <c r="O70" s="100">
        <v>0</v>
      </c>
      <c r="P70" s="100">
        <v>0.48</v>
      </c>
      <c r="Q70" s="100">
        <v>4.87</v>
      </c>
    </row>
    <row r="71" spans="1:17" customFormat="1">
      <c r="A71" s="70" t="s">
        <v>1645</v>
      </c>
      <c r="B71" s="100">
        <v>8.6300000000000008</v>
      </c>
      <c r="C71" s="100">
        <v>22.25</v>
      </c>
      <c r="D71" s="100">
        <v>19.899999999999999</v>
      </c>
      <c r="E71" s="100">
        <v>7.67</v>
      </c>
      <c r="F71" s="100">
        <v>2.88</v>
      </c>
      <c r="G71" s="100">
        <v>47.46</v>
      </c>
      <c r="H71" s="100">
        <v>18.16</v>
      </c>
      <c r="I71" s="100">
        <v>5.51</v>
      </c>
      <c r="J71" s="100">
        <v>0.17</v>
      </c>
      <c r="K71" s="100">
        <v>0.27</v>
      </c>
      <c r="L71" s="100">
        <v>26.69</v>
      </c>
      <c r="M71" s="100">
        <v>34.9</v>
      </c>
      <c r="N71" s="100">
        <v>53.1</v>
      </c>
      <c r="O71" s="100">
        <v>0</v>
      </c>
      <c r="P71" s="100">
        <v>0.48</v>
      </c>
      <c r="Q71" s="100">
        <v>4.8600000000000003</v>
      </c>
    </row>
    <row r="72" spans="1:17" customFormat="1">
      <c r="A72" s="70" t="s">
        <v>1646</v>
      </c>
      <c r="B72" s="100">
        <v>8.41</v>
      </c>
      <c r="C72" s="100">
        <v>22.16</v>
      </c>
      <c r="D72" s="100">
        <v>19.68</v>
      </c>
      <c r="E72" s="100">
        <v>7.55</v>
      </c>
      <c r="F72" s="100">
        <v>2.87</v>
      </c>
      <c r="G72" s="100">
        <v>49.22</v>
      </c>
      <c r="H72" s="100">
        <v>18.96</v>
      </c>
      <c r="I72" s="100">
        <v>5.47</v>
      </c>
      <c r="J72" s="100">
        <v>0.12</v>
      </c>
      <c r="K72" s="100">
        <v>325.55</v>
      </c>
      <c r="L72" s="100">
        <v>26.7</v>
      </c>
      <c r="M72" s="100">
        <v>35.590000000000003</v>
      </c>
      <c r="N72" s="100">
        <v>44.2</v>
      </c>
      <c r="O72" s="100">
        <v>0</v>
      </c>
      <c r="P72" s="100">
        <v>0.48</v>
      </c>
      <c r="Q72" s="100">
        <v>4.8600000000000003</v>
      </c>
    </row>
    <row r="73" spans="1:17" customFormat="1">
      <c r="A73" s="70" t="s">
        <v>1647</v>
      </c>
      <c r="B73" s="100">
        <v>8.33</v>
      </c>
      <c r="C73" s="100">
        <v>21.86</v>
      </c>
      <c r="D73" s="100">
        <v>19.45</v>
      </c>
      <c r="E73" s="100">
        <v>8.01</v>
      </c>
      <c r="F73" s="100">
        <v>2.78</v>
      </c>
      <c r="G73" s="100">
        <v>56.78</v>
      </c>
      <c r="H73" s="100">
        <v>21.47</v>
      </c>
      <c r="I73" s="100">
        <v>5.44</v>
      </c>
      <c r="J73" s="100">
        <v>0.45</v>
      </c>
      <c r="K73" s="100">
        <v>27.18</v>
      </c>
      <c r="L73" s="100">
        <v>26.62</v>
      </c>
      <c r="M73" s="100">
        <v>34.880000000000003</v>
      </c>
      <c r="N73" s="100">
        <v>35.9</v>
      </c>
      <c r="O73" s="100">
        <v>0</v>
      </c>
      <c r="P73" s="100">
        <v>0.48</v>
      </c>
      <c r="Q73" s="100">
        <v>4.87</v>
      </c>
    </row>
    <row r="74" spans="1:17" customFormat="1">
      <c r="A74" s="70" t="s">
        <v>1648</v>
      </c>
      <c r="B74" s="100">
        <v>8.2799999999999994</v>
      </c>
      <c r="C74" s="100">
        <v>21.98</v>
      </c>
      <c r="D74" s="100">
        <v>19.48</v>
      </c>
      <c r="E74" s="100">
        <v>8.2899999999999991</v>
      </c>
      <c r="F74" s="100">
        <v>3.02</v>
      </c>
      <c r="G74" s="100">
        <v>56.78</v>
      </c>
      <c r="H74" s="100">
        <v>21.47</v>
      </c>
      <c r="I74" s="100">
        <v>5.42</v>
      </c>
      <c r="J74" s="100">
        <v>0.53</v>
      </c>
      <c r="K74" s="100">
        <v>41.06</v>
      </c>
      <c r="L74" s="100">
        <v>26.46</v>
      </c>
      <c r="M74" s="100">
        <v>35.020000000000003</v>
      </c>
      <c r="N74" s="100">
        <v>28.8</v>
      </c>
      <c r="O74" s="100">
        <v>0</v>
      </c>
      <c r="P74" s="100">
        <v>0.48</v>
      </c>
      <c r="Q74" s="100">
        <v>4.87</v>
      </c>
    </row>
    <row r="75" spans="1:17" customFormat="1">
      <c r="A75" s="70" t="s">
        <v>1649</v>
      </c>
      <c r="B75" s="100">
        <v>8.3000000000000007</v>
      </c>
      <c r="C75" s="100">
        <v>22.37</v>
      </c>
      <c r="D75" s="100">
        <v>19.690000000000001</v>
      </c>
      <c r="E75" s="100">
        <v>7.93</v>
      </c>
      <c r="F75" s="100">
        <v>2.97</v>
      </c>
      <c r="G75" s="100">
        <v>56.78</v>
      </c>
      <c r="H75" s="100">
        <v>21.47</v>
      </c>
      <c r="I75" s="100">
        <v>5.42</v>
      </c>
      <c r="J75" s="100">
        <v>0.55000000000000004</v>
      </c>
      <c r="K75" s="100">
        <v>41.66</v>
      </c>
      <c r="L75" s="100">
        <v>26.3</v>
      </c>
      <c r="M75" s="100">
        <v>35.44</v>
      </c>
      <c r="N75" s="100">
        <v>21.9</v>
      </c>
      <c r="O75" s="100">
        <v>0</v>
      </c>
      <c r="P75" s="100">
        <v>0.49</v>
      </c>
      <c r="Q75" s="100">
        <v>4.87</v>
      </c>
    </row>
    <row r="76" spans="1:17" customFormat="1">
      <c r="A76" s="70" t="s">
        <v>1650</v>
      </c>
      <c r="B76" s="100">
        <v>8.5</v>
      </c>
      <c r="C76" s="100">
        <v>23.78</v>
      </c>
      <c r="D76" s="100">
        <v>20.59</v>
      </c>
      <c r="E76" s="100">
        <v>8.5500000000000007</v>
      </c>
      <c r="F76" s="100">
        <v>2.72</v>
      </c>
      <c r="G76" s="100">
        <v>58.96</v>
      </c>
      <c r="H76" s="100">
        <v>22.08</v>
      </c>
      <c r="I76" s="100">
        <v>5.42</v>
      </c>
      <c r="J76" s="100">
        <v>0.64</v>
      </c>
      <c r="K76" s="100">
        <v>47.17</v>
      </c>
      <c r="L76" s="100">
        <v>26</v>
      </c>
      <c r="M76" s="100">
        <v>36.78</v>
      </c>
      <c r="N76" s="100">
        <v>12</v>
      </c>
      <c r="O76" s="100">
        <v>0</v>
      </c>
      <c r="P76" s="100">
        <v>0.5</v>
      </c>
      <c r="Q76" s="100">
        <v>4.8899999999999997</v>
      </c>
    </row>
    <row r="77" spans="1:17" customFormat="1">
      <c r="A77" s="70" t="s">
        <v>1651</v>
      </c>
      <c r="B77" s="100">
        <v>8.89</v>
      </c>
      <c r="C77" s="100">
        <v>25.57</v>
      </c>
      <c r="D77" s="100">
        <v>21.84</v>
      </c>
      <c r="E77" s="100">
        <v>9.2899999999999991</v>
      </c>
      <c r="F77" s="100">
        <v>2.59</v>
      </c>
      <c r="G77" s="100">
        <v>68.34</v>
      </c>
      <c r="H77" s="100">
        <v>24</v>
      </c>
      <c r="I77" s="100">
        <v>5.44</v>
      </c>
      <c r="J77" s="100">
        <v>0.47</v>
      </c>
      <c r="K77" s="100">
        <v>55.12</v>
      </c>
      <c r="L77" s="100">
        <v>25.59</v>
      </c>
      <c r="M77" s="100">
        <v>39.19</v>
      </c>
      <c r="N77" s="100">
        <v>3.3</v>
      </c>
      <c r="O77" s="100">
        <v>0</v>
      </c>
      <c r="P77" s="100">
        <v>0.53</v>
      </c>
      <c r="Q77" s="100">
        <v>4.9000000000000004</v>
      </c>
    </row>
    <row r="78" spans="1:17" customFormat="1">
      <c r="A78" s="70" t="s">
        <v>1652</v>
      </c>
      <c r="B78" s="100">
        <v>9.5500000000000007</v>
      </c>
      <c r="C78" s="100">
        <v>27.33</v>
      </c>
      <c r="D78" s="100">
        <v>23.29</v>
      </c>
      <c r="E78" s="100">
        <v>9.1999999999999993</v>
      </c>
      <c r="F78" s="100">
        <v>2.61</v>
      </c>
      <c r="G78" s="100">
        <v>68.34</v>
      </c>
      <c r="H78" s="100">
        <v>24</v>
      </c>
      <c r="I78" s="100">
        <v>5.5</v>
      </c>
      <c r="J78" s="100">
        <v>0.56000000000000005</v>
      </c>
      <c r="K78" s="100">
        <v>39.42</v>
      </c>
      <c r="L78" s="100">
        <v>25.14</v>
      </c>
      <c r="M78" s="100">
        <v>40.36</v>
      </c>
      <c r="N78" s="100">
        <v>0</v>
      </c>
      <c r="O78" s="100">
        <v>0</v>
      </c>
      <c r="P78" s="100">
        <v>0.55000000000000004</v>
      </c>
      <c r="Q78" s="100">
        <v>4.93</v>
      </c>
    </row>
    <row r="79" spans="1:17" customFormat="1">
      <c r="A79" s="70" t="s">
        <v>1653</v>
      </c>
      <c r="B79" s="100">
        <v>10.29</v>
      </c>
      <c r="C79" s="100">
        <v>28.82</v>
      </c>
      <c r="D79" s="100">
        <v>24.66</v>
      </c>
      <c r="E79" s="100">
        <v>8.9600000000000009</v>
      </c>
      <c r="F79" s="100">
        <v>2.75</v>
      </c>
      <c r="G79" s="100">
        <v>68.34</v>
      </c>
      <c r="H79" s="100">
        <v>24</v>
      </c>
      <c r="I79" s="100">
        <v>5.55</v>
      </c>
      <c r="J79" s="100">
        <v>1.01</v>
      </c>
      <c r="K79" s="100">
        <v>56.76</v>
      </c>
      <c r="L79" s="100">
        <v>24.4</v>
      </c>
      <c r="M79" s="100">
        <v>42.31</v>
      </c>
      <c r="N79" s="100">
        <v>0</v>
      </c>
      <c r="O79" s="100">
        <v>0</v>
      </c>
      <c r="P79" s="100">
        <v>0.57999999999999996</v>
      </c>
      <c r="Q79" s="100">
        <v>4.95</v>
      </c>
    </row>
    <row r="80" spans="1:17" customFormat="1">
      <c r="A80" s="70" t="s">
        <v>1654</v>
      </c>
      <c r="B80" s="100">
        <v>11.13</v>
      </c>
      <c r="C80" s="100">
        <v>30.34</v>
      </c>
      <c r="D80" s="100">
        <v>26.13</v>
      </c>
      <c r="E80" s="100">
        <v>9.1999999999999993</v>
      </c>
      <c r="F80" s="100">
        <v>2.72</v>
      </c>
      <c r="G80" s="100">
        <v>72.150000000000006</v>
      </c>
      <c r="H80" s="100">
        <v>24.66</v>
      </c>
      <c r="I80" s="100">
        <v>5.62</v>
      </c>
      <c r="J80" s="100">
        <v>0.9</v>
      </c>
      <c r="K80" s="100">
        <v>54.59</v>
      </c>
      <c r="L80" s="100">
        <v>23.82</v>
      </c>
      <c r="M80" s="100">
        <v>43.75</v>
      </c>
      <c r="N80" s="100">
        <v>0</v>
      </c>
      <c r="O80" s="100">
        <v>0</v>
      </c>
      <c r="P80" s="100">
        <v>0.61</v>
      </c>
      <c r="Q80" s="100">
        <v>4.9800000000000004</v>
      </c>
    </row>
    <row r="81" spans="1:17" customFormat="1">
      <c r="A81" s="70" t="s">
        <v>1655</v>
      </c>
      <c r="B81" s="100">
        <v>11.95</v>
      </c>
      <c r="C81" s="100">
        <v>31.5</v>
      </c>
      <c r="D81" s="100">
        <v>27.39</v>
      </c>
      <c r="E81" s="100">
        <v>8.07</v>
      </c>
      <c r="F81" s="100">
        <v>2.63</v>
      </c>
      <c r="G81" s="100">
        <v>88.52</v>
      </c>
      <c r="H81" s="100">
        <v>27.93</v>
      </c>
      <c r="I81" s="100">
        <v>5.74</v>
      </c>
      <c r="J81" s="100">
        <v>0.61</v>
      </c>
      <c r="K81" s="100">
        <v>50.06</v>
      </c>
      <c r="L81" s="100">
        <v>23.39</v>
      </c>
      <c r="M81" s="100">
        <v>45.54</v>
      </c>
      <c r="N81" s="100">
        <v>0</v>
      </c>
      <c r="O81" s="100">
        <v>0</v>
      </c>
      <c r="P81" s="100">
        <v>0.64</v>
      </c>
      <c r="Q81" s="100">
        <v>4.9800000000000004</v>
      </c>
    </row>
    <row r="82" spans="1:17" customFormat="1">
      <c r="A82" s="70" t="s">
        <v>1656</v>
      </c>
      <c r="B82" s="100">
        <v>12.92</v>
      </c>
      <c r="C82" s="100">
        <v>33.25</v>
      </c>
      <c r="D82" s="100">
        <v>29.08</v>
      </c>
      <c r="E82" s="100">
        <v>9.14</v>
      </c>
      <c r="F82" s="100">
        <v>2.6</v>
      </c>
      <c r="G82" s="100">
        <v>88.52</v>
      </c>
      <c r="H82" s="100">
        <v>27.93</v>
      </c>
      <c r="I82" s="100">
        <v>5.85</v>
      </c>
      <c r="J82" s="100">
        <v>0.34</v>
      </c>
      <c r="K82" s="100">
        <v>44.59</v>
      </c>
      <c r="L82" s="100">
        <v>23.01</v>
      </c>
      <c r="M82" s="100">
        <v>46.67</v>
      </c>
      <c r="N82" s="100">
        <v>0</v>
      </c>
      <c r="O82" s="100">
        <v>0</v>
      </c>
      <c r="P82" s="100">
        <v>0.67</v>
      </c>
      <c r="Q82" s="100">
        <v>4.99</v>
      </c>
    </row>
    <row r="83" spans="1:17" customFormat="1">
      <c r="A83" s="70" t="s">
        <v>1657</v>
      </c>
      <c r="B83" s="100">
        <v>14.08</v>
      </c>
      <c r="C83" s="100">
        <v>34.43</v>
      </c>
      <c r="D83" s="100">
        <v>30.63</v>
      </c>
      <c r="E83" s="100">
        <v>9.14</v>
      </c>
      <c r="F83" s="100">
        <v>2.4300000000000002</v>
      </c>
      <c r="G83" s="100">
        <v>88.52</v>
      </c>
      <c r="H83" s="100">
        <v>27.93</v>
      </c>
      <c r="I83" s="100">
        <v>6</v>
      </c>
      <c r="J83" s="100">
        <v>0.31</v>
      </c>
      <c r="K83" s="100">
        <v>72.14</v>
      </c>
      <c r="L83" s="100">
        <v>22.53</v>
      </c>
      <c r="M83" s="100">
        <v>49.24</v>
      </c>
      <c r="N83" s="100">
        <v>0</v>
      </c>
      <c r="O83" s="100">
        <v>0</v>
      </c>
      <c r="P83" s="100">
        <v>0.7</v>
      </c>
      <c r="Q83" s="100">
        <v>5.0199999999999996</v>
      </c>
    </row>
    <row r="84" spans="1:17" customFormat="1">
      <c r="A84" s="70" t="s">
        <v>1658</v>
      </c>
      <c r="B84" s="100">
        <v>14.65</v>
      </c>
      <c r="C84" s="100">
        <v>34.71</v>
      </c>
      <c r="D84" s="100">
        <v>31.23</v>
      </c>
      <c r="E84" s="100">
        <v>8.94</v>
      </c>
      <c r="F84" s="100">
        <v>2.31</v>
      </c>
      <c r="G84" s="100">
        <v>92.01</v>
      </c>
      <c r="H84" s="100">
        <v>29.04</v>
      </c>
      <c r="I84" s="100">
        <v>6.19</v>
      </c>
      <c r="J84" s="100">
        <v>0.33</v>
      </c>
      <c r="K84" s="100">
        <v>77.78</v>
      </c>
      <c r="L84" s="100">
        <v>22.14</v>
      </c>
      <c r="M84" s="100">
        <v>50.04</v>
      </c>
      <c r="N84" s="100">
        <v>0</v>
      </c>
      <c r="O84" s="100">
        <v>0</v>
      </c>
      <c r="P84" s="100">
        <v>0.72</v>
      </c>
      <c r="Q84" s="100">
        <v>5.03</v>
      </c>
    </row>
    <row r="85" spans="1:17" customFormat="1">
      <c r="A85" s="70" t="s">
        <v>1659</v>
      </c>
      <c r="B85" s="100">
        <v>14.66</v>
      </c>
      <c r="C85" s="100">
        <v>34.9</v>
      </c>
      <c r="D85" s="100">
        <v>31.34</v>
      </c>
      <c r="E85" s="100">
        <v>8.3000000000000007</v>
      </c>
      <c r="F85" s="100">
        <v>2.5099999999999998</v>
      </c>
      <c r="G85" s="100">
        <v>106.97</v>
      </c>
      <c r="H85" s="100">
        <v>32.479999999999997</v>
      </c>
      <c r="I85" s="100">
        <v>6.35</v>
      </c>
      <c r="J85" s="100">
        <v>0.42</v>
      </c>
      <c r="K85" s="100">
        <v>31.08</v>
      </c>
      <c r="L85" s="100">
        <v>21.89</v>
      </c>
      <c r="M85" s="100">
        <v>50.45</v>
      </c>
      <c r="N85" s="100">
        <v>0</v>
      </c>
      <c r="O85" s="100">
        <v>0</v>
      </c>
      <c r="P85" s="100">
        <v>0.74</v>
      </c>
      <c r="Q85" s="100">
        <v>5.03</v>
      </c>
    </row>
    <row r="86" spans="1:17" customFormat="1">
      <c r="A86" s="70" t="s">
        <v>1660</v>
      </c>
      <c r="B86" s="100">
        <v>14.97</v>
      </c>
      <c r="C86" s="100">
        <v>34.89</v>
      </c>
      <c r="D86" s="100">
        <v>31.58</v>
      </c>
      <c r="E86" s="100">
        <v>8.49</v>
      </c>
      <c r="F86" s="100">
        <v>2.46</v>
      </c>
      <c r="G86" s="100">
        <v>106.97</v>
      </c>
      <c r="H86" s="100">
        <v>32.479999999999997</v>
      </c>
      <c r="I86" s="100">
        <v>6.52</v>
      </c>
      <c r="J86" s="100">
        <v>0.15</v>
      </c>
      <c r="K86" s="100">
        <v>117.44</v>
      </c>
      <c r="L86" s="100">
        <v>21.57</v>
      </c>
      <c r="M86" s="100">
        <v>54.9</v>
      </c>
      <c r="N86" s="100">
        <v>0</v>
      </c>
      <c r="O86" s="100">
        <v>0</v>
      </c>
      <c r="P86" s="100">
        <v>0.78</v>
      </c>
      <c r="Q86" s="100">
        <v>5.04</v>
      </c>
    </row>
    <row r="87" spans="1:17" customFormat="1">
      <c r="A87" s="70" t="s">
        <v>1661</v>
      </c>
      <c r="B87" s="100">
        <v>14.71</v>
      </c>
      <c r="C87" s="100">
        <v>34.75</v>
      </c>
      <c r="D87" s="100">
        <v>31.3</v>
      </c>
      <c r="E87" s="100">
        <v>8.44</v>
      </c>
      <c r="F87" s="100">
        <v>2.52</v>
      </c>
      <c r="G87" s="100">
        <v>106.97</v>
      </c>
      <c r="H87" s="100">
        <v>32.479999999999997</v>
      </c>
      <c r="I87" s="100">
        <v>6.69</v>
      </c>
      <c r="J87" s="100">
        <v>0.28999999999999998</v>
      </c>
      <c r="K87" s="100">
        <v>155.07</v>
      </c>
      <c r="L87" s="100">
        <v>20.77</v>
      </c>
      <c r="M87" s="100">
        <v>59.04</v>
      </c>
      <c r="N87" s="100">
        <v>0</v>
      </c>
      <c r="O87" s="100">
        <v>0</v>
      </c>
      <c r="P87" s="100">
        <v>0.79</v>
      </c>
      <c r="Q87" s="100">
        <v>4.99</v>
      </c>
    </row>
    <row r="88" spans="1:17" customFormat="1">
      <c r="A88" s="70" t="s">
        <v>1662</v>
      </c>
      <c r="B88" s="100">
        <v>14.19</v>
      </c>
      <c r="C88" s="100">
        <v>34.380000000000003</v>
      </c>
      <c r="D88" s="100">
        <v>30.69</v>
      </c>
      <c r="E88" s="100">
        <v>8.7899999999999991</v>
      </c>
      <c r="F88" s="100">
        <v>2.5099999999999998</v>
      </c>
      <c r="G88" s="100">
        <v>107.75</v>
      </c>
      <c r="H88" s="100">
        <v>33.369999999999997</v>
      </c>
      <c r="I88" s="100">
        <v>6.9</v>
      </c>
      <c r="J88" s="100">
        <v>0.35</v>
      </c>
      <c r="K88" s="100">
        <v>45.75</v>
      </c>
      <c r="L88" s="100">
        <v>20.38</v>
      </c>
      <c r="M88" s="100">
        <v>58.83</v>
      </c>
      <c r="N88" s="100">
        <v>0</v>
      </c>
      <c r="O88" s="100">
        <v>0</v>
      </c>
      <c r="P88" s="100">
        <v>0.8</v>
      </c>
      <c r="Q88" s="100">
        <v>5</v>
      </c>
    </row>
    <row r="89" spans="1:17" customFormat="1">
      <c r="A89" s="70" t="s">
        <v>1663</v>
      </c>
      <c r="B89" s="100">
        <v>15</v>
      </c>
      <c r="C89" s="100">
        <v>34.6</v>
      </c>
      <c r="D89" s="100">
        <v>31.45</v>
      </c>
      <c r="E89" s="100">
        <v>8.5</v>
      </c>
      <c r="F89" s="100">
        <v>2.4900000000000002</v>
      </c>
      <c r="G89" s="100">
        <v>111.09</v>
      </c>
      <c r="H89" s="100">
        <v>36.14</v>
      </c>
      <c r="I89" s="100">
        <v>7.08</v>
      </c>
      <c r="J89" s="100">
        <v>0.25</v>
      </c>
      <c r="K89" s="100">
        <v>204.05</v>
      </c>
      <c r="L89" s="100">
        <v>20.25</v>
      </c>
      <c r="M89" s="100">
        <v>62.6</v>
      </c>
      <c r="N89" s="100">
        <v>0</v>
      </c>
      <c r="O89" s="100">
        <v>0</v>
      </c>
      <c r="P89" s="100">
        <v>0.83</v>
      </c>
      <c r="Q89" s="100">
        <v>5.03</v>
      </c>
    </row>
    <row r="90" spans="1:17" customFormat="1">
      <c r="A90" s="70" t="s">
        <v>1664</v>
      </c>
      <c r="B90" s="100">
        <v>15.31</v>
      </c>
      <c r="C90" s="100">
        <v>34.71</v>
      </c>
      <c r="D90" s="100">
        <v>31.76</v>
      </c>
      <c r="E90" s="100">
        <v>8.3000000000000007</v>
      </c>
      <c r="F90" s="100">
        <v>2.44</v>
      </c>
      <c r="G90" s="100">
        <v>111.09</v>
      </c>
      <c r="H90" s="100">
        <v>36.14</v>
      </c>
      <c r="I90" s="100">
        <v>7.25</v>
      </c>
      <c r="J90" s="100">
        <v>0.13</v>
      </c>
      <c r="K90" s="100">
        <v>209.9</v>
      </c>
      <c r="L90" s="100">
        <v>19.420000000000002</v>
      </c>
      <c r="M90" s="100">
        <v>70.319999999999993</v>
      </c>
      <c r="N90" s="100">
        <v>0</v>
      </c>
      <c r="O90" s="100">
        <v>0</v>
      </c>
      <c r="P90" s="100">
        <v>0.86</v>
      </c>
      <c r="Q90" s="100">
        <v>5.01</v>
      </c>
    </row>
    <row r="91" spans="1:17" customFormat="1">
      <c r="A91" s="70" t="s">
        <v>1665</v>
      </c>
      <c r="B91" s="100">
        <v>15.29</v>
      </c>
      <c r="C91" s="100">
        <v>34.35</v>
      </c>
      <c r="D91" s="100">
        <v>31.56</v>
      </c>
      <c r="E91" s="100">
        <v>8.11</v>
      </c>
      <c r="F91" s="100">
        <v>2.36</v>
      </c>
      <c r="G91" s="100">
        <v>111.09</v>
      </c>
      <c r="H91" s="100">
        <v>36.14</v>
      </c>
      <c r="I91" s="100">
        <v>7.45</v>
      </c>
      <c r="J91" s="100">
        <v>0.09</v>
      </c>
      <c r="K91" s="100">
        <v>43.4</v>
      </c>
      <c r="L91" s="100">
        <v>19.239999999999998</v>
      </c>
      <c r="M91" s="100">
        <v>67.62</v>
      </c>
      <c r="N91" s="100">
        <v>0</v>
      </c>
      <c r="O91" s="100">
        <v>0</v>
      </c>
      <c r="P91" s="100">
        <v>0.87</v>
      </c>
      <c r="Q91" s="100">
        <v>5.01</v>
      </c>
    </row>
    <row r="92" spans="1:17" customFormat="1">
      <c r="A92" s="70" t="s">
        <v>1666</v>
      </c>
      <c r="B92" s="100">
        <v>17.649999999999999</v>
      </c>
      <c r="C92" s="100">
        <v>35.54</v>
      </c>
      <c r="D92" s="100">
        <v>34.07</v>
      </c>
      <c r="E92" s="100">
        <v>8.58</v>
      </c>
      <c r="F92" s="100">
        <v>2.39</v>
      </c>
      <c r="G92" s="100">
        <v>111.17</v>
      </c>
      <c r="H92" s="100">
        <v>36.56</v>
      </c>
      <c r="I92" s="100">
        <v>7.62</v>
      </c>
      <c r="J92" s="100">
        <v>0.11</v>
      </c>
      <c r="K92" s="100">
        <v>105.22</v>
      </c>
      <c r="L92" s="100">
        <v>19.559999999999999</v>
      </c>
      <c r="M92" s="100">
        <v>63.93</v>
      </c>
      <c r="N92" s="100">
        <v>0</v>
      </c>
      <c r="O92" s="100">
        <v>0</v>
      </c>
      <c r="P92" s="100">
        <v>0.91</v>
      </c>
      <c r="Q92" s="100">
        <v>5.03</v>
      </c>
    </row>
    <row r="93" spans="1:17" customFormat="1">
      <c r="A93" s="70" t="s">
        <v>1667</v>
      </c>
      <c r="B93" s="100">
        <v>21.14</v>
      </c>
      <c r="C93" s="100">
        <v>36.380000000000003</v>
      </c>
      <c r="D93" s="100">
        <v>37.299999999999997</v>
      </c>
      <c r="E93" s="100">
        <v>8.3000000000000007</v>
      </c>
      <c r="F93" s="100">
        <v>2.35</v>
      </c>
      <c r="G93" s="100">
        <v>111.48</v>
      </c>
      <c r="H93" s="100">
        <v>37.81</v>
      </c>
      <c r="I93" s="100">
        <v>7.8</v>
      </c>
      <c r="J93" s="100">
        <v>0.24</v>
      </c>
      <c r="K93" s="100">
        <v>185.16</v>
      </c>
      <c r="L93" s="100">
        <v>19.29</v>
      </c>
      <c r="M93" s="100">
        <v>70.349999999999994</v>
      </c>
      <c r="N93" s="100">
        <v>0</v>
      </c>
      <c r="O93" s="100">
        <v>0</v>
      </c>
      <c r="P93" s="100">
        <v>0.96</v>
      </c>
      <c r="Q93" s="100">
        <v>5.05</v>
      </c>
    </row>
    <row r="94" spans="1:17" customFormat="1">
      <c r="A94" s="70" t="s">
        <v>1668</v>
      </c>
      <c r="B94" s="100">
        <v>23.36</v>
      </c>
      <c r="C94" s="100">
        <v>36.78</v>
      </c>
      <c r="D94" s="100">
        <v>39.299999999999997</v>
      </c>
      <c r="E94" s="100">
        <v>8.33</v>
      </c>
      <c r="F94" s="100">
        <v>2.37</v>
      </c>
      <c r="G94" s="100">
        <v>111.48</v>
      </c>
      <c r="H94" s="100">
        <v>37.81</v>
      </c>
      <c r="I94" s="100">
        <v>8.0500000000000007</v>
      </c>
      <c r="J94" s="100">
        <v>0.21</v>
      </c>
      <c r="K94" s="100">
        <v>184.9</v>
      </c>
      <c r="L94" s="100">
        <v>18.66</v>
      </c>
      <c r="M94" s="100">
        <v>74.52</v>
      </c>
      <c r="N94" s="100">
        <v>0</v>
      </c>
      <c r="O94" s="100">
        <v>0</v>
      </c>
      <c r="P94" s="100">
        <v>0.98</v>
      </c>
      <c r="Q94" s="100">
        <v>5.09</v>
      </c>
    </row>
    <row r="95" spans="1:17" customFormat="1">
      <c r="A95" s="70" t="s">
        <v>1669</v>
      </c>
      <c r="B95" s="100">
        <v>24.36</v>
      </c>
      <c r="C95" s="100">
        <v>36.799999999999997</v>
      </c>
      <c r="D95" s="100">
        <v>40.11</v>
      </c>
      <c r="E95" s="100">
        <v>8.8000000000000007</v>
      </c>
      <c r="F95" s="100">
        <v>2.36</v>
      </c>
      <c r="G95" s="100">
        <v>111.48</v>
      </c>
      <c r="H95" s="100">
        <v>37.81</v>
      </c>
      <c r="I95" s="100">
        <v>8.33</v>
      </c>
      <c r="J95" s="100">
        <v>0.16</v>
      </c>
      <c r="K95" s="100">
        <v>216.14</v>
      </c>
      <c r="L95" s="100">
        <v>18.18</v>
      </c>
      <c r="M95" s="100">
        <v>73.739999999999995</v>
      </c>
      <c r="N95" s="100">
        <v>0</v>
      </c>
      <c r="O95" s="100">
        <v>0</v>
      </c>
      <c r="P95" s="100">
        <v>1.01</v>
      </c>
      <c r="Q95" s="100">
        <v>5.0999999999999996</v>
      </c>
    </row>
    <row r="96" spans="1:17" customFormat="1">
      <c r="A96" s="70" t="s">
        <v>1670</v>
      </c>
      <c r="B96" s="100">
        <v>24.33</v>
      </c>
      <c r="C96" s="100">
        <v>36.42</v>
      </c>
      <c r="D96" s="100">
        <v>39.89</v>
      </c>
      <c r="E96" s="100">
        <v>8.1199999999999992</v>
      </c>
      <c r="F96" s="100">
        <v>2.38</v>
      </c>
      <c r="G96" s="100">
        <v>111.51</v>
      </c>
      <c r="H96" s="100">
        <v>38.270000000000003</v>
      </c>
      <c r="I96" s="100">
        <v>8.56</v>
      </c>
      <c r="J96" s="100">
        <v>0.03</v>
      </c>
      <c r="K96" s="100">
        <v>179.35</v>
      </c>
      <c r="L96" s="100">
        <v>18.25</v>
      </c>
      <c r="M96" s="100">
        <v>73.260000000000005</v>
      </c>
      <c r="N96" s="100">
        <v>0</v>
      </c>
      <c r="O96" s="100">
        <v>0</v>
      </c>
      <c r="P96" s="100">
        <v>1.01</v>
      </c>
      <c r="Q96" s="100">
        <v>5.0999999999999996</v>
      </c>
    </row>
    <row r="97" spans="1:22" customFormat="1">
      <c r="A97" s="70" t="s">
        <v>1671</v>
      </c>
      <c r="B97" s="100">
        <v>25.12</v>
      </c>
      <c r="C97" s="100">
        <v>37.18</v>
      </c>
      <c r="D97" s="100">
        <v>40.92</v>
      </c>
      <c r="E97" s="100">
        <v>7.83</v>
      </c>
      <c r="F97" s="100">
        <v>2.41</v>
      </c>
      <c r="G97" s="100">
        <v>111.65</v>
      </c>
      <c r="H97" s="100">
        <v>39.72</v>
      </c>
      <c r="I97" s="100">
        <v>8.7200000000000006</v>
      </c>
      <c r="J97" s="100">
        <v>0.18</v>
      </c>
      <c r="K97" s="100">
        <v>83.24</v>
      </c>
      <c r="L97" s="100">
        <v>18.5</v>
      </c>
      <c r="M97" s="100">
        <v>69.599999999999994</v>
      </c>
      <c r="N97" s="100">
        <v>0</v>
      </c>
      <c r="O97" s="100">
        <v>0</v>
      </c>
      <c r="P97" s="100">
        <v>1.03</v>
      </c>
      <c r="Q97" s="100">
        <v>5.12</v>
      </c>
    </row>
    <row r="98" spans="1:22" customFormat="1">
      <c r="A98" s="70" t="s">
        <v>1672</v>
      </c>
      <c r="B98" s="100">
        <v>28.11</v>
      </c>
      <c r="C98" s="100">
        <v>35.36</v>
      </c>
      <c r="D98" s="100">
        <v>42.37</v>
      </c>
      <c r="E98" s="100">
        <v>7.78</v>
      </c>
      <c r="F98" s="100">
        <v>2.48</v>
      </c>
      <c r="G98" s="100">
        <v>111.65</v>
      </c>
      <c r="H98" s="100">
        <v>39.72</v>
      </c>
      <c r="I98" s="100">
        <v>8.86</v>
      </c>
      <c r="J98" s="100">
        <v>0.18</v>
      </c>
      <c r="K98" s="100">
        <v>192.96</v>
      </c>
      <c r="L98" s="100">
        <v>18.53</v>
      </c>
      <c r="M98" s="100">
        <v>69.03</v>
      </c>
      <c r="N98" s="100">
        <v>0</v>
      </c>
      <c r="O98" s="100">
        <v>0</v>
      </c>
      <c r="P98" s="100">
        <v>1.04</v>
      </c>
      <c r="Q98" s="100">
        <v>5.12</v>
      </c>
    </row>
    <row r="99" spans="1:22" customFormat="1">
      <c r="A99" s="70" t="s">
        <v>1673</v>
      </c>
      <c r="B99" s="100">
        <v>30.3</v>
      </c>
      <c r="C99" s="100">
        <v>33.08</v>
      </c>
      <c r="D99" s="100">
        <v>42.94</v>
      </c>
      <c r="E99" s="100">
        <v>7.8</v>
      </c>
      <c r="F99" s="100">
        <v>2.52</v>
      </c>
      <c r="G99" s="100">
        <v>111.65</v>
      </c>
      <c r="H99" s="100">
        <v>39.72</v>
      </c>
      <c r="I99" s="100">
        <v>9.01</v>
      </c>
      <c r="J99" s="100">
        <v>0.18</v>
      </c>
      <c r="K99" s="100">
        <v>216.01</v>
      </c>
      <c r="L99" s="100">
        <v>17.73</v>
      </c>
      <c r="M99" s="100">
        <v>75.31</v>
      </c>
      <c r="N99" s="100">
        <v>0</v>
      </c>
      <c r="O99" s="100">
        <v>0</v>
      </c>
      <c r="P99" s="100">
        <v>1.04</v>
      </c>
      <c r="Q99" s="100">
        <v>5.13</v>
      </c>
    </row>
    <row r="100" spans="1:22" customFormat="1">
      <c r="A100" s="70" t="s">
        <v>1674</v>
      </c>
      <c r="B100" s="100">
        <v>31.9</v>
      </c>
      <c r="C100" s="100">
        <v>32.03</v>
      </c>
      <c r="D100" s="100">
        <v>43.67</v>
      </c>
      <c r="E100" s="100">
        <v>7.36</v>
      </c>
      <c r="F100" s="100">
        <v>2.5</v>
      </c>
      <c r="G100" s="100">
        <v>113.07</v>
      </c>
      <c r="H100" s="100">
        <v>40.200000000000003</v>
      </c>
      <c r="I100" s="100">
        <v>9.17</v>
      </c>
      <c r="J100" s="100">
        <v>0.13</v>
      </c>
      <c r="K100" s="100">
        <v>194.78</v>
      </c>
      <c r="L100" s="100">
        <v>17.63</v>
      </c>
      <c r="M100" s="100">
        <v>73.510000000000005</v>
      </c>
      <c r="N100" s="100">
        <v>0</v>
      </c>
      <c r="O100" s="100">
        <v>0</v>
      </c>
      <c r="P100" s="100">
        <v>1.04</v>
      </c>
      <c r="Q100" s="100">
        <v>5.16</v>
      </c>
    </row>
    <row r="101" spans="1:22" customFormat="1">
      <c r="A101" s="70" t="s">
        <v>1675</v>
      </c>
      <c r="B101" s="100">
        <v>34.42</v>
      </c>
      <c r="C101" s="100">
        <v>33.07</v>
      </c>
      <c r="D101" s="100">
        <v>46.23</v>
      </c>
      <c r="E101" s="100">
        <v>7.71</v>
      </c>
      <c r="F101" s="100">
        <v>2.2799999999999998</v>
      </c>
      <c r="G101" s="100">
        <v>119.19</v>
      </c>
      <c r="H101" s="100">
        <v>41.61</v>
      </c>
      <c r="I101" s="100">
        <v>9.27</v>
      </c>
      <c r="J101" s="100">
        <v>0.18</v>
      </c>
      <c r="K101" s="100">
        <v>245.96</v>
      </c>
      <c r="L101" s="100">
        <v>17.54</v>
      </c>
      <c r="M101" s="100">
        <v>74.28</v>
      </c>
      <c r="N101" s="100">
        <v>0</v>
      </c>
      <c r="O101" s="100">
        <v>0</v>
      </c>
      <c r="P101" s="100">
        <v>1.05</v>
      </c>
      <c r="Q101" s="100">
        <v>5.18</v>
      </c>
    </row>
    <row r="102" spans="1:22" customFormat="1">
      <c r="A102" s="70" t="s">
        <v>1676</v>
      </c>
      <c r="B102" s="100">
        <v>38.89</v>
      </c>
      <c r="C102" s="100">
        <v>34.49</v>
      </c>
      <c r="D102" s="100">
        <v>50.56</v>
      </c>
      <c r="E102" s="100">
        <v>7.64</v>
      </c>
      <c r="F102" s="100">
        <v>2.39</v>
      </c>
      <c r="G102" s="100">
        <v>119.19</v>
      </c>
      <c r="H102" s="100">
        <v>41.61</v>
      </c>
      <c r="I102" s="100">
        <v>9.35</v>
      </c>
      <c r="J102" s="100">
        <v>0.2</v>
      </c>
      <c r="K102" s="100">
        <v>259.25</v>
      </c>
      <c r="L102" s="100">
        <v>17.600000000000001</v>
      </c>
      <c r="M102" s="100">
        <v>72.959999999999994</v>
      </c>
      <c r="N102" s="100">
        <v>0</v>
      </c>
      <c r="O102" s="100">
        <v>0</v>
      </c>
      <c r="P102" s="100">
        <v>1.07</v>
      </c>
      <c r="Q102" s="100">
        <v>5.22</v>
      </c>
    </row>
    <row r="103" spans="1:22" customFormat="1">
      <c r="A103" s="70" t="s">
        <v>1677</v>
      </c>
      <c r="B103" s="100">
        <v>43.82</v>
      </c>
      <c r="C103" s="100">
        <v>35.159999999999997</v>
      </c>
      <c r="D103" s="100">
        <v>54.87</v>
      </c>
      <c r="E103" s="100">
        <v>8.27</v>
      </c>
      <c r="F103" s="100">
        <v>2.44</v>
      </c>
      <c r="G103" s="100">
        <v>119.19</v>
      </c>
      <c r="H103" s="100">
        <v>41.61</v>
      </c>
      <c r="I103" s="100">
        <v>9.4600000000000009</v>
      </c>
      <c r="J103" s="100">
        <v>0.42</v>
      </c>
      <c r="K103" s="100">
        <v>44.93</v>
      </c>
      <c r="L103" s="100">
        <v>17.96</v>
      </c>
      <c r="M103" s="100">
        <v>69.75</v>
      </c>
      <c r="N103" s="100">
        <v>0</v>
      </c>
      <c r="O103" s="100">
        <v>0</v>
      </c>
      <c r="P103" s="100">
        <v>1.0900000000000001</v>
      </c>
      <c r="Q103" s="100">
        <v>5.27</v>
      </c>
    </row>
    <row r="104" spans="1:22" customFormat="1">
      <c r="A104" s="70" t="s">
        <v>1678</v>
      </c>
      <c r="B104" s="100">
        <v>45.83</v>
      </c>
      <c r="C104" s="100">
        <v>35.36</v>
      </c>
      <c r="D104" s="100">
        <v>56.58</v>
      </c>
      <c r="E104" s="100">
        <v>8.08</v>
      </c>
      <c r="F104" s="100">
        <v>2.4700000000000002</v>
      </c>
      <c r="G104" s="100">
        <v>120.76</v>
      </c>
      <c r="H104" s="100">
        <v>42.34</v>
      </c>
      <c r="I104" s="100">
        <v>9.59</v>
      </c>
      <c r="J104" s="100">
        <v>0.5</v>
      </c>
      <c r="K104" s="100">
        <v>54.21</v>
      </c>
      <c r="L104" s="100">
        <v>18.32</v>
      </c>
      <c r="M104" s="100">
        <v>66.209999999999994</v>
      </c>
      <c r="N104" s="100">
        <v>0</v>
      </c>
      <c r="O104" s="100">
        <v>0</v>
      </c>
      <c r="P104" s="100">
        <v>1.0900000000000001</v>
      </c>
      <c r="Q104" s="100">
        <v>5.32</v>
      </c>
    </row>
    <row r="106" spans="1:22">
      <c r="A106" s="156" t="s">
        <v>48</v>
      </c>
      <c r="B106" s="157">
        <f>MIN(B9:B104)</f>
        <v>8.2799999999999994</v>
      </c>
      <c r="C106" s="157">
        <f>MIN(C9:C104)</f>
        <v>21.86</v>
      </c>
      <c r="D106" s="157">
        <f t="shared" ref="D106:Q106" si="0">MIN(D9:D104)</f>
        <v>19.45</v>
      </c>
      <c r="E106" s="157">
        <f t="shared" si="0"/>
        <v>7.28</v>
      </c>
      <c r="F106" s="157">
        <f t="shared" si="0"/>
        <v>2.21</v>
      </c>
      <c r="G106" s="157">
        <f t="shared" si="0"/>
        <v>47.11</v>
      </c>
      <c r="H106" s="157">
        <f t="shared" si="0"/>
        <v>18.16</v>
      </c>
      <c r="I106" s="157">
        <f t="shared" si="0"/>
        <v>5.42</v>
      </c>
      <c r="J106" s="157">
        <f t="shared" si="0"/>
        <v>0.03</v>
      </c>
      <c r="K106" s="157">
        <f t="shared" si="0"/>
        <v>0.27</v>
      </c>
      <c r="L106" s="157">
        <f t="shared" si="0"/>
        <v>17.45</v>
      </c>
      <c r="M106" s="157">
        <f t="shared" si="0"/>
        <v>30.5</v>
      </c>
      <c r="N106" s="157">
        <f t="shared" si="0"/>
        <v>0</v>
      </c>
      <c r="O106" s="157">
        <f t="shared" si="0"/>
        <v>0</v>
      </c>
      <c r="P106" s="157">
        <f t="shared" si="0"/>
        <v>0.47</v>
      </c>
      <c r="Q106" s="157">
        <f t="shared" si="0"/>
        <v>4.84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45.83</v>
      </c>
      <c r="C107" s="156">
        <f t="shared" ref="C107:Q107" si="1">MAX(C9:C104)</f>
        <v>37.18</v>
      </c>
      <c r="D107" s="156">
        <f t="shared" si="1"/>
        <v>56.58</v>
      </c>
      <c r="E107" s="156">
        <f t="shared" si="1"/>
        <v>11.43</v>
      </c>
      <c r="F107" s="156">
        <f t="shared" si="1"/>
        <v>3.19</v>
      </c>
      <c r="G107" s="156">
        <f t="shared" si="1"/>
        <v>120.76</v>
      </c>
      <c r="H107" s="156">
        <f t="shared" si="1"/>
        <v>42.34</v>
      </c>
      <c r="I107" s="156">
        <f t="shared" si="1"/>
        <v>9.59</v>
      </c>
      <c r="J107" s="156">
        <f t="shared" si="1"/>
        <v>1.82</v>
      </c>
      <c r="K107" s="156">
        <f t="shared" si="1"/>
        <v>359.89</v>
      </c>
      <c r="L107" s="156">
        <f t="shared" si="1"/>
        <v>27.33</v>
      </c>
      <c r="M107" s="156">
        <f t="shared" si="1"/>
        <v>75.31</v>
      </c>
      <c r="N107" s="156">
        <f t="shared" si="1"/>
        <v>375</v>
      </c>
      <c r="O107" s="156">
        <f t="shared" si="1"/>
        <v>0</v>
      </c>
      <c r="P107" s="156">
        <f t="shared" si="1"/>
        <v>1.0900000000000001</v>
      </c>
      <c r="Q107" s="156">
        <f t="shared" si="1"/>
        <v>5.32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14.300937499999996</v>
      </c>
      <c r="C108" s="157">
        <f t="shared" ref="C108:Q108" si="2">AVERAGE(C9:C104)</f>
        <v>28.6053125</v>
      </c>
      <c r="D108" s="157">
        <f t="shared" si="2"/>
        <v>27.764895833333341</v>
      </c>
      <c r="E108" s="157">
        <f t="shared" si="2"/>
        <v>8.5757291666666635</v>
      </c>
      <c r="F108" s="157">
        <f t="shared" si="2"/>
        <v>2.5815625</v>
      </c>
      <c r="G108" s="157">
        <f t="shared" si="2"/>
        <v>76.209270833333306</v>
      </c>
      <c r="H108" s="157">
        <f t="shared" si="2"/>
        <v>27.887604166666673</v>
      </c>
      <c r="I108" s="157">
        <f t="shared" si="2"/>
        <v>7.1160416666666704</v>
      </c>
      <c r="J108" s="157">
        <f t="shared" si="2"/>
        <v>0.59364583333333343</v>
      </c>
      <c r="K108" s="157">
        <f t="shared" si="2"/>
        <v>88.422604166666659</v>
      </c>
      <c r="L108" s="157">
        <f t="shared" si="2"/>
        <v>21.6134375</v>
      </c>
      <c r="M108" s="157">
        <f t="shared" si="2"/>
        <v>50.723125000000017</v>
      </c>
      <c r="N108" s="157">
        <f t="shared" si="2"/>
        <v>77.927083333333329</v>
      </c>
      <c r="O108" s="157">
        <f t="shared" si="2"/>
        <v>0</v>
      </c>
      <c r="P108" s="157">
        <f t="shared" si="2"/>
        <v>0.65916666666666635</v>
      </c>
      <c r="Q108" s="157">
        <f t="shared" si="2"/>
        <v>4.9567708333333327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7.2680796099867662</v>
      </c>
      <c r="C109" s="157">
        <f t="shared" ref="C109:Q109" si="3">STDEV(C9:C104)</f>
        <v>4.4741307778277335</v>
      </c>
      <c r="D109" s="157">
        <f t="shared" si="3"/>
        <v>7.6192457141236964</v>
      </c>
      <c r="E109" s="157">
        <f t="shared" si="3"/>
        <v>0.84563491536697999</v>
      </c>
      <c r="F109" s="157">
        <f t="shared" si="3"/>
        <v>0.23651116864693061</v>
      </c>
      <c r="G109" s="157">
        <f t="shared" si="3"/>
        <v>21.775754177273413</v>
      </c>
      <c r="H109" s="157">
        <f t="shared" si="3"/>
        <v>6.4931127471290635</v>
      </c>
      <c r="I109" s="157">
        <f t="shared" si="3"/>
        <v>1.1136648642318461</v>
      </c>
      <c r="J109" s="157">
        <f t="shared" si="3"/>
        <v>0.40873648644435601</v>
      </c>
      <c r="K109" s="157">
        <f t="shared" si="3"/>
        <v>68.011214837504909</v>
      </c>
      <c r="L109" s="157">
        <f t="shared" si="3"/>
        <v>3.4126855694676435</v>
      </c>
      <c r="M109" s="157">
        <f t="shared" si="3"/>
        <v>14.139183875241635</v>
      </c>
      <c r="N109" s="157">
        <f t="shared" si="3"/>
        <v>124.33544820293433</v>
      </c>
      <c r="O109" s="157">
        <f t="shared" si="3"/>
        <v>0</v>
      </c>
      <c r="P109" s="157">
        <f t="shared" si="3"/>
        <v>0.17330026675149901</v>
      </c>
      <c r="Q109" s="157">
        <f t="shared" si="3"/>
        <v>9.3149509608751388E-2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B110" sqref="B110:Q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45307.010416666664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45307.010416666664</v>
      </c>
      <c r="B9" s="6">
        <v>46.24</v>
      </c>
      <c r="C9" s="6">
        <v>34.840000000000003</v>
      </c>
      <c r="D9" s="6">
        <v>56.64</v>
      </c>
      <c r="E9" s="6">
        <v>8.44</v>
      </c>
      <c r="F9" s="6">
        <v>2.36</v>
      </c>
      <c r="G9" s="6">
        <v>127.53</v>
      </c>
      <c r="H9" s="6">
        <v>46.38</v>
      </c>
      <c r="I9" s="6">
        <v>9.75</v>
      </c>
      <c r="J9" s="6">
        <v>0.18</v>
      </c>
      <c r="K9" s="6">
        <v>88.28</v>
      </c>
      <c r="L9" s="6">
        <v>18.440000000000001</v>
      </c>
      <c r="M9" s="6">
        <v>65.040000000000006</v>
      </c>
      <c r="N9" s="6">
        <v>0</v>
      </c>
      <c r="O9" s="6">
        <v>0</v>
      </c>
      <c r="P9" s="6">
        <v>1.0900000000000001</v>
      </c>
      <c r="Q9" s="6">
        <v>5.33</v>
      </c>
    </row>
    <row r="10" spans="1:21" customFormat="1">
      <c r="A10" s="72">
        <v>45307.020833333336</v>
      </c>
      <c r="B10" s="6">
        <v>44.93</v>
      </c>
      <c r="C10" s="6">
        <v>34.71</v>
      </c>
      <c r="D10" s="6">
        <v>55.52</v>
      </c>
      <c r="E10" s="6">
        <v>8.1300000000000008</v>
      </c>
      <c r="F10" s="6">
        <v>2.3199999999999998</v>
      </c>
      <c r="G10" s="6">
        <v>127.53</v>
      </c>
      <c r="H10" s="6">
        <v>46.38</v>
      </c>
      <c r="I10" s="6">
        <v>9.8800000000000008</v>
      </c>
      <c r="J10" s="6">
        <v>0.21</v>
      </c>
      <c r="K10" s="6">
        <v>183.59</v>
      </c>
      <c r="L10" s="6">
        <v>17.760000000000002</v>
      </c>
      <c r="M10" s="6">
        <v>73.41</v>
      </c>
      <c r="N10" s="6">
        <v>0</v>
      </c>
      <c r="O10" s="6">
        <v>0</v>
      </c>
      <c r="P10" s="6">
        <v>1.0900000000000001</v>
      </c>
      <c r="Q10" s="6">
        <v>5.36</v>
      </c>
    </row>
    <row r="11" spans="1:21" customFormat="1">
      <c r="A11" s="72">
        <v>45307.03125</v>
      </c>
      <c r="B11" s="6">
        <v>43.12</v>
      </c>
      <c r="C11" s="6">
        <v>33.86</v>
      </c>
      <c r="D11" s="6">
        <v>53.62</v>
      </c>
      <c r="E11" s="6">
        <v>8.24</v>
      </c>
      <c r="F11" s="6">
        <v>2.38</v>
      </c>
      <c r="G11" s="6">
        <v>127.53</v>
      </c>
      <c r="H11" s="6">
        <v>46.38</v>
      </c>
      <c r="I11" s="6">
        <v>9.9499999999999993</v>
      </c>
      <c r="J11" s="6">
        <v>0.19</v>
      </c>
      <c r="K11" s="6">
        <v>60.81</v>
      </c>
      <c r="L11" s="6">
        <v>17.27</v>
      </c>
      <c r="M11" s="6">
        <v>74.73</v>
      </c>
      <c r="N11" s="6">
        <v>0</v>
      </c>
      <c r="O11" s="6">
        <v>0</v>
      </c>
      <c r="P11" s="6">
        <v>1.08</v>
      </c>
      <c r="Q11" s="6">
        <v>5.36</v>
      </c>
    </row>
    <row r="12" spans="1:21" customFormat="1">
      <c r="A12" s="72">
        <v>45307.041666666664</v>
      </c>
      <c r="B12" s="6">
        <v>42.69</v>
      </c>
      <c r="C12" s="6">
        <v>31.79</v>
      </c>
      <c r="D12" s="6">
        <v>52.2</v>
      </c>
      <c r="E12" s="6">
        <v>7.63</v>
      </c>
      <c r="F12" s="6">
        <v>2.6</v>
      </c>
      <c r="G12" s="6">
        <v>125.04</v>
      </c>
      <c r="H12" s="6">
        <v>46.39</v>
      </c>
      <c r="I12" s="6">
        <v>10.01</v>
      </c>
      <c r="J12" s="6">
        <v>0.12</v>
      </c>
      <c r="K12" s="6">
        <v>133.41</v>
      </c>
      <c r="L12" s="6">
        <v>17.37</v>
      </c>
      <c r="M12" s="6">
        <v>72.430000000000007</v>
      </c>
      <c r="N12" s="6">
        <v>0</v>
      </c>
      <c r="O12" s="6">
        <v>0</v>
      </c>
      <c r="P12" s="6">
        <v>1.08</v>
      </c>
      <c r="Q12" s="6">
        <v>5.32</v>
      </c>
    </row>
    <row r="13" spans="1:21" customFormat="1">
      <c r="A13" s="72">
        <v>45307.052083333336</v>
      </c>
      <c r="B13" s="6">
        <v>41.96</v>
      </c>
      <c r="C13" s="6">
        <v>33.78</v>
      </c>
      <c r="D13" s="6">
        <v>52.65</v>
      </c>
      <c r="E13" s="6">
        <v>7.78</v>
      </c>
      <c r="F13" s="6">
        <v>2.2200000000000002</v>
      </c>
      <c r="G13" s="6">
        <v>114.36</v>
      </c>
      <c r="H13" s="6">
        <v>46.41</v>
      </c>
      <c r="I13" s="6">
        <v>10.06</v>
      </c>
      <c r="J13" s="6">
        <v>0.28000000000000003</v>
      </c>
      <c r="K13" s="6">
        <v>165.32</v>
      </c>
      <c r="L13" s="6">
        <v>17.23</v>
      </c>
      <c r="M13" s="6">
        <v>73.36</v>
      </c>
      <c r="N13" s="6">
        <v>0</v>
      </c>
      <c r="O13" s="6">
        <v>0</v>
      </c>
      <c r="P13" s="6">
        <v>1.06</v>
      </c>
      <c r="Q13" s="6">
        <v>5.29</v>
      </c>
    </row>
    <row r="14" spans="1:21" customFormat="1">
      <c r="A14" s="72">
        <v>45307.0625</v>
      </c>
      <c r="B14" s="6">
        <v>40.36</v>
      </c>
      <c r="C14" s="6">
        <v>33.549999999999997</v>
      </c>
      <c r="D14" s="6">
        <v>51.24</v>
      </c>
      <c r="E14" s="6">
        <v>7.88</v>
      </c>
      <c r="F14" s="6">
        <v>2.27</v>
      </c>
      <c r="G14" s="6">
        <v>114.36</v>
      </c>
      <c r="H14" s="6">
        <v>46.41</v>
      </c>
      <c r="I14" s="6">
        <v>10.1</v>
      </c>
      <c r="J14" s="6">
        <v>0.05</v>
      </c>
      <c r="K14" s="6">
        <v>135.13999999999999</v>
      </c>
      <c r="L14" s="6">
        <v>17.079999999999998</v>
      </c>
      <c r="M14" s="6">
        <v>73.64</v>
      </c>
      <c r="N14" s="6">
        <v>0</v>
      </c>
      <c r="O14" s="6">
        <v>0</v>
      </c>
      <c r="P14" s="6">
        <v>1.06</v>
      </c>
      <c r="Q14" s="6">
        <v>5.32</v>
      </c>
    </row>
    <row r="15" spans="1:21" customFormat="1">
      <c r="A15" s="72">
        <v>45307.072916666664</v>
      </c>
      <c r="B15" s="6">
        <v>38.49</v>
      </c>
      <c r="C15" s="6">
        <v>33.21</v>
      </c>
      <c r="D15" s="6">
        <v>49.56</v>
      </c>
      <c r="E15" s="6">
        <v>7.59</v>
      </c>
      <c r="F15" s="6">
        <v>2.33</v>
      </c>
      <c r="G15" s="6">
        <v>114.36</v>
      </c>
      <c r="H15" s="6">
        <v>46.41</v>
      </c>
      <c r="I15" s="6">
        <v>10.1</v>
      </c>
      <c r="J15" s="6">
        <v>0.17</v>
      </c>
      <c r="K15" s="6">
        <v>123.93</v>
      </c>
      <c r="L15" s="6">
        <v>17.149999999999999</v>
      </c>
      <c r="M15" s="6">
        <v>70.2</v>
      </c>
      <c r="N15" s="6">
        <v>0</v>
      </c>
      <c r="O15" s="6">
        <v>0</v>
      </c>
      <c r="P15" s="6">
        <v>1.05</v>
      </c>
      <c r="Q15" s="6">
        <v>5.28</v>
      </c>
    </row>
    <row r="16" spans="1:21" customFormat="1">
      <c r="A16" s="72">
        <v>45307.083333333336</v>
      </c>
      <c r="B16" s="6">
        <v>36.9</v>
      </c>
      <c r="C16" s="6">
        <v>32.450000000000003</v>
      </c>
      <c r="D16" s="6">
        <v>47.9</v>
      </c>
      <c r="E16" s="6">
        <v>7.69</v>
      </c>
      <c r="F16" s="6">
        <v>2.41</v>
      </c>
      <c r="G16" s="6">
        <v>111.89</v>
      </c>
      <c r="H16" s="6">
        <v>45.41</v>
      </c>
      <c r="I16" s="6">
        <v>10.06</v>
      </c>
      <c r="J16" s="6">
        <v>0.03</v>
      </c>
      <c r="K16" s="6">
        <v>67.09</v>
      </c>
      <c r="L16" s="6">
        <v>17.12</v>
      </c>
      <c r="M16" s="6">
        <v>70.540000000000006</v>
      </c>
      <c r="N16" s="6">
        <v>0</v>
      </c>
      <c r="O16" s="6">
        <v>0</v>
      </c>
      <c r="P16" s="6">
        <v>1.01</v>
      </c>
      <c r="Q16" s="6">
        <v>5.25</v>
      </c>
    </row>
    <row r="17" spans="1:17" customFormat="1">
      <c r="A17" s="72">
        <v>45307.09375</v>
      </c>
      <c r="B17" s="6">
        <v>35.22</v>
      </c>
      <c r="C17" s="6">
        <v>33.58</v>
      </c>
      <c r="D17" s="6">
        <v>47.14</v>
      </c>
      <c r="E17" s="6">
        <v>7.11</v>
      </c>
      <c r="F17" s="6">
        <v>2.4</v>
      </c>
      <c r="G17" s="6">
        <v>101.31</v>
      </c>
      <c r="H17" s="6">
        <v>42.3</v>
      </c>
      <c r="I17" s="6">
        <v>9.9600000000000009</v>
      </c>
      <c r="J17" s="6">
        <v>0.05</v>
      </c>
      <c r="K17" s="6">
        <v>243.65</v>
      </c>
      <c r="L17" s="6">
        <v>16.71</v>
      </c>
      <c r="M17" s="6">
        <v>73.36</v>
      </c>
      <c r="N17" s="6">
        <v>0</v>
      </c>
      <c r="O17" s="6">
        <v>0</v>
      </c>
      <c r="P17" s="6">
        <v>1</v>
      </c>
      <c r="Q17" s="6">
        <v>5.23</v>
      </c>
    </row>
    <row r="18" spans="1:17" customFormat="1">
      <c r="A18" s="72">
        <v>45307.104166666664</v>
      </c>
      <c r="B18" s="6">
        <v>34.229999999999997</v>
      </c>
      <c r="C18" s="6">
        <v>34.36</v>
      </c>
      <c r="D18" s="6">
        <v>46.76</v>
      </c>
      <c r="E18" s="6">
        <v>8.3800000000000008</v>
      </c>
      <c r="F18" s="6">
        <v>2.29</v>
      </c>
      <c r="G18" s="6">
        <v>101.31</v>
      </c>
      <c r="H18" s="6">
        <v>42.3</v>
      </c>
      <c r="I18" s="6">
        <v>9.92</v>
      </c>
      <c r="J18" s="6">
        <v>0.22</v>
      </c>
      <c r="K18" s="6">
        <v>21</v>
      </c>
      <c r="L18" s="6">
        <v>16.79</v>
      </c>
      <c r="M18" s="6">
        <v>71.150000000000006</v>
      </c>
      <c r="N18" s="6">
        <v>0</v>
      </c>
      <c r="O18" s="6">
        <v>0</v>
      </c>
      <c r="P18" s="6">
        <v>0.98</v>
      </c>
      <c r="Q18" s="6">
        <v>5.21</v>
      </c>
    </row>
    <row r="19" spans="1:17" customFormat="1">
      <c r="A19" s="72">
        <v>45307.114583333336</v>
      </c>
      <c r="B19" s="6">
        <v>33.46</v>
      </c>
      <c r="C19" s="6">
        <v>32.94</v>
      </c>
      <c r="D19" s="6">
        <v>45.39</v>
      </c>
      <c r="E19" s="6">
        <v>8.1199999999999992</v>
      </c>
      <c r="F19" s="6">
        <v>2.44</v>
      </c>
      <c r="G19" s="6">
        <v>101.31</v>
      </c>
      <c r="H19" s="6">
        <v>42.3</v>
      </c>
      <c r="I19" s="6">
        <v>9.91</v>
      </c>
      <c r="J19" s="6">
        <v>0.42</v>
      </c>
      <c r="K19" s="6">
        <v>34.26</v>
      </c>
      <c r="L19" s="6">
        <v>16.84</v>
      </c>
      <c r="M19" s="6">
        <v>70.239999999999995</v>
      </c>
      <c r="N19" s="6">
        <v>0</v>
      </c>
      <c r="O19" s="6">
        <v>0</v>
      </c>
      <c r="P19" s="6">
        <v>0.96</v>
      </c>
      <c r="Q19" s="6">
        <v>5.23</v>
      </c>
    </row>
    <row r="20" spans="1:17" customFormat="1">
      <c r="A20" s="72">
        <v>45307.125</v>
      </c>
      <c r="B20" s="6">
        <v>32.08</v>
      </c>
      <c r="C20" s="6">
        <v>34.049999999999997</v>
      </c>
      <c r="D20" s="6">
        <v>44.87</v>
      </c>
      <c r="E20" s="6">
        <v>8.27</v>
      </c>
      <c r="F20" s="6">
        <v>2.2000000000000002</v>
      </c>
      <c r="G20" s="6">
        <v>99.68</v>
      </c>
      <c r="H20" s="6">
        <v>42.52</v>
      </c>
      <c r="I20" s="6">
        <v>9.85</v>
      </c>
      <c r="J20" s="6">
        <v>0.76</v>
      </c>
      <c r="K20" s="6">
        <v>57.13</v>
      </c>
      <c r="L20" s="6">
        <v>17.16</v>
      </c>
      <c r="M20" s="6">
        <v>66.849999999999994</v>
      </c>
      <c r="N20" s="6">
        <v>0</v>
      </c>
      <c r="O20" s="6">
        <v>0</v>
      </c>
      <c r="P20" s="6">
        <v>0.95</v>
      </c>
      <c r="Q20" s="6">
        <v>5.2</v>
      </c>
    </row>
    <row r="21" spans="1:17" customFormat="1">
      <c r="A21" s="72">
        <v>45307.135416666664</v>
      </c>
      <c r="B21" s="6">
        <v>30.31</v>
      </c>
      <c r="C21" s="6">
        <v>34.200000000000003</v>
      </c>
      <c r="D21" s="6">
        <v>43.52</v>
      </c>
      <c r="E21" s="6">
        <v>8.36</v>
      </c>
      <c r="F21" s="6">
        <v>2.2999999999999998</v>
      </c>
      <c r="G21" s="6">
        <v>92.68</v>
      </c>
      <c r="H21" s="6">
        <v>43.18</v>
      </c>
      <c r="I21" s="6">
        <v>9.8000000000000007</v>
      </c>
      <c r="J21" s="6">
        <v>0.75</v>
      </c>
      <c r="K21" s="6">
        <v>58.47</v>
      </c>
      <c r="L21" s="6">
        <v>17.11</v>
      </c>
      <c r="M21" s="6">
        <v>67.17</v>
      </c>
      <c r="N21" s="6">
        <v>0</v>
      </c>
      <c r="O21" s="6">
        <v>0</v>
      </c>
      <c r="P21" s="6">
        <v>0.92</v>
      </c>
      <c r="Q21" s="6">
        <v>5.19</v>
      </c>
    </row>
    <row r="22" spans="1:17" customFormat="1">
      <c r="A22" s="72">
        <v>45307.145833333336</v>
      </c>
      <c r="B22" s="6">
        <v>28.45</v>
      </c>
      <c r="C22" s="6">
        <v>34.25</v>
      </c>
      <c r="D22" s="6">
        <v>42.06</v>
      </c>
      <c r="E22" s="6">
        <v>8.77</v>
      </c>
      <c r="F22" s="6">
        <v>2.34</v>
      </c>
      <c r="G22" s="6">
        <v>92.68</v>
      </c>
      <c r="H22" s="6">
        <v>43.18</v>
      </c>
      <c r="I22" s="6">
        <v>9.69</v>
      </c>
      <c r="J22" s="6">
        <v>0.66</v>
      </c>
      <c r="K22" s="6">
        <v>68.38</v>
      </c>
      <c r="L22" s="6">
        <v>17</v>
      </c>
      <c r="M22" s="6">
        <v>66.52</v>
      </c>
      <c r="N22" s="6">
        <v>0</v>
      </c>
      <c r="O22" s="6">
        <v>0</v>
      </c>
      <c r="P22" s="6">
        <v>0.9</v>
      </c>
      <c r="Q22" s="6">
        <v>5.18</v>
      </c>
    </row>
    <row r="23" spans="1:17" customFormat="1">
      <c r="A23" s="72">
        <v>45307.15625</v>
      </c>
      <c r="B23" s="6">
        <v>26.48</v>
      </c>
      <c r="C23" s="6">
        <v>33.909999999999997</v>
      </c>
      <c r="D23" s="6">
        <v>40.299999999999997</v>
      </c>
      <c r="E23" s="6">
        <v>8.4600000000000009</v>
      </c>
      <c r="F23" s="6">
        <v>2.44</v>
      </c>
      <c r="G23" s="6">
        <v>92.68</v>
      </c>
      <c r="H23" s="6">
        <v>43.18</v>
      </c>
      <c r="I23" s="6">
        <v>9.57</v>
      </c>
      <c r="J23" s="6">
        <v>0.16</v>
      </c>
      <c r="K23" s="6">
        <v>113.16</v>
      </c>
      <c r="L23" s="6">
        <v>16.93</v>
      </c>
      <c r="M23" s="6">
        <v>66.709999999999994</v>
      </c>
      <c r="N23" s="6">
        <v>0</v>
      </c>
      <c r="O23" s="6">
        <v>0</v>
      </c>
      <c r="P23" s="6">
        <v>0.89</v>
      </c>
      <c r="Q23" s="6">
        <v>5.17</v>
      </c>
    </row>
    <row r="24" spans="1:17" customFormat="1">
      <c r="A24" s="72">
        <v>45307.166666666664</v>
      </c>
      <c r="B24" s="6">
        <v>24.2</v>
      </c>
      <c r="C24" s="6">
        <v>33.69</v>
      </c>
      <c r="D24" s="6">
        <v>38.36</v>
      </c>
      <c r="E24" s="6">
        <v>8.7200000000000006</v>
      </c>
      <c r="F24" s="6">
        <v>2.5499999999999998</v>
      </c>
      <c r="G24" s="6">
        <v>90.67</v>
      </c>
      <c r="H24" s="6">
        <v>40.65</v>
      </c>
      <c r="I24" s="6">
        <v>9.43</v>
      </c>
      <c r="J24" s="6">
        <v>0.37</v>
      </c>
      <c r="K24" s="6">
        <v>71.349999999999994</v>
      </c>
      <c r="L24" s="6">
        <v>16.59</v>
      </c>
      <c r="M24" s="6">
        <v>67.06</v>
      </c>
      <c r="N24" s="6">
        <v>0</v>
      </c>
      <c r="O24" s="6">
        <v>0</v>
      </c>
      <c r="P24" s="6">
        <v>0.86</v>
      </c>
      <c r="Q24" s="6">
        <v>5.13</v>
      </c>
    </row>
    <row r="25" spans="1:17" customFormat="1">
      <c r="A25" s="72">
        <v>45307.177083333336</v>
      </c>
      <c r="B25" s="6">
        <v>22.45</v>
      </c>
      <c r="C25" s="6">
        <v>33.299999999999997</v>
      </c>
      <c r="D25" s="6">
        <v>36.75</v>
      </c>
      <c r="E25" s="6">
        <v>8.2799999999999994</v>
      </c>
      <c r="F25" s="6">
        <v>2.41</v>
      </c>
      <c r="G25" s="6">
        <v>82.05</v>
      </c>
      <c r="H25" s="6">
        <v>32.74</v>
      </c>
      <c r="I25" s="6">
        <v>9.3000000000000007</v>
      </c>
      <c r="J25" s="6">
        <v>1</v>
      </c>
      <c r="K25" s="6">
        <v>62.96</v>
      </c>
      <c r="L25" s="6">
        <v>16.53</v>
      </c>
      <c r="M25" s="6">
        <v>64.84</v>
      </c>
      <c r="N25" s="6">
        <v>0</v>
      </c>
      <c r="O25" s="6">
        <v>0</v>
      </c>
      <c r="P25" s="6">
        <v>0.84</v>
      </c>
      <c r="Q25" s="6">
        <v>5.09</v>
      </c>
    </row>
    <row r="26" spans="1:17" customFormat="1">
      <c r="A26" s="72">
        <v>45307.1875</v>
      </c>
      <c r="B26" s="6">
        <v>20.98</v>
      </c>
      <c r="C26" s="6">
        <v>32.979999999999997</v>
      </c>
      <c r="D26" s="6">
        <v>35.409999999999997</v>
      </c>
      <c r="E26" s="6">
        <v>7.58</v>
      </c>
      <c r="F26" s="6">
        <v>2.4500000000000002</v>
      </c>
      <c r="G26" s="6">
        <v>82.05</v>
      </c>
      <c r="H26" s="6">
        <v>32.74</v>
      </c>
      <c r="I26" s="6">
        <v>9.15</v>
      </c>
      <c r="J26" s="6">
        <v>0.53</v>
      </c>
      <c r="K26" s="6">
        <v>57.36</v>
      </c>
      <c r="L26" s="6">
        <v>16.399999999999999</v>
      </c>
      <c r="M26" s="6">
        <v>64.790000000000006</v>
      </c>
      <c r="N26" s="6">
        <v>0</v>
      </c>
      <c r="O26" s="6">
        <v>0</v>
      </c>
      <c r="P26" s="6">
        <v>0.81</v>
      </c>
      <c r="Q26" s="6">
        <v>5.07</v>
      </c>
    </row>
    <row r="27" spans="1:17" customFormat="1">
      <c r="A27" s="72">
        <v>45307.197916666664</v>
      </c>
      <c r="B27" s="6">
        <v>20</v>
      </c>
      <c r="C27" s="6">
        <v>33.130000000000003</v>
      </c>
      <c r="D27" s="6">
        <v>34.700000000000003</v>
      </c>
      <c r="E27" s="6">
        <v>7.87</v>
      </c>
      <c r="F27" s="6">
        <v>2.5</v>
      </c>
      <c r="G27" s="6">
        <v>82.05</v>
      </c>
      <c r="H27" s="6">
        <v>32.74</v>
      </c>
      <c r="I27" s="6">
        <v>8.9499999999999993</v>
      </c>
      <c r="J27" s="6">
        <v>0.43</v>
      </c>
      <c r="K27" s="6">
        <v>55.37</v>
      </c>
      <c r="L27" s="6">
        <v>16.21</v>
      </c>
      <c r="M27" s="6">
        <v>64.77</v>
      </c>
      <c r="N27" s="6">
        <v>0</v>
      </c>
      <c r="O27" s="6">
        <v>0</v>
      </c>
      <c r="P27" s="6">
        <v>0.78</v>
      </c>
      <c r="Q27" s="6">
        <v>5.0599999999999996</v>
      </c>
    </row>
    <row r="28" spans="1:17" customFormat="1">
      <c r="A28" s="72">
        <v>45307.208333333336</v>
      </c>
      <c r="B28" s="6">
        <v>19.350000000000001</v>
      </c>
      <c r="C28" s="6">
        <v>32.85</v>
      </c>
      <c r="D28" s="6">
        <v>34.03</v>
      </c>
      <c r="E28" s="6">
        <v>8.2100000000000009</v>
      </c>
      <c r="F28" s="6">
        <v>2.39</v>
      </c>
      <c r="G28" s="6">
        <v>79.400000000000006</v>
      </c>
      <c r="H28" s="6">
        <v>32.92</v>
      </c>
      <c r="I28" s="6">
        <v>8.76</v>
      </c>
      <c r="J28" s="6">
        <v>0.38</v>
      </c>
      <c r="K28" s="6">
        <v>74.56</v>
      </c>
      <c r="L28" s="6">
        <v>16.239999999999998</v>
      </c>
      <c r="M28" s="6">
        <v>63.09</v>
      </c>
      <c r="N28" s="6">
        <v>0</v>
      </c>
      <c r="O28" s="6">
        <v>0</v>
      </c>
      <c r="P28" s="6">
        <v>0.77</v>
      </c>
      <c r="Q28" s="6">
        <v>5.05</v>
      </c>
    </row>
    <row r="29" spans="1:17" customFormat="1">
      <c r="A29" s="72">
        <v>45307.21875</v>
      </c>
      <c r="B29" s="6">
        <v>18.510000000000002</v>
      </c>
      <c r="C29" s="6">
        <v>32.76</v>
      </c>
      <c r="D29" s="6">
        <v>33.31</v>
      </c>
      <c r="E29" s="6">
        <v>7.84</v>
      </c>
      <c r="F29" s="6">
        <v>2.25</v>
      </c>
      <c r="G29" s="6">
        <v>68</v>
      </c>
      <c r="H29" s="6">
        <v>33.49</v>
      </c>
      <c r="I29" s="6">
        <v>8.57</v>
      </c>
      <c r="J29" s="6">
        <v>0.74</v>
      </c>
      <c r="K29" s="6">
        <v>65.739999999999995</v>
      </c>
      <c r="L29" s="6">
        <v>16.21</v>
      </c>
      <c r="M29" s="6">
        <v>61.36</v>
      </c>
      <c r="N29" s="6">
        <v>0</v>
      </c>
      <c r="O29" s="6">
        <v>0</v>
      </c>
      <c r="P29" s="6">
        <v>0.76</v>
      </c>
      <c r="Q29" s="6">
        <v>5.03</v>
      </c>
    </row>
    <row r="30" spans="1:17" customFormat="1">
      <c r="A30" s="72">
        <v>45307.229166666664</v>
      </c>
      <c r="B30" s="6">
        <v>17.53</v>
      </c>
      <c r="C30" s="6">
        <v>32.21</v>
      </c>
      <c r="D30" s="6">
        <v>32.24</v>
      </c>
      <c r="E30" s="6">
        <v>7.81</v>
      </c>
      <c r="F30" s="6">
        <v>2.35</v>
      </c>
      <c r="G30" s="6">
        <v>68</v>
      </c>
      <c r="H30" s="6">
        <v>33.49</v>
      </c>
      <c r="I30" s="6">
        <v>8.41</v>
      </c>
      <c r="J30" s="6">
        <v>0.88</v>
      </c>
      <c r="K30" s="6">
        <v>68.94</v>
      </c>
      <c r="L30" s="6">
        <v>16.18</v>
      </c>
      <c r="M30" s="6">
        <v>60.1</v>
      </c>
      <c r="N30" s="6">
        <v>0</v>
      </c>
      <c r="O30" s="6">
        <v>0</v>
      </c>
      <c r="P30" s="6">
        <v>0.73</v>
      </c>
      <c r="Q30" s="6">
        <v>5.01</v>
      </c>
    </row>
    <row r="31" spans="1:17" customFormat="1">
      <c r="A31" s="72">
        <v>45307.239583333336</v>
      </c>
      <c r="B31" s="6">
        <v>16.45</v>
      </c>
      <c r="C31" s="6">
        <v>31.7</v>
      </c>
      <c r="D31" s="6">
        <v>31.1</v>
      </c>
      <c r="E31" s="6">
        <v>7.95</v>
      </c>
      <c r="F31" s="6">
        <v>2.4500000000000002</v>
      </c>
      <c r="G31" s="6">
        <v>68</v>
      </c>
      <c r="H31" s="6">
        <v>33.49</v>
      </c>
      <c r="I31" s="6">
        <v>8.23</v>
      </c>
      <c r="J31" s="6">
        <v>0.73</v>
      </c>
      <c r="K31" s="6">
        <v>67.459999999999994</v>
      </c>
      <c r="L31" s="6">
        <v>15.99</v>
      </c>
      <c r="M31" s="6">
        <v>60.13</v>
      </c>
      <c r="N31" s="6">
        <v>0</v>
      </c>
      <c r="O31" s="6">
        <v>0</v>
      </c>
      <c r="P31" s="6">
        <v>0.71</v>
      </c>
      <c r="Q31" s="6">
        <v>5</v>
      </c>
    </row>
    <row r="32" spans="1:17" customFormat="1">
      <c r="A32" s="72">
        <v>45307.25</v>
      </c>
      <c r="B32" s="6">
        <v>15.45</v>
      </c>
      <c r="C32" s="6">
        <v>31.29</v>
      </c>
      <c r="D32" s="6">
        <v>30.09</v>
      </c>
      <c r="E32" s="6">
        <v>8.02</v>
      </c>
      <c r="F32" s="6">
        <v>2.44</v>
      </c>
      <c r="G32" s="6">
        <v>66.33</v>
      </c>
      <c r="H32" s="6">
        <v>32.71</v>
      </c>
      <c r="I32" s="6">
        <v>8.06</v>
      </c>
      <c r="J32" s="6">
        <v>0.36</v>
      </c>
      <c r="K32" s="6">
        <v>69.349999999999994</v>
      </c>
      <c r="L32" s="6">
        <v>15.92</v>
      </c>
      <c r="M32" s="6">
        <v>60.24</v>
      </c>
      <c r="N32" s="6">
        <v>0</v>
      </c>
      <c r="O32" s="6">
        <v>0</v>
      </c>
      <c r="P32" s="6">
        <v>0.69</v>
      </c>
      <c r="Q32" s="6">
        <v>4.99</v>
      </c>
    </row>
    <row r="33" spans="1:17" customFormat="1">
      <c r="A33" s="72">
        <v>45307.260416666664</v>
      </c>
      <c r="B33" s="6">
        <v>14.86</v>
      </c>
      <c r="C33" s="6">
        <v>31.06</v>
      </c>
      <c r="D33" s="6">
        <v>29.49</v>
      </c>
      <c r="E33" s="6">
        <v>7.97</v>
      </c>
      <c r="F33" s="6">
        <v>2.36</v>
      </c>
      <c r="G33" s="6">
        <v>59.16</v>
      </c>
      <c r="H33" s="6">
        <v>28.79</v>
      </c>
      <c r="I33" s="6">
        <v>7.92</v>
      </c>
      <c r="J33" s="6">
        <v>0.37</v>
      </c>
      <c r="K33" s="6">
        <v>75.25</v>
      </c>
      <c r="L33" s="6">
        <v>15.71</v>
      </c>
      <c r="M33" s="6">
        <v>61.28</v>
      </c>
      <c r="N33" s="6">
        <v>0</v>
      </c>
      <c r="O33" s="6">
        <v>0</v>
      </c>
      <c r="P33" s="6">
        <v>0.69</v>
      </c>
      <c r="Q33" s="6">
        <v>4.9800000000000004</v>
      </c>
    </row>
    <row r="34" spans="1:17" customFormat="1">
      <c r="A34" s="72">
        <v>45307.270833333336</v>
      </c>
      <c r="B34" s="6">
        <v>14.78</v>
      </c>
      <c r="C34" s="6">
        <v>30.79</v>
      </c>
      <c r="D34" s="6">
        <v>29.29</v>
      </c>
      <c r="E34" s="6">
        <v>7.75</v>
      </c>
      <c r="F34" s="6">
        <v>2.31</v>
      </c>
      <c r="G34" s="6">
        <v>59.16</v>
      </c>
      <c r="H34" s="6">
        <v>28.79</v>
      </c>
      <c r="I34" s="6">
        <v>7.81</v>
      </c>
      <c r="J34" s="6">
        <v>0.2</v>
      </c>
      <c r="K34" s="6">
        <v>74.790000000000006</v>
      </c>
      <c r="L34" s="6">
        <v>15.58</v>
      </c>
      <c r="M34" s="6">
        <v>62.44</v>
      </c>
      <c r="N34" s="6">
        <v>0</v>
      </c>
      <c r="O34" s="6">
        <v>0</v>
      </c>
      <c r="P34" s="6">
        <v>0.67</v>
      </c>
      <c r="Q34" s="6">
        <v>4.96</v>
      </c>
    </row>
    <row r="35" spans="1:17" customFormat="1">
      <c r="A35" s="72">
        <v>45307.28125</v>
      </c>
      <c r="B35" s="6">
        <v>15.22</v>
      </c>
      <c r="C35" s="6">
        <v>30.75</v>
      </c>
      <c r="D35" s="6">
        <v>29.62</v>
      </c>
      <c r="E35" s="6">
        <v>7.72</v>
      </c>
      <c r="F35" s="6">
        <v>2.2799999999999998</v>
      </c>
      <c r="G35" s="6">
        <v>59.16</v>
      </c>
      <c r="H35" s="6">
        <v>28.79</v>
      </c>
      <c r="I35" s="6">
        <v>7.74</v>
      </c>
      <c r="J35" s="6">
        <v>0.41</v>
      </c>
      <c r="K35" s="6">
        <v>54.58</v>
      </c>
      <c r="L35" s="6">
        <v>15.53</v>
      </c>
      <c r="M35" s="6">
        <v>62.17</v>
      </c>
      <c r="N35" s="6">
        <v>0</v>
      </c>
      <c r="O35" s="6">
        <v>0</v>
      </c>
      <c r="P35" s="6">
        <v>0.66</v>
      </c>
      <c r="Q35" s="6">
        <v>4.97</v>
      </c>
    </row>
    <row r="36" spans="1:17" customFormat="1">
      <c r="A36" s="72">
        <v>45307.291666666664</v>
      </c>
      <c r="B36" s="6">
        <v>16.3</v>
      </c>
      <c r="C36" s="6">
        <v>31.26</v>
      </c>
      <c r="D36" s="6">
        <v>30.76</v>
      </c>
      <c r="E36" s="6">
        <v>7.76</v>
      </c>
      <c r="F36" s="6">
        <v>2.33</v>
      </c>
      <c r="G36" s="6">
        <v>58.26</v>
      </c>
      <c r="H36" s="6">
        <v>28.11</v>
      </c>
      <c r="I36" s="6">
        <v>7.74</v>
      </c>
      <c r="J36" s="6">
        <v>0.68</v>
      </c>
      <c r="K36" s="6">
        <v>50.37</v>
      </c>
      <c r="L36" s="6">
        <v>15.58</v>
      </c>
      <c r="M36" s="6">
        <v>61.99</v>
      </c>
      <c r="N36" s="6">
        <v>0.8</v>
      </c>
      <c r="O36" s="6">
        <v>0</v>
      </c>
      <c r="P36" s="6">
        <v>0.67</v>
      </c>
      <c r="Q36" s="6">
        <v>4.9800000000000004</v>
      </c>
    </row>
    <row r="37" spans="1:17" customFormat="1">
      <c r="A37" s="72">
        <v>45307.302083333336</v>
      </c>
      <c r="B37" s="6">
        <v>17.600000000000001</v>
      </c>
      <c r="C37" s="6">
        <v>31.72</v>
      </c>
      <c r="D37" s="6">
        <v>32.04</v>
      </c>
      <c r="E37" s="6">
        <v>7.4</v>
      </c>
      <c r="F37" s="6">
        <v>2.34</v>
      </c>
      <c r="G37" s="6">
        <v>54.43</v>
      </c>
      <c r="H37" s="6">
        <v>25.97</v>
      </c>
      <c r="I37" s="6">
        <v>7.81</v>
      </c>
      <c r="J37" s="6">
        <v>0.84</v>
      </c>
      <c r="K37" s="6">
        <v>52.47</v>
      </c>
      <c r="L37" s="6">
        <v>15.73</v>
      </c>
      <c r="M37" s="6">
        <v>61.34</v>
      </c>
      <c r="N37" s="6">
        <v>7.4</v>
      </c>
      <c r="O37" s="6">
        <v>0</v>
      </c>
      <c r="P37" s="6">
        <v>0.68</v>
      </c>
      <c r="Q37" s="6">
        <v>5</v>
      </c>
    </row>
    <row r="38" spans="1:17" customFormat="1">
      <c r="A38" s="72">
        <v>45307.3125</v>
      </c>
      <c r="B38" s="6">
        <v>18.420000000000002</v>
      </c>
      <c r="C38" s="6">
        <v>31.65</v>
      </c>
      <c r="D38" s="6">
        <v>32.659999999999997</v>
      </c>
      <c r="E38" s="6">
        <v>7.75</v>
      </c>
      <c r="F38" s="6">
        <v>2.4700000000000002</v>
      </c>
      <c r="G38" s="6">
        <v>54.43</v>
      </c>
      <c r="H38" s="6">
        <v>25.97</v>
      </c>
      <c r="I38" s="6">
        <v>7.92</v>
      </c>
      <c r="J38" s="6">
        <v>0.48</v>
      </c>
      <c r="K38" s="6">
        <v>64.52</v>
      </c>
      <c r="L38" s="6">
        <v>15.94</v>
      </c>
      <c r="M38" s="6">
        <v>60.84</v>
      </c>
      <c r="N38" s="6">
        <v>16.399999999999999</v>
      </c>
      <c r="O38" s="6">
        <v>0</v>
      </c>
      <c r="P38" s="6">
        <v>0.67</v>
      </c>
      <c r="Q38" s="6">
        <v>4.97</v>
      </c>
    </row>
    <row r="39" spans="1:17" customFormat="1">
      <c r="A39" s="72">
        <v>45307.322916666664</v>
      </c>
      <c r="B39" s="6">
        <v>18.75</v>
      </c>
      <c r="C39" s="6">
        <v>31.89</v>
      </c>
      <c r="D39" s="6">
        <v>33.049999999999997</v>
      </c>
      <c r="E39" s="6">
        <v>7.41</v>
      </c>
      <c r="F39" s="6">
        <v>2.4900000000000002</v>
      </c>
      <c r="G39" s="6">
        <v>54.43</v>
      </c>
      <c r="H39" s="6">
        <v>25.97</v>
      </c>
      <c r="I39" s="6">
        <v>8.0399999999999991</v>
      </c>
      <c r="J39" s="6">
        <v>0.69</v>
      </c>
      <c r="K39" s="6">
        <v>63.39</v>
      </c>
      <c r="L39" s="6">
        <v>16.3</v>
      </c>
      <c r="M39" s="6">
        <v>59.38</v>
      </c>
      <c r="N39" s="6">
        <v>26</v>
      </c>
      <c r="O39" s="6">
        <v>0</v>
      </c>
      <c r="P39" s="6">
        <v>0.67</v>
      </c>
      <c r="Q39" s="6">
        <v>5.01</v>
      </c>
    </row>
    <row r="40" spans="1:17" customFormat="1">
      <c r="A40" s="72">
        <v>45307.333333333336</v>
      </c>
      <c r="B40" s="6">
        <v>18.260000000000002</v>
      </c>
      <c r="C40" s="6">
        <v>31.94</v>
      </c>
      <c r="D40" s="6">
        <v>32.68</v>
      </c>
      <c r="E40" s="6">
        <v>7.53</v>
      </c>
      <c r="F40" s="6">
        <v>2.42</v>
      </c>
      <c r="G40" s="6">
        <v>56.91</v>
      </c>
      <c r="H40" s="6">
        <v>26.47</v>
      </c>
      <c r="I40" s="6">
        <v>8.1300000000000008</v>
      </c>
      <c r="J40" s="6">
        <v>1.17</v>
      </c>
      <c r="K40" s="6">
        <v>55.21</v>
      </c>
      <c r="L40" s="6">
        <v>16.670000000000002</v>
      </c>
      <c r="M40" s="6">
        <v>57.11</v>
      </c>
      <c r="N40" s="6">
        <v>35.5</v>
      </c>
      <c r="O40" s="6">
        <v>0</v>
      </c>
      <c r="P40" s="6">
        <v>0.68</v>
      </c>
      <c r="Q40" s="6">
        <v>5.01</v>
      </c>
    </row>
    <row r="41" spans="1:17" customFormat="1">
      <c r="A41" s="72">
        <v>45307.34375</v>
      </c>
      <c r="B41" s="6">
        <v>17.86</v>
      </c>
      <c r="C41" s="6">
        <v>31.8</v>
      </c>
      <c r="D41" s="6">
        <v>32.29</v>
      </c>
      <c r="E41" s="6">
        <v>7.2</v>
      </c>
      <c r="F41" s="6">
        <v>2.52</v>
      </c>
      <c r="G41" s="6">
        <v>67.55</v>
      </c>
      <c r="H41" s="6">
        <v>28.05</v>
      </c>
      <c r="I41" s="6">
        <v>8.39</v>
      </c>
      <c r="J41" s="6">
        <v>1.26</v>
      </c>
      <c r="K41" s="6">
        <v>50.02</v>
      </c>
      <c r="L41" s="6">
        <v>17.18</v>
      </c>
      <c r="M41" s="6">
        <v>55.08</v>
      </c>
      <c r="N41" s="6">
        <v>109.7</v>
      </c>
      <c r="O41" s="6">
        <v>0</v>
      </c>
      <c r="P41" s="6">
        <v>0.69</v>
      </c>
      <c r="Q41" s="6">
        <v>5</v>
      </c>
    </row>
    <row r="42" spans="1:17" customFormat="1">
      <c r="A42" s="72">
        <v>45307.354166666664</v>
      </c>
      <c r="B42" s="6">
        <v>17.57</v>
      </c>
      <c r="C42" s="6">
        <v>30</v>
      </c>
      <c r="D42" s="6">
        <v>31.12</v>
      </c>
      <c r="E42" s="6">
        <v>7.24</v>
      </c>
      <c r="F42" s="6">
        <v>2.61</v>
      </c>
      <c r="G42" s="6">
        <v>67.55</v>
      </c>
      <c r="H42" s="6">
        <v>28.05</v>
      </c>
      <c r="I42" s="6">
        <v>8.7200000000000006</v>
      </c>
      <c r="J42" s="6">
        <v>1.19</v>
      </c>
      <c r="K42" s="6">
        <v>54.22</v>
      </c>
      <c r="L42" s="6">
        <v>17.829999999999998</v>
      </c>
      <c r="M42" s="6">
        <v>53.36</v>
      </c>
      <c r="N42" s="6">
        <v>164.7</v>
      </c>
      <c r="O42" s="6">
        <v>0</v>
      </c>
      <c r="P42" s="6">
        <v>0.67</v>
      </c>
      <c r="Q42" s="6">
        <v>4.97</v>
      </c>
    </row>
    <row r="43" spans="1:17" customFormat="1">
      <c r="A43" s="72">
        <v>45307.364583333336</v>
      </c>
      <c r="B43" s="6">
        <v>17.14</v>
      </c>
      <c r="C43" s="6">
        <v>30.12</v>
      </c>
      <c r="D43" s="6">
        <v>30.84</v>
      </c>
      <c r="E43" s="6">
        <v>7.41</v>
      </c>
      <c r="F43" s="6">
        <v>2.4700000000000002</v>
      </c>
      <c r="G43" s="6">
        <v>67.55</v>
      </c>
      <c r="H43" s="6">
        <v>28.05</v>
      </c>
      <c r="I43" s="6">
        <v>8.92</v>
      </c>
      <c r="J43" s="6">
        <v>1.25</v>
      </c>
      <c r="K43" s="6">
        <v>56.59</v>
      </c>
      <c r="L43" s="6">
        <v>18.7</v>
      </c>
      <c r="M43" s="6">
        <v>50.91</v>
      </c>
      <c r="N43" s="6">
        <v>193.3</v>
      </c>
      <c r="O43" s="6">
        <v>0</v>
      </c>
      <c r="P43" s="6">
        <v>0.67</v>
      </c>
      <c r="Q43" s="6">
        <v>4.97</v>
      </c>
    </row>
    <row r="44" spans="1:17" customFormat="1">
      <c r="A44" s="72">
        <v>45307.375</v>
      </c>
      <c r="B44" s="6">
        <v>16.75</v>
      </c>
      <c r="C44" s="6">
        <v>30.81</v>
      </c>
      <c r="D44" s="6">
        <v>30.88</v>
      </c>
      <c r="E44" s="6">
        <v>7.13</v>
      </c>
      <c r="F44" s="6">
        <v>2.4300000000000002</v>
      </c>
      <c r="G44" s="6">
        <v>68.78</v>
      </c>
      <c r="H44" s="6">
        <v>28.25</v>
      </c>
      <c r="I44" s="6">
        <v>9.0399999999999991</v>
      </c>
      <c r="J44" s="6">
        <v>1.17</v>
      </c>
      <c r="K44" s="6">
        <v>47.6</v>
      </c>
      <c r="L44" s="6">
        <v>19.48</v>
      </c>
      <c r="M44" s="6">
        <v>48.97</v>
      </c>
      <c r="N44" s="6">
        <v>219.7</v>
      </c>
      <c r="O44" s="6">
        <v>0</v>
      </c>
      <c r="P44" s="6">
        <v>0.67</v>
      </c>
      <c r="Q44" s="6">
        <v>4.9800000000000004</v>
      </c>
    </row>
    <row r="45" spans="1:17" customFormat="1">
      <c r="A45" s="72">
        <v>45307.385416666664</v>
      </c>
      <c r="B45" s="6">
        <v>16.55</v>
      </c>
      <c r="C45" s="6">
        <v>31.04</v>
      </c>
      <c r="D45" s="6">
        <v>30.84</v>
      </c>
      <c r="E45" s="6">
        <v>7.12</v>
      </c>
      <c r="F45" s="6">
        <v>2.4900000000000002</v>
      </c>
      <c r="G45" s="6">
        <v>74.09</v>
      </c>
      <c r="H45" s="6">
        <v>28.88</v>
      </c>
      <c r="I45" s="6">
        <v>9.14</v>
      </c>
      <c r="J45" s="6">
        <v>1.38</v>
      </c>
      <c r="K45" s="6">
        <v>52.42</v>
      </c>
      <c r="L45" s="6">
        <v>20.239999999999998</v>
      </c>
      <c r="M45" s="6">
        <v>46.74</v>
      </c>
      <c r="N45" s="6">
        <v>230.9</v>
      </c>
      <c r="O45" s="6">
        <v>0</v>
      </c>
      <c r="P45" s="6">
        <v>0.67</v>
      </c>
      <c r="Q45" s="6">
        <v>4.97</v>
      </c>
    </row>
    <row r="46" spans="1:17" customFormat="1">
      <c r="A46" s="72">
        <v>45307.395833333336</v>
      </c>
      <c r="B46" s="6">
        <v>16.25</v>
      </c>
      <c r="C46" s="6">
        <v>30.08</v>
      </c>
      <c r="D46" s="6">
        <v>30.1</v>
      </c>
      <c r="E46" s="6">
        <v>7.38</v>
      </c>
      <c r="F46" s="6">
        <v>2.4300000000000002</v>
      </c>
      <c r="G46" s="6">
        <v>74.09</v>
      </c>
      <c r="H46" s="6">
        <v>28.88</v>
      </c>
      <c r="I46" s="6">
        <v>9.15</v>
      </c>
      <c r="J46" s="6">
        <v>1.37</v>
      </c>
      <c r="K46" s="6">
        <v>51.97</v>
      </c>
      <c r="L46" s="6">
        <v>21.03</v>
      </c>
      <c r="M46" s="6">
        <v>44.62</v>
      </c>
      <c r="N46" s="6">
        <v>168.3</v>
      </c>
      <c r="O46" s="6">
        <v>0</v>
      </c>
      <c r="P46" s="6">
        <v>0.67</v>
      </c>
      <c r="Q46" s="6">
        <v>4.96</v>
      </c>
    </row>
    <row r="47" spans="1:17" customFormat="1">
      <c r="A47" s="72">
        <v>45307.40625</v>
      </c>
      <c r="B47" s="6">
        <v>15.95</v>
      </c>
      <c r="C47" s="6">
        <v>30.09</v>
      </c>
      <c r="D47" s="6">
        <v>29.86</v>
      </c>
      <c r="E47" s="6">
        <v>7.51</v>
      </c>
      <c r="F47" s="6">
        <v>2.52</v>
      </c>
      <c r="G47" s="6">
        <v>74.09</v>
      </c>
      <c r="H47" s="6">
        <v>28.88</v>
      </c>
      <c r="I47" s="6">
        <v>9.11</v>
      </c>
      <c r="J47" s="6">
        <v>0.7</v>
      </c>
      <c r="K47" s="6">
        <v>64.010000000000005</v>
      </c>
      <c r="L47" s="6">
        <v>22.02</v>
      </c>
      <c r="M47" s="6">
        <v>43.55</v>
      </c>
      <c r="N47" s="6">
        <v>138.80000000000001</v>
      </c>
      <c r="O47" s="6">
        <v>0</v>
      </c>
      <c r="P47" s="6">
        <v>0.67</v>
      </c>
      <c r="Q47" s="6">
        <v>4.97</v>
      </c>
    </row>
    <row r="48" spans="1:17" customFormat="1">
      <c r="A48" s="72">
        <v>45307.416666666664</v>
      </c>
      <c r="B48" s="6">
        <v>15.62</v>
      </c>
      <c r="C48" s="6">
        <v>28.07</v>
      </c>
      <c r="D48" s="6">
        <v>28.54</v>
      </c>
      <c r="E48" s="6">
        <v>8.08</v>
      </c>
      <c r="F48" s="6">
        <v>2.6</v>
      </c>
      <c r="G48" s="6">
        <v>73.48</v>
      </c>
      <c r="H48" s="6">
        <v>28.66</v>
      </c>
      <c r="I48" s="6">
        <v>9.08</v>
      </c>
      <c r="J48" s="6">
        <v>0.68</v>
      </c>
      <c r="K48" s="6">
        <v>90.08</v>
      </c>
      <c r="L48" s="6">
        <v>23.01</v>
      </c>
      <c r="M48" s="6">
        <v>42.29</v>
      </c>
      <c r="N48" s="6">
        <v>246.8</v>
      </c>
      <c r="O48" s="6">
        <v>0</v>
      </c>
      <c r="P48" s="6">
        <v>0.66</v>
      </c>
      <c r="Q48" s="6">
        <v>4.97</v>
      </c>
    </row>
    <row r="49" spans="1:17" customFormat="1">
      <c r="A49" s="72">
        <v>45307.427083333336</v>
      </c>
      <c r="B49" s="6">
        <v>14.91</v>
      </c>
      <c r="C49" s="6">
        <v>28.89</v>
      </c>
      <c r="D49" s="6">
        <v>28.4</v>
      </c>
      <c r="E49" s="6">
        <v>7.45</v>
      </c>
      <c r="F49" s="6">
        <v>2.5299999999999998</v>
      </c>
      <c r="G49" s="6">
        <v>70.87</v>
      </c>
      <c r="H49" s="6">
        <v>27.98</v>
      </c>
      <c r="I49" s="6">
        <v>9.07</v>
      </c>
      <c r="J49" s="6">
        <v>0.68</v>
      </c>
      <c r="K49" s="6">
        <v>66.66</v>
      </c>
      <c r="L49" s="6">
        <v>23.12</v>
      </c>
      <c r="M49" s="6">
        <v>42.65</v>
      </c>
      <c r="N49" s="6">
        <v>319.39999999999998</v>
      </c>
      <c r="O49" s="6">
        <v>0</v>
      </c>
      <c r="P49" s="6">
        <v>0.65</v>
      </c>
      <c r="Q49" s="6">
        <v>4.9400000000000004</v>
      </c>
    </row>
    <row r="50" spans="1:17" customFormat="1">
      <c r="A50" s="72">
        <v>45307.4375</v>
      </c>
      <c r="B50" s="6">
        <v>14.22</v>
      </c>
      <c r="C50" s="6">
        <v>28.66</v>
      </c>
      <c r="D50" s="6">
        <v>27.73</v>
      </c>
      <c r="E50" s="6">
        <v>8.0500000000000007</v>
      </c>
      <c r="F50" s="6">
        <v>2.52</v>
      </c>
      <c r="G50" s="6">
        <v>70.87</v>
      </c>
      <c r="H50" s="6">
        <v>27.98</v>
      </c>
      <c r="I50" s="6">
        <v>8.94</v>
      </c>
      <c r="J50" s="6">
        <v>0.95</v>
      </c>
      <c r="K50" s="6">
        <v>74.41</v>
      </c>
      <c r="L50" s="6">
        <v>23.34</v>
      </c>
      <c r="M50" s="6">
        <v>42.57</v>
      </c>
      <c r="N50" s="6">
        <v>338.7</v>
      </c>
      <c r="O50" s="6">
        <v>0</v>
      </c>
      <c r="P50" s="6">
        <v>0.66</v>
      </c>
      <c r="Q50" s="6">
        <v>4.9400000000000004</v>
      </c>
    </row>
    <row r="51" spans="1:17" customFormat="1">
      <c r="A51" s="72">
        <v>45307.447916666664</v>
      </c>
      <c r="B51" s="6">
        <v>13.72</v>
      </c>
      <c r="C51" s="6">
        <v>27.64</v>
      </c>
      <c r="D51" s="6">
        <v>27.28</v>
      </c>
      <c r="E51" s="6">
        <v>8.27</v>
      </c>
      <c r="F51" s="6">
        <v>2.82</v>
      </c>
      <c r="G51" s="6">
        <v>70.87</v>
      </c>
      <c r="H51" s="6">
        <v>27.98</v>
      </c>
      <c r="I51" s="6">
        <v>8.77</v>
      </c>
      <c r="J51" s="6">
        <v>0.9</v>
      </c>
      <c r="K51" s="6">
        <v>50.94</v>
      </c>
      <c r="L51" s="6">
        <v>23.97</v>
      </c>
      <c r="M51" s="6">
        <v>41.09</v>
      </c>
      <c r="N51" s="6">
        <v>354</v>
      </c>
      <c r="O51" s="6">
        <v>0</v>
      </c>
      <c r="P51" s="6">
        <v>0.63</v>
      </c>
      <c r="Q51" s="6">
        <v>4.9400000000000004</v>
      </c>
    </row>
    <row r="52" spans="1:17" customFormat="1">
      <c r="A52" s="72">
        <v>45307.458333333336</v>
      </c>
      <c r="B52" s="135" t="s">
        <v>12</v>
      </c>
      <c r="C52" s="135" t="s">
        <v>12</v>
      </c>
      <c r="D52" s="135" t="s">
        <v>12</v>
      </c>
      <c r="E52" s="135" t="s">
        <v>12</v>
      </c>
      <c r="F52" s="135" t="s">
        <v>12</v>
      </c>
      <c r="G52" s="135" t="s">
        <v>12</v>
      </c>
      <c r="H52" s="135" t="s">
        <v>12</v>
      </c>
      <c r="I52" s="6">
        <v>8.67</v>
      </c>
      <c r="J52" s="6">
        <v>1.03</v>
      </c>
      <c r="K52" s="6">
        <v>63.73</v>
      </c>
      <c r="L52" s="6">
        <v>24.36</v>
      </c>
      <c r="M52" s="6">
        <v>40.35</v>
      </c>
      <c r="N52" s="6">
        <v>367.4</v>
      </c>
      <c r="O52" s="6">
        <v>0</v>
      </c>
      <c r="P52" s="135" t="s">
        <v>12</v>
      </c>
      <c r="Q52" s="6">
        <v>4.93</v>
      </c>
    </row>
    <row r="53" spans="1:17" customFormat="1">
      <c r="A53" s="72">
        <v>45307.46875</v>
      </c>
      <c r="B53" s="6">
        <v>5.34</v>
      </c>
      <c r="C53" s="6">
        <v>18.39</v>
      </c>
      <c r="D53" s="6">
        <v>15.14</v>
      </c>
      <c r="E53" s="6">
        <v>8.17</v>
      </c>
      <c r="F53" s="6">
        <v>8.43</v>
      </c>
      <c r="G53" s="135" t="s">
        <v>12</v>
      </c>
      <c r="H53" s="135" t="s">
        <v>12</v>
      </c>
      <c r="I53" s="6">
        <v>9.2799999999999994</v>
      </c>
      <c r="J53" s="6">
        <v>0.74</v>
      </c>
      <c r="K53" s="6">
        <v>66.260000000000005</v>
      </c>
      <c r="L53" s="6">
        <v>24.75</v>
      </c>
      <c r="M53" s="6">
        <v>40.44</v>
      </c>
      <c r="N53" s="6">
        <v>349</v>
      </c>
      <c r="O53" s="6">
        <v>0</v>
      </c>
      <c r="P53" s="6">
        <v>0.65</v>
      </c>
      <c r="Q53" s="6">
        <v>4.88</v>
      </c>
    </row>
    <row r="54" spans="1:17" customFormat="1">
      <c r="A54" s="72">
        <v>45307.479166666664</v>
      </c>
      <c r="B54" s="6">
        <v>4.9800000000000004</v>
      </c>
      <c r="C54" s="6">
        <v>24.61</v>
      </c>
      <c r="D54" s="6">
        <v>18.2</v>
      </c>
      <c r="E54" s="6">
        <v>12.1</v>
      </c>
      <c r="F54" s="6">
        <v>9.85</v>
      </c>
      <c r="G54" s="135" t="s">
        <v>12</v>
      </c>
      <c r="H54" s="135" t="s">
        <v>12</v>
      </c>
      <c r="I54" s="6">
        <v>13.55</v>
      </c>
      <c r="J54" s="6">
        <v>0.94</v>
      </c>
      <c r="K54" s="6">
        <v>56.59</v>
      </c>
      <c r="L54" s="6">
        <v>25.18</v>
      </c>
      <c r="M54" s="6">
        <v>39.49</v>
      </c>
      <c r="N54" s="6">
        <v>378.3</v>
      </c>
      <c r="O54" s="6">
        <v>0</v>
      </c>
      <c r="P54" s="6">
        <v>0.7</v>
      </c>
      <c r="Q54" s="6">
        <v>4.8600000000000003</v>
      </c>
    </row>
    <row r="55" spans="1:17" customFormat="1">
      <c r="A55" s="72">
        <v>45307.489583333336</v>
      </c>
      <c r="B55" s="6">
        <v>3.95</v>
      </c>
      <c r="C55" s="6">
        <v>25.48</v>
      </c>
      <c r="D55" s="6">
        <v>17.829999999999998</v>
      </c>
      <c r="E55" s="6">
        <v>10.11</v>
      </c>
      <c r="F55" s="6">
        <v>7.9</v>
      </c>
      <c r="G55" s="135" t="s">
        <v>12</v>
      </c>
      <c r="H55" s="135" t="s">
        <v>12</v>
      </c>
      <c r="I55" s="6">
        <v>17.95</v>
      </c>
      <c r="J55" s="6">
        <v>0.99</v>
      </c>
      <c r="K55" s="6">
        <v>48.56</v>
      </c>
      <c r="L55" s="6">
        <v>25.11</v>
      </c>
      <c r="M55" s="6">
        <v>39.97</v>
      </c>
      <c r="N55" s="6">
        <v>384.8</v>
      </c>
      <c r="O55" s="6">
        <v>0</v>
      </c>
      <c r="P55" s="6">
        <v>0.69</v>
      </c>
      <c r="Q55" s="6">
        <v>4.84</v>
      </c>
    </row>
    <row r="56" spans="1:17" customFormat="1">
      <c r="A56" s="72">
        <v>45307.5</v>
      </c>
      <c r="B56" s="6">
        <v>3.88</v>
      </c>
      <c r="C56" s="6">
        <v>25.43</v>
      </c>
      <c r="D56" s="6">
        <v>17.739999999999998</v>
      </c>
      <c r="E56" s="6">
        <v>8.49</v>
      </c>
      <c r="F56" s="6">
        <v>5.75</v>
      </c>
      <c r="G56" s="135" t="s">
        <v>12</v>
      </c>
      <c r="H56" s="135" t="s">
        <v>12</v>
      </c>
      <c r="I56" s="6">
        <v>17.77</v>
      </c>
      <c r="J56" s="6">
        <v>0.28000000000000003</v>
      </c>
      <c r="K56" s="6">
        <v>81.39</v>
      </c>
      <c r="L56" s="6">
        <v>26.08</v>
      </c>
      <c r="M56" s="6">
        <v>38.380000000000003</v>
      </c>
      <c r="N56" s="6">
        <v>382.7</v>
      </c>
      <c r="O56" s="6">
        <v>0</v>
      </c>
      <c r="P56" s="6">
        <v>0.68</v>
      </c>
      <c r="Q56" s="6">
        <v>4.83</v>
      </c>
    </row>
    <row r="57" spans="1:17" customFormat="1">
      <c r="A57" s="72">
        <v>45307.510416666664</v>
      </c>
      <c r="B57" s="6">
        <v>4.04</v>
      </c>
      <c r="C57" s="6">
        <v>24.68</v>
      </c>
      <c r="D57" s="6">
        <v>17.48</v>
      </c>
      <c r="E57" s="6">
        <v>8.2200000000000006</v>
      </c>
      <c r="F57" s="6">
        <v>5.05</v>
      </c>
      <c r="G57" s="135" t="s">
        <v>12</v>
      </c>
      <c r="H57" s="135" t="s">
        <v>12</v>
      </c>
      <c r="I57" s="6">
        <v>16.37</v>
      </c>
      <c r="J57" s="6">
        <v>0.16</v>
      </c>
      <c r="K57" s="6">
        <v>247.33</v>
      </c>
      <c r="L57" s="6">
        <v>26.64</v>
      </c>
      <c r="M57" s="6">
        <v>37.33</v>
      </c>
      <c r="N57" s="6">
        <v>401.5</v>
      </c>
      <c r="O57" s="6">
        <v>0</v>
      </c>
      <c r="P57" s="6">
        <v>0.67</v>
      </c>
      <c r="Q57" s="6">
        <v>4.83</v>
      </c>
    </row>
    <row r="58" spans="1:17" customFormat="1">
      <c r="A58" s="72">
        <v>45307.520833333336</v>
      </c>
      <c r="B58" s="6">
        <v>4.28</v>
      </c>
      <c r="C58" s="6">
        <v>23.37</v>
      </c>
      <c r="D58" s="6">
        <v>16.989999999999998</v>
      </c>
      <c r="E58" s="6">
        <v>8.4700000000000006</v>
      </c>
      <c r="F58" s="6">
        <v>5.18</v>
      </c>
      <c r="G58" s="6">
        <v>42.55</v>
      </c>
      <c r="H58" s="6">
        <v>25.72</v>
      </c>
      <c r="I58" s="6">
        <v>15.74</v>
      </c>
      <c r="J58" s="6">
        <v>0.26</v>
      </c>
      <c r="K58" s="6">
        <v>342.3</v>
      </c>
      <c r="L58" s="6">
        <v>26.98</v>
      </c>
      <c r="M58" s="6">
        <v>36.54</v>
      </c>
      <c r="N58" s="6">
        <v>404.2</v>
      </c>
      <c r="O58" s="6">
        <v>0</v>
      </c>
      <c r="P58" s="6">
        <v>0.67</v>
      </c>
      <c r="Q58" s="6">
        <v>4.79</v>
      </c>
    </row>
    <row r="59" spans="1:17" customFormat="1">
      <c r="A59" s="72">
        <v>45307.53125</v>
      </c>
      <c r="B59" s="6">
        <v>4.37</v>
      </c>
      <c r="C59" s="6">
        <v>22.66</v>
      </c>
      <c r="D59" s="6">
        <v>16.690000000000001</v>
      </c>
      <c r="E59" s="6">
        <v>8.33</v>
      </c>
      <c r="F59" s="6">
        <v>5.14</v>
      </c>
      <c r="G59" s="6">
        <v>47.87</v>
      </c>
      <c r="H59" s="6">
        <v>25.72</v>
      </c>
      <c r="I59" s="6">
        <v>15.24</v>
      </c>
      <c r="J59" s="6">
        <v>0.3</v>
      </c>
      <c r="K59" s="6">
        <v>302.13</v>
      </c>
      <c r="L59" s="6">
        <v>27.47</v>
      </c>
      <c r="M59" s="6">
        <v>36.270000000000003</v>
      </c>
      <c r="N59" s="6">
        <v>395.7</v>
      </c>
      <c r="O59" s="6">
        <v>0</v>
      </c>
      <c r="P59" s="6">
        <v>0.66</v>
      </c>
      <c r="Q59" s="6">
        <v>4.8</v>
      </c>
    </row>
    <row r="60" spans="1:17" customFormat="1">
      <c r="A60" s="72">
        <v>45307.541666666664</v>
      </c>
      <c r="B60" s="6">
        <v>4.3499999999999996</v>
      </c>
      <c r="C60" s="6">
        <v>22.65</v>
      </c>
      <c r="D60" s="6">
        <v>16.68</v>
      </c>
      <c r="E60" s="6">
        <v>8.51</v>
      </c>
      <c r="F60" s="6">
        <v>5.64</v>
      </c>
      <c r="G60" s="6">
        <v>47.87</v>
      </c>
      <c r="H60" s="6">
        <v>25.72</v>
      </c>
      <c r="I60" s="6">
        <v>14.78</v>
      </c>
      <c r="J60" s="6">
        <v>7.0000000000000007E-2</v>
      </c>
      <c r="K60" s="6">
        <v>106.29</v>
      </c>
      <c r="L60" s="6">
        <v>27.83</v>
      </c>
      <c r="M60" s="6">
        <v>35.96</v>
      </c>
      <c r="N60" s="6">
        <v>381.9</v>
      </c>
      <c r="O60" s="6">
        <v>0</v>
      </c>
      <c r="P60" s="6">
        <v>0.66</v>
      </c>
      <c r="Q60" s="6">
        <v>4.8</v>
      </c>
    </row>
    <row r="61" spans="1:17" customFormat="1">
      <c r="A61" s="72">
        <v>45307.552083333336</v>
      </c>
      <c r="B61" s="6">
        <v>4.4400000000000004</v>
      </c>
      <c r="C61" s="6">
        <v>23.47</v>
      </c>
      <c r="D61" s="6">
        <v>17.170000000000002</v>
      </c>
      <c r="E61" s="6">
        <v>9.1300000000000008</v>
      </c>
      <c r="F61" s="6">
        <v>7.2</v>
      </c>
      <c r="G61" s="6">
        <v>47.87</v>
      </c>
      <c r="H61" s="6">
        <v>25.72</v>
      </c>
      <c r="I61" s="6">
        <v>14.31</v>
      </c>
      <c r="J61" s="6">
        <v>0.38</v>
      </c>
      <c r="K61" s="6">
        <v>350.68</v>
      </c>
      <c r="L61" s="6">
        <v>27.82</v>
      </c>
      <c r="M61" s="6">
        <v>36.11</v>
      </c>
      <c r="N61" s="6">
        <v>357.9</v>
      </c>
      <c r="O61" s="6">
        <v>0</v>
      </c>
      <c r="P61" s="6">
        <v>0.66</v>
      </c>
      <c r="Q61" s="6">
        <v>4.8</v>
      </c>
    </row>
    <row r="62" spans="1:17" customFormat="1">
      <c r="A62" s="72">
        <v>45307.5625</v>
      </c>
      <c r="B62" s="6">
        <v>4.45</v>
      </c>
      <c r="C62" s="6">
        <v>23.31</v>
      </c>
      <c r="D62" s="6">
        <v>17.100000000000001</v>
      </c>
      <c r="E62" s="6">
        <v>8.6</v>
      </c>
      <c r="F62" s="6">
        <v>6.28</v>
      </c>
      <c r="G62" s="6">
        <v>49.53</v>
      </c>
      <c r="H62" s="6">
        <v>25.24</v>
      </c>
      <c r="I62" s="6">
        <v>13.71</v>
      </c>
      <c r="J62" s="6">
        <v>0.24</v>
      </c>
      <c r="K62" s="6">
        <v>185</v>
      </c>
      <c r="L62" s="6">
        <v>28.44</v>
      </c>
      <c r="M62" s="6">
        <v>35.96</v>
      </c>
      <c r="N62" s="6">
        <v>356.9</v>
      </c>
      <c r="O62" s="6">
        <v>0</v>
      </c>
      <c r="P62" s="6">
        <v>0.67</v>
      </c>
      <c r="Q62" s="6">
        <v>4.79</v>
      </c>
    </row>
    <row r="63" spans="1:17" customFormat="1">
      <c r="A63" s="72">
        <v>45307.572916666664</v>
      </c>
      <c r="B63" s="6">
        <v>4.54</v>
      </c>
      <c r="C63" s="6">
        <v>23.05</v>
      </c>
      <c r="D63" s="6">
        <v>17.03</v>
      </c>
      <c r="E63" s="6">
        <v>8.42</v>
      </c>
      <c r="F63" s="6">
        <v>6.43</v>
      </c>
      <c r="G63" s="6">
        <v>49.74</v>
      </c>
      <c r="H63" s="6">
        <v>25.24</v>
      </c>
      <c r="I63" s="6">
        <v>13.15</v>
      </c>
      <c r="J63" s="6">
        <v>0.43</v>
      </c>
      <c r="K63" s="6">
        <v>270.33</v>
      </c>
      <c r="L63" s="6">
        <v>28.49</v>
      </c>
      <c r="M63" s="6">
        <v>36.79</v>
      </c>
      <c r="N63" s="6">
        <v>354.6</v>
      </c>
      <c r="O63" s="6">
        <v>0</v>
      </c>
      <c r="P63" s="6">
        <v>0.65</v>
      </c>
      <c r="Q63" s="6">
        <v>4.78</v>
      </c>
    </row>
    <row r="64" spans="1:17" customFormat="1">
      <c r="A64" s="72">
        <v>45307.583333333336</v>
      </c>
      <c r="B64" s="6">
        <v>4.67</v>
      </c>
      <c r="C64" s="6">
        <v>22.65</v>
      </c>
      <c r="D64" s="6">
        <v>16.93</v>
      </c>
      <c r="E64" s="6">
        <v>8.94</v>
      </c>
      <c r="F64" s="6">
        <v>7.24</v>
      </c>
      <c r="G64" s="6">
        <v>49.74</v>
      </c>
      <c r="H64" s="6">
        <v>25.24</v>
      </c>
      <c r="I64" s="6">
        <v>12.7</v>
      </c>
      <c r="J64" s="6">
        <v>0.78</v>
      </c>
      <c r="K64" s="6">
        <v>286.36</v>
      </c>
      <c r="L64" s="6">
        <v>27.94</v>
      </c>
      <c r="M64" s="6">
        <v>37.67</v>
      </c>
      <c r="N64" s="6">
        <v>352.2</v>
      </c>
      <c r="O64" s="6">
        <v>0</v>
      </c>
      <c r="P64" s="6">
        <v>0.65</v>
      </c>
      <c r="Q64" s="6">
        <v>4.8099999999999996</v>
      </c>
    </row>
    <row r="65" spans="1:17" customFormat="1">
      <c r="A65" s="72">
        <v>45307.59375</v>
      </c>
      <c r="B65" s="6">
        <v>4.8</v>
      </c>
      <c r="C65" s="6">
        <v>22.53</v>
      </c>
      <c r="D65" s="6">
        <v>16.97</v>
      </c>
      <c r="E65" s="6">
        <v>8.34</v>
      </c>
      <c r="F65" s="6">
        <v>6.55</v>
      </c>
      <c r="G65" s="6">
        <v>49.74</v>
      </c>
      <c r="H65" s="6">
        <v>25.24</v>
      </c>
      <c r="I65" s="6">
        <v>12.22</v>
      </c>
      <c r="J65" s="6">
        <v>0.82</v>
      </c>
      <c r="K65" s="6">
        <v>288.13</v>
      </c>
      <c r="L65" s="6">
        <v>27.71</v>
      </c>
      <c r="M65" s="6">
        <v>38.200000000000003</v>
      </c>
      <c r="N65" s="6">
        <v>332.3</v>
      </c>
      <c r="O65" s="6">
        <v>0</v>
      </c>
      <c r="P65" s="6">
        <v>0.63</v>
      </c>
      <c r="Q65" s="6">
        <v>4.7699999999999996</v>
      </c>
    </row>
    <row r="66" spans="1:17" customFormat="1">
      <c r="A66" s="72">
        <v>45307.604166666664</v>
      </c>
      <c r="B66" s="6">
        <v>5.03</v>
      </c>
      <c r="C66" s="6">
        <v>22.35</v>
      </c>
      <c r="D66" s="6">
        <v>17.059999999999999</v>
      </c>
      <c r="E66" s="6">
        <v>8.7200000000000006</v>
      </c>
      <c r="F66" s="6">
        <v>6.42</v>
      </c>
      <c r="G66" s="6">
        <v>50.43</v>
      </c>
      <c r="H66" s="6">
        <v>27.09</v>
      </c>
      <c r="I66" s="6">
        <v>11.75</v>
      </c>
      <c r="J66" s="6">
        <v>0.61</v>
      </c>
      <c r="K66" s="6">
        <v>285.57</v>
      </c>
      <c r="L66" s="6">
        <v>27.72</v>
      </c>
      <c r="M66" s="6">
        <v>38.32</v>
      </c>
      <c r="N66" s="6">
        <v>132.5</v>
      </c>
      <c r="O66" s="6">
        <v>0</v>
      </c>
      <c r="P66" s="6">
        <v>0.65</v>
      </c>
      <c r="Q66" s="6">
        <v>4.76</v>
      </c>
    </row>
    <row r="67" spans="1:17" customFormat="1">
      <c r="A67" s="72">
        <v>45307.614583333336</v>
      </c>
      <c r="B67" s="6">
        <v>5.08</v>
      </c>
      <c r="C67" s="6">
        <v>22.33</v>
      </c>
      <c r="D67" s="6">
        <v>17.100000000000001</v>
      </c>
      <c r="E67" s="6">
        <v>9.2100000000000009</v>
      </c>
      <c r="F67" s="6">
        <v>7.51</v>
      </c>
      <c r="G67" s="6">
        <v>50.52</v>
      </c>
      <c r="H67" s="6">
        <v>27.09</v>
      </c>
      <c r="I67" s="6">
        <v>11.33</v>
      </c>
      <c r="J67" s="6">
        <v>0.57999999999999996</v>
      </c>
      <c r="K67" s="6">
        <v>272.86</v>
      </c>
      <c r="L67" s="6">
        <v>27.47</v>
      </c>
      <c r="M67" s="6">
        <v>38.44</v>
      </c>
      <c r="N67" s="6">
        <v>93.8</v>
      </c>
      <c r="O67" s="6">
        <v>0</v>
      </c>
      <c r="P67" s="6">
        <v>0.64</v>
      </c>
      <c r="Q67" s="6">
        <v>4.7699999999999996</v>
      </c>
    </row>
    <row r="68" spans="1:17" customFormat="1">
      <c r="A68" s="72">
        <v>45307.625</v>
      </c>
      <c r="B68" s="6">
        <v>5.12</v>
      </c>
      <c r="C68" s="6">
        <v>22.4</v>
      </c>
      <c r="D68" s="6">
        <v>17.16</v>
      </c>
      <c r="E68" s="6">
        <v>9.1</v>
      </c>
      <c r="F68" s="6">
        <v>7.16</v>
      </c>
      <c r="G68" s="6">
        <v>50.52</v>
      </c>
      <c r="H68" s="6">
        <v>27.09</v>
      </c>
      <c r="I68" s="6">
        <v>10.89</v>
      </c>
      <c r="J68" s="6">
        <v>0.25</v>
      </c>
      <c r="K68" s="6">
        <v>244.54</v>
      </c>
      <c r="L68" s="6">
        <v>27.59</v>
      </c>
      <c r="M68" s="6">
        <v>38.72</v>
      </c>
      <c r="N68" s="6">
        <v>76.3</v>
      </c>
      <c r="O68" s="6">
        <v>0</v>
      </c>
      <c r="P68" s="6">
        <v>0.63</v>
      </c>
      <c r="Q68" s="6">
        <v>4.78</v>
      </c>
    </row>
    <row r="69" spans="1:17" customFormat="1">
      <c r="A69" s="72">
        <v>45307.635416666664</v>
      </c>
      <c r="B69" s="6">
        <v>5.19</v>
      </c>
      <c r="C69" s="6">
        <v>22.01</v>
      </c>
      <c r="D69" s="6">
        <v>17.010000000000002</v>
      </c>
      <c r="E69" s="6">
        <v>9.16</v>
      </c>
      <c r="F69" s="6">
        <v>6.63</v>
      </c>
      <c r="G69" s="6">
        <v>50.52</v>
      </c>
      <c r="H69" s="6">
        <v>27.09</v>
      </c>
      <c r="I69" s="6">
        <v>10.51</v>
      </c>
      <c r="J69" s="6">
        <v>0.21</v>
      </c>
      <c r="K69" s="6">
        <v>219.62</v>
      </c>
      <c r="L69" s="6">
        <v>27.48</v>
      </c>
      <c r="M69" s="6">
        <v>39.450000000000003</v>
      </c>
      <c r="N69" s="6">
        <v>66.400000000000006</v>
      </c>
      <c r="O69" s="6">
        <v>0</v>
      </c>
      <c r="P69" s="6">
        <v>0.63</v>
      </c>
      <c r="Q69" s="6">
        <v>4.8</v>
      </c>
    </row>
    <row r="70" spans="1:17" customFormat="1">
      <c r="A70" s="72">
        <v>45307.645833333336</v>
      </c>
      <c r="B70" s="6">
        <v>5.3</v>
      </c>
      <c r="C70" s="6">
        <v>21.83</v>
      </c>
      <c r="D70" s="6">
        <v>17.010000000000002</v>
      </c>
      <c r="E70" s="6">
        <v>8.58</v>
      </c>
      <c r="F70" s="6">
        <v>7.12</v>
      </c>
      <c r="G70" s="6">
        <v>50.3</v>
      </c>
      <c r="H70" s="6">
        <v>25.31</v>
      </c>
      <c r="I70" s="6">
        <v>10.16</v>
      </c>
      <c r="J70" s="6">
        <v>0.37</v>
      </c>
      <c r="K70" s="6">
        <v>284.56</v>
      </c>
      <c r="L70" s="6">
        <v>27.37</v>
      </c>
      <c r="M70" s="6">
        <v>38.909999999999997</v>
      </c>
      <c r="N70" s="6">
        <v>70.5</v>
      </c>
      <c r="O70" s="6">
        <v>0</v>
      </c>
      <c r="P70" s="6">
        <v>0.63</v>
      </c>
      <c r="Q70" s="6">
        <v>4.7699999999999996</v>
      </c>
    </row>
    <row r="71" spans="1:17" customFormat="1">
      <c r="A71" s="72">
        <v>45307.65625</v>
      </c>
      <c r="B71" s="6">
        <v>5.41</v>
      </c>
      <c r="C71" s="6">
        <v>21.77</v>
      </c>
      <c r="D71" s="6">
        <v>17.059999999999999</v>
      </c>
      <c r="E71" s="6">
        <v>8.93</v>
      </c>
      <c r="F71" s="6">
        <v>6.62</v>
      </c>
      <c r="G71" s="6">
        <v>50.27</v>
      </c>
      <c r="H71" s="6">
        <v>25.31</v>
      </c>
      <c r="I71" s="6">
        <v>9.86</v>
      </c>
      <c r="J71" s="6">
        <v>0.21</v>
      </c>
      <c r="K71" s="6">
        <v>237.77</v>
      </c>
      <c r="L71" s="6">
        <v>27.21</v>
      </c>
      <c r="M71" s="6">
        <v>38.82</v>
      </c>
      <c r="N71" s="6">
        <v>57.2</v>
      </c>
      <c r="O71" s="6">
        <v>0</v>
      </c>
      <c r="P71" s="6">
        <v>0.62</v>
      </c>
      <c r="Q71" s="6">
        <v>4.78</v>
      </c>
    </row>
    <row r="72" spans="1:17" customFormat="1">
      <c r="A72" s="72">
        <v>45307.666666666664</v>
      </c>
      <c r="B72" s="6">
        <v>5.43</v>
      </c>
      <c r="C72" s="6">
        <v>21.76</v>
      </c>
      <c r="D72" s="6">
        <v>17.079999999999998</v>
      </c>
      <c r="E72" s="6">
        <v>9.5399999999999991</v>
      </c>
      <c r="F72" s="6">
        <v>6.54</v>
      </c>
      <c r="G72" s="6">
        <v>50.27</v>
      </c>
      <c r="H72" s="6">
        <v>25.31</v>
      </c>
      <c r="I72" s="6">
        <v>9.6</v>
      </c>
      <c r="J72" s="6">
        <v>0.51</v>
      </c>
      <c r="K72" s="6">
        <v>287.66000000000003</v>
      </c>
      <c r="L72" s="6">
        <v>26.96</v>
      </c>
      <c r="M72" s="6">
        <v>39.090000000000003</v>
      </c>
      <c r="N72" s="6">
        <v>47.1</v>
      </c>
      <c r="O72" s="6">
        <v>0</v>
      </c>
      <c r="P72" s="6">
        <v>0.61</v>
      </c>
      <c r="Q72" s="6">
        <v>4.76</v>
      </c>
    </row>
    <row r="73" spans="1:17" customFormat="1">
      <c r="A73" s="72">
        <v>45307.677083333336</v>
      </c>
      <c r="B73" s="6">
        <v>5.57</v>
      </c>
      <c r="C73" s="6">
        <v>21.7</v>
      </c>
      <c r="D73" s="6">
        <v>17.16</v>
      </c>
      <c r="E73" s="6">
        <v>8.84</v>
      </c>
      <c r="F73" s="6">
        <v>6.03</v>
      </c>
      <c r="G73" s="6">
        <v>50.27</v>
      </c>
      <c r="H73" s="6">
        <v>25.31</v>
      </c>
      <c r="I73" s="6">
        <v>9.3000000000000007</v>
      </c>
      <c r="J73" s="6">
        <v>0.18</v>
      </c>
      <c r="K73" s="6">
        <v>174.81</v>
      </c>
      <c r="L73" s="6">
        <v>26.86</v>
      </c>
      <c r="M73" s="6">
        <v>40.799999999999997</v>
      </c>
      <c r="N73" s="6">
        <v>36.700000000000003</v>
      </c>
      <c r="O73" s="6">
        <v>0</v>
      </c>
      <c r="P73" s="6">
        <v>0.62</v>
      </c>
      <c r="Q73" s="6">
        <v>4.7699999999999996</v>
      </c>
    </row>
    <row r="74" spans="1:17" customFormat="1">
      <c r="A74" s="72">
        <v>45307.6875</v>
      </c>
      <c r="B74" s="6">
        <v>5.66</v>
      </c>
      <c r="C74" s="6">
        <v>21.64</v>
      </c>
      <c r="D74" s="6">
        <v>17.2</v>
      </c>
      <c r="E74" s="6">
        <v>9.3000000000000007</v>
      </c>
      <c r="F74" s="6">
        <v>6.1</v>
      </c>
      <c r="G74" s="6">
        <v>50.38</v>
      </c>
      <c r="H74" s="6">
        <v>25.88</v>
      </c>
      <c r="I74" s="6">
        <v>9.0399999999999991</v>
      </c>
      <c r="J74" s="6">
        <v>0.22</v>
      </c>
      <c r="K74" s="6">
        <v>175.8</v>
      </c>
      <c r="L74" s="6">
        <v>26.55</v>
      </c>
      <c r="M74" s="6">
        <v>42.2</v>
      </c>
      <c r="N74" s="6">
        <v>29.6</v>
      </c>
      <c r="O74" s="6">
        <v>0</v>
      </c>
      <c r="P74" s="6">
        <v>0.61</v>
      </c>
      <c r="Q74" s="6">
        <v>4.78</v>
      </c>
    </row>
    <row r="75" spans="1:17" customFormat="1">
      <c r="A75" s="72">
        <v>45307.697916666664</v>
      </c>
      <c r="B75" s="6">
        <v>5.66</v>
      </c>
      <c r="C75" s="6">
        <v>21.61</v>
      </c>
      <c r="D75" s="6">
        <v>17.18</v>
      </c>
      <c r="E75" s="6">
        <v>8.81</v>
      </c>
      <c r="F75" s="6">
        <v>5.89</v>
      </c>
      <c r="G75" s="6">
        <v>50.39</v>
      </c>
      <c r="H75" s="6">
        <v>25.88</v>
      </c>
      <c r="I75" s="6">
        <v>8.77</v>
      </c>
      <c r="J75" s="6">
        <v>0.14000000000000001</v>
      </c>
      <c r="K75" s="6">
        <v>147.28</v>
      </c>
      <c r="L75" s="6">
        <v>26.1</v>
      </c>
      <c r="M75" s="6">
        <v>43.25</v>
      </c>
      <c r="N75" s="6">
        <v>21</v>
      </c>
      <c r="O75" s="6">
        <v>0</v>
      </c>
      <c r="P75" s="6">
        <v>0.6</v>
      </c>
      <c r="Q75" s="6">
        <v>4.76</v>
      </c>
    </row>
    <row r="76" spans="1:17" customFormat="1">
      <c r="A76" s="72">
        <v>45307.708333333336</v>
      </c>
      <c r="B76" s="6">
        <v>5.69</v>
      </c>
      <c r="C76" s="6">
        <v>21.59</v>
      </c>
      <c r="D76" s="6">
        <v>17.190000000000001</v>
      </c>
      <c r="E76" s="6">
        <v>9.26</v>
      </c>
      <c r="F76" s="6">
        <v>5.94</v>
      </c>
      <c r="G76" s="6">
        <v>50.39</v>
      </c>
      <c r="H76" s="6">
        <v>25.88</v>
      </c>
      <c r="I76" s="6">
        <v>8.5399999999999991</v>
      </c>
      <c r="J76" s="6">
        <v>0.25</v>
      </c>
      <c r="K76" s="6">
        <v>179.68</v>
      </c>
      <c r="L76" s="6">
        <v>25.82</v>
      </c>
      <c r="M76" s="6">
        <v>43.86</v>
      </c>
      <c r="N76" s="6">
        <v>10.6</v>
      </c>
      <c r="O76" s="6">
        <v>0</v>
      </c>
      <c r="P76" s="6">
        <v>0.6</v>
      </c>
      <c r="Q76" s="6">
        <v>4.75</v>
      </c>
    </row>
    <row r="77" spans="1:17" customFormat="1">
      <c r="A77" s="72">
        <v>45307.71875</v>
      </c>
      <c r="B77" s="6">
        <v>5.73</v>
      </c>
      <c r="C77" s="6">
        <v>21.64</v>
      </c>
      <c r="D77" s="6">
        <v>17.25</v>
      </c>
      <c r="E77" s="6">
        <v>9.3800000000000008</v>
      </c>
      <c r="F77" s="6">
        <v>6.09</v>
      </c>
      <c r="G77" s="6">
        <v>50.39</v>
      </c>
      <c r="H77" s="6">
        <v>25.88</v>
      </c>
      <c r="I77" s="6">
        <v>8.34</v>
      </c>
      <c r="J77" s="6">
        <v>0.05</v>
      </c>
      <c r="K77" s="6">
        <v>125.42</v>
      </c>
      <c r="L77" s="6">
        <v>25.29</v>
      </c>
      <c r="M77" s="6">
        <v>45.52</v>
      </c>
      <c r="N77" s="6">
        <v>3.2</v>
      </c>
      <c r="O77" s="6">
        <v>0</v>
      </c>
      <c r="P77" s="6">
        <v>0.6</v>
      </c>
      <c r="Q77" s="6">
        <v>4.7699999999999996</v>
      </c>
    </row>
    <row r="78" spans="1:17" customFormat="1">
      <c r="A78" s="72">
        <v>45307.729166666664</v>
      </c>
      <c r="B78" s="6">
        <v>5.91</v>
      </c>
      <c r="C78" s="6">
        <v>22.62</v>
      </c>
      <c r="D78" s="6">
        <v>17.91</v>
      </c>
      <c r="E78" s="6">
        <v>9.5500000000000007</v>
      </c>
      <c r="F78" s="6">
        <v>5.32</v>
      </c>
      <c r="G78" s="6">
        <v>49.53</v>
      </c>
      <c r="H78" s="6">
        <v>26.99</v>
      </c>
      <c r="I78" s="6">
        <v>8.1199999999999992</v>
      </c>
      <c r="J78" s="6">
        <v>0.2</v>
      </c>
      <c r="K78" s="6">
        <v>45.73</v>
      </c>
      <c r="L78" s="6">
        <v>25</v>
      </c>
      <c r="M78" s="6">
        <v>45.98</v>
      </c>
      <c r="N78" s="6">
        <v>0</v>
      </c>
      <c r="O78" s="6">
        <v>0</v>
      </c>
      <c r="P78" s="6">
        <v>0.61</v>
      </c>
      <c r="Q78" s="6">
        <v>4.75</v>
      </c>
    </row>
    <row r="79" spans="1:17" customFormat="1">
      <c r="A79" s="72">
        <v>45307.739583333336</v>
      </c>
      <c r="B79" s="6">
        <v>6.16</v>
      </c>
      <c r="C79" s="6">
        <v>24.21</v>
      </c>
      <c r="D79" s="6">
        <v>18.940000000000001</v>
      </c>
      <c r="E79" s="6">
        <v>9.5</v>
      </c>
      <c r="F79" s="6">
        <v>4.28</v>
      </c>
      <c r="G79" s="6">
        <v>49.42</v>
      </c>
      <c r="H79" s="6">
        <v>26.99</v>
      </c>
      <c r="I79" s="6">
        <v>7.94</v>
      </c>
      <c r="J79" s="6">
        <v>0.17</v>
      </c>
      <c r="K79" s="6">
        <v>0.78</v>
      </c>
      <c r="L79" s="6">
        <v>24.76</v>
      </c>
      <c r="M79" s="6">
        <v>46.27</v>
      </c>
      <c r="N79" s="6">
        <v>0</v>
      </c>
      <c r="O79" s="6">
        <v>0</v>
      </c>
      <c r="P79" s="6">
        <v>0.64</v>
      </c>
      <c r="Q79" s="6">
        <v>4.7699999999999996</v>
      </c>
    </row>
    <row r="80" spans="1:17" customFormat="1">
      <c r="A80" s="72">
        <v>45307.75</v>
      </c>
      <c r="B80" s="6">
        <v>6.7</v>
      </c>
      <c r="C80" s="6">
        <v>27.18</v>
      </c>
      <c r="D80" s="6">
        <v>20.93</v>
      </c>
      <c r="E80" s="6">
        <v>9.36</v>
      </c>
      <c r="F80" s="6">
        <v>3.7</v>
      </c>
      <c r="G80" s="6">
        <v>49.42</v>
      </c>
      <c r="H80" s="6">
        <v>26.99</v>
      </c>
      <c r="I80" s="6">
        <v>7.87</v>
      </c>
      <c r="J80" s="6">
        <v>0.68</v>
      </c>
      <c r="K80" s="6">
        <v>45.65</v>
      </c>
      <c r="L80" s="6">
        <v>24.33</v>
      </c>
      <c r="M80" s="6">
        <v>47.35</v>
      </c>
      <c r="N80" s="6">
        <v>0</v>
      </c>
      <c r="O80" s="6">
        <v>0</v>
      </c>
      <c r="P80" s="6">
        <v>0.66</v>
      </c>
      <c r="Q80" s="6">
        <v>4.76</v>
      </c>
    </row>
    <row r="81" spans="1:17" customFormat="1">
      <c r="A81" s="72">
        <v>45307.760416666664</v>
      </c>
      <c r="B81" s="6">
        <v>7.3</v>
      </c>
      <c r="C81" s="6">
        <v>26.52</v>
      </c>
      <c r="D81" s="6">
        <v>21.06</v>
      </c>
      <c r="E81" s="6">
        <v>5.89</v>
      </c>
      <c r="F81" s="6">
        <v>3.83</v>
      </c>
      <c r="G81" s="6">
        <v>49.42</v>
      </c>
      <c r="H81" s="6">
        <v>26.99</v>
      </c>
      <c r="I81" s="6">
        <v>7.94</v>
      </c>
      <c r="J81" s="6">
        <v>0.77</v>
      </c>
      <c r="K81" s="6">
        <v>45.33</v>
      </c>
      <c r="L81" s="6">
        <v>24.06</v>
      </c>
      <c r="M81" s="6">
        <v>47.48</v>
      </c>
      <c r="N81" s="6">
        <v>0</v>
      </c>
      <c r="O81" s="6">
        <v>0</v>
      </c>
      <c r="P81" s="6">
        <v>0.69</v>
      </c>
      <c r="Q81" s="6">
        <v>4.7699999999999996</v>
      </c>
    </row>
    <row r="82" spans="1:17" customFormat="1">
      <c r="A82" s="72">
        <v>45307.770833333336</v>
      </c>
      <c r="B82" s="6">
        <v>7.82</v>
      </c>
      <c r="C82" s="6">
        <v>24.93</v>
      </c>
      <c r="D82" s="6">
        <v>20.65</v>
      </c>
      <c r="E82" s="6">
        <v>7.09</v>
      </c>
      <c r="F82" s="6">
        <v>3.69</v>
      </c>
      <c r="G82" s="6">
        <v>131.06</v>
      </c>
      <c r="H82" s="6">
        <v>33.78</v>
      </c>
      <c r="I82" s="6">
        <v>8.11</v>
      </c>
      <c r="J82" s="6">
        <v>0.81</v>
      </c>
      <c r="K82" s="6">
        <v>50.64</v>
      </c>
      <c r="L82" s="6">
        <v>23.66</v>
      </c>
      <c r="M82" s="6">
        <v>49.26</v>
      </c>
      <c r="N82" s="6">
        <v>0</v>
      </c>
      <c r="O82" s="6">
        <v>0</v>
      </c>
      <c r="P82" s="6">
        <v>0.7</v>
      </c>
      <c r="Q82" s="6">
        <v>4.8</v>
      </c>
    </row>
    <row r="83" spans="1:17" customFormat="1">
      <c r="A83" s="72">
        <v>45307.78125</v>
      </c>
      <c r="B83" s="6">
        <v>8.32</v>
      </c>
      <c r="C83" s="6">
        <v>23.8</v>
      </c>
      <c r="D83" s="6">
        <v>20.46</v>
      </c>
      <c r="E83" s="6">
        <v>6.74</v>
      </c>
      <c r="F83" s="6">
        <v>3.66</v>
      </c>
      <c r="G83" s="6">
        <v>141.26</v>
      </c>
      <c r="H83" s="6">
        <v>33.78</v>
      </c>
      <c r="I83" s="6">
        <v>8.26</v>
      </c>
      <c r="J83" s="6">
        <v>0.54</v>
      </c>
      <c r="K83" s="6">
        <v>57.32</v>
      </c>
      <c r="L83" s="6">
        <v>23.26</v>
      </c>
      <c r="M83" s="6">
        <v>50.79</v>
      </c>
      <c r="N83" s="6">
        <v>0</v>
      </c>
      <c r="O83" s="6">
        <v>0</v>
      </c>
      <c r="P83" s="6">
        <v>0.71</v>
      </c>
      <c r="Q83" s="6">
        <v>4.8099999999999996</v>
      </c>
    </row>
    <row r="84" spans="1:17" customFormat="1">
      <c r="A84" s="72">
        <v>45307.791666666664</v>
      </c>
      <c r="B84" s="6">
        <v>8.77</v>
      </c>
      <c r="C84" s="6">
        <v>24.32</v>
      </c>
      <c r="D84" s="6">
        <v>21.09</v>
      </c>
      <c r="E84" s="6">
        <v>6.96</v>
      </c>
      <c r="F84" s="6">
        <v>3.61</v>
      </c>
      <c r="G84" s="6">
        <v>141.26</v>
      </c>
      <c r="H84" s="6">
        <v>33.78</v>
      </c>
      <c r="I84" s="6">
        <v>8.42</v>
      </c>
      <c r="J84" s="6">
        <v>0.73</v>
      </c>
      <c r="K84" s="6">
        <v>58.8</v>
      </c>
      <c r="L84" s="6">
        <v>22.98</v>
      </c>
      <c r="M84" s="6">
        <v>51.79</v>
      </c>
      <c r="N84" s="6">
        <v>0</v>
      </c>
      <c r="O84" s="6">
        <v>0</v>
      </c>
      <c r="P84" s="6">
        <v>0.73</v>
      </c>
      <c r="Q84" s="6">
        <v>4.82</v>
      </c>
    </row>
    <row r="85" spans="1:17" customFormat="1">
      <c r="A85" s="72">
        <v>45307.802083333336</v>
      </c>
      <c r="B85" s="6">
        <v>9.4</v>
      </c>
      <c r="C85" s="6">
        <v>25.67</v>
      </c>
      <c r="D85" s="6">
        <v>22.3</v>
      </c>
      <c r="E85" s="6">
        <v>6.78</v>
      </c>
      <c r="F85" s="6">
        <v>3.44</v>
      </c>
      <c r="G85" s="6">
        <v>141.26</v>
      </c>
      <c r="H85" s="6">
        <v>33.78</v>
      </c>
      <c r="I85" s="6">
        <v>8.56</v>
      </c>
      <c r="J85" s="6">
        <v>0.65</v>
      </c>
      <c r="K85" s="6">
        <v>55.03</v>
      </c>
      <c r="L85" s="6">
        <v>22.81</v>
      </c>
      <c r="M85" s="6">
        <v>52.45</v>
      </c>
      <c r="N85" s="6">
        <v>0</v>
      </c>
      <c r="O85" s="6">
        <v>0</v>
      </c>
      <c r="P85" s="6">
        <v>0.77</v>
      </c>
      <c r="Q85" s="6">
        <v>4.83</v>
      </c>
    </row>
    <row r="86" spans="1:17" customFormat="1">
      <c r="A86" s="72">
        <v>45307.8125</v>
      </c>
      <c r="B86" s="6">
        <v>10.16</v>
      </c>
      <c r="C86" s="6">
        <v>26.98</v>
      </c>
      <c r="D86" s="6">
        <v>23.6</v>
      </c>
      <c r="E86" s="6">
        <v>7</v>
      </c>
      <c r="F86" s="6">
        <v>3.29</v>
      </c>
      <c r="G86" s="6">
        <v>138.19999999999999</v>
      </c>
      <c r="H86" s="6">
        <v>44.24</v>
      </c>
      <c r="I86" s="6">
        <v>8.6999999999999993</v>
      </c>
      <c r="J86" s="6">
        <v>0.65</v>
      </c>
      <c r="K86" s="6">
        <v>60.01</v>
      </c>
      <c r="L86" s="6">
        <v>22.65</v>
      </c>
      <c r="M86" s="6">
        <v>52.65</v>
      </c>
      <c r="N86" s="6">
        <v>0</v>
      </c>
      <c r="O86" s="6">
        <v>0</v>
      </c>
      <c r="P86" s="6">
        <v>0.79</v>
      </c>
      <c r="Q86" s="6">
        <v>4.84</v>
      </c>
    </row>
    <row r="87" spans="1:17" customFormat="1">
      <c r="A87" s="72">
        <v>45307.822916666664</v>
      </c>
      <c r="B87" s="6">
        <v>10.73</v>
      </c>
      <c r="C87" s="6">
        <v>27.85</v>
      </c>
      <c r="D87" s="6">
        <v>24.5</v>
      </c>
      <c r="E87" s="6">
        <v>7.43</v>
      </c>
      <c r="F87" s="6">
        <v>3.18</v>
      </c>
      <c r="G87" s="6">
        <v>137.82</v>
      </c>
      <c r="H87" s="6">
        <v>44.24</v>
      </c>
      <c r="I87" s="6">
        <v>8.7899999999999991</v>
      </c>
      <c r="J87" s="6">
        <v>0.15</v>
      </c>
      <c r="K87" s="6">
        <v>133.84</v>
      </c>
      <c r="L87" s="6">
        <v>21.9</v>
      </c>
      <c r="M87" s="6">
        <v>58.77</v>
      </c>
      <c r="N87" s="6">
        <v>0</v>
      </c>
      <c r="O87" s="6">
        <v>0</v>
      </c>
      <c r="P87" s="6">
        <v>0.81</v>
      </c>
      <c r="Q87" s="6">
        <v>4.84</v>
      </c>
    </row>
    <row r="88" spans="1:17" customFormat="1">
      <c r="A88" s="72">
        <v>45307.833333333336</v>
      </c>
      <c r="B88" s="6">
        <v>11.11</v>
      </c>
      <c r="C88" s="6">
        <v>27.65</v>
      </c>
      <c r="D88" s="6">
        <v>24.71</v>
      </c>
      <c r="E88" s="6">
        <v>7.01</v>
      </c>
      <c r="F88" s="6">
        <v>3.54</v>
      </c>
      <c r="G88" s="6">
        <v>137.82</v>
      </c>
      <c r="H88" s="6">
        <v>44.24</v>
      </c>
      <c r="I88" s="6">
        <v>8.9</v>
      </c>
      <c r="J88" s="6">
        <v>0.23</v>
      </c>
      <c r="K88" s="6">
        <v>160.38</v>
      </c>
      <c r="L88" s="6">
        <v>21.16</v>
      </c>
      <c r="M88" s="6">
        <v>63.66</v>
      </c>
      <c r="N88" s="6">
        <v>0</v>
      </c>
      <c r="O88" s="6">
        <v>0</v>
      </c>
      <c r="P88" s="6">
        <v>0.83</v>
      </c>
      <c r="Q88" s="6">
        <v>4.87</v>
      </c>
    </row>
    <row r="89" spans="1:17" customFormat="1">
      <c r="A89" s="72">
        <v>45307.84375</v>
      </c>
      <c r="B89" s="6">
        <v>11.41</v>
      </c>
      <c r="C89" s="6">
        <v>26</v>
      </c>
      <c r="D89" s="6">
        <v>24.08</v>
      </c>
      <c r="E89" s="6">
        <v>7.05</v>
      </c>
      <c r="F89" s="6">
        <v>3.61</v>
      </c>
      <c r="G89" s="6">
        <v>137.82</v>
      </c>
      <c r="H89" s="6">
        <v>44.24</v>
      </c>
      <c r="I89" s="6">
        <v>8.99</v>
      </c>
      <c r="J89" s="6">
        <v>0.13</v>
      </c>
      <c r="K89" s="6">
        <v>140.5</v>
      </c>
      <c r="L89" s="6">
        <v>20.84</v>
      </c>
      <c r="M89" s="6">
        <v>64.290000000000006</v>
      </c>
      <c r="N89" s="6">
        <v>0</v>
      </c>
      <c r="O89" s="6">
        <v>0</v>
      </c>
      <c r="P89" s="6">
        <v>0.84</v>
      </c>
      <c r="Q89" s="6">
        <v>4.87</v>
      </c>
    </row>
    <row r="90" spans="1:17" customFormat="1">
      <c r="A90" s="72">
        <v>45307.854166666664</v>
      </c>
      <c r="B90" s="6">
        <v>11.61</v>
      </c>
      <c r="C90" s="6">
        <v>25.82</v>
      </c>
      <c r="D90" s="6">
        <v>24.15</v>
      </c>
      <c r="E90" s="6">
        <v>6.46</v>
      </c>
      <c r="F90" s="6">
        <v>3.4</v>
      </c>
      <c r="G90" s="6">
        <v>117.63</v>
      </c>
      <c r="H90" s="6">
        <v>44.65</v>
      </c>
      <c r="I90" s="6">
        <v>9.09</v>
      </c>
      <c r="J90" s="6">
        <v>0.4</v>
      </c>
      <c r="K90" s="6">
        <v>68.7</v>
      </c>
      <c r="L90" s="6">
        <v>21.15</v>
      </c>
      <c r="M90" s="6">
        <v>60.22</v>
      </c>
      <c r="N90" s="6">
        <v>0</v>
      </c>
      <c r="O90" s="6">
        <v>0</v>
      </c>
      <c r="P90" s="6">
        <v>0.86</v>
      </c>
      <c r="Q90" s="6">
        <v>4.84</v>
      </c>
    </row>
    <row r="91" spans="1:17" customFormat="1">
      <c r="A91" s="72">
        <v>45307.864583333336</v>
      </c>
      <c r="B91" s="6">
        <v>12.11</v>
      </c>
      <c r="C91" s="6">
        <v>27.9</v>
      </c>
      <c r="D91" s="6">
        <v>25.64</v>
      </c>
      <c r="E91" s="6">
        <v>6.81</v>
      </c>
      <c r="F91" s="6">
        <v>3.24</v>
      </c>
      <c r="G91" s="6">
        <v>115.11</v>
      </c>
      <c r="H91" s="6">
        <v>44.65</v>
      </c>
      <c r="I91" s="6">
        <v>9.17</v>
      </c>
      <c r="J91" s="6">
        <v>0.17</v>
      </c>
      <c r="K91" s="6">
        <v>47.62</v>
      </c>
      <c r="L91" s="6">
        <v>21.07</v>
      </c>
      <c r="M91" s="6">
        <v>61.64</v>
      </c>
      <c r="N91" s="6">
        <v>0</v>
      </c>
      <c r="O91" s="6">
        <v>0</v>
      </c>
      <c r="P91" s="6">
        <v>0.87</v>
      </c>
      <c r="Q91" s="6">
        <v>4.87</v>
      </c>
    </row>
    <row r="92" spans="1:17" customFormat="1">
      <c r="A92" s="72">
        <v>45307.875</v>
      </c>
      <c r="B92" s="6">
        <v>12.62</v>
      </c>
      <c r="C92" s="6">
        <v>29.26</v>
      </c>
      <c r="D92" s="6">
        <v>26.76</v>
      </c>
      <c r="E92" s="6">
        <v>6.91</v>
      </c>
      <c r="F92" s="6">
        <v>3.18</v>
      </c>
      <c r="G92" s="6">
        <v>115.11</v>
      </c>
      <c r="H92" s="6">
        <v>44.65</v>
      </c>
      <c r="I92" s="6">
        <v>9.23</v>
      </c>
      <c r="J92" s="6">
        <v>0.18</v>
      </c>
      <c r="K92" s="6">
        <v>148.56</v>
      </c>
      <c r="L92" s="6">
        <v>20.81</v>
      </c>
      <c r="M92" s="6">
        <v>64.459999999999994</v>
      </c>
      <c r="N92" s="6">
        <v>0</v>
      </c>
      <c r="O92" s="6">
        <v>0</v>
      </c>
      <c r="P92" s="6">
        <v>0.9</v>
      </c>
      <c r="Q92" s="6">
        <v>4.88</v>
      </c>
    </row>
    <row r="93" spans="1:17" customFormat="1">
      <c r="A93" s="72">
        <v>45307.885416666664</v>
      </c>
      <c r="B93" s="6">
        <v>12.8</v>
      </c>
      <c r="C93" s="6">
        <v>29.5</v>
      </c>
      <c r="D93" s="6">
        <v>27.03</v>
      </c>
      <c r="E93" s="6">
        <v>7.58</v>
      </c>
      <c r="F93" s="6">
        <v>3.31</v>
      </c>
      <c r="G93" s="6">
        <v>115.11</v>
      </c>
      <c r="H93" s="6">
        <v>44.65</v>
      </c>
      <c r="I93" s="6">
        <v>9.31</v>
      </c>
      <c r="J93" s="6">
        <v>0.13</v>
      </c>
      <c r="K93" s="6">
        <v>11.54</v>
      </c>
      <c r="L93" s="6">
        <v>20.64</v>
      </c>
      <c r="M93" s="6">
        <v>65.22</v>
      </c>
      <c r="N93" s="6">
        <v>0</v>
      </c>
      <c r="O93" s="6">
        <v>0</v>
      </c>
      <c r="P93" s="6">
        <v>0.91</v>
      </c>
      <c r="Q93" s="6">
        <v>4.88</v>
      </c>
    </row>
    <row r="94" spans="1:17" customFormat="1">
      <c r="A94" s="72">
        <v>45307.895833333336</v>
      </c>
      <c r="B94" s="6">
        <v>13.12</v>
      </c>
      <c r="C94" s="6">
        <v>27.46</v>
      </c>
      <c r="D94" s="6">
        <v>26.22</v>
      </c>
      <c r="E94" s="6">
        <v>6.69</v>
      </c>
      <c r="F94" s="6">
        <v>3.48</v>
      </c>
      <c r="G94" s="6">
        <v>131.82</v>
      </c>
      <c r="H94" s="6">
        <v>44.83</v>
      </c>
      <c r="I94" s="6">
        <v>9.3699999999999992</v>
      </c>
      <c r="J94" s="6">
        <v>0.13</v>
      </c>
      <c r="K94" s="6">
        <v>180.59</v>
      </c>
      <c r="L94" s="6">
        <v>20.63</v>
      </c>
      <c r="M94" s="6">
        <v>64.58</v>
      </c>
      <c r="N94" s="6">
        <v>0</v>
      </c>
      <c r="O94" s="6">
        <v>0</v>
      </c>
      <c r="P94" s="6">
        <v>0.91</v>
      </c>
      <c r="Q94" s="6">
        <v>4.8899999999999997</v>
      </c>
    </row>
    <row r="95" spans="1:17" customFormat="1">
      <c r="A95" s="72">
        <v>45307.90625</v>
      </c>
      <c r="B95" s="6">
        <v>13.29</v>
      </c>
      <c r="C95" s="6">
        <v>27.94</v>
      </c>
      <c r="D95" s="6">
        <v>26.6</v>
      </c>
      <c r="E95" s="6">
        <v>6.81</v>
      </c>
      <c r="F95" s="6">
        <v>3.27</v>
      </c>
      <c r="G95" s="6">
        <v>133.91</v>
      </c>
      <c r="H95" s="6">
        <v>44.83</v>
      </c>
      <c r="I95" s="6">
        <v>9.41</v>
      </c>
      <c r="J95" s="6">
        <v>0.3</v>
      </c>
      <c r="K95" s="6">
        <v>182.55</v>
      </c>
      <c r="L95" s="6">
        <v>19.98</v>
      </c>
      <c r="M95" s="6">
        <v>73.13</v>
      </c>
      <c r="N95" s="6">
        <v>0</v>
      </c>
      <c r="O95" s="6">
        <v>0</v>
      </c>
      <c r="P95" s="6">
        <v>0.92</v>
      </c>
      <c r="Q95" s="6">
        <v>4.8899999999999997</v>
      </c>
    </row>
    <row r="96" spans="1:17" customFormat="1">
      <c r="A96" s="72">
        <v>45307.916666666664</v>
      </c>
      <c r="B96" s="6">
        <v>13.2</v>
      </c>
      <c r="C96" s="6">
        <v>27.17</v>
      </c>
      <c r="D96" s="6">
        <v>26.13</v>
      </c>
      <c r="E96" s="6">
        <v>6.64</v>
      </c>
      <c r="F96" s="6">
        <v>3.32</v>
      </c>
      <c r="G96" s="6">
        <v>133.91</v>
      </c>
      <c r="H96" s="6">
        <v>44.83</v>
      </c>
      <c r="I96" s="6">
        <v>9.43</v>
      </c>
      <c r="J96" s="6">
        <v>0.14000000000000001</v>
      </c>
      <c r="K96" s="6">
        <v>200.84</v>
      </c>
      <c r="L96" s="6">
        <v>19.46</v>
      </c>
      <c r="M96" s="6">
        <v>72.69</v>
      </c>
      <c r="N96" s="6">
        <v>0</v>
      </c>
      <c r="O96" s="6">
        <v>0</v>
      </c>
      <c r="P96" s="6">
        <v>0.92</v>
      </c>
      <c r="Q96" s="6">
        <v>4.8899999999999997</v>
      </c>
    </row>
    <row r="97" spans="1:22" customFormat="1">
      <c r="A97" s="72">
        <v>45307.927083333336</v>
      </c>
      <c r="B97" s="6">
        <v>13.13</v>
      </c>
      <c r="C97" s="6">
        <v>27.81</v>
      </c>
      <c r="D97" s="6">
        <v>26.41</v>
      </c>
      <c r="E97" s="6">
        <v>7.21</v>
      </c>
      <c r="F97" s="6">
        <v>3.39</v>
      </c>
      <c r="G97" s="6">
        <v>133.91</v>
      </c>
      <c r="H97" s="6">
        <v>44.83</v>
      </c>
      <c r="I97" s="6">
        <v>9.4700000000000006</v>
      </c>
      <c r="J97" s="6">
        <v>0.26</v>
      </c>
      <c r="K97" s="6">
        <v>185.4</v>
      </c>
      <c r="L97" s="6">
        <v>19.239999999999998</v>
      </c>
      <c r="M97" s="6">
        <v>75.13</v>
      </c>
      <c r="N97" s="6">
        <v>0</v>
      </c>
      <c r="O97" s="6">
        <v>0</v>
      </c>
      <c r="P97" s="6">
        <v>0.93</v>
      </c>
      <c r="Q97" s="6">
        <v>4.92</v>
      </c>
    </row>
    <row r="98" spans="1:22" customFormat="1">
      <c r="A98" s="72">
        <v>45307.9375</v>
      </c>
      <c r="B98" s="6">
        <v>12.96</v>
      </c>
      <c r="C98" s="6">
        <v>27.32</v>
      </c>
      <c r="D98" s="6">
        <v>26.02</v>
      </c>
      <c r="E98" s="6">
        <v>7.11</v>
      </c>
      <c r="F98" s="6">
        <v>3.32</v>
      </c>
      <c r="G98" s="6">
        <v>97.71</v>
      </c>
      <c r="H98" s="6">
        <v>43.36</v>
      </c>
      <c r="I98" s="6">
        <v>9.48</v>
      </c>
      <c r="J98" s="6">
        <v>0.15</v>
      </c>
      <c r="K98" s="6">
        <v>170.03</v>
      </c>
      <c r="L98" s="6">
        <v>19.13</v>
      </c>
      <c r="M98" s="6">
        <v>74.55</v>
      </c>
      <c r="N98" s="6">
        <v>0</v>
      </c>
      <c r="O98" s="6">
        <v>0</v>
      </c>
      <c r="P98" s="6">
        <v>0.94</v>
      </c>
      <c r="Q98" s="6">
        <v>4.9000000000000004</v>
      </c>
    </row>
    <row r="99" spans="1:22" customFormat="1">
      <c r="A99" s="72">
        <v>45307.947916666664</v>
      </c>
      <c r="B99" s="6">
        <v>12.83</v>
      </c>
      <c r="C99" s="6">
        <v>28.42</v>
      </c>
      <c r="D99" s="6">
        <v>26.49</v>
      </c>
      <c r="E99" s="6">
        <v>7.57</v>
      </c>
      <c r="F99" s="6">
        <v>3.32</v>
      </c>
      <c r="G99" s="6">
        <v>93.19</v>
      </c>
      <c r="H99" s="6">
        <v>43.36</v>
      </c>
      <c r="I99" s="6">
        <v>9.48</v>
      </c>
      <c r="J99" s="6">
        <v>0.25</v>
      </c>
      <c r="K99" s="6">
        <v>189.04</v>
      </c>
      <c r="L99" s="6">
        <v>19.23</v>
      </c>
      <c r="M99" s="6">
        <v>74.25</v>
      </c>
      <c r="N99" s="6">
        <v>0</v>
      </c>
      <c r="O99" s="6">
        <v>0</v>
      </c>
      <c r="P99" s="6">
        <v>0.94</v>
      </c>
      <c r="Q99" s="6">
        <v>4.92</v>
      </c>
    </row>
    <row r="100" spans="1:22" customFormat="1">
      <c r="A100" s="72">
        <v>45307.958333333336</v>
      </c>
      <c r="B100" s="6">
        <v>12.74</v>
      </c>
      <c r="C100" s="6">
        <v>28.68</v>
      </c>
      <c r="D100" s="6">
        <v>26.55</v>
      </c>
      <c r="E100" s="6">
        <v>7.29</v>
      </c>
      <c r="F100" s="6">
        <v>3.31</v>
      </c>
      <c r="G100" s="6">
        <v>93.19</v>
      </c>
      <c r="H100" s="6">
        <v>43.36</v>
      </c>
      <c r="I100" s="6">
        <v>9.48</v>
      </c>
      <c r="J100" s="6">
        <v>0.15</v>
      </c>
      <c r="K100" s="6">
        <v>229.53</v>
      </c>
      <c r="L100" s="6">
        <v>18.73</v>
      </c>
      <c r="M100" s="6">
        <v>76.260000000000005</v>
      </c>
      <c r="N100" s="6">
        <v>0</v>
      </c>
      <c r="O100" s="6">
        <v>0</v>
      </c>
      <c r="P100" s="6">
        <v>0.95</v>
      </c>
      <c r="Q100" s="6">
        <v>4.92</v>
      </c>
    </row>
    <row r="101" spans="1:22" customFormat="1">
      <c r="A101" s="72">
        <v>45307.96875</v>
      </c>
      <c r="B101" s="6">
        <v>12.61</v>
      </c>
      <c r="C101" s="6">
        <v>28.27</v>
      </c>
      <c r="D101" s="6">
        <v>26.23</v>
      </c>
      <c r="E101" s="6">
        <v>7.17</v>
      </c>
      <c r="F101" s="6">
        <v>3.3</v>
      </c>
      <c r="G101" s="6">
        <v>93.19</v>
      </c>
      <c r="H101" s="6">
        <v>43.36</v>
      </c>
      <c r="I101" s="6">
        <v>9.49</v>
      </c>
      <c r="J101" s="6">
        <v>0.28999999999999998</v>
      </c>
      <c r="K101" s="6">
        <v>190.63</v>
      </c>
      <c r="L101" s="6">
        <v>18.670000000000002</v>
      </c>
      <c r="M101" s="6">
        <v>75.510000000000005</v>
      </c>
      <c r="N101" s="6">
        <v>0</v>
      </c>
      <c r="O101" s="6">
        <v>0</v>
      </c>
      <c r="P101" s="6">
        <v>0.96</v>
      </c>
      <c r="Q101" s="6">
        <v>4.92</v>
      </c>
    </row>
    <row r="102" spans="1:22" customFormat="1">
      <c r="A102" s="72">
        <v>45307.979166666664</v>
      </c>
      <c r="B102" s="6">
        <v>12.21</v>
      </c>
      <c r="C102" s="6">
        <v>28.3</v>
      </c>
      <c r="D102" s="6">
        <v>25.93</v>
      </c>
      <c r="E102" s="6">
        <v>7</v>
      </c>
      <c r="F102" s="6">
        <v>3.4</v>
      </c>
      <c r="G102" s="6">
        <v>89.92</v>
      </c>
      <c r="H102" s="6">
        <v>40.75</v>
      </c>
      <c r="I102" s="6">
        <v>9.48</v>
      </c>
      <c r="J102" s="6">
        <v>0.1</v>
      </c>
      <c r="K102" s="6">
        <v>153.84</v>
      </c>
      <c r="L102" s="6">
        <v>18.350000000000001</v>
      </c>
      <c r="M102" s="6">
        <v>78.459999999999994</v>
      </c>
      <c r="N102" s="6">
        <v>0</v>
      </c>
      <c r="O102" s="6">
        <v>0</v>
      </c>
      <c r="P102" s="6">
        <v>0.96</v>
      </c>
      <c r="Q102" s="6">
        <v>4.8899999999999997</v>
      </c>
    </row>
    <row r="103" spans="1:22" customFormat="1">
      <c r="A103" s="72">
        <v>45307.989583333336</v>
      </c>
      <c r="B103" s="6">
        <v>11.91</v>
      </c>
      <c r="C103" s="6">
        <v>28.11</v>
      </c>
      <c r="D103" s="6">
        <v>25.59</v>
      </c>
      <c r="E103" s="6">
        <v>6.95</v>
      </c>
      <c r="F103" s="6">
        <v>3.43</v>
      </c>
      <c r="G103" s="6">
        <v>89.51</v>
      </c>
      <c r="H103" s="6">
        <v>40.75</v>
      </c>
      <c r="I103" s="6">
        <v>9.4600000000000009</v>
      </c>
      <c r="J103" s="6">
        <v>0.08</v>
      </c>
      <c r="K103" s="6">
        <v>191.9</v>
      </c>
      <c r="L103" s="6">
        <v>18.39</v>
      </c>
      <c r="M103" s="6">
        <v>75.39</v>
      </c>
      <c r="N103" s="6">
        <v>0</v>
      </c>
      <c r="O103" s="6">
        <v>0</v>
      </c>
      <c r="P103" s="6">
        <v>0.96</v>
      </c>
      <c r="Q103" s="6">
        <v>4.91</v>
      </c>
    </row>
    <row r="104" spans="1:22" customFormat="1">
      <c r="A104" s="72">
        <v>45308</v>
      </c>
      <c r="B104" s="6">
        <v>11.67</v>
      </c>
      <c r="C104" s="6">
        <v>27.9</v>
      </c>
      <c r="D104" s="6">
        <v>25.29</v>
      </c>
      <c r="E104" s="6">
        <v>6.75</v>
      </c>
      <c r="F104" s="6">
        <v>3.5</v>
      </c>
      <c r="G104" s="6">
        <v>89.51</v>
      </c>
      <c r="H104" s="6">
        <v>40.75</v>
      </c>
      <c r="I104" s="6">
        <v>9.4600000000000009</v>
      </c>
      <c r="J104" s="6">
        <v>0.13</v>
      </c>
      <c r="K104" s="6">
        <v>197.45</v>
      </c>
      <c r="L104" s="6">
        <v>18.61</v>
      </c>
      <c r="M104" s="6">
        <v>75.44</v>
      </c>
      <c r="N104" s="6">
        <v>0</v>
      </c>
      <c r="O104" s="6">
        <v>0</v>
      </c>
      <c r="P104" s="6">
        <v>0.96</v>
      </c>
      <c r="Q104" s="6">
        <v>4.9000000000000004</v>
      </c>
    </row>
    <row r="106" spans="1:22">
      <c r="A106" s="156" t="s">
        <v>48</v>
      </c>
      <c r="B106" s="157">
        <f>MIN(B9:B104)</f>
        <v>3.88</v>
      </c>
      <c r="C106" s="157">
        <f>MIN(C9:C104)</f>
        <v>18.39</v>
      </c>
      <c r="D106" s="157">
        <f t="shared" ref="D106:Q106" si="0">MIN(D9:D104)</f>
        <v>15.14</v>
      </c>
      <c r="E106" s="157">
        <f t="shared" si="0"/>
        <v>5.89</v>
      </c>
      <c r="F106" s="157">
        <f t="shared" si="0"/>
        <v>2.2000000000000002</v>
      </c>
      <c r="G106" s="157">
        <f t="shared" si="0"/>
        <v>42.55</v>
      </c>
      <c r="H106" s="157">
        <f t="shared" si="0"/>
        <v>25.24</v>
      </c>
      <c r="I106" s="157">
        <f t="shared" si="0"/>
        <v>7.74</v>
      </c>
      <c r="J106" s="157">
        <f t="shared" si="0"/>
        <v>0.03</v>
      </c>
      <c r="K106" s="157">
        <f t="shared" si="0"/>
        <v>0.78</v>
      </c>
      <c r="L106" s="157">
        <f t="shared" si="0"/>
        <v>15.53</v>
      </c>
      <c r="M106" s="157">
        <f t="shared" si="0"/>
        <v>35.96</v>
      </c>
      <c r="N106" s="157">
        <f t="shared" si="0"/>
        <v>0</v>
      </c>
      <c r="O106" s="157">
        <f t="shared" si="0"/>
        <v>0</v>
      </c>
      <c r="P106" s="157">
        <f t="shared" si="0"/>
        <v>0.6</v>
      </c>
      <c r="Q106" s="157">
        <f t="shared" si="0"/>
        <v>4.75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46.24</v>
      </c>
      <c r="C107" s="156">
        <f t="shared" ref="C107:Q107" si="1">MAX(C9:C104)</f>
        <v>34.840000000000003</v>
      </c>
      <c r="D107" s="156">
        <f t="shared" si="1"/>
        <v>56.64</v>
      </c>
      <c r="E107" s="156">
        <f t="shared" si="1"/>
        <v>12.1</v>
      </c>
      <c r="F107" s="156">
        <f t="shared" si="1"/>
        <v>9.85</v>
      </c>
      <c r="G107" s="156">
        <f t="shared" si="1"/>
        <v>141.26</v>
      </c>
      <c r="H107" s="156">
        <f t="shared" si="1"/>
        <v>46.41</v>
      </c>
      <c r="I107" s="156">
        <f t="shared" si="1"/>
        <v>17.95</v>
      </c>
      <c r="J107" s="156">
        <f t="shared" si="1"/>
        <v>1.38</v>
      </c>
      <c r="K107" s="156">
        <f t="shared" si="1"/>
        <v>350.68</v>
      </c>
      <c r="L107" s="156">
        <f t="shared" si="1"/>
        <v>28.49</v>
      </c>
      <c r="M107" s="156">
        <f t="shared" si="1"/>
        <v>78.459999999999994</v>
      </c>
      <c r="N107" s="156">
        <f t="shared" si="1"/>
        <v>404.2</v>
      </c>
      <c r="O107" s="156">
        <f t="shared" si="1"/>
        <v>0</v>
      </c>
      <c r="P107" s="156">
        <f t="shared" si="1"/>
        <v>1.0900000000000001</v>
      </c>
      <c r="Q107" s="156">
        <f t="shared" si="1"/>
        <v>5.36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15.327684210526318</v>
      </c>
      <c r="C108" s="157">
        <f t="shared" ref="C108:Q108" si="2">AVERAGE(C9:C104)</f>
        <v>28.106842105263173</v>
      </c>
      <c r="D108" s="157">
        <f t="shared" si="2"/>
        <v>28.331684210526312</v>
      </c>
      <c r="E108" s="157">
        <f t="shared" si="2"/>
        <v>7.9708421052631584</v>
      </c>
      <c r="F108" s="157">
        <f t="shared" si="2"/>
        <v>3.831999999999999</v>
      </c>
      <c r="G108" s="157">
        <f t="shared" si="2"/>
        <v>83.367888888888899</v>
      </c>
      <c r="H108" s="157">
        <f t="shared" si="2"/>
        <v>34.391222222222225</v>
      </c>
      <c r="I108" s="157">
        <f t="shared" si="2"/>
        <v>9.8317708333333336</v>
      </c>
      <c r="J108" s="157">
        <f t="shared" si="2"/>
        <v>0.47510416666666649</v>
      </c>
      <c r="K108" s="157">
        <f t="shared" si="2"/>
        <v>123.21968750000002</v>
      </c>
      <c r="L108" s="157">
        <f t="shared" si="2"/>
        <v>21.144895833333337</v>
      </c>
      <c r="M108" s="157">
        <f t="shared" si="2"/>
        <v>55.568958333333342</v>
      </c>
      <c r="N108" s="157">
        <f t="shared" si="2"/>
        <v>87.653125000000031</v>
      </c>
      <c r="O108" s="157">
        <f t="shared" si="2"/>
        <v>0</v>
      </c>
      <c r="P108" s="157">
        <f t="shared" si="2"/>
        <v>0.77389473684210519</v>
      </c>
      <c r="Q108" s="157">
        <f t="shared" si="2"/>
        <v>4.9453124999999973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10.944827638061534</v>
      </c>
      <c r="C109" s="157">
        <f t="shared" ref="C109:Q109" si="3">STDEV(C9:C104)</f>
        <v>4.2885218559365912</v>
      </c>
      <c r="D109" s="157">
        <f t="shared" si="3"/>
        <v>10.732135740792257</v>
      </c>
      <c r="E109" s="157">
        <f t="shared" si="3"/>
        <v>0.94633521922438391</v>
      </c>
      <c r="F109" s="157">
        <f t="shared" si="3"/>
        <v>1.8200377597205271</v>
      </c>
      <c r="G109" s="157">
        <f t="shared" si="3"/>
        <v>31.431577391071023</v>
      </c>
      <c r="H109" s="157">
        <f t="shared" si="3"/>
        <v>8.115714237854327</v>
      </c>
      <c r="I109" s="157">
        <f t="shared" si="3"/>
        <v>2.1318808077631211</v>
      </c>
      <c r="J109" s="157">
        <f t="shared" si="3"/>
        <v>0.34925181623056872</v>
      </c>
      <c r="K109" s="157">
        <f t="shared" si="3"/>
        <v>85.111175782380045</v>
      </c>
      <c r="L109" s="157">
        <f t="shared" si="3"/>
        <v>4.252669253364135</v>
      </c>
      <c r="M109" s="157">
        <f t="shared" si="3"/>
        <v>13.470700640486863</v>
      </c>
      <c r="N109" s="157">
        <f t="shared" si="3"/>
        <v>140.68580967092294</v>
      </c>
      <c r="O109" s="157">
        <f t="shared" si="3"/>
        <v>0</v>
      </c>
      <c r="P109" s="157">
        <f t="shared" si="3"/>
        <v>0.14685565888474605</v>
      </c>
      <c r="Q109" s="157">
        <f t="shared" si="3"/>
        <v>0.16475150746055811</v>
      </c>
      <c r="R109" s="157"/>
      <c r="S109" s="157"/>
      <c r="T109" s="157"/>
      <c r="U109" s="157"/>
    </row>
    <row r="110" spans="1:22">
      <c r="A110" s="156" t="s">
        <v>52</v>
      </c>
      <c r="B110" s="156">
        <v>96</v>
      </c>
      <c r="C110" s="156">
        <v>96</v>
      </c>
      <c r="D110" s="156">
        <v>96</v>
      </c>
      <c r="E110" s="156">
        <v>96</v>
      </c>
      <c r="F110" s="156">
        <v>96</v>
      </c>
      <c r="G110" s="156">
        <v>96</v>
      </c>
      <c r="H110" s="156">
        <v>96</v>
      </c>
      <c r="I110" s="156">
        <v>96</v>
      </c>
      <c r="J110" s="156">
        <v>96</v>
      </c>
      <c r="K110" s="156">
        <v>96</v>
      </c>
      <c r="L110" s="156">
        <v>96</v>
      </c>
      <c r="M110" s="156">
        <v>96</v>
      </c>
      <c r="N110" s="156">
        <v>96</v>
      </c>
      <c r="O110" s="156">
        <v>96</v>
      </c>
      <c r="P110" s="156">
        <v>96</v>
      </c>
      <c r="Q110" s="156"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4">IF(C110&gt;=87,"&gt;90%",IF(C110&lt;=87,"&lt;90%"))</f>
        <v>&gt;90%</v>
      </c>
      <c r="D111" s="132" t="str">
        <f t="shared" si="4"/>
        <v>&gt;90%</v>
      </c>
      <c r="E111" s="132" t="str">
        <f t="shared" si="4"/>
        <v>&gt;90%</v>
      </c>
      <c r="F111" s="132" t="str">
        <f t="shared" si="4"/>
        <v>&gt;90%</v>
      </c>
      <c r="G111" s="132" t="str">
        <f t="shared" si="4"/>
        <v>&gt;90%</v>
      </c>
      <c r="H111" s="132" t="str">
        <f t="shared" si="4"/>
        <v>&gt;90%</v>
      </c>
      <c r="I111" s="132" t="str">
        <f t="shared" si="4"/>
        <v>&gt;90%</v>
      </c>
      <c r="J111" s="132" t="str">
        <f t="shared" si="4"/>
        <v>&gt;90%</v>
      </c>
      <c r="K111" s="132" t="str">
        <f t="shared" si="4"/>
        <v>&gt;90%</v>
      </c>
      <c r="L111" s="132" t="str">
        <f t="shared" si="4"/>
        <v>&gt;90%</v>
      </c>
      <c r="M111" s="132" t="str">
        <f t="shared" si="4"/>
        <v>&gt;90%</v>
      </c>
      <c r="N111" s="132" t="str">
        <f t="shared" si="4"/>
        <v>&gt;90%</v>
      </c>
      <c r="O111" s="132" t="str">
        <f t="shared" si="4"/>
        <v>&gt;90%</v>
      </c>
      <c r="P111" s="132" t="str">
        <f t="shared" si="4"/>
        <v>&gt;90%</v>
      </c>
      <c r="Q111" s="132" t="str">
        <f t="shared" si="4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5">IF(C110&gt;=87,"OK",IF(C110&lt;=87,"LESS"))</f>
        <v>OK</v>
      </c>
      <c r="D112" s="132" t="str">
        <f t="shared" si="5"/>
        <v>OK</v>
      </c>
      <c r="E112" s="132" t="str">
        <f t="shared" si="5"/>
        <v>OK</v>
      </c>
      <c r="F112" s="132" t="str">
        <f t="shared" si="5"/>
        <v>OK</v>
      </c>
      <c r="G112" s="132" t="str">
        <f t="shared" si="5"/>
        <v>OK</v>
      </c>
      <c r="H112" s="132" t="str">
        <f t="shared" si="5"/>
        <v>OK</v>
      </c>
      <c r="I112" s="132" t="str">
        <f t="shared" si="5"/>
        <v>OK</v>
      </c>
      <c r="J112" s="132" t="str">
        <f t="shared" si="5"/>
        <v>OK</v>
      </c>
      <c r="K112" s="132" t="str">
        <f t="shared" si="5"/>
        <v>OK</v>
      </c>
      <c r="L112" s="132" t="str">
        <f t="shared" si="5"/>
        <v>OK</v>
      </c>
      <c r="M112" s="132" t="str">
        <f t="shared" si="5"/>
        <v>OK</v>
      </c>
      <c r="N112" s="132" t="str">
        <f t="shared" si="5"/>
        <v>OK</v>
      </c>
      <c r="O112" s="132" t="str">
        <f t="shared" si="5"/>
        <v>OK</v>
      </c>
      <c r="P112" s="132" t="str">
        <f t="shared" si="5"/>
        <v>OK</v>
      </c>
      <c r="Q112" s="132" t="str">
        <f t="shared" si="5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45308.010416666664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45308.010416666664</v>
      </c>
      <c r="B9" s="6">
        <v>9.5</v>
      </c>
      <c r="C9" s="6">
        <v>26.66</v>
      </c>
      <c r="D9" s="6">
        <v>22.9</v>
      </c>
      <c r="E9" s="6">
        <v>7.08</v>
      </c>
      <c r="F9" s="6">
        <v>3.51</v>
      </c>
      <c r="G9" s="6">
        <v>89.51</v>
      </c>
      <c r="H9" s="6">
        <v>40.75</v>
      </c>
      <c r="I9" s="6">
        <v>9.44</v>
      </c>
      <c r="J9" s="6">
        <v>0.13</v>
      </c>
      <c r="K9" s="6">
        <v>213.75</v>
      </c>
      <c r="L9" s="6">
        <v>18.149999999999999</v>
      </c>
      <c r="M9" s="6">
        <v>78.09</v>
      </c>
      <c r="N9" s="6">
        <v>0</v>
      </c>
      <c r="O9" s="6">
        <v>0</v>
      </c>
      <c r="P9" s="6">
        <v>0.95</v>
      </c>
      <c r="Q9" s="6">
        <v>4.8899999999999997</v>
      </c>
    </row>
    <row r="10" spans="1:21" customFormat="1">
      <c r="A10" s="72">
        <v>45308.020833333336</v>
      </c>
      <c r="B10" s="6">
        <v>8.98</v>
      </c>
      <c r="C10" s="6">
        <v>27.24</v>
      </c>
      <c r="D10" s="6">
        <v>22.78</v>
      </c>
      <c r="E10" s="6">
        <v>7</v>
      </c>
      <c r="F10" s="6">
        <v>3.51</v>
      </c>
      <c r="G10" s="6">
        <v>85.73</v>
      </c>
      <c r="H10" s="6">
        <v>38.869999999999997</v>
      </c>
      <c r="I10" s="6">
        <v>9.42</v>
      </c>
      <c r="J10" s="6">
        <v>0.16</v>
      </c>
      <c r="K10" s="6">
        <v>212.33</v>
      </c>
      <c r="L10" s="6">
        <v>18.14</v>
      </c>
      <c r="M10" s="6">
        <v>79.05</v>
      </c>
      <c r="N10" s="6">
        <v>0</v>
      </c>
      <c r="O10" s="6">
        <v>0</v>
      </c>
      <c r="P10" s="6">
        <v>0.94</v>
      </c>
      <c r="Q10" s="6">
        <v>4.88</v>
      </c>
    </row>
    <row r="11" spans="1:21" customFormat="1">
      <c r="A11" s="72">
        <v>45308.03125</v>
      </c>
      <c r="B11" s="6">
        <v>8.6199999999999992</v>
      </c>
      <c r="C11" s="6">
        <v>27.35</v>
      </c>
      <c r="D11" s="6">
        <v>22.56</v>
      </c>
      <c r="E11" s="6">
        <v>7.28</v>
      </c>
      <c r="F11" s="6">
        <v>3.58</v>
      </c>
      <c r="G11" s="6">
        <v>85.26</v>
      </c>
      <c r="H11" s="6">
        <v>38.869999999999997</v>
      </c>
      <c r="I11" s="6">
        <v>9.34</v>
      </c>
      <c r="J11" s="6">
        <v>0.12</v>
      </c>
      <c r="K11" s="6">
        <v>218.09</v>
      </c>
      <c r="L11" s="6">
        <v>17.98</v>
      </c>
      <c r="M11" s="6">
        <v>80.48</v>
      </c>
      <c r="N11" s="6">
        <v>0</v>
      </c>
      <c r="O11" s="6">
        <v>0</v>
      </c>
      <c r="P11" s="6">
        <v>0.92</v>
      </c>
      <c r="Q11" s="6">
        <v>4.84</v>
      </c>
    </row>
    <row r="12" spans="1:21" customFormat="1">
      <c r="A12" s="72">
        <v>45308.041666666664</v>
      </c>
      <c r="B12" s="6">
        <v>8.4499999999999993</v>
      </c>
      <c r="C12" s="6">
        <v>27.09</v>
      </c>
      <c r="D12" s="6">
        <v>22.28</v>
      </c>
      <c r="E12" s="6">
        <v>7.03</v>
      </c>
      <c r="F12" s="6">
        <v>3.57</v>
      </c>
      <c r="G12" s="6">
        <v>85.26</v>
      </c>
      <c r="H12" s="6">
        <v>38.869999999999997</v>
      </c>
      <c r="I12" s="6">
        <v>9.26</v>
      </c>
      <c r="J12" s="6">
        <v>0.09</v>
      </c>
      <c r="K12" s="6">
        <v>225.43</v>
      </c>
      <c r="L12" s="6">
        <v>17.75</v>
      </c>
      <c r="M12" s="6">
        <v>78.36</v>
      </c>
      <c r="N12" s="6">
        <v>0</v>
      </c>
      <c r="O12" s="6">
        <v>0</v>
      </c>
      <c r="P12" s="6">
        <v>0.91</v>
      </c>
      <c r="Q12" s="6">
        <v>4.8600000000000003</v>
      </c>
    </row>
    <row r="13" spans="1:21" customFormat="1">
      <c r="A13" s="72">
        <v>45308.052083333336</v>
      </c>
      <c r="B13" s="6">
        <v>8.14</v>
      </c>
      <c r="C13" s="6">
        <v>27.29</v>
      </c>
      <c r="D13" s="6">
        <v>22.14</v>
      </c>
      <c r="E13" s="6">
        <v>6.69</v>
      </c>
      <c r="F13" s="6">
        <v>3.52</v>
      </c>
      <c r="G13" s="6">
        <v>85.26</v>
      </c>
      <c r="H13" s="6">
        <v>38.869999999999997</v>
      </c>
      <c r="I13" s="6">
        <v>9.18</v>
      </c>
      <c r="J13" s="6">
        <v>0.04</v>
      </c>
      <c r="K13" s="6">
        <v>148.27000000000001</v>
      </c>
      <c r="L13" s="6">
        <v>17.71</v>
      </c>
      <c r="M13" s="6">
        <v>76.87</v>
      </c>
      <c r="N13" s="6">
        <v>0</v>
      </c>
      <c r="O13" s="6">
        <v>0</v>
      </c>
      <c r="P13" s="6">
        <v>0.9</v>
      </c>
      <c r="Q13" s="6">
        <v>4.8499999999999996</v>
      </c>
    </row>
    <row r="14" spans="1:21" customFormat="1">
      <c r="A14" s="72">
        <v>45308.0625</v>
      </c>
      <c r="B14" s="6">
        <v>7.67</v>
      </c>
      <c r="C14" s="6">
        <v>27.13</v>
      </c>
      <c r="D14" s="6">
        <v>21.67</v>
      </c>
      <c r="E14" s="6">
        <v>6.81</v>
      </c>
      <c r="F14" s="6">
        <v>3.54</v>
      </c>
      <c r="G14" s="6">
        <v>81.34</v>
      </c>
      <c r="H14" s="6">
        <v>37.65</v>
      </c>
      <c r="I14" s="6">
        <v>9.1300000000000008</v>
      </c>
      <c r="J14" s="6">
        <v>0.28999999999999998</v>
      </c>
      <c r="K14" s="6">
        <v>267.43</v>
      </c>
      <c r="L14" s="6">
        <v>17.63</v>
      </c>
      <c r="M14" s="6">
        <v>76.739999999999995</v>
      </c>
      <c r="N14" s="6">
        <v>0</v>
      </c>
      <c r="O14" s="6">
        <v>0</v>
      </c>
      <c r="P14" s="6">
        <v>0.88</v>
      </c>
      <c r="Q14" s="6">
        <v>4.87</v>
      </c>
    </row>
    <row r="15" spans="1:21" customFormat="1">
      <c r="A15" s="72">
        <v>45308.072916666664</v>
      </c>
      <c r="B15" s="6">
        <v>7.29</v>
      </c>
      <c r="C15" s="6">
        <v>26.78</v>
      </c>
      <c r="D15" s="6">
        <v>21.19</v>
      </c>
      <c r="E15" s="6">
        <v>7.02</v>
      </c>
      <c r="F15" s="6">
        <v>3.49</v>
      </c>
      <c r="G15" s="6">
        <v>80.849999999999994</v>
      </c>
      <c r="H15" s="6">
        <v>37.65</v>
      </c>
      <c r="I15" s="6">
        <v>9.02</v>
      </c>
      <c r="J15" s="6">
        <v>0.11</v>
      </c>
      <c r="K15" s="6">
        <v>207.77</v>
      </c>
      <c r="L15" s="6">
        <v>17.649999999999999</v>
      </c>
      <c r="M15" s="6">
        <v>76.37</v>
      </c>
      <c r="N15" s="6">
        <v>0</v>
      </c>
      <c r="O15" s="6">
        <v>0</v>
      </c>
      <c r="P15" s="6">
        <v>0.87</v>
      </c>
      <c r="Q15" s="6">
        <v>4.8499999999999996</v>
      </c>
    </row>
    <row r="16" spans="1:21" customFormat="1">
      <c r="A16" s="72">
        <v>45308.083333333336</v>
      </c>
      <c r="B16" s="6">
        <v>6.99</v>
      </c>
      <c r="C16" s="6">
        <v>26.38</v>
      </c>
      <c r="D16" s="6">
        <v>20.74</v>
      </c>
      <c r="E16" s="6">
        <v>6.92</v>
      </c>
      <c r="F16" s="6">
        <v>3.53</v>
      </c>
      <c r="G16" s="6">
        <v>80.849999999999994</v>
      </c>
      <c r="H16" s="6">
        <v>37.65</v>
      </c>
      <c r="I16" s="6">
        <v>8.86</v>
      </c>
      <c r="J16" s="6">
        <v>0.14000000000000001</v>
      </c>
      <c r="K16" s="6">
        <v>182.85</v>
      </c>
      <c r="L16" s="6">
        <v>17.79</v>
      </c>
      <c r="M16" s="6">
        <v>78.569999999999993</v>
      </c>
      <c r="N16" s="6">
        <v>0</v>
      </c>
      <c r="O16" s="6">
        <v>0</v>
      </c>
      <c r="P16" s="6">
        <v>0.86</v>
      </c>
      <c r="Q16" s="6">
        <v>4.84</v>
      </c>
    </row>
    <row r="17" spans="1:17" customFormat="1">
      <c r="A17" s="72">
        <v>45308.09375</v>
      </c>
      <c r="B17" s="6">
        <v>6.74</v>
      </c>
      <c r="C17" s="6">
        <v>25.91</v>
      </c>
      <c r="D17" s="6">
        <v>20.29</v>
      </c>
      <c r="E17" s="6">
        <v>6.59</v>
      </c>
      <c r="F17" s="6">
        <v>3.65</v>
      </c>
      <c r="G17" s="6">
        <v>80.849999999999994</v>
      </c>
      <c r="H17" s="6">
        <v>37.65</v>
      </c>
      <c r="I17" s="6">
        <v>8.7100000000000009</v>
      </c>
      <c r="J17" s="6">
        <v>0.06</v>
      </c>
      <c r="K17" s="6">
        <v>140.44</v>
      </c>
      <c r="L17" s="6">
        <v>17.77</v>
      </c>
      <c r="M17" s="6">
        <v>78.42</v>
      </c>
      <c r="N17" s="6">
        <v>0</v>
      </c>
      <c r="O17" s="6">
        <v>0</v>
      </c>
      <c r="P17" s="6">
        <v>0.85</v>
      </c>
      <c r="Q17" s="6">
        <v>4.82</v>
      </c>
    </row>
    <row r="18" spans="1:17" customFormat="1">
      <c r="A18" s="72">
        <v>45308.104166666664</v>
      </c>
      <c r="B18" s="6">
        <v>6.43</v>
      </c>
      <c r="C18" s="6">
        <v>25.98</v>
      </c>
      <c r="D18" s="6">
        <v>20.079999999999998</v>
      </c>
      <c r="E18" s="6">
        <v>7.04</v>
      </c>
      <c r="F18" s="6">
        <v>3.76</v>
      </c>
      <c r="G18" s="6">
        <v>68.88</v>
      </c>
      <c r="H18" s="6">
        <v>35.81</v>
      </c>
      <c r="I18" s="6">
        <v>8.6</v>
      </c>
      <c r="J18" s="6">
        <v>0.1</v>
      </c>
      <c r="K18" s="6">
        <v>236.53</v>
      </c>
      <c r="L18" s="6">
        <v>17.600000000000001</v>
      </c>
      <c r="M18" s="6">
        <v>78.56</v>
      </c>
      <c r="N18" s="6">
        <v>0</v>
      </c>
      <c r="O18" s="6">
        <v>0</v>
      </c>
      <c r="P18" s="6">
        <v>0.84</v>
      </c>
      <c r="Q18" s="6">
        <v>4.83</v>
      </c>
    </row>
    <row r="19" spans="1:17" customFormat="1">
      <c r="A19" s="72">
        <v>45308.114583333336</v>
      </c>
      <c r="B19" s="6">
        <v>6.28</v>
      </c>
      <c r="C19" s="6">
        <v>25.52</v>
      </c>
      <c r="D19" s="6">
        <v>19.72</v>
      </c>
      <c r="E19" s="6">
        <v>7.46</v>
      </c>
      <c r="F19" s="6">
        <v>3.72</v>
      </c>
      <c r="G19" s="6">
        <v>67.38</v>
      </c>
      <c r="H19" s="6">
        <v>35.81</v>
      </c>
      <c r="I19" s="6">
        <v>8.4700000000000006</v>
      </c>
      <c r="J19" s="6">
        <v>0.09</v>
      </c>
      <c r="K19" s="6">
        <v>265.37</v>
      </c>
      <c r="L19" s="6">
        <v>17.53</v>
      </c>
      <c r="M19" s="6">
        <v>78.48</v>
      </c>
      <c r="N19" s="6">
        <v>0</v>
      </c>
      <c r="O19" s="6">
        <v>0</v>
      </c>
      <c r="P19" s="6">
        <v>0.83</v>
      </c>
      <c r="Q19" s="6">
        <v>4.82</v>
      </c>
    </row>
    <row r="20" spans="1:17" customFormat="1">
      <c r="A20" s="72">
        <v>45308.125</v>
      </c>
      <c r="B20" s="6">
        <v>6.24</v>
      </c>
      <c r="C20" s="6">
        <v>25.23</v>
      </c>
      <c r="D20" s="6">
        <v>19.54</v>
      </c>
      <c r="E20" s="6">
        <v>7.2</v>
      </c>
      <c r="F20" s="6">
        <v>3.55</v>
      </c>
      <c r="G20" s="6">
        <v>67.38</v>
      </c>
      <c r="H20" s="6">
        <v>35.81</v>
      </c>
      <c r="I20" s="6">
        <v>8.33</v>
      </c>
      <c r="J20" s="6">
        <v>0.03</v>
      </c>
      <c r="K20" s="6">
        <v>191.45</v>
      </c>
      <c r="L20" s="6">
        <v>17.690000000000001</v>
      </c>
      <c r="M20" s="6">
        <v>76.569999999999993</v>
      </c>
      <c r="N20" s="6">
        <v>0</v>
      </c>
      <c r="O20" s="6">
        <v>0</v>
      </c>
      <c r="P20" s="6">
        <v>0.82</v>
      </c>
      <c r="Q20" s="6">
        <v>4.82</v>
      </c>
    </row>
    <row r="21" spans="1:17" customFormat="1">
      <c r="A21" s="72">
        <v>45308.135416666664</v>
      </c>
      <c r="B21" s="6">
        <v>6.15</v>
      </c>
      <c r="C21" s="6">
        <v>25.76</v>
      </c>
      <c r="D21" s="6">
        <v>19.739999999999998</v>
      </c>
      <c r="E21" s="6">
        <v>7.25</v>
      </c>
      <c r="F21" s="6">
        <v>3.69</v>
      </c>
      <c r="G21" s="6">
        <v>67.38</v>
      </c>
      <c r="H21" s="6">
        <v>35.81</v>
      </c>
      <c r="I21" s="6">
        <v>8.2200000000000006</v>
      </c>
      <c r="J21" s="6">
        <v>0.17</v>
      </c>
      <c r="K21" s="6">
        <v>3.3</v>
      </c>
      <c r="L21" s="6">
        <v>17.97</v>
      </c>
      <c r="M21" s="6">
        <v>75.22</v>
      </c>
      <c r="N21" s="6">
        <v>0</v>
      </c>
      <c r="O21" s="6">
        <v>0</v>
      </c>
      <c r="P21" s="6">
        <v>0.8</v>
      </c>
      <c r="Q21" s="6">
        <v>4.82</v>
      </c>
    </row>
    <row r="22" spans="1:17" customFormat="1">
      <c r="A22" s="72">
        <v>45308.145833333336</v>
      </c>
      <c r="B22" s="6">
        <v>6.32</v>
      </c>
      <c r="C22" s="6">
        <v>26.59</v>
      </c>
      <c r="D22" s="6">
        <v>20.309999999999999</v>
      </c>
      <c r="E22" s="6">
        <v>7.25</v>
      </c>
      <c r="F22" s="6">
        <v>3.42</v>
      </c>
      <c r="G22" s="6">
        <v>69.069999999999993</v>
      </c>
      <c r="H22" s="6">
        <v>34.08</v>
      </c>
      <c r="I22" s="6">
        <v>8.1</v>
      </c>
      <c r="J22" s="6">
        <v>0.38</v>
      </c>
      <c r="K22" s="6">
        <v>58.05</v>
      </c>
      <c r="L22" s="6">
        <v>18.29</v>
      </c>
      <c r="M22" s="6">
        <v>73.28</v>
      </c>
      <c r="N22" s="6">
        <v>0</v>
      </c>
      <c r="O22" s="6">
        <v>0</v>
      </c>
      <c r="P22" s="6">
        <v>0.8</v>
      </c>
      <c r="Q22" s="6">
        <v>4.82</v>
      </c>
    </row>
    <row r="23" spans="1:17" customFormat="1">
      <c r="A23" s="72">
        <v>45308.15625</v>
      </c>
      <c r="B23" s="6">
        <v>6.85</v>
      </c>
      <c r="C23" s="6">
        <v>27.51</v>
      </c>
      <c r="D23" s="6">
        <v>21.22</v>
      </c>
      <c r="E23" s="6">
        <v>7.28</v>
      </c>
      <c r="F23" s="6">
        <v>3.47</v>
      </c>
      <c r="G23" s="6">
        <v>69.28</v>
      </c>
      <c r="H23" s="6">
        <v>34.08</v>
      </c>
      <c r="I23" s="6">
        <v>7.96</v>
      </c>
      <c r="J23" s="6">
        <v>0.18</v>
      </c>
      <c r="K23" s="6">
        <v>293.69</v>
      </c>
      <c r="L23" s="6">
        <v>18.62</v>
      </c>
      <c r="M23" s="6">
        <v>71.819999999999993</v>
      </c>
      <c r="N23" s="6">
        <v>0</v>
      </c>
      <c r="O23" s="6">
        <v>0</v>
      </c>
      <c r="P23" s="6">
        <v>0.79</v>
      </c>
      <c r="Q23" s="6">
        <v>4.82</v>
      </c>
    </row>
    <row r="24" spans="1:17" customFormat="1">
      <c r="A24" s="72">
        <v>45308.166666666664</v>
      </c>
      <c r="B24" s="6">
        <v>7.36</v>
      </c>
      <c r="C24" s="6">
        <v>27.2</v>
      </c>
      <c r="D24" s="6">
        <v>21.46</v>
      </c>
      <c r="E24" s="6">
        <v>7.1</v>
      </c>
      <c r="F24" s="6">
        <v>3.51</v>
      </c>
      <c r="G24" s="6">
        <v>69.28</v>
      </c>
      <c r="H24" s="6">
        <v>34.08</v>
      </c>
      <c r="I24" s="6">
        <v>7.87</v>
      </c>
      <c r="J24" s="6">
        <v>0.15</v>
      </c>
      <c r="K24" s="6">
        <v>225.01</v>
      </c>
      <c r="L24" s="6">
        <v>18.28</v>
      </c>
      <c r="M24" s="6">
        <v>74.72</v>
      </c>
      <c r="N24" s="6">
        <v>0</v>
      </c>
      <c r="O24" s="6">
        <v>0</v>
      </c>
      <c r="P24" s="6">
        <v>0.79</v>
      </c>
      <c r="Q24" s="6">
        <v>4.8</v>
      </c>
    </row>
    <row r="25" spans="1:17" customFormat="1">
      <c r="A25" s="72">
        <v>45308.177083333336</v>
      </c>
      <c r="B25" s="6">
        <v>7.56</v>
      </c>
      <c r="C25" s="6">
        <v>24.5</v>
      </c>
      <c r="D25" s="6">
        <v>20.21</v>
      </c>
      <c r="E25" s="6">
        <v>6.4</v>
      </c>
      <c r="F25" s="6">
        <v>3.76</v>
      </c>
      <c r="G25" s="6">
        <v>69.28</v>
      </c>
      <c r="H25" s="6">
        <v>34.08</v>
      </c>
      <c r="I25" s="6">
        <v>7.81</v>
      </c>
      <c r="J25" s="6">
        <v>0.18</v>
      </c>
      <c r="K25" s="6">
        <v>135.71</v>
      </c>
      <c r="L25" s="6">
        <v>18.12</v>
      </c>
      <c r="M25" s="6">
        <v>76.7</v>
      </c>
      <c r="N25" s="6">
        <v>0</v>
      </c>
      <c r="O25" s="6">
        <v>0</v>
      </c>
      <c r="P25" s="6">
        <v>0.77</v>
      </c>
      <c r="Q25" s="6">
        <v>4.82</v>
      </c>
    </row>
    <row r="26" spans="1:17" customFormat="1">
      <c r="A26" s="72">
        <v>45308.1875</v>
      </c>
      <c r="B26" s="6">
        <v>7.76</v>
      </c>
      <c r="C26" s="6">
        <v>24.17</v>
      </c>
      <c r="D26" s="6">
        <v>20.21</v>
      </c>
      <c r="E26" s="6">
        <v>6.25</v>
      </c>
      <c r="F26" s="6">
        <v>3.47</v>
      </c>
      <c r="G26" s="6">
        <v>64.77</v>
      </c>
      <c r="H26" s="6">
        <v>37.61</v>
      </c>
      <c r="I26" s="6">
        <v>7.7</v>
      </c>
      <c r="J26" s="6">
        <v>0.15</v>
      </c>
      <c r="K26" s="6">
        <v>86.28</v>
      </c>
      <c r="L26" s="6">
        <v>18.04</v>
      </c>
      <c r="M26" s="6">
        <v>75.7</v>
      </c>
      <c r="N26" s="6">
        <v>0</v>
      </c>
      <c r="O26" s="6">
        <v>0</v>
      </c>
      <c r="P26" s="6">
        <v>0.76</v>
      </c>
      <c r="Q26" s="6">
        <v>4.83</v>
      </c>
    </row>
    <row r="27" spans="1:17" customFormat="1">
      <c r="A27" s="72">
        <v>45308.197916666664</v>
      </c>
      <c r="B27" s="6">
        <v>8.07</v>
      </c>
      <c r="C27" s="6">
        <v>24.94</v>
      </c>
      <c r="D27" s="6">
        <v>20.85</v>
      </c>
      <c r="E27" s="6">
        <v>6.41</v>
      </c>
      <c r="F27" s="6">
        <v>3.26</v>
      </c>
      <c r="G27" s="6">
        <v>64.209999999999994</v>
      </c>
      <c r="H27" s="6">
        <v>37.61</v>
      </c>
      <c r="I27" s="6">
        <v>7.64</v>
      </c>
      <c r="J27" s="6">
        <v>0.16</v>
      </c>
      <c r="K27" s="6">
        <v>203.09</v>
      </c>
      <c r="L27" s="6">
        <v>17.71</v>
      </c>
      <c r="M27" s="6">
        <v>80.959999999999994</v>
      </c>
      <c r="N27" s="6">
        <v>0</v>
      </c>
      <c r="O27" s="6">
        <v>0</v>
      </c>
      <c r="P27" s="6">
        <v>0.77</v>
      </c>
      <c r="Q27" s="6">
        <v>4.83</v>
      </c>
    </row>
    <row r="28" spans="1:17" customFormat="1">
      <c r="A28" s="72">
        <v>45308.208333333336</v>
      </c>
      <c r="B28" s="6">
        <v>8.34</v>
      </c>
      <c r="C28" s="6">
        <v>25.38</v>
      </c>
      <c r="D28" s="6">
        <v>21.3</v>
      </c>
      <c r="E28" s="6">
        <v>6.66</v>
      </c>
      <c r="F28" s="6">
        <v>3.06</v>
      </c>
      <c r="G28" s="6">
        <v>64.209999999999994</v>
      </c>
      <c r="H28" s="6">
        <v>37.61</v>
      </c>
      <c r="I28" s="6">
        <v>7.62</v>
      </c>
      <c r="J28" s="6">
        <v>0.15</v>
      </c>
      <c r="K28" s="6">
        <v>221.7</v>
      </c>
      <c r="L28" s="6">
        <v>17.170000000000002</v>
      </c>
      <c r="M28" s="6">
        <v>84.48</v>
      </c>
      <c r="N28" s="6">
        <v>0</v>
      </c>
      <c r="O28" s="6">
        <v>0</v>
      </c>
      <c r="P28" s="6">
        <v>0.76</v>
      </c>
      <c r="Q28" s="6">
        <v>4.83</v>
      </c>
    </row>
    <row r="29" spans="1:17" customFormat="1">
      <c r="A29" s="72">
        <v>45308.21875</v>
      </c>
      <c r="B29" s="6">
        <v>8.3699999999999992</v>
      </c>
      <c r="C29" s="6">
        <v>24.72</v>
      </c>
      <c r="D29" s="6">
        <v>20.98</v>
      </c>
      <c r="E29" s="6">
        <v>6.18</v>
      </c>
      <c r="F29" s="6">
        <v>3.28</v>
      </c>
      <c r="G29" s="6">
        <v>64.209999999999994</v>
      </c>
      <c r="H29" s="6">
        <v>37.61</v>
      </c>
      <c r="I29" s="6">
        <v>7.59</v>
      </c>
      <c r="J29" s="6">
        <v>0.16</v>
      </c>
      <c r="K29" s="6">
        <v>87.01</v>
      </c>
      <c r="L29" s="6">
        <v>16.940000000000001</v>
      </c>
      <c r="M29" s="6">
        <v>84.92</v>
      </c>
      <c r="N29" s="6">
        <v>0</v>
      </c>
      <c r="O29" s="6">
        <v>0</v>
      </c>
      <c r="P29" s="6">
        <v>0.75</v>
      </c>
      <c r="Q29" s="6">
        <v>4.83</v>
      </c>
    </row>
    <row r="30" spans="1:17" customFormat="1">
      <c r="A30" s="72">
        <v>45308.229166666664</v>
      </c>
      <c r="B30" s="6">
        <v>8.99</v>
      </c>
      <c r="C30" s="6">
        <v>25.67</v>
      </c>
      <c r="D30" s="6">
        <v>21.97</v>
      </c>
      <c r="E30" s="6">
        <v>6.54</v>
      </c>
      <c r="F30" s="6">
        <v>3.15</v>
      </c>
      <c r="G30" s="6">
        <v>68.459999999999994</v>
      </c>
      <c r="H30" s="6">
        <v>36.64</v>
      </c>
      <c r="I30" s="6">
        <v>7.58</v>
      </c>
      <c r="J30" s="6">
        <v>0.56000000000000005</v>
      </c>
      <c r="K30" s="6">
        <v>69.47</v>
      </c>
      <c r="L30" s="6">
        <v>17.399999999999999</v>
      </c>
      <c r="M30" s="6">
        <v>80.599999999999994</v>
      </c>
      <c r="N30" s="6">
        <v>0</v>
      </c>
      <c r="O30" s="6">
        <v>0</v>
      </c>
      <c r="P30" s="6">
        <v>0.76</v>
      </c>
      <c r="Q30" s="6">
        <v>4.8499999999999996</v>
      </c>
    </row>
    <row r="31" spans="1:17" customFormat="1">
      <c r="A31" s="72">
        <v>45308.239583333336</v>
      </c>
      <c r="B31" s="6">
        <v>10.63</v>
      </c>
      <c r="C31" s="6">
        <v>26.68</v>
      </c>
      <c r="D31" s="6">
        <v>23.82</v>
      </c>
      <c r="E31" s="6">
        <v>6.66</v>
      </c>
      <c r="F31" s="6">
        <v>2.94</v>
      </c>
      <c r="G31" s="6">
        <v>68.989999999999995</v>
      </c>
      <c r="H31" s="6">
        <v>36.64</v>
      </c>
      <c r="I31" s="6">
        <v>7.59</v>
      </c>
      <c r="J31" s="6">
        <v>0.66</v>
      </c>
      <c r="K31" s="6">
        <v>54.06</v>
      </c>
      <c r="L31" s="6">
        <v>17.73</v>
      </c>
      <c r="M31" s="6">
        <v>76.540000000000006</v>
      </c>
      <c r="N31" s="6">
        <v>0</v>
      </c>
      <c r="O31" s="6">
        <v>0</v>
      </c>
      <c r="P31" s="6">
        <v>0.78</v>
      </c>
      <c r="Q31" s="6">
        <v>4.88</v>
      </c>
    </row>
    <row r="32" spans="1:17" customFormat="1">
      <c r="A32" s="72">
        <v>45308.25</v>
      </c>
      <c r="B32" s="6">
        <v>12.17</v>
      </c>
      <c r="C32" s="6">
        <v>27.4</v>
      </c>
      <c r="D32" s="6">
        <v>25.43</v>
      </c>
      <c r="E32" s="6">
        <v>6.42</v>
      </c>
      <c r="F32" s="6">
        <v>3.27</v>
      </c>
      <c r="G32" s="6">
        <v>68.989999999999995</v>
      </c>
      <c r="H32" s="6">
        <v>36.64</v>
      </c>
      <c r="I32" s="6">
        <v>7.64</v>
      </c>
      <c r="J32" s="6">
        <v>0.52</v>
      </c>
      <c r="K32" s="6">
        <v>52.99</v>
      </c>
      <c r="L32" s="6">
        <v>17.73</v>
      </c>
      <c r="M32" s="6">
        <v>77.22</v>
      </c>
      <c r="N32" s="6">
        <v>0</v>
      </c>
      <c r="O32" s="6">
        <v>0</v>
      </c>
      <c r="P32" s="6">
        <v>0.79</v>
      </c>
      <c r="Q32" s="6">
        <v>4.8899999999999997</v>
      </c>
    </row>
    <row r="33" spans="1:17" customFormat="1">
      <c r="A33" s="72">
        <v>45308.260416666664</v>
      </c>
      <c r="B33" s="6">
        <v>13.51</v>
      </c>
      <c r="C33" s="6">
        <v>26.82</v>
      </c>
      <c r="D33" s="6">
        <v>26.2</v>
      </c>
      <c r="E33" s="6">
        <v>6.64</v>
      </c>
      <c r="F33" s="6">
        <v>3.37</v>
      </c>
      <c r="G33" s="6">
        <v>68.989999999999995</v>
      </c>
      <c r="H33" s="6">
        <v>36.64</v>
      </c>
      <c r="I33" s="6">
        <v>7.76</v>
      </c>
      <c r="J33" s="6">
        <v>0.3</v>
      </c>
      <c r="K33" s="6">
        <v>74.78</v>
      </c>
      <c r="L33" s="6">
        <v>17.66</v>
      </c>
      <c r="M33" s="6">
        <v>77.61</v>
      </c>
      <c r="N33" s="6">
        <v>0</v>
      </c>
      <c r="O33" s="6">
        <v>0</v>
      </c>
      <c r="P33" s="6">
        <v>0.8</v>
      </c>
      <c r="Q33" s="6">
        <v>4.8899999999999997</v>
      </c>
    </row>
    <row r="34" spans="1:17" customFormat="1">
      <c r="A34" s="72">
        <v>45308.270833333336</v>
      </c>
      <c r="B34" s="6">
        <v>14.16</v>
      </c>
      <c r="C34" s="6">
        <v>28.13</v>
      </c>
      <c r="D34" s="6">
        <v>27.4</v>
      </c>
      <c r="E34" s="6">
        <v>6.6</v>
      </c>
      <c r="F34" s="6">
        <v>3.35</v>
      </c>
      <c r="G34" s="6">
        <v>85.7</v>
      </c>
      <c r="H34" s="6">
        <v>35.86</v>
      </c>
      <c r="I34" s="6">
        <v>7.96</v>
      </c>
      <c r="J34" s="6">
        <v>0.39</v>
      </c>
      <c r="K34" s="6">
        <v>56.25</v>
      </c>
      <c r="L34" s="6">
        <v>17.66</v>
      </c>
      <c r="M34" s="6">
        <v>77.069999999999993</v>
      </c>
      <c r="N34" s="6">
        <v>0</v>
      </c>
      <c r="O34" s="6">
        <v>0</v>
      </c>
      <c r="P34" s="6">
        <v>0.82</v>
      </c>
      <c r="Q34" s="6">
        <v>4.92</v>
      </c>
    </row>
    <row r="35" spans="1:17" customFormat="1">
      <c r="A35" s="72">
        <v>45308.28125</v>
      </c>
      <c r="B35" s="6">
        <v>15.23</v>
      </c>
      <c r="C35" s="6">
        <v>27.62</v>
      </c>
      <c r="D35" s="6">
        <v>27.99</v>
      </c>
      <c r="E35" s="6">
        <v>7.16</v>
      </c>
      <c r="F35" s="6">
        <v>3.45</v>
      </c>
      <c r="G35" s="6">
        <v>87.79</v>
      </c>
      <c r="H35" s="6">
        <v>35.86</v>
      </c>
      <c r="I35" s="6">
        <v>8.15</v>
      </c>
      <c r="J35" s="6">
        <v>0.25</v>
      </c>
      <c r="K35" s="6">
        <v>60.67</v>
      </c>
      <c r="L35" s="6">
        <v>17.75</v>
      </c>
      <c r="M35" s="6">
        <v>77.55</v>
      </c>
      <c r="N35" s="6">
        <v>0</v>
      </c>
      <c r="O35" s="6">
        <v>0</v>
      </c>
      <c r="P35" s="6">
        <v>0.83</v>
      </c>
      <c r="Q35" s="6">
        <v>4.9400000000000004</v>
      </c>
    </row>
    <row r="36" spans="1:17" customFormat="1">
      <c r="A36" s="72">
        <v>45308.291666666664</v>
      </c>
      <c r="B36" s="6">
        <v>16.09</v>
      </c>
      <c r="C36" s="6">
        <v>28.17</v>
      </c>
      <c r="D36" s="6">
        <v>28.98</v>
      </c>
      <c r="E36" s="6">
        <v>6.9</v>
      </c>
      <c r="F36" s="6">
        <v>3.36</v>
      </c>
      <c r="G36" s="6">
        <v>87.79</v>
      </c>
      <c r="H36" s="6">
        <v>35.86</v>
      </c>
      <c r="I36" s="6">
        <v>8.32</v>
      </c>
      <c r="J36" s="6">
        <v>7.0000000000000007E-2</v>
      </c>
      <c r="K36" s="6">
        <v>301.10000000000002</v>
      </c>
      <c r="L36" s="6">
        <v>17.7</v>
      </c>
      <c r="M36" s="6">
        <v>80.45</v>
      </c>
      <c r="N36" s="6">
        <v>0</v>
      </c>
      <c r="O36" s="6">
        <v>0</v>
      </c>
      <c r="P36" s="6">
        <v>0.84</v>
      </c>
      <c r="Q36" s="6">
        <v>4.97</v>
      </c>
    </row>
    <row r="37" spans="1:17" customFormat="1">
      <c r="A37" s="72">
        <v>45308.302083333336</v>
      </c>
      <c r="B37" s="6">
        <v>16.63</v>
      </c>
      <c r="C37" s="6">
        <v>28.23</v>
      </c>
      <c r="D37" s="6">
        <v>29.43</v>
      </c>
      <c r="E37" s="6">
        <v>6.9</v>
      </c>
      <c r="F37" s="6">
        <v>3.19</v>
      </c>
      <c r="G37" s="6">
        <v>87.79</v>
      </c>
      <c r="H37" s="6">
        <v>35.86</v>
      </c>
      <c r="I37" s="6">
        <v>8.4600000000000009</v>
      </c>
      <c r="J37" s="6">
        <v>0.21</v>
      </c>
      <c r="K37" s="6">
        <v>179.58</v>
      </c>
      <c r="L37" s="6">
        <v>17.64</v>
      </c>
      <c r="M37" s="6">
        <v>82.04</v>
      </c>
      <c r="N37" s="6">
        <v>1.9</v>
      </c>
      <c r="O37" s="6">
        <v>0</v>
      </c>
      <c r="P37" s="6">
        <v>0.85</v>
      </c>
      <c r="Q37" s="6">
        <v>4.97</v>
      </c>
    </row>
    <row r="38" spans="1:17" customFormat="1">
      <c r="A38" s="72">
        <v>45308.3125</v>
      </c>
      <c r="B38" s="6">
        <v>16.87</v>
      </c>
      <c r="C38" s="6">
        <v>27.88</v>
      </c>
      <c r="D38" s="6">
        <v>29.45</v>
      </c>
      <c r="E38" s="6">
        <v>7.04</v>
      </c>
      <c r="F38" s="6">
        <v>3.34</v>
      </c>
      <c r="G38" s="6">
        <v>94.88</v>
      </c>
      <c r="H38" s="6">
        <v>43.87</v>
      </c>
      <c r="I38" s="6">
        <v>8.58</v>
      </c>
      <c r="J38" s="6">
        <v>0.11</v>
      </c>
      <c r="K38" s="6">
        <v>45.4</v>
      </c>
      <c r="L38" s="6">
        <v>17.91</v>
      </c>
      <c r="M38" s="6">
        <v>78.75</v>
      </c>
      <c r="N38" s="6">
        <v>14.3</v>
      </c>
      <c r="O38" s="6">
        <v>0</v>
      </c>
      <c r="P38" s="6">
        <v>0.86</v>
      </c>
      <c r="Q38" s="6">
        <v>4.97</v>
      </c>
    </row>
    <row r="39" spans="1:17" customFormat="1">
      <c r="A39" s="72">
        <v>45308.322916666664</v>
      </c>
      <c r="B39" s="6">
        <v>17.22</v>
      </c>
      <c r="C39" s="6">
        <v>28.37</v>
      </c>
      <c r="D39" s="6">
        <v>29.98</v>
      </c>
      <c r="E39" s="6">
        <v>7.07</v>
      </c>
      <c r="F39" s="6">
        <v>3.22</v>
      </c>
      <c r="G39" s="6">
        <v>95.77</v>
      </c>
      <c r="H39" s="6">
        <v>43.87</v>
      </c>
      <c r="I39" s="6">
        <v>8.67</v>
      </c>
      <c r="J39" s="6">
        <v>0.67</v>
      </c>
      <c r="K39" s="6">
        <v>43.89</v>
      </c>
      <c r="L39" s="6">
        <v>18.39</v>
      </c>
      <c r="M39" s="6">
        <v>75.459999999999994</v>
      </c>
      <c r="N39" s="6">
        <v>35</v>
      </c>
      <c r="O39" s="6">
        <v>0</v>
      </c>
      <c r="P39" s="6">
        <v>0.87</v>
      </c>
      <c r="Q39" s="6">
        <v>4.9800000000000004</v>
      </c>
    </row>
    <row r="40" spans="1:17" customFormat="1">
      <c r="A40" s="72">
        <v>45308.333333333336</v>
      </c>
      <c r="B40" s="6">
        <v>17.79</v>
      </c>
      <c r="C40" s="6">
        <v>28.39</v>
      </c>
      <c r="D40" s="6">
        <v>30.45</v>
      </c>
      <c r="E40" s="6">
        <v>7.3</v>
      </c>
      <c r="F40" s="6">
        <v>3.24</v>
      </c>
      <c r="G40" s="6">
        <v>95.77</v>
      </c>
      <c r="H40" s="6">
        <v>43.87</v>
      </c>
      <c r="I40" s="6">
        <v>8.7899999999999991</v>
      </c>
      <c r="J40" s="6">
        <v>0.61</v>
      </c>
      <c r="K40" s="6">
        <v>46.24</v>
      </c>
      <c r="L40" s="6">
        <v>18.739999999999998</v>
      </c>
      <c r="M40" s="6">
        <v>74.37</v>
      </c>
      <c r="N40" s="6">
        <v>42.4</v>
      </c>
      <c r="O40" s="6">
        <v>0</v>
      </c>
      <c r="P40" s="6">
        <v>0.9</v>
      </c>
      <c r="Q40" s="6">
        <v>4.9800000000000004</v>
      </c>
    </row>
    <row r="41" spans="1:17" customFormat="1">
      <c r="A41" s="72">
        <v>45308.34375</v>
      </c>
      <c r="B41" s="6">
        <v>18.2</v>
      </c>
      <c r="C41" s="6">
        <v>28.51</v>
      </c>
      <c r="D41" s="6">
        <v>30.85</v>
      </c>
      <c r="E41" s="6">
        <v>7.59</v>
      </c>
      <c r="F41" s="6">
        <v>3.21</v>
      </c>
      <c r="G41" s="6">
        <v>95.77</v>
      </c>
      <c r="H41" s="6">
        <v>43.87</v>
      </c>
      <c r="I41" s="6">
        <v>8.9700000000000006</v>
      </c>
      <c r="J41" s="6">
        <v>0.81</v>
      </c>
      <c r="K41" s="6">
        <v>50.81</v>
      </c>
      <c r="L41" s="6">
        <v>19.100000000000001</v>
      </c>
      <c r="M41" s="6">
        <v>73.900000000000006</v>
      </c>
      <c r="N41" s="6">
        <v>64.2</v>
      </c>
      <c r="O41" s="6">
        <v>0</v>
      </c>
      <c r="P41" s="6">
        <v>0.91</v>
      </c>
      <c r="Q41" s="6">
        <v>4.99</v>
      </c>
    </row>
    <row r="42" spans="1:17" customFormat="1">
      <c r="A42" s="72">
        <v>45308.354166666664</v>
      </c>
      <c r="B42" s="6">
        <v>18.66</v>
      </c>
      <c r="C42" s="6">
        <v>27.97</v>
      </c>
      <c r="D42" s="6">
        <v>30.92</v>
      </c>
      <c r="E42" s="6">
        <v>6.55</v>
      </c>
      <c r="F42" s="6">
        <v>3.46</v>
      </c>
      <c r="G42" s="6">
        <v>124.23</v>
      </c>
      <c r="H42" s="6">
        <v>52.11</v>
      </c>
      <c r="I42" s="6">
        <v>9.2200000000000006</v>
      </c>
      <c r="J42" s="6">
        <v>0.63</v>
      </c>
      <c r="K42" s="6">
        <v>47.32</v>
      </c>
      <c r="L42" s="6">
        <v>19.57</v>
      </c>
      <c r="M42" s="6">
        <v>73.099999999999994</v>
      </c>
      <c r="N42" s="6">
        <v>73.2</v>
      </c>
      <c r="O42" s="6">
        <v>0</v>
      </c>
      <c r="P42" s="6">
        <v>0.94</v>
      </c>
      <c r="Q42" s="6">
        <v>4.9800000000000004</v>
      </c>
    </row>
    <row r="43" spans="1:17" customFormat="1">
      <c r="A43" s="72">
        <v>45308.364583333336</v>
      </c>
      <c r="B43" s="6">
        <v>19.02</v>
      </c>
      <c r="C43" s="6">
        <v>28.22</v>
      </c>
      <c r="D43" s="6">
        <v>31.35</v>
      </c>
      <c r="E43" s="6">
        <v>7.29</v>
      </c>
      <c r="F43" s="6">
        <v>3.47</v>
      </c>
      <c r="G43" s="6">
        <v>127.78</v>
      </c>
      <c r="H43" s="6">
        <v>52.11</v>
      </c>
      <c r="I43" s="6">
        <v>9.49</v>
      </c>
      <c r="J43" s="6">
        <v>0.82</v>
      </c>
      <c r="K43" s="6">
        <v>52.57</v>
      </c>
      <c r="L43" s="6">
        <v>19.88</v>
      </c>
      <c r="M43" s="6">
        <v>72.36</v>
      </c>
      <c r="N43" s="6">
        <v>66.8</v>
      </c>
      <c r="O43" s="6">
        <v>0</v>
      </c>
      <c r="P43" s="6">
        <v>0.97</v>
      </c>
      <c r="Q43" s="6">
        <v>5</v>
      </c>
    </row>
    <row r="44" spans="1:17" customFormat="1">
      <c r="A44" s="72">
        <v>45308.375</v>
      </c>
      <c r="B44" s="6">
        <v>19.100000000000001</v>
      </c>
      <c r="C44" s="6">
        <v>29.37</v>
      </c>
      <c r="D44" s="6">
        <v>32.01</v>
      </c>
      <c r="E44" s="6">
        <v>7.32</v>
      </c>
      <c r="F44" s="6">
        <v>3.49</v>
      </c>
      <c r="G44" s="6">
        <v>127.78</v>
      </c>
      <c r="H44" s="6">
        <v>52.11</v>
      </c>
      <c r="I44" s="6">
        <v>9.77</v>
      </c>
      <c r="J44" s="6">
        <v>0.77</v>
      </c>
      <c r="K44" s="6">
        <v>39.6</v>
      </c>
      <c r="L44" s="6">
        <v>20.079999999999998</v>
      </c>
      <c r="M44" s="6">
        <v>70.819999999999993</v>
      </c>
      <c r="N44" s="6">
        <v>42</v>
      </c>
      <c r="O44" s="6">
        <v>0</v>
      </c>
      <c r="P44" s="6">
        <v>1</v>
      </c>
      <c r="Q44" s="6">
        <v>5.01</v>
      </c>
    </row>
    <row r="45" spans="1:17" customFormat="1">
      <c r="A45" s="72">
        <v>45308.385416666664</v>
      </c>
      <c r="B45" s="6">
        <v>19.170000000000002</v>
      </c>
      <c r="C45" s="6">
        <v>30.5</v>
      </c>
      <c r="D45" s="6">
        <v>32.659999999999997</v>
      </c>
      <c r="E45" s="6">
        <v>7.46</v>
      </c>
      <c r="F45" s="6">
        <v>3.44</v>
      </c>
      <c r="G45" s="6">
        <v>127.78</v>
      </c>
      <c r="H45" s="6">
        <v>52.11</v>
      </c>
      <c r="I45" s="6">
        <v>9.98</v>
      </c>
      <c r="J45" s="6">
        <v>0.62</v>
      </c>
      <c r="K45" s="6">
        <v>58.51</v>
      </c>
      <c r="L45" s="6">
        <v>20.5</v>
      </c>
      <c r="M45" s="6">
        <v>69.77</v>
      </c>
      <c r="N45" s="6">
        <v>71.8</v>
      </c>
      <c r="O45" s="6">
        <v>0</v>
      </c>
      <c r="P45" s="6">
        <v>1.02</v>
      </c>
      <c r="Q45" s="6">
        <v>5.03</v>
      </c>
    </row>
    <row r="46" spans="1:17" customFormat="1">
      <c r="A46" s="72">
        <v>45308.395833333336</v>
      </c>
      <c r="B46" s="6">
        <v>18.62</v>
      </c>
      <c r="C46" s="6">
        <v>30.87</v>
      </c>
      <c r="D46" s="6">
        <v>32.409999999999997</v>
      </c>
      <c r="E46" s="6">
        <v>7.78</v>
      </c>
      <c r="F46" s="6">
        <v>3.49</v>
      </c>
      <c r="G46" s="6">
        <v>132.56</v>
      </c>
      <c r="H46" s="6">
        <v>54.22</v>
      </c>
      <c r="I46" s="6">
        <v>10.130000000000001</v>
      </c>
      <c r="J46" s="6">
        <v>0.52</v>
      </c>
      <c r="K46" s="6">
        <v>19.690000000000001</v>
      </c>
      <c r="L46" s="6">
        <v>20.97</v>
      </c>
      <c r="M46" s="6">
        <v>68.44</v>
      </c>
      <c r="N46" s="6">
        <v>106.7</v>
      </c>
      <c r="O46" s="6">
        <v>0</v>
      </c>
      <c r="P46" s="6">
        <v>1.03</v>
      </c>
      <c r="Q46" s="6">
        <v>5.03</v>
      </c>
    </row>
    <row r="47" spans="1:17" customFormat="1">
      <c r="A47" s="72">
        <v>45308.40625</v>
      </c>
      <c r="B47" s="6">
        <v>17.89</v>
      </c>
      <c r="C47" s="6">
        <v>31.36</v>
      </c>
      <c r="D47" s="6">
        <v>32.08</v>
      </c>
      <c r="E47" s="6">
        <v>7.39</v>
      </c>
      <c r="F47" s="6">
        <v>3.47</v>
      </c>
      <c r="G47" s="6">
        <v>133.16</v>
      </c>
      <c r="H47" s="6">
        <v>54.22</v>
      </c>
      <c r="I47" s="6">
        <v>10.17</v>
      </c>
      <c r="J47" s="6">
        <v>0.24</v>
      </c>
      <c r="K47" s="6">
        <v>14.12</v>
      </c>
      <c r="L47" s="6">
        <v>21.53</v>
      </c>
      <c r="M47" s="6">
        <v>66.62</v>
      </c>
      <c r="N47" s="6">
        <v>91.9</v>
      </c>
      <c r="O47" s="6">
        <v>0</v>
      </c>
      <c r="P47" s="6">
        <v>1.04</v>
      </c>
      <c r="Q47" s="6">
        <v>5.0199999999999996</v>
      </c>
    </row>
    <row r="48" spans="1:17" customFormat="1">
      <c r="A48" s="72">
        <v>45308.416666666664</v>
      </c>
      <c r="B48" s="6">
        <v>16.989999999999998</v>
      </c>
      <c r="C48" s="6">
        <v>31.57</v>
      </c>
      <c r="D48" s="6">
        <v>31.47</v>
      </c>
      <c r="E48" s="6">
        <v>7.73</v>
      </c>
      <c r="F48" s="6">
        <v>3.53</v>
      </c>
      <c r="G48" s="6">
        <v>133.16</v>
      </c>
      <c r="H48" s="6">
        <v>54.22</v>
      </c>
      <c r="I48" s="6">
        <v>10.199999999999999</v>
      </c>
      <c r="J48" s="6">
        <v>0.35</v>
      </c>
      <c r="K48" s="6">
        <v>11.61</v>
      </c>
      <c r="L48" s="6">
        <v>21.71</v>
      </c>
      <c r="M48" s="6">
        <v>66.37</v>
      </c>
      <c r="N48" s="6">
        <v>58.3</v>
      </c>
      <c r="O48" s="6">
        <v>0</v>
      </c>
      <c r="P48" s="6">
        <v>1.04</v>
      </c>
      <c r="Q48" s="6">
        <v>5</v>
      </c>
    </row>
    <row r="49" spans="1:17" customFormat="1">
      <c r="A49" s="72">
        <v>45308.427083333336</v>
      </c>
      <c r="B49" s="6">
        <v>16.16</v>
      </c>
      <c r="C49" s="6">
        <v>31.69</v>
      </c>
      <c r="D49" s="6">
        <v>30.87</v>
      </c>
      <c r="E49" s="6">
        <v>8.66</v>
      </c>
      <c r="F49" s="6">
        <v>3.63</v>
      </c>
      <c r="G49" s="6">
        <v>133.16</v>
      </c>
      <c r="H49" s="6">
        <v>54.22</v>
      </c>
      <c r="I49" s="6">
        <v>10.18</v>
      </c>
      <c r="J49" s="6">
        <v>0.25</v>
      </c>
      <c r="K49" s="6">
        <v>53.69</v>
      </c>
      <c r="L49" s="6">
        <v>21.86</v>
      </c>
      <c r="M49" s="6">
        <v>66.11</v>
      </c>
      <c r="N49" s="6">
        <v>52</v>
      </c>
      <c r="O49" s="6">
        <v>0</v>
      </c>
      <c r="P49" s="6">
        <v>1.05</v>
      </c>
      <c r="Q49" s="6">
        <v>4.9800000000000004</v>
      </c>
    </row>
    <row r="50" spans="1:17" customFormat="1">
      <c r="A50" s="72">
        <v>45308.4375</v>
      </c>
      <c r="B50" s="6">
        <v>15.4</v>
      </c>
      <c r="C50" s="6">
        <v>32.14</v>
      </c>
      <c r="D50" s="6">
        <v>30.5</v>
      </c>
      <c r="E50" s="6">
        <v>8.99</v>
      </c>
      <c r="F50" s="6">
        <v>3.52</v>
      </c>
      <c r="G50" s="6">
        <v>122.64</v>
      </c>
      <c r="H50" s="6">
        <v>50.31</v>
      </c>
      <c r="I50" s="6">
        <v>10.15</v>
      </c>
      <c r="J50" s="6">
        <v>0.45</v>
      </c>
      <c r="K50" s="6">
        <v>48.55</v>
      </c>
      <c r="L50" s="6">
        <v>22.12</v>
      </c>
      <c r="M50" s="6">
        <v>64.97</v>
      </c>
      <c r="N50" s="6">
        <v>123.2</v>
      </c>
      <c r="O50" s="6">
        <v>0</v>
      </c>
      <c r="P50" s="6">
        <v>1.06</v>
      </c>
      <c r="Q50" s="6">
        <v>4.97</v>
      </c>
    </row>
    <row r="51" spans="1:17" customFormat="1">
      <c r="A51" s="72">
        <v>45308.447916666664</v>
      </c>
      <c r="B51" s="6">
        <v>14.71</v>
      </c>
      <c r="C51" s="6">
        <v>32.409999999999997</v>
      </c>
      <c r="D51" s="6">
        <v>30.09</v>
      </c>
      <c r="E51" s="6">
        <v>9.2200000000000006</v>
      </c>
      <c r="F51" s="6">
        <v>3.53</v>
      </c>
      <c r="G51" s="6">
        <v>121.32</v>
      </c>
      <c r="H51" s="6">
        <v>50.31</v>
      </c>
      <c r="I51" s="6">
        <v>10.16</v>
      </c>
      <c r="J51" s="6">
        <v>0.19</v>
      </c>
      <c r="K51" s="6">
        <v>3.23</v>
      </c>
      <c r="L51" s="6">
        <v>23.03</v>
      </c>
      <c r="M51" s="6">
        <v>61.79</v>
      </c>
      <c r="N51" s="6">
        <v>249.5</v>
      </c>
      <c r="O51" s="6">
        <v>0</v>
      </c>
      <c r="P51" s="6">
        <v>1.07</v>
      </c>
      <c r="Q51" s="6">
        <v>4.9800000000000004</v>
      </c>
    </row>
    <row r="52" spans="1:17" customFormat="1">
      <c r="A52" s="72">
        <v>45308.458333333336</v>
      </c>
      <c r="B52" s="6">
        <v>13.6</v>
      </c>
      <c r="C52" s="6">
        <v>32.6</v>
      </c>
      <c r="D52" s="6">
        <v>29.29</v>
      </c>
      <c r="E52" s="6">
        <v>9.1300000000000008</v>
      </c>
      <c r="F52" s="6">
        <v>3.64</v>
      </c>
      <c r="G52" s="6">
        <v>121.32</v>
      </c>
      <c r="H52" s="6">
        <v>50.31</v>
      </c>
      <c r="I52" s="6">
        <v>10.17</v>
      </c>
      <c r="J52" s="6">
        <v>0.19</v>
      </c>
      <c r="K52" s="6">
        <v>28.41</v>
      </c>
      <c r="L52" s="6">
        <v>24.09</v>
      </c>
      <c r="M52" s="6">
        <v>58.15</v>
      </c>
      <c r="N52" s="6">
        <v>249.6</v>
      </c>
      <c r="O52" s="6">
        <v>0</v>
      </c>
      <c r="P52" s="6">
        <v>1.08</v>
      </c>
      <c r="Q52" s="6">
        <v>4.97</v>
      </c>
    </row>
    <row r="53" spans="1:17" customFormat="1">
      <c r="A53" s="72">
        <v>45308.46875</v>
      </c>
      <c r="B53" s="6">
        <v>12.17</v>
      </c>
      <c r="C53" s="6">
        <v>32.67</v>
      </c>
      <c r="D53" s="6">
        <v>28.18</v>
      </c>
      <c r="E53" s="6">
        <v>9.49</v>
      </c>
      <c r="F53" s="6">
        <v>3.85</v>
      </c>
      <c r="G53" s="6">
        <v>121.32</v>
      </c>
      <c r="H53" s="6">
        <v>50.31</v>
      </c>
      <c r="I53" s="6">
        <v>10.19</v>
      </c>
      <c r="J53" s="6">
        <v>0.25</v>
      </c>
      <c r="K53" s="6">
        <v>0.1</v>
      </c>
      <c r="L53" s="6">
        <v>24.78</v>
      </c>
      <c r="M53" s="6">
        <v>55.5</v>
      </c>
      <c r="N53" s="6">
        <v>230.7</v>
      </c>
      <c r="O53" s="6">
        <v>0</v>
      </c>
      <c r="P53" s="6">
        <v>1.08</v>
      </c>
      <c r="Q53" s="6">
        <v>4.96</v>
      </c>
    </row>
    <row r="54" spans="1:17" customFormat="1">
      <c r="A54" s="72">
        <v>45308.479166666664</v>
      </c>
      <c r="B54" s="6">
        <v>10.84</v>
      </c>
      <c r="C54" s="6">
        <v>32.630000000000003</v>
      </c>
      <c r="D54" s="6">
        <v>27.09</v>
      </c>
      <c r="E54" s="6">
        <v>9.73</v>
      </c>
      <c r="F54" s="6">
        <v>4</v>
      </c>
      <c r="G54" s="6">
        <v>116.44</v>
      </c>
      <c r="H54" s="6">
        <v>49.92</v>
      </c>
      <c r="I54" s="6">
        <v>10.17</v>
      </c>
      <c r="J54" s="6">
        <v>0.66</v>
      </c>
      <c r="K54" s="6">
        <v>347.75</v>
      </c>
      <c r="L54" s="6">
        <v>25.17</v>
      </c>
      <c r="M54" s="6">
        <v>54.04</v>
      </c>
      <c r="N54" s="6">
        <v>200.1</v>
      </c>
      <c r="O54" s="6">
        <v>0</v>
      </c>
      <c r="P54" s="6">
        <v>1.08</v>
      </c>
      <c r="Q54" s="6">
        <v>4.93</v>
      </c>
    </row>
    <row r="55" spans="1:17" customFormat="1">
      <c r="A55" s="72">
        <v>45308.489583333336</v>
      </c>
      <c r="B55" s="6">
        <v>9.5399999999999991</v>
      </c>
      <c r="C55" s="6">
        <v>32.79</v>
      </c>
      <c r="D55" s="6">
        <v>26.14</v>
      </c>
      <c r="E55" s="6">
        <v>9.27</v>
      </c>
      <c r="F55" s="6">
        <v>3.84</v>
      </c>
      <c r="G55" s="6">
        <v>115.83</v>
      </c>
      <c r="H55" s="6">
        <v>49.92</v>
      </c>
      <c r="I55" s="6">
        <v>10.119999999999999</v>
      </c>
      <c r="J55" s="6">
        <v>0.18</v>
      </c>
      <c r="K55" s="6">
        <v>306.22000000000003</v>
      </c>
      <c r="L55" s="6">
        <v>25.43</v>
      </c>
      <c r="M55" s="6">
        <v>54.45</v>
      </c>
      <c r="N55" s="6">
        <v>247.5</v>
      </c>
      <c r="O55" s="6">
        <v>0</v>
      </c>
      <c r="P55" s="6">
        <v>1.08</v>
      </c>
      <c r="Q55" s="6">
        <v>4.92</v>
      </c>
    </row>
    <row r="56" spans="1:17" customFormat="1">
      <c r="A56" s="72">
        <v>45308.5</v>
      </c>
      <c r="B56" s="6">
        <v>8.1999999999999993</v>
      </c>
      <c r="C56" s="6">
        <v>32.83</v>
      </c>
      <c r="D56" s="6">
        <v>25.08</v>
      </c>
      <c r="E56" s="6">
        <v>9.9600000000000009</v>
      </c>
      <c r="F56" s="6">
        <v>4.24</v>
      </c>
      <c r="G56" s="6">
        <v>115.83</v>
      </c>
      <c r="H56" s="6">
        <v>49.92</v>
      </c>
      <c r="I56" s="6">
        <v>10.1</v>
      </c>
      <c r="J56" s="6">
        <v>0.76</v>
      </c>
      <c r="K56" s="6">
        <v>311.08999999999997</v>
      </c>
      <c r="L56" s="6">
        <v>25.93</v>
      </c>
      <c r="M56" s="6">
        <v>55.28</v>
      </c>
      <c r="N56" s="6">
        <v>256.10000000000002</v>
      </c>
      <c r="O56" s="6">
        <v>0</v>
      </c>
      <c r="P56" s="6">
        <v>1.0900000000000001</v>
      </c>
      <c r="Q56" s="6">
        <v>4.87</v>
      </c>
    </row>
    <row r="57" spans="1:17" customFormat="1">
      <c r="A57" s="72">
        <v>45308.510416666664</v>
      </c>
      <c r="B57" s="6">
        <v>7.31</v>
      </c>
      <c r="C57" s="6">
        <v>32.46</v>
      </c>
      <c r="D57" s="6">
        <v>24.17</v>
      </c>
      <c r="E57" s="6">
        <v>9.49</v>
      </c>
      <c r="F57" s="6">
        <v>4.45</v>
      </c>
      <c r="G57" s="6">
        <v>115.83</v>
      </c>
      <c r="H57" s="6">
        <v>49.92</v>
      </c>
      <c r="I57" s="6">
        <v>10.14</v>
      </c>
      <c r="J57" s="6">
        <v>0.8</v>
      </c>
      <c r="K57" s="6">
        <v>299.61</v>
      </c>
      <c r="L57" s="6">
        <v>25.9</v>
      </c>
      <c r="M57" s="6">
        <v>56.83</v>
      </c>
      <c r="N57" s="6">
        <v>283.39999999999998</v>
      </c>
      <c r="O57" s="6">
        <v>0</v>
      </c>
      <c r="P57" s="6">
        <v>1.08</v>
      </c>
      <c r="Q57" s="6">
        <v>4.84</v>
      </c>
    </row>
    <row r="58" spans="1:17" customFormat="1">
      <c r="A58" s="72">
        <v>45308.520833333336</v>
      </c>
      <c r="B58" s="6">
        <v>6.63</v>
      </c>
      <c r="C58" s="6">
        <v>31.98</v>
      </c>
      <c r="D58" s="6">
        <v>23.37</v>
      </c>
      <c r="E58" s="6">
        <v>9.3800000000000008</v>
      </c>
      <c r="F58" s="6">
        <v>4.32</v>
      </c>
      <c r="G58" s="6">
        <v>104.64</v>
      </c>
      <c r="H58" s="6">
        <v>45.64</v>
      </c>
      <c r="I58" s="6">
        <v>10.17</v>
      </c>
      <c r="J58" s="6">
        <v>0.53</v>
      </c>
      <c r="K58" s="6">
        <v>272.16000000000003</v>
      </c>
      <c r="L58" s="6">
        <v>26.78</v>
      </c>
      <c r="M58" s="6">
        <v>54.44</v>
      </c>
      <c r="N58" s="6">
        <v>280.3</v>
      </c>
      <c r="O58" s="6">
        <v>0</v>
      </c>
      <c r="P58" s="6">
        <v>1.06</v>
      </c>
      <c r="Q58" s="6">
        <v>4.82</v>
      </c>
    </row>
    <row r="59" spans="1:17" customFormat="1">
      <c r="A59" s="72">
        <v>45308.53125</v>
      </c>
      <c r="B59" s="6">
        <v>5.98</v>
      </c>
      <c r="C59" s="6">
        <v>31</v>
      </c>
      <c r="D59" s="6">
        <v>22.34</v>
      </c>
      <c r="E59" s="6">
        <v>9.01</v>
      </c>
      <c r="F59" s="6">
        <v>4.51</v>
      </c>
      <c r="G59" s="6">
        <v>103.25</v>
      </c>
      <c r="H59" s="6">
        <v>45.64</v>
      </c>
      <c r="I59" s="6">
        <v>10.15</v>
      </c>
      <c r="J59" s="6">
        <v>0.75</v>
      </c>
      <c r="K59" s="6">
        <v>277.77999999999997</v>
      </c>
      <c r="L59" s="6">
        <v>26.72</v>
      </c>
      <c r="M59" s="6">
        <v>53.48</v>
      </c>
      <c r="N59" s="6">
        <v>278.2</v>
      </c>
      <c r="O59" s="6">
        <v>0</v>
      </c>
      <c r="P59" s="6">
        <v>1.05</v>
      </c>
      <c r="Q59" s="6">
        <v>4.79</v>
      </c>
    </row>
    <row r="60" spans="1:17" customFormat="1">
      <c r="A60" s="72">
        <v>45308.541666666664</v>
      </c>
      <c r="B60" s="6">
        <v>5.39</v>
      </c>
      <c r="C60" s="6">
        <v>29.97</v>
      </c>
      <c r="D60" s="6">
        <v>21.33</v>
      </c>
      <c r="E60" s="6">
        <v>9.23</v>
      </c>
      <c r="F60" s="6">
        <v>5.09</v>
      </c>
      <c r="G60" s="6">
        <v>103.25</v>
      </c>
      <c r="H60" s="6">
        <v>45.64</v>
      </c>
      <c r="I60" s="6">
        <v>10.09</v>
      </c>
      <c r="J60" s="6">
        <v>0.67</v>
      </c>
      <c r="K60" s="6">
        <v>272.01</v>
      </c>
      <c r="L60" s="6">
        <v>27.14</v>
      </c>
      <c r="M60" s="6">
        <v>51.81</v>
      </c>
      <c r="N60" s="6">
        <v>288.3</v>
      </c>
      <c r="O60" s="6">
        <v>0</v>
      </c>
      <c r="P60" s="6">
        <v>1.04</v>
      </c>
      <c r="Q60" s="6">
        <v>4.79</v>
      </c>
    </row>
    <row r="61" spans="1:17" customFormat="1">
      <c r="A61" s="72">
        <v>45308.552083333336</v>
      </c>
      <c r="B61" s="6">
        <v>5.05</v>
      </c>
      <c r="C61" s="6">
        <v>28.78</v>
      </c>
      <c r="D61" s="6">
        <v>20.440000000000001</v>
      </c>
      <c r="E61" s="6">
        <v>9.4600000000000009</v>
      </c>
      <c r="F61" s="6">
        <v>5.45</v>
      </c>
      <c r="G61" s="6">
        <v>103.25</v>
      </c>
      <c r="H61" s="6">
        <v>45.64</v>
      </c>
      <c r="I61" s="6">
        <v>10.07</v>
      </c>
      <c r="J61" s="6">
        <v>0.65</v>
      </c>
      <c r="K61" s="6">
        <v>273.88</v>
      </c>
      <c r="L61" s="6">
        <v>27.45</v>
      </c>
      <c r="M61" s="6">
        <v>51.06</v>
      </c>
      <c r="N61" s="6">
        <v>261.39999999999998</v>
      </c>
      <c r="O61" s="6">
        <v>0</v>
      </c>
      <c r="P61" s="6">
        <v>1.01</v>
      </c>
      <c r="Q61" s="6">
        <v>4.78</v>
      </c>
    </row>
    <row r="62" spans="1:17" customFormat="1">
      <c r="A62" s="72">
        <v>45308.5625</v>
      </c>
      <c r="B62" s="6">
        <v>4.74</v>
      </c>
      <c r="C62" s="6">
        <v>27.87</v>
      </c>
      <c r="D62" s="6">
        <v>19.71</v>
      </c>
      <c r="E62" s="6">
        <v>9.4499999999999993</v>
      </c>
      <c r="F62" s="6">
        <v>5.34</v>
      </c>
      <c r="G62" s="6">
        <v>95.6</v>
      </c>
      <c r="H62" s="6">
        <v>46.84</v>
      </c>
      <c r="I62" s="6">
        <v>10.06</v>
      </c>
      <c r="J62" s="6">
        <v>0.23</v>
      </c>
      <c r="K62" s="6">
        <v>223.47</v>
      </c>
      <c r="L62" s="6">
        <v>27.83</v>
      </c>
      <c r="M62" s="6">
        <v>49.81</v>
      </c>
      <c r="N62" s="6">
        <v>253.3</v>
      </c>
      <c r="O62" s="6">
        <v>0</v>
      </c>
      <c r="P62" s="6">
        <v>1</v>
      </c>
      <c r="Q62" s="6">
        <v>4.74</v>
      </c>
    </row>
    <row r="63" spans="1:17" customFormat="1">
      <c r="A63" s="72">
        <v>45308.572916666664</v>
      </c>
      <c r="B63" s="6">
        <v>4.58</v>
      </c>
      <c r="C63" s="6">
        <v>28.27</v>
      </c>
      <c r="D63" s="6">
        <v>19.8</v>
      </c>
      <c r="E63" s="6">
        <v>9.41</v>
      </c>
      <c r="F63" s="6">
        <v>5.15</v>
      </c>
      <c r="G63" s="6">
        <v>94.64</v>
      </c>
      <c r="H63" s="6">
        <v>46.84</v>
      </c>
      <c r="I63" s="6">
        <v>10</v>
      </c>
      <c r="J63" s="6">
        <v>0.59</v>
      </c>
      <c r="K63" s="6">
        <v>289.08999999999997</v>
      </c>
      <c r="L63" s="6">
        <v>27.85</v>
      </c>
      <c r="M63" s="6">
        <v>49.89</v>
      </c>
      <c r="N63" s="6">
        <v>235.4</v>
      </c>
      <c r="O63" s="6">
        <v>0</v>
      </c>
      <c r="P63" s="6">
        <v>0.99</v>
      </c>
      <c r="Q63" s="6">
        <v>4.72</v>
      </c>
    </row>
    <row r="64" spans="1:17" customFormat="1">
      <c r="A64" s="72">
        <v>45308.583333333336</v>
      </c>
      <c r="B64" s="6">
        <v>4.62</v>
      </c>
      <c r="C64" s="6">
        <v>24.6</v>
      </c>
      <c r="D64" s="6">
        <v>17.899999999999999</v>
      </c>
      <c r="E64" s="6">
        <v>9.2100000000000009</v>
      </c>
      <c r="F64" s="6">
        <v>5.16</v>
      </c>
      <c r="G64" s="6">
        <v>94.64</v>
      </c>
      <c r="H64" s="6">
        <v>46.84</v>
      </c>
      <c r="I64" s="6">
        <v>9.92</v>
      </c>
      <c r="J64" s="6">
        <v>0.55000000000000004</v>
      </c>
      <c r="K64" s="6">
        <v>301.48</v>
      </c>
      <c r="L64" s="6">
        <v>27.72</v>
      </c>
      <c r="M64" s="6">
        <v>50.91</v>
      </c>
      <c r="N64" s="6">
        <v>233.6</v>
      </c>
      <c r="O64" s="6">
        <v>0</v>
      </c>
      <c r="P64" s="6">
        <v>0.97</v>
      </c>
      <c r="Q64" s="6">
        <v>4.71</v>
      </c>
    </row>
    <row r="65" spans="1:17" customFormat="1">
      <c r="A65" s="72">
        <v>45308.59375</v>
      </c>
      <c r="B65" s="6">
        <v>4.4800000000000004</v>
      </c>
      <c r="C65" s="6">
        <v>21.73</v>
      </c>
      <c r="D65" s="6">
        <v>16.3</v>
      </c>
      <c r="E65" s="6">
        <v>8.9600000000000009</v>
      </c>
      <c r="F65" s="6">
        <v>5.05</v>
      </c>
      <c r="G65" s="6">
        <v>94.64</v>
      </c>
      <c r="H65" s="6">
        <v>46.84</v>
      </c>
      <c r="I65" s="6">
        <v>9.8699999999999992</v>
      </c>
      <c r="J65" s="6">
        <v>0.46</v>
      </c>
      <c r="K65" s="6">
        <v>284.85000000000002</v>
      </c>
      <c r="L65" s="6">
        <v>27.61</v>
      </c>
      <c r="M65" s="6">
        <v>51.4</v>
      </c>
      <c r="N65" s="6">
        <v>200</v>
      </c>
      <c r="O65" s="6">
        <v>0</v>
      </c>
      <c r="P65" s="6">
        <v>0.86</v>
      </c>
      <c r="Q65" s="6">
        <v>4.6900000000000004</v>
      </c>
    </row>
    <row r="66" spans="1:17" customFormat="1">
      <c r="A66" s="72">
        <v>45308.604166666664</v>
      </c>
      <c r="B66" s="6">
        <v>4.57</v>
      </c>
      <c r="C66" s="6">
        <v>20.07</v>
      </c>
      <c r="D66" s="6">
        <v>15.5</v>
      </c>
      <c r="E66" s="6">
        <v>8.6199999999999992</v>
      </c>
      <c r="F66" s="6">
        <v>5.56</v>
      </c>
      <c r="G66" s="6">
        <v>82.1</v>
      </c>
      <c r="H66" s="6">
        <v>43.34</v>
      </c>
      <c r="I66" s="6">
        <v>9.84</v>
      </c>
      <c r="J66" s="6">
        <v>0.3</v>
      </c>
      <c r="K66" s="6">
        <v>47.74</v>
      </c>
      <c r="L66" s="6">
        <v>27.57</v>
      </c>
      <c r="M66" s="6">
        <v>50.56</v>
      </c>
      <c r="N66" s="6">
        <v>143.69999999999999</v>
      </c>
      <c r="O66" s="6">
        <v>0</v>
      </c>
      <c r="P66" s="6">
        <v>0.9</v>
      </c>
      <c r="Q66" s="6">
        <v>4.7</v>
      </c>
    </row>
    <row r="67" spans="1:17" customFormat="1">
      <c r="A67" s="72">
        <v>45308.614583333336</v>
      </c>
      <c r="B67" s="6">
        <v>4.49</v>
      </c>
      <c r="C67" s="6">
        <v>19.600000000000001</v>
      </c>
      <c r="D67" s="6">
        <v>15.19</v>
      </c>
      <c r="E67" s="6">
        <v>8.77</v>
      </c>
      <c r="F67" s="6">
        <v>5.24</v>
      </c>
      <c r="G67" s="6">
        <v>80.540000000000006</v>
      </c>
      <c r="H67" s="6">
        <v>43.34</v>
      </c>
      <c r="I67" s="6">
        <v>9.77</v>
      </c>
      <c r="J67" s="6">
        <v>0.26</v>
      </c>
      <c r="K67" s="6">
        <v>230</v>
      </c>
      <c r="L67" s="6">
        <v>27.41</v>
      </c>
      <c r="M67" s="6">
        <v>51.8</v>
      </c>
      <c r="N67" s="6">
        <v>114.9</v>
      </c>
      <c r="O67" s="6">
        <v>0</v>
      </c>
      <c r="P67" s="6">
        <v>0.89</v>
      </c>
      <c r="Q67" s="6">
        <v>4.71</v>
      </c>
    </row>
    <row r="68" spans="1:17" customFormat="1">
      <c r="A68" s="72">
        <v>45308.625</v>
      </c>
      <c r="B68" s="6">
        <v>4.4400000000000004</v>
      </c>
      <c r="C68" s="6">
        <v>18.899999999999999</v>
      </c>
      <c r="D68" s="6">
        <v>14.78</v>
      </c>
      <c r="E68" s="6">
        <v>8.48</v>
      </c>
      <c r="F68" s="6">
        <v>4.8600000000000003</v>
      </c>
      <c r="G68" s="6">
        <v>80.540000000000006</v>
      </c>
      <c r="H68" s="6">
        <v>43.34</v>
      </c>
      <c r="I68" s="6">
        <v>9.7899999999999991</v>
      </c>
      <c r="J68" s="6">
        <v>0.2</v>
      </c>
      <c r="K68" s="6">
        <v>315.70999999999998</v>
      </c>
      <c r="L68" s="6">
        <v>27.7</v>
      </c>
      <c r="M68" s="6">
        <v>50.81</v>
      </c>
      <c r="N68" s="6">
        <v>104.3</v>
      </c>
      <c r="O68" s="6">
        <v>0</v>
      </c>
      <c r="P68" s="6">
        <v>0.88</v>
      </c>
      <c r="Q68" s="6">
        <v>4.7300000000000004</v>
      </c>
    </row>
    <row r="69" spans="1:17" customFormat="1">
      <c r="A69" s="72">
        <v>45308.635416666664</v>
      </c>
      <c r="B69" s="6">
        <v>4.37</v>
      </c>
      <c r="C69" s="6">
        <v>18.28</v>
      </c>
      <c r="D69" s="6">
        <v>14.41</v>
      </c>
      <c r="E69" s="6">
        <v>8.6199999999999992</v>
      </c>
      <c r="F69" s="6">
        <v>4.5999999999999996</v>
      </c>
      <c r="G69" s="6">
        <v>80.540000000000006</v>
      </c>
      <c r="H69" s="6">
        <v>43.34</v>
      </c>
      <c r="I69" s="6">
        <v>9.7899999999999991</v>
      </c>
      <c r="J69" s="6">
        <v>0.59</v>
      </c>
      <c r="K69" s="6">
        <v>282.05</v>
      </c>
      <c r="L69" s="6">
        <v>27.55</v>
      </c>
      <c r="M69" s="6">
        <v>50.98</v>
      </c>
      <c r="N69" s="6">
        <v>88.5</v>
      </c>
      <c r="O69" s="6">
        <v>0</v>
      </c>
      <c r="P69" s="6">
        <v>0.87</v>
      </c>
      <c r="Q69" s="6">
        <v>4.76</v>
      </c>
    </row>
    <row r="70" spans="1:17" customFormat="1">
      <c r="A70" s="72">
        <v>45308.645833333336</v>
      </c>
      <c r="B70" s="6">
        <v>4.49</v>
      </c>
      <c r="C70" s="6">
        <v>17.510000000000002</v>
      </c>
      <c r="D70" s="6">
        <v>14.1</v>
      </c>
      <c r="E70" s="6">
        <v>8.14</v>
      </c>
      <c r="F70" s="6">
        <v>4.62</v>
      </c>
      <c r="G70" s="6">
        <v>77.2</v>
      </c>
      <c r="H70" s="6">
        <v>42.09</v>
      </c>
      <c r="I70" s="6">
        <v>9.7100000000000009</v>
      </c>
      <c r="J70" s="6">
        <v>0.46</v>
      </c>
      <c r="K70" s="6">
        <v>274.02</v>
      </c>
      <c r="L70" s="6">
        <v>27.45</v>
      </c>
      <c r="M70" s="6">
        <v>51.35</v>
      </c>
      <c r="N70" s="6">
        <v>79.8</v>
      </c>
      <c r="O70" s="6">
        <v>0</v>
      </c>
      <c r="P70" s="6">
        <v>0.86</v>
      </c>
      <c r="Q70" s="6">
        <v>4.76</v>
      </c>
    </row>
    <row r="71" spans="1:17" customFormat="1">
      <c r="A71" s="72">
        <v>45308.65625</v>
      </c>
      <c r="B71" s="6">
        <v>4.45</v>
      </c>
      <c r="C71" s="6">
        <v>16.98</v>
      </c>
      <c r="D71" s="6">
        <v>13.79</v>
      </c>
      <c r="E71" s="6">
        <v>8.6300000000000008</v>
      </c>
      <c r="F71" s="6">
        <v>4.8899999999999997</v>
      </c>
      <c r="G71" s="6">
        <v>76.790000000000006</v>
      </c>
      <c r="H71" s="6">
        <v>42.09</v>
      </c>
      <c r="I71" s="6">
        <v>9.56</v>
      </c>
      <c r="J71" s="6">
        <v>0.16</v>
      </c>
      <c r="K71" s="6">
        <v>195.55</v>
      </c>
      <c r="L71" s="6">
        <v>27.37</v>
      </c>
      <c r="M71" s="6">
        <v>51.36</v>
      </c>
      <c r="N71" s="6">
        <v>72.099999999999994</v>
      </c>
      <c r="O71" s="6">
        <v>0</v>
      </c>
      <c r="P71" s="6">
        <v>0.84</v>
      </c>
      <c r="Q71" s="6">
        <v>4.74</v>
      </c>
    </row>
    <row r="72" spans="1:17" customFormat="1">
      <c r="A72" s="72">
        <v>45308.666666666664</v>
      </c>
      <c r="B72" s="6">
        <v>4.51</v>
      </c>
      <c r="C72" s="6">
        <v>16.28</v>
      </c>
      <c r="D72" s="6">
        <v>13.47</v>
      </c>
      <c r="E72" s="6">
        <v>9.1199999999999992</v>
      </c>
      <c r="F72" s="6">
        <v>4.53</v>
      </c>
      <c r="G72" s="6">
        <v>76.790000000000006</v>
      </c>
      <c r="H72" s="6">
        <v>42.09</v>
      </c>
      <c r="I72" s="6">
        <v>9.39</v>
      </c>
      <c r="J72" s="6">
        <v>0.34</v>
      </c>
      <c r="K72" s="6">
        <v>265.2</v>
      </c>
      <c r="L72" s="6">
        <v>27.16</v>
      </c>
      <c r="M72" s="6">
        <v>52.83</v>
      </c>
      <c r="N72" s="6">
        <v>55.5</v>
      </c>
      <c r="O72" s="6">
        <v>0</v>
      </c>
      <c r="P72" s="6">
        <v>0.82</v>
      </c>
      <c r="Q72" s="6">
        <v>4.7300000000000004</v>
      </c>
    </row>
    <row r="73" spans="1:17" customFormat="1">
      <c r="A73" s="72">
        <v>45308.677083333336</v>
      </c>
      <c r="B73" s="6">
        <v>4.49</v>
      </c>
      <c r="C73" s="6">
        <v>15.95</v>
      </c>
      <c r="D73" s="6">
        <v>13.29</v>
      </c>
      <c r="E73" s="6">
        <v>8.84</v>
      </c>
      <c r="F73" s="6">
        <v>4.76</v>
      </c>
      <c r="G73" s="6">
        <v>76.790000000000006</v>
      </c>
      <c r="H73" s="6">
        <v>42.09</v>
      </c>
      <c r="I73" s="6">
        <v>9.24</v>
      </c>
      <c r="J73" s="6">
        <v>0.42</v>
      </c>
      <c r="K73" s="6">
        <v>274.41000000000003</v>
      </c>
      <c r="L73" s="6">
        <v>26.98</v>
      </c>
      <c r="M73" s="6">
        <v>52.96</v>
      </c>
      <c r="N73" s="6">
        <v>44</v>
      </c>
      <c r="O73" s="6">
        <v>0</v>
      </c>
      <c r="P73" s="6">
        <v>0.81</v>
      </c>
      <c r="Q73" s="6">
        <v>4.76</v>
      </c>
    </row>
    <row r="74" spans="1:17" customFormat="1">
      <c r="A74" s="72">
        <v>45308.6875</v>
      </c>
      <c r="B74" s="6">
        <v>4.59</v>
      </c>
      <c r="C74" s="6">
        <v>15.29</v>
      </c>
      <c r="D74" s="6">
        <v>13.01</v>
      </c>
      <c r="E74" s="6">
        <v>8.6199999999999992</v>
      </c>
      <c r="F74" s="6">
        <v>6.44</v>
      </c>
      <c r="G74" s="6">
        <v>61.34</v>
      </c>
      <c r="H74" s="6">
        <v>33.51</v>
      </c>
      <c r="I74" s="6">
        <v>9.08</v>
      </c>
      <c r="J74" s="6">
        <v>0.1</v>
      </c>
      <c r="K74" s="6">
        <v>198.55</v>
      </c>
      <c r="L74" s="6">
        <v>26.7</v>
      </c>
      <c r="M74" s="6">
        <v>55.53</v>
      </c>
      <c r="N74" s="6">
        <v>31.6</v>
      </c>
      <c r="O74" s="6">
        <v>0</v>
      </c>
      <c r="P74" s="6">
        <v>0.79</v>
      </c>
      <c r="Q74" s="6">
        <v>4.76</v>
      </c>
    </row>
    <row r="75" spans="1:17" customFormat="1">
      <c r="A75" s="72">
        <v>45308.697916666664</v>
      </c>
      <c r="B75" s="6">
        <v>4.68</v>
      </c>
      <c r="C75" s="6">
        <v>15.35</v>
      </c>
      <c r="D75" s="6">
        <v>13.12</v>
      </c>
      <c r="E75" s="6">
        <v>8.48</v>
      </c>
      <c r="F75" s="6">
        <v>4.5599999999999996</v>
      </c>
      <c r="G75" s="6">
        <v>59.41</v>
      </c>
      <c r="H75" s="6">
        <v>33.51</v>
      </c>
      <c r="I75" s="6">
        <v>8.86</v>
      </c>
      <c r="J75" s="6">
        <v>0.15</v>
      </c>
      <c r="K75" s="6">
        <v>196.65</v>
      </c>
      <c r="L75" s="6">
        <v>26.43</v>
      </c>
      <c r="M75" s="6">
        <v>56.05</v>
      </c>
      <c r="N75" s="6">
        <v>21.6</v>
      </c>
      <c r="O75" s="6">
        <v>0</v>
      </c>
      <c r="P75" s="6">
        <v>0.79</v>
      </c>
      <c r="Q75" s="6">
        <v>4.76</v>
      </c>
    </row>
    <row r="76" spans="1:17" customFormat="1">
      <c r="A76" s="72">
        <v>45308.708333333336</v>
      </c>
      <c r="B76" s="6">
        <v>4.7300000000000004</v>
      </c>
      <c r="C76" s="6">
        <v>15.25</v>
      </c>
      <c r="D76" s="6">
        <v>13.11</v>
      </c>
      <c r="E76" s="6">
        <v>8.8000000000000007</v>
      </c>
      <c r="F76" s="6">
        <v>4.13</v>
      </c>
      <c r="G76" s="6">
        <v>59.41</v>
      </c>
      <c r="H76" s="6">
        <v>33.51</v>
      </c>
      <c r="I76" s="6">
        <v>8.76</v>
      </c>
      <c r="J76" s="6">
        <v>0.21</v>
      </c>
      <c r="K76" s="6">
        <v>177.01</v>
      </c>
      <c r="L76" s="6">
        <v>26.04</v>
      </c>
      <c r="M76" s="6">
        <v>57.09</v>
      </c>
      <c r="N76" s="6">
        <v>11.6</v>
      </c>
      <c r="O76" s="6">
        <v>0</v>
      </c>
      <c r="P76" s="6">
        <v>0.78</v>
      </c>
      <c r="Q76" s="6">
        <v>4.75</v>
      </c>
    </row>
    <row r="77" spans="1:17" customFormat="1">
      <c r="A77" s="72">
        <v>45308.71875</v>
      </c>
      <c r="B77" s="6">
        <v>4.75</v>
      </c>
      <c r="C77" s="6">
        <v>14.98</v>
      </c>
      <c r="D77" s="6">
        <v>12.99</v>
      </c>
      <c r="E77" s="6">
        <v>8.99</v>
      </c>
      <c r="F77" s="6">
        <v>4</v>
      </c>
      <c r="G77" s="6">
        <v>59.41</v>
      </c>
      <c r="H77" s="6">
        <v>33.51</v>
      </c>
      <c r="I77" s="6">
        <v>8.68</v>
      </c>
      <c r="J77" s="6">
        <v>0.22</v>
      </c>
      <c r="K77" s="6">
        <v>174.51</v>
      </c>
      <c r="L77" s="6">
        <v>25.45</v>
      </c>
      <c r="M77" s="6">
        <v>60.84</v>
      </c>
      <c r="N77" s="6">
        <v>2.7</v>
      </c>
      <c r="O77" s="6">
        <v>0</v>
      </c>
      <c r="P77" s="6">
        <v>0.77</v>
      </c>
      <c r="Q77" s="6">
        <v>4.76</v>
      </c>
    </row>
    <row r="78" spans="1:17" customFormat="1">
      <c r="A78" s="72">
        <v>45308.729166666664</v>
      </c>
      <c r="B78" s="6">
        <v>4.9800000000000004</v>
      </c>
      <c r="C78" s="6">
        <v>16.05</v>
      </c>
      <c r="D78" s="6">
        <v>13.73</v>
      </c>
      <c r="E78" s="6">
        <v>8.93</v>
      </c>
      <c r="F78" s="6">
        <v>4.04</v>
      </c>
      <c r="G78" s="6">
        <v>52.99</v>
      </c>
      <c r="H78" s="6">
        <v>32.82</v>
      </c>
      <c r="I78" s="6">
        <v>8.5500000000000007</v>
      </c>
      <c r="J78" s="6">
        <v>0.25</v>
      </c>
      <c r="K78" s="6">
        <v>170.88</v>
      </c>
      <c r="L78" s="6">
        <v>24.97</v>
      </c>
      <c r="M78" s="6">
        <v>62.56</v>
      </c>
      <c r="N78" s="6">
        <v>0</v>
      </c>
      <c r="O78" s="6">
        <v>0</v>
      </c>
      <c r="P78" s="6">
        <v>0.77</v>
      </c>
      <c r="Q78" s="6">
        <v>4.7699999999999996</v>
      </c>
    </row>
    <row r="79" spans="1:17" customFormat="1">
      <c r="A79" s="72">
        <v>45308.739583333336</v>
      </c>
      <c r="B79" s="6">
        <v>5.2</v>
      </c>
      <c r="C79" s="6">
        <v>16.03</v>
      </c>
      <c r="D79" s="6">
        <v>13.9</v>
      </c>
      <c r="E79" s="6">
        <v>9.24</v>
      </c>
      <c r="F79" s="6">
        <v>3.74</v>
      </c>
      <c r="G79" s="6">
        <v>52.18</v>
      </c>
      <c r="H79" s="6">
        <v>32.82</v>
      </c>
      <c r="I79" s="6">
        <v>8.44</v>
      </c>
      <c r="J79" s="6">
        <v>0.25</v>
      </c>
      <c r="K79" s="6">
        <v>164.94</v>
      </c>
      <c r="L79" s="6">
        <v>24.43</v>
      </c>
      <c r="M79" s="6">
        <v>66.540000000000006</v>
      </c>
      <c r="N79" s="6">
        <v>0</v>
      </c>
      <c r="O79" s="6">
        <v>0</v>
      </c>
      <c r="P79" s="6">
        <v>0.76</v>
      </c>
      <c r="Q79" s="6">
        <v>4.7699999999999996</v>
      </c>
    </row>
    <row r="80" spans="1:17" customFormat="1">
      <c r="A80" s="72">
        <v>45308.75</v>
      </c>
      <c r="B80" s="6">
        <v>5.79</v>
      </c>
      <c r="C80" s="6">
        <v>16.54</v>
      </c>
      <c r="D80" s="6">
        <v>14.63</v>
      </c>
      <c r="E80" s="6">
        <v>9.14</v>
      </c>
      <c r="F80" s="6">
        <v>3.5</v>
      </c>
      <c r="G80" s="6">
        <v>52.18</v>
      </c>
      <c r="H80" s="6">
        <v>32.82</v>
      </c>
      <c r="I80" s="6">
        <v>8.3699999999999992</v>
      </c>
      <c r="J80" s="6">
        <v>0.24</v>
      </c>
      <c r="K80" s="6">
        <v>162.31</v>
      </c>
      <c r="L80" s="6">
        <v>23.8</v>
      </c>
      <c r="M80" s="6">
        <v>70.39</v>
      </c>
      <c r="N80" s="6">
        <v>0</v>
      </c>
      <c r="O80" s="6">
        <v>0</v>
      </c>
      <c r="P80" s="6">
        <v>0.78</v>
      </c>
      <c r="Q80" s="6">
        <v>4.8</v>
      </c>
    </row>
    <row r="81" spans="1:17" customFormat="1">
      <c r="A81" s="72">
        <v>45308.760416666664</v>
      </c>
      <c r="B81" s="6">
        <v>6.8</v>
      </c>
      <c r="C81" s="6">
        <v>18.329999999999998</v>
      </c>
      <c r="D81" s="6">
        <v>16.38</v>
      </c>
      <c r="E81" s="6">
        <v>6.9</v>
      </c>
      <c r="F81" s="6">
        <v>3.3</v>
      </c>
      <c r="G81" s="6">
        <v>52.18</v>
      </c>
      <c r="H81" s="6">
        <v>32.82</v>
      </c>
      <c r="I81" s="6">
        <v>8.35</v>
      </c>
      <c r="J81" s="6">
        <v>0.28000000000000003</v>
      </c>
      <c r="K81" s="6">
        <v>170.07</v>
      </c>
      <c r="L81" s="6">
        <v>23.42</v>
      </c>
      <c r="M81" s="6">
        <v>70.569999999999993</v>
      </c>
      <c r="N81" s="6">
        <v>0</v>
      </c>
      <c r="O81" s="6">
        <v>0</v>
      </c>
      <c r="P81" s="6">
        <v>0.81</v>
      </c>
      <c r="Q81" s="6">
        <v>4.78</v>
      </c>
    </row>
    <row r="82" spans="1:17" customFormat="1">
      <c r="A82" s="72">
        <v>45308.770833333336</v>
      </c>
      <c r="B82" s="6">
        <v>7.96</v>
      </c>
      <c r="C82" s="6">
        <v>20.47</v>
      </c>
      <c r="D82" s="6">
        <v>18.43</v>
      </c>
      <c r="E82" s="6">
        <v>8.39</v>
      </c>
      <c r="F82" s="6">
        <v>3.11</v>
      </c>
      <c r="G82" s="6">
        <v>142.13</v>
      </c>
      <c r="H82" s="6">
        <v>41.36</v>
      </c>
      <c r="I82" s="6">
        <v>8.3800000000000008</v>
      </c>
      <c r="J82" s="6">
        <v>0.3</v>
      </c>
      <c r="K82" s="6">
        <v>164.23</v>
      </c>
      <c r="L82" s="6">
        <v>23.19</v>
      </c>
      <c r="M82" s="6">
        <v>74.05</v>
      </c>
      <c r="N82" s="6">
        <v>0</v>
      </c>
      <c r="O82" s="6">
        <v>0</v>
      </c>
      <c r="P82" s="6">
        <v>0.85</v>
      </c>
      <c r="Q82" s="6">
        <v>4.8</v>
      </c>
    </row>
    <row r="83" spans="1:17" customFormat="1">
      <c r="A83" s="72">
        <v>45308.78125</v>
      </c>
      <c r="B83" s="6">
        <v>9.5299999999999994</v>
      </c>
      <c r="C83" s="6">
        <v>22.74</v>
      </c>
      <c r="D83" s="6">
        <v>20.87</v>
      </c>
      <c r="E83" s="6">
        <v>8.1300000000000008</v>
      </c>
      <c r="F83" s="6">
        <v>3.22</v>
      </c>
      <c r="G83" s="6">
        <v>153.37</v>
      </c>
      <c r="H83" s="6">
        <v>41.36</v>
      </c>
      <c r="I83" s="6">
        <v>8.4499999999999993</v>
      </c>
      <c r="J83" s="6">
        <v>0.26</v>
      </c>
      <c r="K83" s="6">
        <v>175.72</v>
      </c>
      <c r="L83" s="6">
        <v>22.89</v>
      </c>
      <c r="M83" s="6">
        <v>74.03</v>
      </c>
      <c r="N83" s="6">
        <v>0</v>
      </c>
      <c r="O83" s="6">
        <v>0</v>
      </c>
      <c r="P83" s="6">
        <v>0.89</v>
      </c>
      <c r="Q83" s="6">
        <v>4.8499999999999996</v>
      </c>
    </row>
    <row r="84" spans="1:17" customFormat="1">
      <c r="A84" s="72">
        <v>45308.791666666664</v>
      </c>
      <c r="B84" s="6">
        <v>10.84</v>
      </c>
      <c r="C84" s="6">
        <v>25.09</v>
      </c>
      <c r="D84" s="6">
        <v>23.15</v>
      </c>
      <c r="E84" s="6">
        <v>8.17</v>
      </c>
      <c r="F84" s="6">
        <v>3.21</v>
      </c>
      <c r="G84" s="6">
        <v>153.37</v>
      </c>
      <c r="H84" s="6">
        <v>41.36</v>
      </c>
      <c r="I84" s="6">
        <v>8.58</v>
      </c>
      <c r="J84" s="6">
        <v>0.17</v>
      </c>
      <c r="K84" s="6">
        <v>130.35</v>
      </c>
      <c r="L84" s="6">
        <v>22.61</v>
      </c>
      <c r="M84" s="6">
        <v>74.19</v>
      </c>
      <c r="N84" s="6">
        <v>0</v>
      </c>
      <c r="O84" s="6">
        <v>0</v>
      </c>
      <c r="P84" s="6">
        <v>0.92</v>
      </c>
      <c r="Q84" s="6">
        <v>4.9000000000000004</v>
      </c>
    </row>
    <row r="85" spans="1:17" customFormat="1">
      <c r="A85" s="72">
        <v>45308.802083333336</v>
      </c>
      <c r="B85" s="6">
        <v>12</v>
      </c>
      <c r="C85" s="6">
        <v>26.71</v>
      </c>
      <c r="D85" s="6">
        <v>24.93</v>
      </c>
      <c r="E85" s="6">
        <v>8.0299999999999994</v>
      </c>
      <c r="F85" s="6">
        <v>3.33</v>
      </c>
      <c r="G85" s="6">
        <v>153.37</v>
      </c>
      <c r="H85" s="6">
        <v>41.36</v>
      </c>
      <c r="I85" s="6">
        <v>8.7100000000000009</v>
      </c>
      <c r="J85" s="6">
        <v>0.19</v>
      </c>
      <c r="K85" s="6">
        <v>165.25</v>
      </c>
      <c r="L85" s="6">
        <v>22.66</v>
      </c>
      <c r="M85" s="6">
        <v>73.66</v>
      </c>
      <c r="N85" s="6">
        <v>0</v>
      </c>
      <c r="O85" s="6">
        <v>0</v>
      </c>
      <c r="P85" s="6">
        <v>0.95</v>
      </c>
      <c r="Q85" s="6">
        <v>4.92</v>
      </c>
    </row>
    <row r="86" spans="1:17" customFormat="1">
      <c r="A86" s="72">
        <v>45308.8125</v>
      </c>
      <c r="B86" s="6">
        <v>13.84</v>
      </c>
      <c r="C86" s="6">
        <v>28.43</v>
      </c>
      <c r="D86" s="6">
        <v>27.3</v>
      </c>
      <c r="E86" s="6">
        <v>8.15</v>
      </c>
      <c r="F86" s="6">
        <v>3.19</v>
      </c>
      <c r="G86" s="6">
        <v>133.79</v>
      </c>
      <c r="H86" s="6">
        <v>52</v>
      </c>
      <c r="I86" s="6">
        <v>8.8800000000000008</v>
      </c>
      <c r="J86" s="6">
        <v>0.36</v>
      </c>
      <c r="K86" s="6">
        <v>61.95</v>
      </c>
      <c r="L86" s="6">
        <v>22.56</v>
      </c>
      <c r="M86" s="6">
        <v>72.92</v>
      </c>
      <c r="N86" s="6">
        <v>0</v>
      </c>
      <c r="O86" s="6">
        <v>0</v>
      </c>
      <c r="P86" s="6">
        <v>1</v>
      </c>
      <c r="Q86" s="6">
        <v>4.9400000000000004</v>
      </c>
    </row>
    <row r="87" spans="1:17" customFormat="1">
      <c r="A87" s="72">
        <v>45308.822916666664</v>
      </c>
      <c r="B87" s="6">
        <v>17.149999999999999</v>
      </c>
      <c r="C87" s="6">
        <v>30.04</v>
      </c>
      <c r="D87" s="6">
        <v>30.79</v>
      </c>
      <c r="E87" s="6">
        <v>8.5299999999999994</v>
      </c>
      <c r="F87" s="6">
        <v>3.22</v>
      </c>
      <c r="G87" s="6">
        <v>131.34</v>
      </c>
      <c r="H87" s="6">
        <v>52</v>
      </c>
      <c r="I87" s="6">
        <v>9.07</v>
      </c>
      <c r="J87" s="6">
        <v>0.14000000000000001</v>
      </c>
      <c r="K87" s="6">
        <v>91.29</v>
      </c>
      <c r="L87" s="6">
        <v>22.72</v>
      </c>
      <c r="M87" s="6">
        <v>73.569999999999993</v>
      </c>
      <c r="N87" s="6">
        <v>0</v>
      </c>
      <c r="O87" s="6">
        <v>0</v>
      </c>
      <c r="P87" s="6">
        <v>1.05</v>
      </c>
      <c r="Q87" s="6">
        <v>4.97</v>
      </c>
    </row>
    <row r="88" spans="1:17" customFormat="1">
      <c r="A88" s="72">
        <v>45308.833333333336</v>
      </c>
      <c r="B88" s="6">
        <v>19.8</v>
      </c>
      <c r="C88" s="6">
        <v>31.65</v>
      </c>
      <c r="D88" s="6">
        <v>33.76</v>
      </c>
      <c r="E88" s="6">
        <v>8.4499999999999993</v>
      </c>
      <c r="F88" s="6">
        <v>3.3</v>
      </c>
      <c r="G88" s="6">
        <v>131.34</v>
      </c>
      <c r="H88" s="6">
        <v>52</v>
      </c>
      <c r="I88" s="6">
        <v>9.4</v>
      </c>
      <c r="J88" s="6">
        <v>0.26</v>
      </c>
      <c r="K88" s="6">
        <v>173.97</v>
      </c>
      <c r="L88" s="6">
        <v>22.31</v>
      </c>
      <c r="M88" s="6">
        <v>76.430000000000007</v>
      </c>
      <c r="N88" s="6">
        <v>0</v>
      </c>
      <c r="O88" s="6">
        <v>0</v>
      </c>
      <c r="P88" s="6">
        <v>1.1000000000000001</v>
      </c>
      <c r="Q88" s="6">
        <v>4.99</v>
      </c>
    </row>
    <row r="89" spans="1:17" customFormat="1">
      <c r="A89" s="72">
        <v>45308.84375</v>
      </c>
      <c r="B89" s="6">
        <v>21.57</v>
      </c>
      <c r="C89" s="6">
        <v>32.58</v>
      </c>
      <c r="D89" s="6">
        <v>35.67</v>
      </c>
      <c r="E89" s="6">
        <v>8.59</v>
      </c>
      <c r="F89" s="6">
        <v>3.18</v>
      </c>
      <c r="G89" s="6">
        <v>131.34</v>
      </c>
      <c r="H89" s="6">
        <v>52</v>
      </c>
      <c r="I89" s="6">
        <v>9.81</v>
      </c>
      <c r="J89" s="6">
        <v>0.16</v>
      </c>
      <c r="K89" s="6">
        <v>191.81</v>
      </c>
      <c r="L89" s="6">
        <v>21.75</v>
      </c>
      <c r="M89" s="6">
        <v>80.59</v>
      </c>
      <c r="N89" s="6">
        <v>0</v>
      </c>
      <c r="O89" s="6">
        <v>0</v>
      </c>
      <c r="P89" s="6">
        <v>1.1299999999999999</v>
      </c>
      <c r="Q89" s="6">
        <v>5.0199999999999996</v>
      </c>
    </row>
    <row r="90" spans="1:17" customFormat="1">
      <c r="A90" s="72">
        <v>45308.854166666664</v>
      </c>
      <c r="B90" s="6">
        <v>22.58</v>
      </c>
      <c r="C90" s="6">
        <v>33.32</v>
      </c>
      <c r="D90" s="6">
        <v>36.86</v>
      </c>
      <c r="E90" s="6">
        <v>8.9700000000000006</v>
      </c>
      <c r="F90" s="6">
        <v>3.11</v>
      </c>
      <c r="G90" s="6">
        <v>135.9</v>
      </c>
      <c r="H90" s="6">
        <v>54.41</v>
      </c>
      <c r="I90" s="6">
        <v>10.17</v>
      </c>
      <c r="J90" s="6">
        <v>0.23</v>
      </c>
      <c r="K90" s="6">
        <v>184.45</v>
      </c>
      <c r="L90" s="6">
        <v>21.52</v>
      </c>
      <c r="M90" s="6">
        <v>79.38</v>
      </c>
      <c r="N90" s="6">
        <v>0</v>
      </c>
      <c r="O90" s="6">
        <v>0</v>
      </c>
      <c r="P90" s="6">
        <v>1.1599999999999999</v>
      </c>
      <c r="Q90" s="6">
        <v>5.03</v>
      </c>
    </row>
    <row r="91" spans="1:17" customFormat="1">
      <c r="A91" s="72">
        <v>45308.864583333336</v>
      </c>
      <c r="B91" s="6">
        <v>23.15</v>
      </c>
      <c r="C91" s="6">
        <v>33.44</v>
      </c>
      <c r="D91" s="6">
        <v>37.380000000000003</v>
      </c>
      <c r="E91" s="6">
        <v>8.41</v>
      </c>
      <c r="F91" s="6">
        <v>3.15</v>
      </c>
      <c r="G91" s="6">
        <v>136.47</v>
      </c>
      <c r="H91" s="6">
        <v>54.41</v>
      </c>
      <c r="I91" s="6">
        <v>10.47</v>
      </c>
      <c r="J91" s="6">
        <v>0.27</v>
      </c>
      <c r="K91" s="6">
        <v>171.67</v>
      </c>
      <c r="L91" s="6">
        <v>21.55</v>
      </c>
      <c r="M91" s="6">
        <v>78.66</v>
      </c>
      <c r="N91" s="6">
        <v>0</v>
      </c>
      <c r="O91" s="6">
        <v>0</v>
      </c>
      <c r="P91" s="6">
        <v>1.17</v>
      </c>
      <c r="Q91" s="6">
        <v>5.0199999999999996</v>
      </c>
    </row>
    <row r="92" spans="1:17" customFormat="1">
      <c r="A92" s="72">
        <v>45308.875</v>
      </c>
      <c r="B92" s="6">
        <v>23.25</v>
      </c>
      <c r="C92" s="6">
        <v>33.96</v>
      </c>
      <c r="D92" s="6">
        <v>37.74</v>
      </c>
      <c r="E92" s="6">
        <v>8.44</v>
      </c>
      <c r="F92" s="6">
        <v>3.11</v>
      </c>
      <c r="G92" s="6">
        <v>136.47</v>
      </c>
      <c r="H92" s="6">
        <v>54.41</v>
      </c>
      <c r="I92" s="6">
        <v>10.7</v>
      </c>
      <c r="J92" s="6">
        <v>0.31</v>
      </c>
      <c r="K92" s="6">
        <v>191.88</v>
      </c>
      <c r="L92" s="6">
        <v>21.38</v>
      </c>
      <c r="M92" s="6">
        <v>80.23</v>
      </c>
      <c r="N92" s="6">
        <v>0</v>
      </c>
      <c r="O92" s="6">
        <v>0</v>
      </c>
      <c r="P92" s="6">
        <v>1.19</v>
      </c>
      <c r="Q92" s="6">
        <v>5.03</v>
      </c>
    </row>
    <row r="93" spans="1:17" customFormat="1">
      <c r="A93" s="72">
        <v>45308.885416666664</v>
      </c>
      <c r="B93" s="6">
        <v>22.83</v>
      </c>
      <c r="C93" s="6">
        <v>34.130000000000003</v>
      </c>
      <c r="D93" s="6">
        <v>37.5</v>
      </c>
      <c r="E93" s="6">
        <v>8.64</v>
      </c>
      <c r="F93" s="6">
        <v>3.07</v>
      </c>
      <c r="G93" s="6">
        <v>136.47</v>
      </c>
      <c r="H93" s="6">
        <v>54.41</v>
      </c>
      <c r="I93" s="6">
        <v>10.91</v>
      </c>
      <c r="J93" s="6">
        <v>0.17</v>
      </c>
      <c r="K93" s="6">
        <v>179.37</v>
      </c>
      <c r="L93" s="6">
        <v>21.13</v>
      </c>
      <c r="M93" s="6">
        <v>79.67</v>
      </c>
      <c r="N93" s="6">
        <v>0</v>
      </c>
      <c r="O93" s="6">
        <v>0</v>
      </c>
      <c r="P93" s="6">
        <v>1.2</v>
      </c>
      <c r="Q93" s="6">
        <v>5.03</v>
      </c>
    </row>
    <row r="94" spans="1:17" customFormat="1">
      <c r="A94" s="72">
        <v>45308.895833333336</v>
      </c>
      <c r="B94" s="6">
        <v>22.39</v>
      </c>
      <c r="C94" s="6">
        <v>34.380000000000003</v>
      </c>
      <c r="D94" s="6">
        <v>37.270000000000003</v>
      </c>
      <c r="E94" s="6">
        <v>8.6</v>
      </c>
      <c r="F94" s="6">
        <v>3.29</v>
      </c>
      <c r="G94" s="6">
        <v>112.48</v>
      </c>
      <c r="H94" s="6">
        <v>48.02</v>
      </c>
      <c r="I94" s="6">
        <v>11.09</v>
      </c>
      <c r="J94" s="6">
        <v>0.17</v>
      </c>
      <c r="K94" s="6">
        <v>186.2</v>
      </c>
      <c r="L94" s="6">
        <v>20.88</v>
      </c>
      <c r="M94" s="6">
        <v>83.52</v>
      </c>
      <c r="N94" s="6">
        <v>0</v>
      </c>
      <c r="O94" s="6">
        <v>0</v>
      </c>
      <c r="P94" s="6">
        <v>1.21</v>
      </c>
      <c r="Q94" s="6">
        <v>5.03</v>
      </c>
    </row>
    <row r="95" spans="1:17" customFormat="1">
      <c r="A95" s="72">
        <v>45308.90625</v>
      </c>
      <c r="B95" s="6">
        <v>21.8</v>
      </c>
      <c r="C95" s="6">
        <v>34.25</v>
      </c>
      <c r="D95" s="6">
        <v>36.729999999999997</v>
      </c>
      <c r="E95" s="6">
        <v>8.75</v>
      </c>
      <c r="F95" s="6">
        <v>3.35</v>
      </c>
      <c r="G95" s="6">
        <v>109.48</v>
      </c>
      <c r="H95" s="6">
        <v>48.02</v>
      </c>
      <c r="I95" s="6">
        <v>11.22</v>
      </c>
      <c r="J95" s="6">
        <v>0.2</v>
      </c>
      <c r="K95" s="6">
        <v>183.36</v>
      </c>
      <c r="L95" s="6">
        <v>20.85</v>
      </c>
      <c r="M95" s="6">
        <v>83.81</v>
      </c>
      <c r="N95" s="6">
        <v>0</v>
      </c>
      <c r="O95" s="6">
        <v>0</v>
      </c>
      <c r="P95" s="6">
        <v>1.2</v>
      </c>
      <c r="Q95" s="6">
        <v>5</v>
      </c>
    </row>
    <row r="96" spans="1:17" customFormat="1">
      <c r="A96" s="72">
        <v>45308.916666666664</v>
      </c>
      <c r="B96" s="6">
        <v>21.11</v>
      </c>
      <c r="C96" s="6">
        <v>34.1</v>
      </c>
      <c r="D96" s="6">
        <v>36.1</v>
      </c>
      <c r="E96" s="6">
        <v>8.76</v>
      </c>
      <c r="F96" s="6">
        <v>3.23</v>
      </c>
      <c r="G96" s="6">
        <v>109.48</v>
      </c>
      <c r="H96" s="6">
        <v>48.02</v>
      </c>
      <c r="I96" s="6">
        <v>11.27</v>
      </c>
      <c r="J96" s="6">
        <v>0.16</v>
      </c>
      <c r="K96" s="6">
        <v>179.21</v>
      </c>
      <c r="L96" s="6">
        <v>20.55</v>
      </c>
      <c r="M96" s="6">
        <v>83.57</v>
      </c>
      <c r="N96" s="6">
        <v>0</v>
      </c>
      <c r="O96" s="6">
        <v>0</v>
      </c>
      <c r="P96" s="6">
        <v>1.2</v>
      </c>
      <c r="Q96" s="6">
        <v>5</v>
      </c>
    </row>
    <row r="97" spans="1:22" customFormat="1">
      <c r="A97" s="72">
        <v>45308.927083333336</v>
      </c>
      <c r="B97" s="6">
        <v>20.72</v>
      </c>
      <c r="C97" s="6">
        <v>33.68</v>
      </c>
      <c r="D97" s="6">
        <v>35.56</v>
      </c>
      <c r="E97" s="6">
        <v>8.7200000000000006</v>
      </c>
      <c r="F97" s="6">
        <v>3.31</v>
      </c>
      <c r="G97" s="6">
        <v>109.48</v>
      </c>
      <c r="H97" s="6">
        <v>48.02</v>
      </c>
      <c r="I97" s="6">
        <v>11.32</v>
      </c>
      <c r="J97" s="6">
        <v>0.13</v>
      </c>
      <c r="K97" s="6">
        <v>120.95</v>
      </c>
      <c r="L97" s="6">
        <v>20.77</v>
      </c>
      <c r="M97" s="6">
        <v>80.72</v>
      </c>
      <c r="N97" s="6">
        <v>0</v>
      </c>
      <c r="O97" s="6">
        <v>0</v>
      </c>
      <c r="P97" s="6">
        <v>1.2</v>
      </c>
      <c r="Q97" s="6">
        <v>4.97</v>
      </c>
    </row>
    <row r="98" spans="1:22" customFormat="1">
      <c r="A98" s="72">
        <v>45308.9375</v>
      </c>
      <c r="B98" s="6">
        <v>21.16</v>
      </c>
      <c r="C98" s="6">
        <v>34.14</v>
      </c>
      <c r="D98" s="6">
        <v>36.159999999999997</v>
      </c>
      <c r="E98" s="6">
        <v>8.81</v>
      </c>
      <c r="F98" s="6">
        <v>3.29</v>
      </c>
      <c r="G98" s="6">
        <v>97.8</v>
      </c>
      <c r="H98" s="6">
        <v>48.16</v>
      </c>
      <c r="I98" s="6">
        <v>11.35</v>
      </c>
      <c r="J98" s="6">
        <v>0.19</v>
      </c>
      <c r="K98" s="6">
        <v>184.41</v>
      </c>
      <c r="L98" s="6">
        <v>20.46</v>
      </c>
      <c r="M98" s="6">
        <v>84.87</v>
      </c>
      <c r="N98" s="6">
        <v>0</v>
      </c>
      <c r="O98" s="6">
        <v>0</v>
      </c>
      <c r="P98" s="6">
        <v>1.21</v>
      </c>
      <c r="Q98" s="6">
        <v>4.99</v>
      </c>
    </row>
    <row r="99" spans="1:22" customFormat="1">
      <c r="A99" s="72">
        <v>45308.947916666664</v>
      </c>
      <c r="B99" s="6">
        <v>21.1</v>
      </c>
      <c r="C99" s="6">
        <v>33.92</v>
      </c>
      <c r="D99" s="6">
        <v>36</v>
      </c>
      <c r="E99" s="6">
        <v>9.0299999999999994</v>
      </c>
      <c r="F99" s="6">
        <v>3.33</v>
      </c>
      <c r="G99" s="6">
        <v>96.5</v>
      </c>
      <c r="H99" s="6">
        <v>48.16</v>
      </c>
      <c r="I99" s="6">
        <v>11.39</v>
      </c>
      <c r="J99" s="6">
        <v>0.25</v>
      </c>
      <c r="K99" s="6">
        <v>179.77</v>
      </c>
      <c r="L99" s="6">
        <v>20.149999999999999</v>
      </c>
      <c r="M99" s="6">
        <v>84.77</v>
      </c>
      <c r="N99" s="6">
        <v>0</v>
      </c>
      <c r="O99" s="6">
        <v>0</v>
      </c>
      <c r="P99" s="6">
        <v>1.2</v>
      </c>
      <c r="Q99" s="6">
        <v>5</v>
      </c>
    </row>
    <row r="100" spans="1:22" customFormat="1">
      <c r="A100" s="72">
        <v>45308.958333333336</v>
      </c>
      <c r="B100" s="6">
        <v>20.72</v>
      </c>
      <c r="C100" s="6">
        <v>33.79</v>
      </c>
      <c r="D100" s="6">
        <v>35.619999999999997</v>
      </c>
      <c r="E100" s="6">
        <v>9.02</v>
      </c>
      <c r="F100" s="6">
        <v>3.21</v>
      </c>
      <c r="G100" s="6">
        <v>96.5</v>
      </c>
      <c r="H100" s="6">
        <v>48.16</v>
      </c>
      <c r="I100" s="6">
        <v>11.44</v>
      </c>
      <c r="J100" s="6">
        <v>0.27</v>
      </c>
      <c r="K100" s="6">
        <v>259.74</v>
      </c>
      <c r="L100" s="6">
        <v>19.5</v>
      </c>
      <c r="M100" s="6">
        <v>86.89</v>
      </c>
      <c r="N100" s="6">
        <v>0</v>
      </c>
      <c r="O100" s="6">
        <v>0</v>
      </c>
      <c r="P100" s="6">
        <v>1.19</v>
      </c>
      <c r="Q100" s="6">
        <v>4.9800000000000004</v>
      </c>
    </row>
    <row r="101" spans="1:22" customFormat="1">
      <c r="A101" s="72">
        <v>45308.96875</v>
      </c>
      <c r="B101" s="6">
        <v>20.23</v>
      </c>
      <c r="C101" s="6">
        <v>33.479999999999997</v>
      </c>
      <c r="D101" s="6">
        <v>35.07</v>
      </c>
      <c r="E101" s="6">
        <v>9</v>
      </c>
      <c r="F101" s="6">
        <v>3.17</v>
      </c>
      <c r="G101" s="6">
        <v>96.5</v>
      </c>
      <c r="H101" s="6">
        <v>48.16</v>
      </c>
      <c r="I101" s="6">
        <v>11.45</v>
      </c>
      <c r="J101" s="6">
        <v>0.21</v>
      </c>
      <c r="K101" s="6">
        <v>255.04</v>
      </c>
      <c r="L101" s="6">
        <v>19.43</v>
      </c>
      <c r="M101" s="6">
        <v>85.93</v>
      </c>
      <c r="N101" s="6">
        <v>0</v>
      </c>
      <c r="O101" s="6">
        <v>0</v>
      </c>
      <c r="P101" s="6">
        <v>1.2</v>
      </c>
      <c r="Q101" s="6">
        <v>4.95</v>
      </c>
    </row>
    <row r="102" spans="1:22" customFormat="1">
      <c r="A102" s="72">
        <v>45308.979166666664</v>
      </c>
      <c r="B102" s="6">
        <v>19.64</v>
      </c>
      <c r="C102" s="6">
        <v>33.44</v>
      </c>
      <c r="D102" s="6">
        <v>34.57</v>
      </c>
      <c r="E102" s="6">
        <v>8.74</v>
      </c>
      <c r="F102" s="6">
        <v>3.08</v>
      </c>
      <c r="G102" s="6">
        <v>99</v>
      </c>
      <c r="H102" s="6">
        <v>46.59</v>
      </c>
      <c r="I102" s="6">
        <v>11.43</v>
      </c>
      <c r="J102" s="6">
        <v>0.17</v>
      </c>
      <c r="K102" s="6">
        <v>179.88</v>
      </c>
      <c r="L102" s="6">
        <v>19.8</v>
      </c>
      <c r="M102" s="6">
        <v>83.7</v>
      </c>
      <c r="N102" s="6">
        <v>0</v>
      </c>
      <c r="O102" s="6">
        <v>0</v>
      </c>
      <c r="P102" s="6">
        <v>1.18</v>
      </c>
      <c r="Q102" s="6">
        <v>4.93</v>
      </c>
    </row>
    <row r="103" spans="1:22" customFormat="1">
      <c r="A103" s="72">
        <v>45308.989583333336</v>
      </c>
      <c r="B103" s="6">
        <v>19.329999999999998</v>
      </c>
      <c r="C103" s="6">
        <v>32.67</v>
      </c>
      <c r="D103" s="6">
        <v>33.92</v>
      </c>
      <c r="E103" s="6">
        <v>8.57</v>
      </c>
      <c r="F103" s="6">
        <v>3.28</v>
      </c>
      <c r="G103" s="6">
        <v>99.32</v>
      </c>
      <c r="H103" s="6">
        <v>46.59</v>
      </c>
      <c r="I103" s="6">
        <v>11.38</v>
      </c>
      <c r="J103" s="6">
        <v>0.11</v>
      </c>
      <c r="K103" s="6">
        <v>207.16</v>
      </c>
      <c r="L103" s="6">
        <v>19.55</v>
      </c>
      <c r="M103" s="6">
        <v>86.89</v>
      </c>
      <c r="N103" s="6">
        <v>0</v>
      </c>
      <c r="O103" s="6">
        <v>0</v>
      </c>
      <c r="P103" s="6">
        <v>1.1599999999999999</v>
      </c>
      <c r="Q103" s="6">
        <v>4.9000000000000004</v>
      </c>
    </row>
    <row r="104" spans="1:22" customFormat="1">
      <c r="A104" s="72">
        <v>45309</v>
      </c>
      <c r="B104" s="6">
        <v>19.22</v>
      </c>
      <c r="C104" s="6">
        <v>28.4</v>
      </c>
      <c r="D104" s="6">
        <v>31.6</v>
      </c>
      <c r="E104" s="6">
        <v>8.2899999999999991</v>
      </c>
      <c r="F104" s="6">
        <v>3.55</v>
      </c>
      <c r="G104" s="6">
        <v>99.32</v>
      </c>
      <c r="H104" s="6">
        <v>46.59</v>
      </c>
      <c r="I104" s="6">
        <v>11.33</v>
      </c>
      <c r="J104" s="6">
        <v>0.1</v>
      </c>
      <c r="K104" s="6">
        <v>220.06</v>
      </c>
      <c r="L104" s="6">
        <v>19.350000000000001</v>
      </c>
      <c r="M104" s="6">
        <v>87.77</v>
      </c>
      <c r="N104" s="6">
        <v>0</v>
      </c>
      <c r="O104" s="6">
        <v>0</v>
      </c>
      <c r="P104" s="6">
        <v>1.1499999999999999</v>
      </c>
      <c r="Q104" s="6">
        <v>4.92</v>
      </c>
    </row>
    <row r="106" spans="1:22">
      <c r="A106" s="156" t="s">
        <v>48</v>
      </c>
      <c r="B106" s="157">
        <f>MIN(B9:B104)</f>
        <v>4.37</v>
      </c>
      <c r="C106" s="157">
        <f>MIN(C9:C104)</f>
        <v>14.98</v>
      </c>
      <c r="D106" s="157">
        <f t="shared" ref="D106:Q106" si="0">MIN(D9:D104)</f>
        <v>12.99</v>
      </c>
      <c r="E106" s="157">
        <f t="shared" si="0"/>
        <v>6.18</v>
      </c>
      <c r="F106" s="157">
        <f t="shared" si="0"/>
        <v>2.94</v>
      </c>
      <c r="G106" s="157">
        <f t="shared" si="0"/>
        <v>52.18</v>
      </c>
      <c r="H106" s="157">
        <f t="shared" si="0"/>
        <v>32.82</v>
      </c>
      <c r="I106" s="157">
        <f t="shared" si="0"/>
        <v>7.58</v>
      </c>
      <c r="J106" s="157">
        <f t="shared" si="0"/>
        <v>0.03</v>
      </c>
      <c r="K106" s="157">
        <f t="shared" si="0"/>
        <v>0.1</v>
      </c>
      <c r="L106" s="157">
        <f t="shared" si="0"/>
        <v>16.940000000000001</v>
      </c>
      <c r="M106" s="157">
        <f t="shared" si="0"/>
        <v>49.81</v>
      </c>
      <c r="N106" s="157">
        <f t="shared" si="0"/>
        <v>0</v>
      </c>
      <c r="O106" s="157">
        <f t="shared" si="0"/>
        <v>0</v>
      </c>
      <c r="P106" s="157">
        <f t="shared" si="0"/>
        <v>0.75</v>
      </c>
      <c r="Q106" s="157">
        <f t="shared" si="0"/>
        <v>4.6900000000000004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23.25</v>
      </c>
      <c r="C107" s="156">
        <f t="shared" ref="C107:Q107" si="1">MAX(C9:C104)</f>
        <v>34.380000000000003</v>
      </c>
      <c r="D107" s="156">
        <f t="shared" si="1"/>
        <v>37.74</v>
      </c>
      <c r="E107" s="156">
        <f t="shared" si="1"/>
        <v>9.9600000000000009</v>
      </c>
      <c r="F107" s="156">
        <f t="shared" si="1"/>
        <v>6.44</v>
      </c>
      <c r="G107" s="156">
        <f t="shared" si="1"/>
        <v>153.37</v>
      </c>
      <c r="H107" s="156">
        <f t="shared" si="1"/>
        <v>54.41</v>
      </c>
      <c r="I107" s="156">
        <f t="shared" si="1"/>
        <v>11.45</v>
      </c>
      <c r="J107" s="156">
        <f t="shared" si="1"/>
        <v>0.82</v>
      </c>
      <c r="K107" s="156">
        <f t="shared" si="1"/>
        <v>347.75</v>
      </c>
      <c r="L107" s="156">
        <f t="shared" si="1"/>
        <v>27.85</v>
      </c>
      <c r="M107" s="156">
        <f t="shared" si="1"/>
        <v>87.77</v>
      </c>
      <c r="N107" s="156">
        <f t="shared" si="1"/>
        <v>288.3</v>
      </c>
      <c r="O107" s="156">
        <f t="shared" si="1"/>
        <v>0</v>
      </c>
      <c r="P107" s="156">
        <f t="shared" si="1"/>
        <v>1.21</v>
      </c>
      <c r="Q107" s="156">
        <f t="shared" si="1"/>
        <v>5.03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11.705208333333337</v>
      </c>
      <c r="C108" s="157">
        <f t="shared" ref="C108:Q108" si="2">AVERAGE(C9:C104)</f>
        <v>27.059166666666666</v>
      </c>
      <c r="D108" s="157">
        <f t="shared" si="2"/>
        <v>24.875</v>
      </c>
      <c r="E108" s="157">
        <f t="shared" si="2"/>
        <v>8.0499999999999972</v>
      </c>
      <c r="F108" s="157">
        <f t="shared" si="2"/>
        <v>3.7408333333333341</v>
      </c>
      <c r="G108" s="157">
        <f t="shared" si="2"/>
        <v>96.172812500000006</v>
      </c>
      <c r="H108" s="157">
        <f t="shared" si="2"/>
        <v>43.344583333333354</v>
      </c>
      <c r="I108" s="157">
        <f t="shared" si="2"/>
        <v>9.3936458333333359</v>
      </c>
      <c r="J108" s="157">
        <f t="shared" si="2"/>
        <v>0.30750000000000016</v>
      </c>
      <c r="K108" s="157">
        <f t="shared" si="2"/>
        <v>167.00937499999998</v>
      </c>
      <c r="L108" s="157">
        <f t="shared" si="2"/>
        <v>21.662291666666672</v>
      </c>
      <c r="M108" s="157">
        <f t="shared" si="2"/>
        <v>70.368333333333354</v>
      </c>
      <c r="N108" s="157">
        <f t="shared" si="2"/>
        <v>55.847916666666684</v>
      </c>
      <c r="O108" s="157">
        <f t="shared" si="2"/>
        <v>0</v>
      </c>
      <c r="P108" s="157">
        <f t="shared" si="2"/>
        <v>0.94885416666666655</v>
      </c>
      <c r="Q108" s="157">
        <f t="shared" si="2"/>
        <v>4.8806249999999975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6.2655877162341689</v>
      </c>
      <c r="C109" s="157">
        <f t="shared" ref="C109:Q109" si="3">STDEV(C9:C104)</f>
        <v>5.5345041458427664</v>
      </c>
      <c r="D109" s="157">
        <f t="shared" si="3"/>
        <v>7.4135527387701581</v>
      </c>
      <c r="E109" s="157">
        <f t="shared" si="3"/>
        <v>1.0170255909423245</v>
      </c>
      <c r="F109" s="157">
        <f t="shared" si="3"/>
        <v>0.69649296919663783</v>
      </c>
      <c r="G109" s="157">
        <f t="shared" si="3"/>
        <v>26.79859492401263</v>
      </c>
      <c r="H109" s="157">
        <f t="shared" si="3"/>
        <v>6.8009912461217237</v>
      </c>
      <c r="I109" s="157">
        <f t="shared" si="3"/>
        <v>1.091835846338991</v>
      </c>
      <c r="J109" s="157">
        <f t="shared" si="3"/>
        <v>0.20809410826531541</v>
      </c>
      <c r="K109" s="157">
        <f t="shared" si="3"/>
        <v>91.949657402555815</v>
      </c>
      <c r="L109" s="157">
        <f t="shared" si="3"/>
        <v>3.6197163247869848</v>
      </c>
      <c r="M109" s="157">
        <f t="shared" si="3"/>
        <v>11.624187185317364</v>
      </c>
      <c r="N109" s="157">
        <f t="shared" si="3"/>
        <v>90.78940696285369</v>
      </c>
      <c r="O109" s="157">
        <f t="shared" si="3"/>
        <v>0</v>
      </c>
      <c r="P109" s="157">
        <f t="shared" si="3"/>
        <v>0.14487649761574184</v>
      </c>
      <c r="Q109" s="157">
        <f t="shared" si="3"/>
        <v>9.9258434614420854E-2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45309.010416666664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45309.010416666664</v>
      </c>
      <c r="B9" s="6">
        <v>18.739999999999998</v>
      </c>
      <c r="C9" s="6">
        <v>24.45</v>
      </c>
      <c r="D9" s="6">
        <v>29.16</v>
      </c>
      <c r="E9" s="6">
        <v>8.25</v>
      </c>
      <c r="F9" s="6">
        <v>3.56</v>
      </c>
      <c r="G9" s="6">
        <v>99.32</v>
      </c>
      <c r="H9" s="6">
        <v>46.59</v>
      </c>
      <c r="I9" s="6">
        <v>11.29</v>
      </c>
      <c r="J9" s="6">
        <v>0.1</v>
      </c>
      <c r="K9" s="6">
        <v>165.37</v>
      </c>
      <c r="L9" s="6">
        <v>19.350000000000001</v>
      </c>
      <c r="M9" s="6">
        <v>88.32</v>
      </c>
      <c r="N9" s="6">
        <v>0</v>
      </c>
      <c r="O9" s="6">
        <v>0</v>
      </c>
      <c r="P9" s="6">
        <v>1.1399999999999999</v>
      </c>
      <c r="Q9" s="6">
        <v>4.93</v>
      </c>
    </row>
    <row r="10" spans="1:21" customFormat="1">
      <c r="A10" s="72">
        <v>45309.020833333336</v>
      </c>
      <c r="B10" s="6">
        <v>18.45</v>
      </c>
      <c r="C10" s="6">
        <v>24.26</v>
      </c>
      <c r="D10" s="6">
        <v>28.82</v>
      </c>
      <c r="E10" s="6">
        <v>8.32</v>
      </c>
      <c r="F10" s="6">
        <v>3.31</v>
      </c>
      <c r="G10" s="6">
        <v>89.86</v>
      </c>
      <c r="H10" s="6">
        <v>43.64</v>
      </c>
      <c r="I10" s="6">
        <v>11.25</v>
      </c>
      <c r="J10" s="6">
        <v>0.11</v>
      </c>
      <c r="K10" s="6">
        <v>186.46</v>
      </c>
      <c r="L10" s="6">
        <v>19.260000000000002</v>
      </c>
      <c r="M10" s="6">
        <v>88.02</v>
      </c>
      <c r="N10" s="6">
        <v>0</v>
      </c>
      <c r="O10" s="6">
        <v>0</v>
      </c>
      <c r="P10" s="6">
        <v>1.1299999999999999</v>
      </c>
      <c r="Q10" s="6">
        <v>4.92</v>
      </c>
    </row>
    <row r="11" spans="1:21" customFormat="1">
      <c r="A11" s="72">
        <v>45309.03125</v>
      </c>
      <c r="B11" s="6">
        <v>18.03</v>
      </c>
      <c r="C11" s="6">
        <v>25.42</v>
      </c>
      <c r="D11" s="6">
        <v>29.09</v>
      </c>
      <c r="E11" s="6">
        <v>8.41</v>
      </c>
      <c r="F11" s="6">
        <v>3.1</v>
      </c>
      <c r="G11" s="6">
        <v>88.67</v>
      </c>
      <c r="H11" s="6">
        <v>43.31</v>
      </c>
      <c r="I11" s="6">
        <v>11.25</v>
      </c>
      <c r="J11" s="6">
        <v>0.09</v>
      </c>
      <c r="K11" s="6">
        <v>158.16999999999999</v>
      </c>
      <c r="L11" s="6">
        <v>19.170000000000002</v>
      </c>
      <c r="M11" s="6">
        <v>88.62</v>
      </c>
      <c r="N11" s="6">
        <v>0</v>
      </c>
      <c r="O11" s="6">
        <v>0</v>
      </c>
      <c r="P11" s="6">
        <v>1.1299999999999999</v>
      </c>
      <c r="Q11" s="6">
        <v>4.8899999999999997</v>
      </c>
    </row>
    <row r="12" spans="1:21" customFormat="1">
      <c r="A12" s="72">
        <v>45309.041666666664</v>
      </c>
      <c r="B12" s="6">
        <v>17.670000000000002</v>
      </c>
      <c r="C12" s="6">
        <v>26.42</v>
      </c>
      <c r="D12" s="6">
        <v>29.33</v>
      </c>
      <c r="E12" s="6">
        <v>8.44</v>
      </c>
      <c r="F12" s="6">
        <v>3.18</v>
      </c>
      <c r="G12" s="6">
        <v>88.67</v>
      </c>
      <c r="H12" s="6">
        <v>43.31</v>
      </c>
      <c r="I12" s="6">
        <v>11.28</v>
      </c>
      <c r="J12" s="6">
        <v>0.15</v>
      </c>
      <c r="K12" s="6">
        <v>165.03</v>
      </c>
      <c r="L12" s="6">
        <v>19.25</v>
      </c>
      <c r="M12" s="6">
        <v>88.53</v>
      </c>
      <c r="N12" s="6">
        <v>0</v>
      </c>
      <c r="O12" s="6">
        <v>0</v>
      </c>
      <c r="P12" s="6">
        <v>1.1399999999999999</v>
      </c>
      <c r="Q12" s="6">
        <v>4.91</v>
      </c>
    </row>
    <row r="13" spans="1:21" customFormat="1">
      <c r="A13" s="72">
        <v>45309.052083333336</v>
      </c>
      <c r="B13" s="6">
        <v>17.41</v>
      </c>
      <c r="C13" s="6">
        <v>25.38</v>
      </c>
      <c r="D13" s="6">
        <v>28.57</v>
      </c>
      <c r="E13" s="6">
        <v>8.1300000000000008</v>
      </c>
      <c r="F13" s="6">
        <v>3.28</v>
      </c>
      <c r="G13" s="6">
        <v>88.67</v>
      </c>
      <c r="H13" s="6">
        <v>43.31</v>
      </c>
      <c r="I13" s="6">
        <v>11.28</v>
      </c>
      <c r="J13" s="6">
        <v>0.15</v>
      </c>
      <c r="K13" s="6">
        <v>164.75</v>
      </c>
      <c r="L13" s="6">
        <v>19.239999999999998</v>
      </c>
      <c r="M13" s="6">
        <v>89.86</v>
      </c>
      <c r="N13" s="6">
        <v>0</v>
      </c>
      <c r="O13" s="6">
        <v>0</v>
      </c>
      <c r="P13" s="6">
        <v>1.1200000000000001</v>
      </c>
      <c r="Q13" s="6">
        <v>4.92</v>
      </c>
    </row>
    <row r="14" spans="1:21" customFormat="1">
      <c r="A14" s="72">
        <v>45309.0625</v>
      </c>
      <c r="B14" s="6">
        <v>17.21</v>
      </c>
      <c r="C14" s="6">
        <v>22.85</v>
      </c>
      <c r="D14" s="6">
        <v>27.09</v>
      </c>
      <c r="E14" s="6">
        <v>8.2100000000000009</v>
      </c>
      <c r="F14" s="6">
        <v>3.55</v>
      </c>
      <c r="G14" s="6">
        <v>72</v>
      </c>
      <c r="H14" s="6">
        <v>44.33</v>
      </c>
      <c r="I14" s="6">
        <v>11.32</v>
      </c>
      <c r="J14" s="6">
        <v>0.15</v>
      </c>
      <c r="K14" s="6">
        <v>223.65</v>
      </c>
      <c r="L14" s="6">
        <v>18.940000000000001</v>
      </c>
      <c r="M14" s="6">
        <v>90.45</v>
      </c>
      <c r="N14" s="6">
        <v>0</v>
      </c>
      <c r="O14" s="6">
        <v>0</v>
      </c>
      <c r="P14" s="6">
        <v>1.1100000000000001</v>
      </c>
      <c r="Q14" s="6">
        <v>4.91</v>
      </c>
    </row>
    <row r="15" spans="1:21" customFormat="1">
      <c r="A15" s="72">
        <v>45309.072916666664</v>
      </c>
      <c r="B15" s="6">
        <v>16.920000000000002</v>
      </c>
      <c r="C15" s="6">
        <v>21.86</v>
      </c>
      <c r="D15" s="6">
        <v>26.34</v>
      </c>
      <c r="E15" s="6">
        <v>8.0299999999999994</v>
      </c>
      <c r="F15" s="6">
        <v>3.5</v>
      </c>
      <c r="G15" s="6">
        <v>69.92</v>
      </c>
      <c r="H15" s="6">
        <v>44.33</v>
      </c>
      <c r="I15" s="6">
        <v>11.3</v>
      </c>
      <c r="J15" s="6">
        <v>0.14000000000000001</v>
      </c>
      <c r="K15" s="6">
        <v>240.41</v>
      </c>
      <c r="L15" s="6">
        <v>18.670000000000002</v>
      </c>
      <c r="M15" s="6">
        <v>90.44</v>
      </c>
      <c r="N15" s="6">
        <v>0</v>
      </c>
      <c r="O15" s="6">
        <v>0</v>
      </c>
      <c r="P15" s="6">
        <v>1.0900000000000001</v>
      </c>
      <c r="Q15" s="6">
        <v>4.91</v>
      </c>
    </row>
    <row r="16" spans="1:21" customFormat="1">
      <c r="A16" s="72">
        <v>45309.083333333336</v>
      </c>
      <c r="B16" s="6">
        <v>16.52</v>
      </c>
      <c r="C16" s="6">
        <v>23.08</v>
      </c>
      <c r="D16" s="6">
        <v>26.66</v>
      </c>
      <c r="E16" s="6">
        <v>8.2200000000000006</v>
      </c>
      <c r="F16" s="6">
        <v>3.27</v>
      </c>
      <c r="G16" s="6">
        <v>69.92</v>
      </c>
      <c r="H16" s="6">
        <v>44.33</v>
      </c>
      <c r="I16" s="6">
        <v>11.24</v>
      </c>
      <c r="J16" s="6">
        <v>0.08</v>
      </c>
      <c r="K16" s="6">
        <v>165.41</v>
      </c>
      <c r="L16" s="6">
        <v>18.670000000000002</v>
      </c>
      <c r="M16" s="6">
        <v>89.76</v>
      </c>
      <c r="N16" s="6">
        <v>0</v>
      </c>
      <c r="O16" s="6">
        <v>0</v>
      </c>
      <c r="P16" s="6">
        <v>1.0900000000000001</v>
      </c>
      <c r="Q16" s="6">
        <v>4.91</v>
      </c>
    </row>
    <row r="17" spans="1:17" customFormat="1">
      <c r="A17" s="72">
        <v>45309.09375</v>
      </c>
      <c r="B17" s="6">
        <v>16.329999999999998</v>
      </c>
      <c r="C17" s="6">
        <v>24.03</v>
      </c>
      <c r="D17" s="6">
        <v>27</v>
      </c>
      <c r="E17" s="6">
        <v>7.13</v>
      </c>
      <c r="F17" s="6">
        <v>3.15</v>
      </c>
      <c r="G17" s="6">
        <v>69.92</v>
      </c>
      <c r="H17" s="6">
        <v>44.33</v>
      </c>
      <c r="I17" s="6">
        <v>11.22</v>
      </c>
      <c r="J17" s="6">
        <v>0.22</v>
      </c>
      <c r="K17" s="6">
        <v>160.41999999999999</v>
      </c>
      <c r="L17" s="6">
        <v>18.88</v>
      </c>
      <c r="M17" s="6">
        <v>88.86</v>
      </c>
      <c r="N17" s="6">
        <v>0</v>
      </c>
      <c r="O17" s="6">
        <v>0</v>
      </c>
      <c r="P17" s="6">
        <v>1.0900000000000001</v>
      </c>
      <c r="Q17" s="6">
        <v>4.92</v>
      </c>
    </row>
    <row r="18" spans="1:17" customFormat="1">
      <c r="A18" s="72">
        <v>45309.104166666664</v>
      </c>
      <c r="B18" s="6">
        <v>16.36</v>
      </c>
      <c r="C18" s="6">
        <v>24.41</v>
      </c>
      <c r="D18" s="6">
        <v>27.23</v>
      </c>
      <c r="E18" s="6">
        <v>8.17</v>
      </c>
      <c r="F18" s="6">
        <v>3.22</v>
      </c>
      <c r="G18" s="6">
        <v>67.2</v>
      </c>
      <c r="H18" s="6">
        <v>41.85</v>
      </c>
      <c r="I18" s="6">
        <v>11.21</v>
      </c>
      <c r="J18" s="6">
        <v>0.13</v>
      </c>
      <c r="K18" s="6">
        <v>178.85</v>
      </c>
      <c r="L18" s="6">
        <v>19.07</v>
      </c>
      <c r="M18" s="6">
        <v>87.9</v>
      </c>
      <c r="N18" s="6">
        <v>0</v>
      </c>
      <c r="O18" s="6">
        <v>0</v>
      </c>
      <c r="P18" s="6">
        <v>1.0900000000000001</v>
      </c>
      <c r="Q18" s="6">
        <v>4.9000000000000004</v>
      </c>
    </row>
    <row r="19" spans="1:17" customFormat="1">
      <c r="A19" s="72">
        <v>45309.114583333336</v>
      </c>
      <c r="B19" s="6">
        <v>16.28</v>
      </c>
      <c r="C19" s="6">
        <v>24.24</v>
      </c>
      <c r="D19" s="6">
        <v>27.07</v>
      </c>
      <c r="E19" s="6">
        <v>9.02</v>
      </c>
      <c r="F19" s="6">
        <v>3.39</v>
      </c>
      <c r="G19" s="6">
        <v>66.86</v>
      </c>
      <c r="H19" s="6">
        <v>41.85</v>
      </c>
      <c r="I19" s="6">
        <v>11.22</v>
      </c>
      <c r="J19" s="6">
        <v>0.22</v>
      </c>
      <c r="K19" s="6">
        <v>184.62</v>
      </c>
      <c r="L19" s="6">
        <v>18.84</v>
      </c>
      <c r="M19" s="6">
        <v>90.35</v>
      </c>
      <c r="N19" s="6">
        <v>0</v>
      </c>
      <c r="O19" s="6">
        <v>0</v>
      </c>
      <c r="P19" s="6">
        <v>1.08</v>
      </c>
      <c r="Q19" s="6">
        <v>4.8899999999999997</v>
      </c>
    </row>
    <row r="20" spans="1:17" customFormat="1">
      <c r="A20" s="72">
        <v>45309.125</v>
      </c>
      <c r="B20" s="6">
        <v>16.27</v>
      </c>
      <c r="C20" s="6">
        <v>22.04</v>
      </c>
      <c r="D20" s="6">
        <v>25.92</v>
      </c>
      <c r="E20" s="6">
        <v>8.64</v>
      </c>
      <c r="F20" s="6">
        <v>3.53</v>
      </c>
      <c r="G20" s="6">
        <v>66.86</v>
      </c>
      <c r="H20" s="6">
        <v>41.85</v>
      </c>
      <c r="I20" s="6">
        <v>11.22</v>
      </c>
      <c r="J20" s="6">
        <v>0.11</v>
      </c>
      <c r="K20" s="6">
        <v>115.26</v>
      </c>
      <c r="L20" s="6">
        <v>18.54</v>
      </c>
      <c r="M20" s="6">
        <v>91.82</v>
      </c>
      <c r="N20" s="6">
        <v>0</v>
      </c>
      <c r="O20" s="6">
        <v>0</v>
      </c>
      <c r="P20" s="6">
        <v>1.07</v>
      </c>
      <c r="Q20" s="6">
        <v>4.93</v>
      </c>
    </row>
    <row r="21" spans="1:17" customFormat="1">
      <c r="A21" s="72">
        <v>45309.135416666664</v>
      </c>
      <c r="B21" s="6">
        <v>16.38</v>
      </c>
      <c r="C21" s="6">
        <v>21.35</v>
      </c>
      <c r="D21" s="6">
        <v>25.64</v>
      </c>
      <c r="E21" s="6">
        <v>8.31</v>
      </c>
      <c r="F21" s="6">
        <v>3.62</v>
      </c>
      <c r="G21" s="6">
        <v>66.86</v>
      </c>
      <c r="H21" s="6">
        <v>41.85</v>
      </c>
      <c r="I21" s="6">
        <v>11.19</v>
      </c>
      <c r="J21" s="6">
        <v>0.56000000000000005</v>
      </c>
      <c r="K21" s="6">
        <v>43.64</v>
      </c>
      <c r="L21" s="6">
        <v>18.739999999999998</v>
      </c>
      <c r="M21" s="6">
        <v>89.23</v>
      </c>
      <c r="N21" s="6">
        <v>0</v>
      </c>
      <c r="O21" s="6">
        <v>0</v>
      </c>
      <c r="P21" s="6">
        <v>1.05</v>
      </c>
      <c r="Q21" s="6">
        <v>4.95</v>
      </c>
    </row>
    <row r="22" spans="1:17" customFormat="1">
      <c r="A22" s="72">
        <v>45309.145833333336</v>
      </c>
      <c r="B22" s="6">
        <v>17.059999999999999</v>
      </c>
      <c r="C22" s="6">
        <v>22.45</v>
      </c>
      <c r="D22" s="6">
        <v>26.76</v>
      </c>
      <c r="E22" s="6">
        <v>8.6300000000000008</v>
      </c>
      <c r="F22" s="6">
        <v>3.29</v>
      </c>
      <c r="G22" s="6">
        <v>73.44</v>
      </c>
      <c r="H22" s="6">
        <v>41.77</v>
      </c>
      <c r="I22" s="6">
        <v>11.15</v>
      </c>
      <c r="J22" s="6">
        <v>0.47</v>
      </c>
      <c r="K22" s="6">
        <v>54.83</v>
      </c>
      <c r="L22" s="6">
        <v>18.96</v>
      </c>
      <c r="M22" s="6">
        <v>86.68</v>
      </c>
      <c r="N22" s="6">
        <v>0</v>
      </c>
      <c r="O22" s="6">
        <v>0</v>
      </c>
      <c r="P22" s="6">
        <v>1.05</v>
      </c>
      <c r="Q22" s="6">
        <v>4.95</v>
      </c>
    </row>
    <row r="23" spans="1:17" customFormat="1">
      <c r="A23" s="72">
        <v>45309.15625</v>
      </c>
      <c r="B23" s="6">
        <v>17.63</v>
      </c>
      <c r="C23" s="6">
        <v>23.88</v>
      </c>
      <c r="D23" s="6">
        <v>27.97</v>
      </c>
      <c r="E23" s="6">
        <v>8.5</v>
      </c>
      <c r="F23" s="6">
        <v>3.2</v>
      </c>
      <c r="G23" s="6">
        <v>74.27</v>
      </c>
      <c r="H23" s="6">
        <v>41.77</v>
      </c>
      <c r="I23" s="6">
        <v>11.15</v>
      </c>
      <c r="J23" s="6">
        <v>0.7</v>
      </c>
      <c r="K23" s="6">
        <v>42.86</v>
      </c>
      <c r="L23" s="6">
        <v>19.13</v>
      </c>
      <c r="M23" s="6">
        <v>85.9</v>
      </c>
      <c r="N23" s="6">
        <v>0</v>
      </c>
      <c r="O23" s="6">
        <v>0</v>
      </c>
      <c r="P23" s="6">
        <v>1.05</v>
      </c>
      <c r="Q23" s="6">
        <v>4.9400000000000004</v>
      </c>
    </row>
    <row r="24" spans="1:17" customFormat="1">
      <c r="A24" s="72">
        <v>45309.166666666664</v>
      </c>
      <c r="B24" s="6">
        <v>18.14</v>
      </c>
      <c r="C24" s="6">
        <v>23.16</v>
      </c>
      <c r="D24" s="6">
        <v>28</v>
      </c>
      <c r="E24" s="6">
        <v>8.4</v>
      </c>
      <c r="F24" s="6">
        <v>3.42</v>
      </c>
      <c r="G24" s="6">
        <v>74.27</v>
      </c>
      <c r="H24" s="6">
        <v>41.77</v>
      </c>
      <c r="I24" s="6">
        <v>11.16</v>
      </c>
      <c r="J24" s="6">
        <v>0.68</v>
      </c>
      <c r="K24" s="6">
        <v>55.21</v>
      </c>
      <c r="L24" s="6">
        <v>19.07</v>
      </c>
      <c r="M24" s="6">
        <v>86.21</v>
      </c>
      <c r="N24" s="6">
        <v>0</v>
      </c>
      <c r="O24" s="6">
        <v>0</v>
      </c>
      <c r="P24" s="6">
        <v>1.05</v>
      </c>
      <c r="Q24" s="6">
        <v>4.97</v>
      </c>
    </row>
    <row r="25" spans="1:17" customFormat="1">
      <c r="A25" s="72">
        <v>45309.177083333336</v>
      </c>
      <c r="B25" s="6">
        <v>18.61</v>
      </c>
      <c r="C25" s="6">
        <v>24.38</v>
      </c>
      <c r="D25" s="6">
        <v>29.01</v>
      </c>
      <c r="E25" s="6">
        <v>8.76</v>
      </c>
      <c r="F25" s="6">
        <v>3.23</v>
      </c>
      <c r="G25" s="6">
        <v>74.27</v>
      </c>
      <c r="H25" s="6">
        <v>41.77</v>
      </c>
      <c r="I25" s="6">
        <v>11.2</v>
      </c>
      <c r="J25" s="6">
        <v>0.36</v>
      </c>
      <c r="K25" s="6">
        <v>66.209999999999994</v>
      </c>
      <c r="L25" s="6">
        <v>19.02</v>
      </c>
      <c r="M25" s="6">
        <v>86.56</v>
      </c>
      <c r="N25" s="6">
        <v>0</v>
      </c>
      <c r="O25" s="6">
        <v>0</v>
      </c>
      <c r="P25" s="6">
        <v>1.06</v>
      </c>
      <c r="Q25" s="6">
        <v>4.97</v>
      </c>
    </row>
    <row r="26" spans="1:17" customFormat="1">
      <c r="A26" s="72">
        <v>45309.1875</v>
      </c>
      <c r="B26" s="6">
        <v>18.57</v>
      </c>
      <c r="C26" s="6">
        <v>24.54</v>
      </c>
      <c r="D26" s="6">
        <v>29.06</v>
      </c>
      <c r="E26" s="6">
        <v>8.5</v>
      </c>
      <c r="F26" s="6">
        <v>3.38</v>
      </c>
      <c r="G26" s="6">
        <v>84.36</v>
      </c>
      <c r="H26" s="6">
        <v>43.25</v>
      </c>
      <c r="I26" s="6">
        <v>11.24</v>
      </c>
      <c r="J26" s="6">
        <v>0.15</v>
      </c>
      <c r="K26" s="6">
        <v>170.22</v>
      </c>
      <c r="L26" s="6">
        <v>18.84</v>
      </c>
      <c r="M26" s="6">
        <v>87.66</v>
      </c>
      <c r="N26" s="6">
        <v>0</v>
      </c>
      <c r="O26" s="6">
        <v>0</v>
      </c>
      <c r="P26" s="6">
        <v>1.05</v>
      </c>
      <c r="Q26" s="6">
        <v>5</v>
      </c>
    </row>
    <row r="27" spans="1:17" customFormat="1">
      <c r="A27" s="72">
        <v>45309.197916666664</v>
      </c>
      <c r="B27" s="6">
        <v>18</v>
      </c>
      <c r="C27" s="6">
        <v>24.92</v>
      </c>
      <c r="D27" s="6">
        <v>28.81</v>
      </c>
      <c r="E27" s="6">
        <v>9.02</v>
      </c>
      <c r="F27" s="6">
        <v>3.42</v>
      </c>
      <c r="G27" s="6">
        <v>85.62</v>
      </c>
      <c r="H27" s="6">
        <v>43.25</v>
      </c>
      <c r="I27" s="6">
        <v>11.3</v>
      </c>
      <c r="J27" s="6">
        <v>0.13</v>
      </c>
      <c r="K27" s="6">
        <v>236.43</v>
      </c>
      <c r="L27" s="6">
        <v>18.440000000000001</v>
      </c>
      <c r="M27" s="6">
        <v>90.29</v>
      </c>
      <c r="N27" s="6">
        <v>0</v>
      </c>
      <c r="O27" s="6">
        <v>0</v>
      </c>
      <c r="P27" s="6">
        <v>1.05</v>
      </c>
      <c r="Q27" s="6">
        <v>5.04</v>
      </c>
    </row>
    <row r="28" spans="1:17" customFormat="1">
      <c r="A28" s="72">
        <v>45309.208333333336</v>
      </c>
      <c r="B28" s="6">
        <v>17.5</v>
      </c>
      <c r="C28" s="6">
        <v>25.05</v>
      </c>
      <c r="D28" s="6">
        <v>28.47</v>
      </c>
      <c r="E28" s="6">
        <v>8.56</v>
      </c>
      <c r="F28" s="6">
        <v>3.58</v>
      </c>
      <c r="G28" s="6">
        <v>85.62</v>
      </c>
      <c r="H28" s="6">
        <v>43.25</v>
      </c>
      <c r="I28" s="6">
        <v>11.33</v>
      </c>
      <c r="J28" s="6">
        <v>0.26</v>
      </c>
      <c r="K28" s="6">
        <v>338.43</v>
      </c>
      <c r="L28" s="6">
        <v>18.3</v>
      </c>
      <c r="M28" s="6">
        <v>91.41</v>
      </c>
      <c r="N28" s="6">
        <v>0</v>
      </c>
      <c r="O28" s="6">
        <v>0</v>
      </c>
      <c r="P28" s="6">
        <v>1.04</v>
      </c>
      <c r="Q28" s="6">
        <v>5.01</v>
      </c>
    </row>
    <row r="29" spans="1:17" customFormat="1">
      <c r="A29" s="72">
        <v>45309.21875</v>
      </c>
      <c r="B29" s="6">
        <v>17.649999999999999</v>
      </c>
      <c r="C29" s="6">
        <v>25.35</v>
      </c>
      <c r="D29" s="6">
        <v>28.75</v>
      </c>
      <c r="E29" s="6">
        <v>8.7899999999999991</v>
      </c>
      <c r="F29" s="6">
        <v>3.41</v>
      </c>
      <c r="G29" s="6">
        <v>85.62</v>
      </c>
      <c r="H29" s="6">
        <v>43.25</v>
      </c>
      <c r="I29" s="6">
        <v>11.27</v>
      </c>
      <c r="J29" s="6">
        <v>0.09</v>
      </c>
      <c r="K29" s="6">
        <v>78.91</v>
      </c>
      <c r="L29" s="6">
        <v>18.47</v>
      </c>
      <c r="M29" s="6">
        <v>89.56</v>
      </c>
      <c r="N29" s="6">
        <v>0</v>
      </c>
      <c r="O29" s="6">
        <v>0</v>
      </c>
      <c r="P29" s="6">
        <v>1.04</v>
      </c>
      <c r="Q29" s="6">
        <v>4.99</v>
      </c>
    </row>
    <row r="30" spans="1:17" customFormat="1">
      <c r="A30" s="72">
        <v>45309.229166666664</v>
      </c>
      <c r="B30" s="6">
        <v>17.84</v>
      </c>
      <c r="C30" s="6">
        <v>25.54</v>
      </c>
      <c r="D30" s="6">
        <v>29</v>
      </c>
      <c r="E30" s="6">
        <v>8.65</v>
      </c>
      <c r="F30" s="6">
        <v>3.32</v>
      </c>
      <c r="G30" s="6">
        <v>93.1</v>
      </c>
      <c r="H30" s="6">
        <v>42.43</v>
      </c>
      <c r="I30" s="6">
        <v>11.24</v>
      </c>
      <c r="J30" s="6">
        <v>0.09</v>
      </c>
      <c r="K30" s="6">
        <v>225.39</v>
      </c>
      <c r="L30" s="6">
        <v>18.13</v>
      </c>
      <c r="M30" s="6">
        <v>91.53</v>
      </c>
      <c r="N30" s="6">
        <v>0</v>
      </c>
      <c r="O30" s="6">
        <v>0</v>
      </c>
      <c r="P30" s="6">
        <v>1.04</v>
      </c>
      <c r="Q30" s="6">
        <v>4.99</v>
      </c>
    </row>
    <row r="31" spans="1:17" customFormat="1">
      <c r="A31" s="72">
        <v>45309.239583333336</v>
      </c>
      <c r="B31" s="6">
        <v>18.36</v>
      </c>
      <c r="C31" s="6">
        <v>25.99</v>
      </c>
      <c r="D31" s="6">
        <v>29.66</v>
      </c>
      <c r="E31" s="6">
        <v>8.6199999999999992</v>
      </c>
      <c r="F31" s="6">
        <v>3.37</v>
      </c>
      <c r="G31" s="6">
        <v>94.03</v>
      </c>
      <c r="H31" s="6">
        <v>42.43</v>
      </c>
      <c r="I31" s="6">
        <v>11.18</v>
      </c>
      <c r="J31" s="6">
        <v>0.28000000000000003</v>
      </c>
      <c r="K31" s="6">
        <v>51.69</v>
      </c>
      <c r="L31" s="6">
        <v>18.11</v>
      </c>
      <c r="M31" s="6">
        <v>91.68</v>
      </c>
      <c r="N31" s="6">
        <v>0</v>
      </c>
      <c r="O31" s="6">
        <v>0</v>
      </c>
      <c r="P31" s="6">
        <v>1.03</v>
      </c>
      <c r="Q31" s="6">
        <v>4.99</v>
      </c>
    </row>
    <row r="32" spans="1:17" customFormat="1">
      <c r="A32" s="72">
        <v>45309.25</v>
      </c>
      <c r="B32" s="6">
        <v>19.97</v>
      </c>
      <c r="C32" s="6">
        <v>26.8</v>
      </c>
      <c r="D32" s="6">
        <v>31.37</v>
      </c>
      <c r="E32" s="6">
        <v>9.0500000000000007</v>
      </c>
      <c r="F32" s="6">
        <v>3.25</v>
      </c>
      <c r="G32" s="6">
        <v>94.03</v>
      </c>
      <c r="H32" s="6">
        <v>42.43</v>
      </c>
      <c r="I32" s="6">
        <v>11.11</v>
      </c>
      <c r="J32" s="6">
        <v>0.23</v>
      </c>
      <c r="K32" s="6">
        <v>23.14</v>
      </c>
      <c r="L32" s="6">
        <v>18.309999999999999</v>
      </c>
      <c r="M32" s="6">
        <v>90.92</v>
      </c>
      <c r="N32" s="6">
        <v>0</v>
      </c>
      <c r="O32" s="6">
        <v>0</v>
      </c>
      <c r="P32" s="6">
        <v>1.03</v>
      </c>
      <c r="Q32" s="6">
        <v>5.01</v>
      </c>
    </row>
    <row r="33" spans="1:17" customFormat="1">
      <c r="A33" s="72">
        <v>45309.260416666664</v>
      </c>
      <c r="B33" s="6">
        <v>21.12</v>
      </c>
      <c r="C33" s="6">
        <v>27.12</v>
      </c>
      <c r="D33" s="6">
        <v>32.450000000000003</v>
      </c>
      <c r="E33" s="6">
        <v>9.1199999999999992</v>
      </c>
      <c r="F33" s="6">
        <v>3.33</v>
      </c>
      <c r="G33" s="6">
        <v>94.03</v>
      </c>
      <c r="H33" s="6">
        <v>42.43</v>
      </c>
      <c r="I33" s="6">
        <v>11.12</v>
      </c>
      <c r="J33" s="6">
        <v>0.37</v>
      </c>
      <c r="K33" s="6">
        <v>56.42</v>
      </c>
      <c r="L33" s="6">
        <v>18.420000000000002</v>
      </c>
      <c r="M33" s="6">
        <v>90.48</v>
      </c>
      <c r="N33" s="6">
        <v>0</v>
      </c>
      <c r="O33" s="6">
        <v>0</v>
      </c>
      <c r="P33" s="6">
        <v>1.03</v>
      </c>
      <c r="Q33" s="6">
        <v>5.03</v>
      </c>
    </row>
    <row r="34" spans="1:17" customFormat="1">
      <c r="A34" s="72">
        <v>45309.270833333336</v>
      </c>
      <c r="B34" s="6">
        <v>21.76</v>
      </c>
      <c r="C34" s="6">
        <v>27.74</v>
      </c>
      <c r="D34" s="6">
        <v>33.29</v>
      </c>
      <c r="E34" s="6">
        <v>8.81</v>
      </c>
      <c r="F34" s="6">
        <v>3.16</v>
      </c>
      <c r="G34" s="6">
        <v>94.34</v>
      </c>
      <c r="H34" s="6">
        <v>43.71</v>
      </c>
      <c r="I34" s="6">
        <v>11.15</v>
      </c>
      <c r="J34" s="6">
        <v>0.1</v>
      </c>
      <c r="K34" s="6">
        <v>242.51</v>
      </c>
      <c r="L34" s="6">
        <v>18.420000000000002</v>
      </c>
      <c r="M34" s="6">
        <v>90.7</v>
      </c>
      <c r="N34" s="6">
        <v>0</v>
      </c>
      <c r="O34" s="6">
        <v>0</v>
      </c>
      <c r="P34" s="6">
        <v>1.04</v>
      </c>
      <c r="Q34" s="6">
        <v>5.05</v>
      </c>
    </row>
    <row r="35" spans="1:17" customFormat="1">
      <c r="A35" s="72">
        <v>45309.28125</v>
      </c>
      <c r="B35" s="6">
        <v>22.14</v>
      </c>
      <c r="C35" s="6">
        <v>27.91</v>
      </c>
      <c r="D35" s="6">
        <v>33.69</v>
      </c>
      <c r="E35" s="6">
        <v>8.8000000000000007</v>
      </c>
      <c r="F35" s="6">
        <v>3.09</v>
      </c>
      <c r="G35" s="6">
        <v>94.38</v>
      </c>
      <c r="H35" s="6">
        <v>43.71</v>
      </c>
      <c r="I35" s="6">
        <v>11.16</v>
      </c>
      <c r="J35" s="6">
        <v>0.36</v>
      </c>
      <c r="K35" s="6">
        <v>46.6</v>
      </c>
      <c r="L35" s="6">
        <v>18.27</v>
      </c>
      <c r="M35" s="6">
        <v>91.96</v>
      </c>
      <c r="N35" s="6">
        <v>0</v>
      </c>
      <c r="O35" s="6">
        <v>0</v>
      </c>
      <c r="P35" s="6">
        <v>1.04</v>
      </c>
      <c r="Q35" s="6">
        <v>5.05</v>
      </c>
    </row>
    <row r="36" spans="1:17" customFormat="1">
      <c r="A36" s="72">
        <v>45309.291666666664</v>
      </c>
      <c r="B36" s="6">
        <v>22.93</v>
      </c>
      <c r="C36" s="6">
        <v>27.98</v>
      </c>
      <c r="D36" s="6">
        <v>34.36</v>
      </c>
      <c r="E36" s="6">
        <v>9.01</v>
      </c>
      <c r="F36" s="6">
        <v>3.27</v>
      </c>
      <c r="G36" s="6">
        <v>94.38</v>
      </c>
      <c r="H36" s="6">
        <v>43.71</v>
      </c>
      <c r="I36" s="6">
        <v>11.2</v>
      </c>
      <c r="J36" s="6">
        <v>0.3</v>
      </c>
      <c r="K36" s="6">
        <v>37.19</v>
      </c>
      <c r="L36" s="6">
        <v>18.3</v>
      </c>
      <c r="M36" s="6">
        <v>91.64</v>
      </c>
      <c r="N36" s="6">
        <v>0.7</v>
      </c>
      <c r="O36" s="6">
        <v>0</v>
      </c>
      <c r="P36" s="6">
        <v>1.04</v>
      </c>
      <c r="Q36" s="6">
        <v>5.03</v>
      </c>
    </row>
    <row r="37" spans="1:17" customFormat="1">
      <c r="A37" s="72">
        <v>45309.302083333336</v>
      </c>
      <c r="B37" s="6">
        <v>24.27</v>
      </c>
      <c r="C37" s="6">
        <v>28.8</v>
      </c>
      <c r="D37" s="6">
        <v>35.86</v>
      </c>
      <c r="E37" s="6">
        <v>8.9499999999999993</v>
      </c>
      <c r="F37" s="6">
        <v>3.2</v>
      </c>
      <c r="G37" s="6">
        <v>94.38</v>
      </c>
      <c r="H37" s="6">
        <v>43.71</v>
      </c>
      <c r="I37" s="6">
        <v>11.25</v>
      </c>
      <c r="J37" s="6">
        <v>0.28999999999999998</v>
      </c>
      <c r="K37" s="6">
        <v>69.81</v>
      </c>
      <c r="L37" s="6">
        <v>18.489999999999998</v>
      </c>
      <c r="M37" s="6">
        <v>91.32</v>
      </c>
      <c r="N37" s="6">
        <v>6.7</v>
      </c>
      <c r="O37" s="6">
        <v>0</v>
      </c>
      <c r="P37" s="6">
        <v>1.06</v>
      </c>
      <c r="Q37" s="6">
        <v>5.0199999999999996</v>
      </c>
    </row>
    <row r="38" spans="1:17" customFormat="1">
      <c r="A38" s="72">
        <v>45309.3125</v>
      </c>
      <c r="B38" s="6">
        <v>25.28</v>
      </c>
      <c r="C38" s="6">
        <v>29.11</v>
      </c>
      <c r="D38" s="6">
        <v>36.840000000000003</v>
      </c>
      <c r="E38" s="6">
        <v>9.3800000000000008</v>
      </c>
      <c r="F38" s="6">
        <v>3.2</v>
      </c>
      <c r="G38" s="6">
        <v>107.76</v>
      </c>
      <c r="H38" s="6">
        <v>45.96</v>
      </c>
      <c r="I38" s="6">
        <v>11.36</v>
      </c>
      <c r="J38" s="6">
        <v>0.08</v>
      </c>
      <c r="K38" s="6">
        <v>117.63</v>
      </c>
      <c r="L38" s="6">
        <v>18.649999999999999</v>
      </c>
      <c r="M38" s="6">
        <v>91.72</v>
      </c>
      <c r="N38" s="6">
        <v>17.899999999999999</v>
      </c>
      <c r="O38" s="6">
        <v>0</v>
      </c>
      <c r="P38" s="6">
        <v>1.07</v>
      </c>
      <c r="Q38" s="6">
        <v>5.04</v>
      </c>
    </row>
    <row r="39" spans="1:17" customFormat="1">
      <c r="A39" s="72">
        <v>45309.322916666664</v>
      </c>
      <c r="B39" s="6">
        <v>25.44</v>
      </c>
      <c r="C39" s="6">
        <v>28.96</v>
      </c>
      <c r="D39" s="6">
        <v>36.880000000000003</v>
      </c>
      <c r="E39" s="6">
        <v>9.06</v>
      </c>
      <c r="F39" s="6">
        <v>3.05</v>
      </c>
      <c r="G39" s="6">
        <v>109.44</v>
      </c>
      <c r="H39" s="6">
        <v>45.96</v>
      </c>
      <c r="I39" s="6">
        <v>11.5</v>
      </c>
      <c r="J39" s="6">
        <v>0.24</v>
      </c>
      <c r="K39" s="6">
        <v>39.159999999999997</v>
      </c>
      <c r="L39" s="6">
        <v>18.98</v>
      </c>
      <c r="M39" s="6">
        <v>91.34</v>
      </c>
      <c r="N39" s="6">
        <v>28.4</v>
      </c>
      <c r="O39" s="6">
        <v>0</v>
      </c>
      <c r="P39" s="6">
        <v>1.08</v>
      </c>
      <c r="Q39" s="6">
        <v>5.04</v>
      </c>
    </row>
    <row r="40" spans="1:17" customFormat="1">
      <c r="A40" s="72">
        <v>45309.333333333336</v>
      </c>
      <c r="B40" s="6">
        <v>25.64</v>
      </c>
      <c r="C40" s="6">
        <v>29.29</v>
      </c>
      <c r="D40" s="6">
        <v>37.22</v>
      </c>
      <c r="E40" s="6">
        <v>9.24</v>
      </c>
      <c r="F40" s="6">
        <v>3.3</v>
      </c>
      <c r="G40" s="6">
        <v>109.44</v>
      </c>
      <c r="H40" s="6">
        <v>45.96</v>
      </c>
      <c r="I40" s="6">
        <v>11.63</v>
      </c>
      <c r="J40" s="6">
        <v>0.64</v>
      </c>
      <c r="K40" s="6">
        <v>48.83</v>
      </c>
      <c r="L40" s="6">
        <v>19.309999999999999</v>
      </c>
      <c r="M40" s="6">
        <v>90.29</v>
      </c>
      <c r="N40" s="6">
        <v>39</v>
      </c>
      <c r="O40" s="6">
        <v>0</v>
      </c>
      <c r="P40" s="6">
        <v>1.0900000000000001</v>
      </c>
      <c r="Q40" s="6">
        <v>5.04</v>
      </c>
    </row>
    <row r="41" spans="1:17" customFormat="1">
      <c r="A41" s="72">
        <v>45309.34375</v>
      </c>
      <c r="B41" s="6">
        <v>25.43</v>
      </c>
      <c r="C41" s="6">
        <v>29.12</v>
      </c>
      <c r="D41" s="6">
        <v>36.950000000000003</v>
      </c>
      <c r="E41" s="6">
        <v>9.23</v>
      </c>
      <c r="F41" s="6">
        <v>3.4</v>
      </c>
      <c r="G41" s="6">
        <v>109.44</v>
      </c>
      <c r="H41" s="6">
        <v>45.96</v>
      </c>
      <c r="I41" s="6">
        <v>11.78</v>
      </c>
      <c r="J41" s="6">
        <v>0.55000000000000004</v>
      </c>
      <c r="K41" s="6">
        <v>47.34</v>
      </c>
      <c r="L41" s="6">
        <v>19.61</v>
      </c>
      <c r="M41" s="6">
        <v>90</v>
      </c>
      <c r="N41" s="6">
        <v>58.4</v>
      </c>
      <c r="O41" s="6">
        <v>0</v>
      </c>
      <c r="P41" s="6">
        <v>1.1000000000000001</v>
      </c>
      <c r="Q41" s="6">
        <v>5.05</v>
      </c>
    </row>
    <row r="42" spans="1:17" customFormat="1">
      <c r="A42" s="72">
        <v>45309.354166666664</v>
      </c>
      <c r="B42" s="6">
        <v>25.02</v>
      </c>
      <c r="C42" s="6">
        <v>29.85</v>
      </c>
      <c r="D42" s="6">
        <v>37.01</v>
      </c>
      <c r="E42" s="6">
        <v>9.73</v>
      </c>
      <c r="F42" s="6">
        <v>3.11</v>
      </c>
      <c r="G42" s="6">
        <v>111.16</v>
      </c>
      <c r="H42" s="6">
        <v>49.28</v>
      </c>
      <c r="I42" s="6">
        <v>11.88</v>
      </c>
      <c r="J42" s="6">
        <v>0.6</v>
      </c>
      <c r="K42" s="6">
        <v>54.14</v>
      </c>
      <c r="L42" s="6">
        <v>19.989999999999998</v>
      </c>
      <c r="M42" s="6">
        <v>89.23</v>
      </c>
      <c r="N42" s="6">
        <v>81.2</v>
      </c>
      <c r="O42" s="6">
        <v>0</v>
      </c>
      <c r="P42" s="6">
        <v>1.1100000000000001</v>
      </c>
      <c r="Q42" s="6">
        <v>5.0599999999999996</v>
      </c>
    </row>
    <row r="43" spans="1:17" customFormat="1">
      <c r="A43" s="72">
        <v>45309.364583333336</v>
      </c>
      <c r="B43" s="6">
        <v>24.66</v>
      </c>
      <c r="C43" s="6">
        <v>29.91</v>
      </c>
      <c r="D43" s="6">
        <v>36.76</v>
      </c>
      <c r="E43" s="6">
        <v>9.23</v>
      </c>
      <c r="F43" s="6">
        <v>3.34</v>
      </c>
      <c r="G43" s="6">
        <v>111.38</v>
      </c>
      <c r="H43" s="6">
        <v>49.28</v>
      </c>
      <c r="I43" s="6">
        <v>11.96</v>
      </c>
      <c r="J43" s="6">
        <v>0.5</v>
      </c>
      <c r="K43" s="6">
        <v>83.56</v>
      </c>
      <c r="L43" s="6">
        <v>20.76</v>
      </c>
      <c r="M43" s="6">
        <v>86.13</v>
      </c>
      <c r="N43" s="6">
        <v>96.6</v>
      </c>
      <c r="O43" s="6">
        <v>0</v>
      </c>
      <c r="P43" s="6">
        <v>1.1100000000000001</v>
      </c>
      <c r="Q43" s="6">
        <v>5.05</v>
      </c>
    </row>
    <row r="44" spans="1:17" customFormat="1">
      <c r="A44" s="72">
        <v>45309.375</v>
      </c>
      <c r="B44" s="6">
        <v>23.88</v>
      </c>
      <c r="C44" s="6">
        <v>30</v>
      </c>
      <c r="D44" s="6">
        <v>36.17</v>
      </c>
      <c r="E44" s="6">
        <v>9.34</v>
      </c>
      <c r="F44" s="6">
        <v>3.13</v>
      </c>
      <c r="G44" s="6">
        <v>111.38</v>
      </c>
      <c r="H44" s="6">
        <v>49.28</v>
      </c>
      <c r="I44" s="6">
        <v>12.03</v>
      </c>
      <c r="J44" s="6">
        <v>0.47</v>
      </c>
      <c r="K44" s="6">
        <v>77.22</v>
      </c>
      <c r="L44" s="6">
        <v>21.18</v>
      </c>
      <c r="M44" s="6">
        <v>84.59</v>
      </c>
      <c r="N44" s="6">
        <v>111.3</v>
      </c>
      <c r="O44" s="6">
        <v>0</v>
      </c>
      <c r="P44" s="6">
        <v>1.1100000000000001</v>
      </c>
      <c r="Q44" s="6">
        <v>5.03</v>
      </c>
    </row>
    <row r="45" spans="1:17" customFormat="1">
      <c r="A45" s="72">
        <v>45309.385416666664</v>
      </c>
      <c r="B45" s="6">
        <v>22.82</v>
      </c>
      <c r="C45" s="6">
        <v>30.35</v>
      </c>
      <c r="D45" s="6">
        <v>35.51</v>
      </c>
      <c r="E45" s="6">
        <v>9.25</v>
      </c>
      <c r="F45" s="6">
        <v>3.08</v>
      </c>
      <c r="G45" s="6">
        <v>111.38</v>
      </c>
      <c r="H45" s="6">
        <v>49.28</v>
      </c>
      <c r="I45" s="6">
        <v>12.06</v>
      </c>
      <c r="J45" s="6">
        <v>0.52</v>
      </c>
      <c r="K45" s="6">
        <v>66.239999999999995</v>
      </c>
      <c r="L45" s="6">
        <v>21.66</v>
      </c>
      <c r="M45" s="6">
        <v>82.66</v>
      </c>
      <c r="N45" s="6">
        <v>133.6</v>
      </c>
      <c r="O45" s="6">
        <v>0</v>
      </c>
      <c r="P45" s="6">
        <v>1.1200000000000001</v>
      </c>
      <c r="Q45" s="6">
        <v>5.01</v>
      </c>
    </row>
    <row r="46" spans="1:17" customFormat="1">
      <c r="A46" s="72">
        <v>45309.395833333336</v>
      </c>
      <c r="B46" s="6">
        <v>22.12</v>
      </c>
      <c r="C46" s="6">
        <v>30.75</v>
      </c>
      <c r="D46" s="6">
        <v>35.159999999999997</v>
      </c>
      <c r="E46" s="6">
        <v>9.92</v>
      </c>
      <c r="F46" s="6">
        <v>3.18</v>
      </c>
      <c r="G46" s="6">
        <v>101.83</v>
      </c>
      <c r="H46" s="6">
        <v>47.84</v>
      </c>
      <c r="I46" s="6">
        <v>12.04</v>
      </c>
      <c r="J46" s="6">
        <v>0.26</v>
      </c>
      <c r="K46" s="6">
        <v>101.97</v>
      </c>
      <c r="L46" s="6">
        <v>22.46</v>
      </c>
      <c r="M46" s="6">
        <v>79.459999999999994</v>
      </c>
      <c r="N46" s="6">
        <v>138.80000000000001</v>
      </c>
      <c r="O46" s="6">
        <v>0</v>
      </c>
      <c r="P46" s="6">
        <v>1.1200000000000001</v>
      </c>
      <c r="Q46" s="6">
        <v>4.96</v>
      </c>
    </row>
    <row r="47" spans="1:17" customFormat="1">
      <c r="A47" s="72">
        <v>45309.40625</v>
      </c>
      <c r="B47" s="6">
        <v>21.81</v>
      </c>
      <c r="C47" s="6">
        <v>28.5</v>
      </c>
      <c r="D47" s="6">
        <v>33.729999999999997</v>
      </c>
      <c r="E47" s="6">
        <v>9.16</v>
      </c>
      <c r="F47" s="6">
        <v>3.59</v>
      </c>
      <c r="G47" s="6">
        <v>100.64</v>
      </c>
      <c r="H47" s="6">
        <v>47.84</v>
      </c>
      <c r="I47" s="6">
        <v>11.97</v>
      </c>
      <c r="J47" s="6">
        <v>0.48</v>
      </c>
      <c r="K47" s="6">
        <v>57.4</v>
      </c>
      <c r="L47" s="6">
        <v>23.02</v>
      </c>
      <c r="M47" s="6">
        <v>76.03</v>
      </c>
      <c r="N47" s="6">
        <v>143.6</v>
      </c>
      <c r="O47" s="6">
        <v>0</v>
      </c>
      <c r="P47" s="6">
        <v>1.1200000000000001</v>
      </c>
      <c r="Q47" s="6">
        <v>4.95</v>
      </c>
    </row>
    <row r="48" spans="1:17" customFormat="1">
      <c r="A48" s="72">
        <v>45309.416666666664</v>
      </c>
      <c r="B48" s="6">
        <v>21.84</v>
      </c>
      <c r="C48" s="6">
        <v>25.73</v>
      </c>
      <c r="D48" s="6">
        <v>32.31</v>
      </c>
      <c r="E48" s="6">
        <v>9.51</v>
      </c>
      <c r="F48" s="6">
        <v>3.73</v>
      </c>
      <c r="G48" s="6">
        <v>100.64</v>
      </c>
      <c r="H48" s="6">
        <v>47.84</v>
      </c>
      <c r="I48" s="6">
        <v>11.89</v>
      </c>
      <c r="J48" s="6">
        <v>0.18</v>
      </c>
      <c r="K48" s="6">
        <v>113.08</v>
      </c>
      <c r="L48" s="6">
        <v>23.67</v>
      </c>
      <c r="M48" s="6">
        <v>73.260000000000005</v>
      </c>
      <c r="N48" s="6">
        <v>171.3</v>
      </c>
      <c r="O48" s="6">
        <v>0</v>
      </c>
      <c r="P48" s="6">
        <v>1.1100000000000001</v>
      </c>
      <c r="Q48" s="6">
        <v>4.9800000000000004</v>
      </c>
    </row>
    <row r="49" spans="1:17" customFormat="1">
      <c r="A49" s="72">
        <v>45309.427083333336</v>
      </c>
      <c r="B49" s="6">
        <v>21.53</v>
      </c>
      <c r="C49" s="6">
        <v>23.94</v>
      </c>
      <c r="D49" s="6">
        <v>31.13</v>
      </c>
      <c r="E49" s="6">
        <v>6.05</v>
      </c>
      <c r="F49" s="6">
        <v>3.59</v>
      </c>
      <c r="G49" s="6">
        <v>100.64</v>
      </c>
      <c r="H49" s="6">
        <v>47.84</v>
      </c>
      <c r="I49" s="6">
        <v>11.83</v>
      </c>
      <c r="J49" s="6">
        <v>0.22</v>
      </c>
      <c r="K49" s="6">
        <v>314.45999999999998</v>
      </c>
      <c r="L49" s="6">
        <v>24.13</v>
      </c>
      <c r="M49" s="6">
        <v>71.05</v>
      </c>
      <c r="N49" s="6">
        <v>200.3</v>
      </c>
      <c r="O49" s="6">
        <v>0</v>
      </c>
      <c r="P49" s="6">
        <v>1.1100000000000001</v>
      </c>
      <c r="Q49" s="6">
        <v>4.96</v>
      </c>
    </row>
    <row r="50" spans="1:17" customFormat="1">
      <c r="A50" s="72">
        <v>45309.4375</v>
      </c>
      <c r="B50" s="6">
        <v>21.31</v>
      </c>
      <c r="C50" s="6">
        <v>22.75</v>
      </c>
      <c r="D50" s="6">
        <v>30.33</v>
      </c>
      <c r="E50" s="6">
        <v>6.84</v>
      </c>
      <c r="F50" s="6">
        <v>3.64</v>
      </c>
      <c r="G50" s="6">
        <v>97.18</v>
      </c>
      <c r="H50" s="6">
        <v>48.35</v>
      </c>
      <c r="I50" s="6">
        <v>11.77</v>
      </c>
      <c r="J50" s="6">
        <v>0.62</v>
      </c>
      <c r="K50" s="6">
        <v>33.93</v>
      </c>
      <c r="L50" s="6">
        <v>24.76</v>
      </c>
      <c r="M50" s="6">
        <v>67.58</v>
      </c>
      <c r="N50" s="6">
        <v>224.2</v>
      </c>
      <c r="O50" s="6">
        <v>0</v>
      </c>
      <c r="P50" s="6">
        <v>1.1000000000000001</v>
      </c>
      <c r="Q50" s="6">
        <v>4.97</v>
      </c>
    </row>
    <row r="51" spans="1:17" customFormat="1">
      <c r="A51" s="72">
        <v>45309.447916666664</v>
      </c>
      <c r="B51" s="6">
        <v>20.94</v>
      </c>
      <c r="C51" s="6">
        <v>22.26</v>
      </c>
      <c r="D51" s="6">
        <v>29.77</v>
      </c>
      <c r="E51" s="6">
        <v>7.18</v>
      </c>
      <c r="F51" s="6">
        <v>3.69</v>
      </c>
      <c r="G51" s="6">
        <v>96.75</v>
      </c>
      <c r="H51" s="6">
        <v>48.35</v>
      </c>
      <c r="I51" s="6">
        <v>11.72</v>
      </c>
      <c r="J51" s="6">
        <v>0.52</v>
      </c>
      <c r="K51" s="6">
        <v>314.66000000000003</v>
      </c>
      <c r="L51" s="6">
        <v>24.97</v>
      </c>
      <c r="M51" s="6">
        <v>65.73</v>
      </c>
      <c r="N51" s="6">
        <v>179.2</v>
      </c>
      <c r="O51" s="6">
        <v>0</v>
      </c>
      <c r="P51" s="6">
        <v>1.0900000000000001</v>
      </c>
      <c r="Q51" s="6">
        <v>4.96</v>
      </c>
    </row>
    <row r="52" spans="1:17" customFormat="1">
      <c r="A52" s="72">
        <v>45309.458333333336</v>
      </c>
      <c r="B52" s="6">
        <v>20.39</v>
      </c>
      <c r="C52" s="6">
        <v>21.89</v>
      </c>
      <c r="D52" s="6">
        <v>29.14</v>
      </c>
      <c r="E52" s="6">
        <v>7.07</v>
      </c>
      <c r="F52" s="6">
        <v>3.69</v>
      </c>
      <c r="G52" s="6">
        <v>96.75</v>
      </c>
      <c r="H52" s="6">
        <v>48.35</v>
      </c>
      <c r="I52" s="6">
        <v>11.63</v>
      </c>
      <c r="J52" s="6">
        <v>0.78</v>
      </c>
      <c r="K52" s="6">
        <v>306.22000000000003</v>
      </c>
      <c r="L52" s="6">
        <v>25.15</v>
      </c>
      <c r="M52" s="6">
        <v>63.27</v>
      </c>
      <c r="N52" s="6">
        <v>189</v>
      </c>
      <c r="O52" s="6">
        <v>0</v>
      </c>
      <c r="P52" s="6">
        <v>1.0900000000000001</v>
      </c>
      <c r="Q52" s="6">
        <v>4.9400000000000004</v>
      </c>
    </row>
    <row r="53" spans="1:17" customFormat="1">
      <c r="A53" s="72">
        <v>45309.46875</v>
      </c>
      <c r="B53" s="6">
        <v>19.62</v>
      </c>
      <c r="C53" s="6">
        <v>21.74</v>
      </c>
      <c r="D53" s="6">
        <v>28.45</v>
      </c>
      <c r="E53" s="6">
        <v>6.81</v>
      </c>
      <c r="F53" s="6">
        <v>3.69</v>
      </c>
      <c r="G53" s="6">
        <v>96.75</v>
      </c>
      <c r="H53" s="6">
        <v>48.35</v>
      </c>
      <c r="I53" s="6">
        <v>11.53</v>
      </c>
      <c r="J53" s="6">
        <v>1.26</v>
      </c>
      <c r="K53" s="6">
        <v>288.88</v>
      </c>
      <c r="L53" s="6">
        <v>25.03</v>
      </c>
      <c r="M53" s="6">
        <v>61.72</v>
      </c>
      <c r="N53" s="6">
        <v>139.5</v>
      </c>
      <c r="O53" s="6">
        <v>0</v>
      </c>
      <c r="P53" s="6">
        <v>1.08</v>
      </c>
      <c r="Q53" s="6">
        <v>4.95</v>
      </c>
    </row>
    <row r="54" spans="1:17" customFormat="1">
      <c r="A54" s="72">
        <v>45309.479166666664</v>
      </c>
      <c r="B54" s="6">
        <v>18.55</v>
      </c>
      <c r="C54" s="6">
        <v>22.8</v>
      </c>
      <c r="D54" s="6">
        <v>28.13</v>
      </c>
      <c r="E54" s="6">
        <v>6.85</v>
      </c>
      <c r="F54" s="6">
        <v>3.67</v>
      </c>
      <c r="G54" s="6">
        <v>90.48</v>
      </c>
      <c r="H54" s="6">
        <v>48.91</v>
      </c>
      <c r="I54" s="6">
        <v>11.43</v>
      </c>
      <c r="J54" s="6">
        <v>0.85</v>
      </c>
      <c r="K54" s="6">
        <v>301.2</v>
      </c>
      <c r="L54" s="6">
        <v>24.76</v>
      </c>
      <c r="M54" s="6">
        <v>62.6</v>
      </c>
      <c r="N54" s="6">
        <v>62</v>
      </c>
      <c r="O54" s="6">
        <v>0</v>
      </c>
      <c r="P54" s="6">
        <v>1.08</v>
      </c>
      <c r="Q54" s="6">
        <v>4.96</v>
      </c>
    </row>
    <row r="55" spans="1:17" customFormat="1">
      <c r="A55" s="72">
        <v>45309.489583333336</v>
      </c>
      <c r="B55" s="6">
        <v>17.809999999999999</v>
      </c>
      <c r="C55" s="6">
        <v>22.94</v>
      </c>
      <c r="D55" s="6">
        <v>27.62</v>
      </c>
      <c r="E55" s="6">
        <v>6.64</v>
      </c>
      <c r="F55" s="6">
        <v>3.66</v>
      </c>
      <c r="G55" s="6">
        <v>89.69</v>
      </c>
      <c r="H55" s="6">
        <v>48.91</v>
      </c>
      <c r="I55" s="6">
        <v>11.28</v>
      </c>
      <c r="J55" s="6">
        <v>0.82</v>
      </c>
      <c r="K55" s="6">
        <v>268.76</v>
      </c>
      <c r="L55" s="6">
        <v>24.82</v>
      </c>
      <c r="M55" s="6">
        <v>62.76</v>
      </c>
      <c r="N55" s="6">
        <v>120.5</v>
      </c>
      <c r="O55" s="6">
        <v>0</v>
      </c>
      <c r="P55" s="6">
        <v>1.06</v>
      </c>
      <c r="Q55" s="6">
        <v>4.95</v>
      </c>
    </row>
    <row r="56" spans="1:17" customFormat="1">
      <c r="A56" s="72">
        <v>45309.5</v>
      </c>
      <c r="B56" s="6">
        <v>16.96</v>
      </c>
      <c r="C56" s="6">
        <v>21.76</v>
      </c>
      <c r="D56" s="6">
        <v>26.32</v>
      </c>
      <c r="E56" s="6">
        <v>6</v>
      </c>
      <c r="F56" s="6">
        <v>3.63</v>
      </c>
      <c r="G56" s="6">
        <v>89.69</v>
      </c>
      <c r="H56" s="6">
        <v>48.91</v>
      </c>
      <c r="I56" s="6">
        <v>11.15</v>
      </c>
      <c r="J56" s="6">
        <v>0.93</v>
      </c>
      <c r="K56" s="6">
        <v>278.64999999999998</v>
      </c>
      <c r="L56" s="6">
        <v>24.94</v>
      </c>
      <c r="M56" s="6">
        <v>62.74</v>
      </c>
      <c r="N56" s="6">
        <v>132.69999999999999</v>
      </c>
      <c r="O56" s="6">
        <v>0</v>
      </c>
      <c r="P56" s="6">
        <v>1.05</v>
      </c>
      <c r="Q56" s="6">
        <v>4.93</v>
      </c>
    </row>
    <row r="57" spans="1:17" customFormat="1">
      <c r="A57" s="72">
        <v>45309.510416666664</v>
      </c>
      <c r="B57" s="6">
        <v>16.03</v>
      </c>
      <c r="C57" s="6">
        <v>20.93</v>
      </c>
      <c r="D57" s="6">
        <v>25.14</v>
      </c>
      <c r="E57" s="6">
        <v>6.59</v>
      </c>
      <c r="F57" s="6">
        <v>3.6</v>
      </c>
      <c r="G57" s="6">
        <v>89.69</v>
      </c>
      <c r="H57" s="6">
        <v>48.91</v>
      </c>
      <c r="I57" s="6">
        <v>11</v>
      </c>
      <c r="J57" s="6">
        <v>0.75</v>
      </c>
      <c r="K57" s="6">
        <v>335.74</v>
      </c>
      <c r="L57" s="6">
        <v>25.27</v>
      </c>
      <c r="M57" s="6">
        <v>63.22</v>
      </c>
      <c r="N57" s="6">
        <v>92.1</v>
      </c>
      <c r="O57" s="6">
        <v>0</v>
      </c>
      <c r="P57" s="6">
        <v>1.03</v>
      </c>
      <c r="Q57" s="6">
        <v>4.93</v>
      </c>
    </row>
    <row r="58" spans="1:17" customFormat="1">
      <c r="A58" s="72">
        <v>45309.520833333336</v>
      </c>
      <c r="B58" s="6">
        <v>15.4</v>
      </c>
      <c r="C58" s="6">
        <v>20.62</v>
      </c>
      <c r="D58" s="6">
        <v>24.47</v>
      </c>
      <c r="E58" s="6">
        <v>6.75</v>
      </c>
      <c r="F58" s="6">
        <v>3.67</v>
      </c>
      <c r="G58" s="6">
        <v>79.2</v>
      </c>
      <c r="H58" s="6">
        <v>43.95</v>
      </c>
      <c r="I58" s="6">
        <v>10.82</v>
      </c>
      <c r="J58" s="6">
        <v>0.74</v>
      </c>
      <c r="K58" s="6">
        <v>323.83999999999997</v>
      </c>
      <c r="L58" s="6">
        <v>24.65</v>
      </c>
      <c r="M58" s="6">
        <v>67.13</v>
      </c>
      <c r="N58" s="6">
        <v>117.7</v>
      </c>
      <c r="O58" s="6">
        <v>0</v>
      </c>
      <c r="P58" s="6">
        <v>1.02</v>
      </c>
      <c r="Q58" s="6">
        <v>4.9400000000000004</v>
      </c>
    </row>
    <row r="59" spans="1:17" customFormat="1">
      <c r="A59" s="72">
        <v>45309.53125</v>
      </c>
      <c r="B59" s="6">
        <v>15.21</v>
      </c>
      <c r="C59" s="6">
        <v>21.91</v>
      </c>
      <c r="D59" s="6">
        <v>25</v>
      </c>
      <c r="E59" s="6">
        <v>7.37</v>
      </c>
      <c r="F59" s="6">
        <v>3.95</v>
      </c>
      <c r="G59" s="6">
        <v>77.88</v>
      </c>
      <c r="H59" s="6">
        <v>43.95</v>
      </c>
      <c r="I59" s="6">
        <v>10.68</v>
      </c>
      <c r="J59" s="6">
        <v>0.76</v>
      </c>
      <c r="K59" s="6">
        <v>21.84</v>
      </c>
      <c r="L59" s="6">
        <v>25.05</v>
      </c>
      <c r="M59" s="6">
        <v>66.05</v>
      </c>
      <c r="N59" s="6">
        <v>152.6</v>
      </c>
      <c r="O59" s="6">
        <v>0</v>
      </c>
      <c r="P59" s="6">
        <v>1.02</v>
      </c>
      <c r="Q59" s="6">
        <v>4.9400000000000004</v>
      </c>
    </row>
    <row r="60" spans="1:17" customFormat="1">
      <c r="A60" s="72">
        <v>45309.541666666664</v>
      </c>
      <c r="B60" s="6">
        <v>15.75</v>
      </c>
      <c r="C60" s="6">
        <v>22.43</v>
      </c>
      <c r="D60" s="6">
        <v>25.7</v>
      </c>
      <c r="E60" s="6">
        <v>7</v>
      </c>
      <c r="F60" s="6">
        <v>3.84</v>
      </c>
      <c r="G60" s="6">
        <v>77.88</v>
      </c>
      <c r="H60" s="6">
        <v>43.95</v>
      </c>
      <c r="I60" s="6">
        <v>10.58</v>
      </c>
      <c r="J60" s="6">
        <v>0.7</v>
      </c>
      <c r="K60" s="6">
        <v>8.44</v>
      </c>
      <c r="L60" s="6">
        <v>25.25</v>
      </c>
      <c r="M60" s="6">
        <v>66.59</v>
      </c>
      <c r="N60" s="6">
        <v>123.3</v>
      </c>
      <c r="O60" s="6">
        <v>0</v>
      </c>
      <c r="P60" s="6">
        <v>1.03</v>
      </c>
      <c r="Q60" s="6">
        <v>4.99</v>
      </c>
    </row>
    <row r="61" spans="1:17" customFormat="1">
      <c r="A61" s="72">
        <v>45309.552083333336</v>
      </c>
      <c r="B61" s="6">
        <v>18.440000000000001</v>
      </c>
      <c r="C61" s="6">
        <v>21.77</v>
      </c>
      <c r="D61" s="6">
        <v>27.52</v>
      </c>
      <c r="E61" s="6">
        <v>7.48</v>
      </c>
      <c r="F61" s="6">
        <v>3.71</v>
      </c>
      <c r="G61" s="6">
        <v>77.88</v>
      </c>
      <c r="H61" s="6">
        <v>43.95</v>
      </c>
      <c r="I61" s="6">
        <v>10.53</v>
      </c>
      <c r="J61" s="6">
        <v>1.28</v>
      </c>
      <c r="K61" s="6">
        <v>50.34</v>
      </c>
      <c r="L61" s="6">
        <v>24.72</v>
      </c>
      <c r="M61" s="6">
        <v>69.67</v>
      </c>
      <c r="N61" s="6">
        <v>124.3</v>
      </c>
      <c r="O61" s="6">
        <v>0</v>
      </c>
      <c r="P61" s="6">
        <v>1.03</v>
      </c>
      <c r="Q61" s="6">
        <v>5</v>
      </c>
    </row>
    <row r="62" spans="1:17" customFormat="1">
      <c r="A62" s="72">
        <v>45309.5625</v>
      </c>
      <c r="B62" s="6">
        <v>18.84</v>
      </c>
      <c r="C62" s="6">
        <v>24.34</v>
      </c>
      <c r="D62" s="6">
        <v>29.18</v>
      </c>
      <c r="E62" s="6">
        <v>8.68</v>
      </c>
      <c r="F62" s="6">
        <v>3.91</v>
      </c>
      <c r="G62" s="6">
        <v>101.3</v>
      </c>
      <c r="H62" s="6">
        <v>45.68</v>
      </c>
      <c r="I62" s="6">
        <v>10.47</v>
      </c>
      <c r="J62" s="6">
        <v>1.36</v>
      </c>
      <c r="K62" s="6">
        <v>47.29</v>
      </c>
      <c r="L62" s="6">
        <v>24.65</v>
      </c>
      <c r="M62" s="6">
        <v>68.75</v>
      </c>
      <c r="N62" s="6">
        <v>113.1</v>
      </c>
      <c r="O62" s="6">
        <v>0</v>
      </c>
      <c r="P62" s="6">
        <v>1.04</v>
      </c>
      <c r="Q62" s="6">
        <v>5.0199999999999996</v>
      </c>
    </row>
    <row r="63" spans="1:17" customFormat="1">
      <c r="A63" s="72">
        <v>45309.572916666664</v>
      </c>
      <c r="B63" s="6">
        <v>18.21</v>
      </c>
      <c r="C63" s="6">
        <v>24.45</v>
      </c>
      <c r="D63" s="6">
        <v>28.72</v>
      </c>
      <c r="E63" s="6">
        <v>7.98</v>
      </c>
      <c r="F63" s="6">
        <v>4.13</v>
      </c>
      <c r="G63" s="6">
        <v>104.23</v>
      </c>
      <c r="H63" s="6">
        <v>45.68</v>
      </c>
      <c r="I63" s="6">
        <v>10.46</v>
      </c>
      <c r="J63" s="6">
        <v>0.62</v>
      </c>
      <c r="K63" s="6">
        <v>20.14</v>
      </c>
      <c r="L63" s="6">
        <v>24.86</v>
      </c>
      <c r="M63" s="6">
        <v>67.510000000000005</v>
      </c>
      <c r="N63" s="6">
        <v>124.6</v>
      </c>
      <c r="O63" s="6">
        <v>0</v>
      </c>
      <c r="P63" s="6">
        <v>1.04</v>
      </c>
      <c r="Q63" s="6">
        <v>5.04</v>
      </c>
    </row>
    <row r="64" spans="1:17" customFormat="1">
      <c r="A64" s="72">
        <v>45309.583333333336</v>
      </c>
      <c r="B64" s="6">
        <v>18.34</v>
      </c>
      <c r="C64" s="6">
        <v>22.92</v>
      </c>
      <c r="D64" s="6">
        <v>28.03</v>
      </c>
      <c r="E64" s="6">
        <v>7.03</v>
      </c>
      <c r="F64" s="6">
        <v>3.89</v>
      </c>
      <c r="G64" s="6">
        <v>104.23</v>
      </c>
      <c r="H64" s="6">
        <v>45.68</v>
      </c>
      <c r="I64" s="6">
        <v>10.47</v>
      </c>
      <c r="J64" s="6">
        <v>0.73</v>
      </c>
      <c r="K64" s="6">
        <v>318.73</v>
      </c>
      <c r="L64" s="6">
        <v>25.14</v>
      </c>
      <c r="M64" s="6">
        <v>65.64</v>
      </c>
      <c r="N64" s="6">
        <v>111.5</v>
      </c>
      <c r="O64" s="6">
        <v>0</v>
      </c>
      <c r="P64" s="6">
        <v>1.03</v>
      </c>
      <c r="Q64" s="6">
        <v>5.05</v>
      </c>
    </row>
    <row r="65" spans="1:17" customFormat="1">
      <c r="A65" s="72">
        <v>45309.59375</v>
      </c>
      <c r="B65" s="6">
        <v>17.84</v>
      </c>
      <c r="C65" s="6">
        <v>22.94</v>
      </c>
      <c r="D65" s="6">
        <v>27.64</v>
      </c>
      <c r="E65" s="6">
        <v>6.71</v>
      </c>
      <c r="F65" s="6">
        <v>3.71</v>
      </c>
      <c r="G65" s="6">
        <v>104.23</v>
      </c>
      <c r="H65" s="6">
        <v>45.68</v>
      </c>
      <c r="I65" s="6">
        <v>10.47</v>
      </c>
      <c r="J65" s="6">
        <v>0.64</v>
      </c>
      <c r="K65" s="6">
        <v>28.16</v>
      </c>
      <c r="L65" s="6">
        <v>25.16</v>
      </c>
      <c r="M65" s="6">
        <v>65.75</v>
      </c>
      <c r="N65" s="6">
        <v>84.4</v>
      </c>
      <c r="O65" s="6">
        <v>0</v>
      </c>
      <c r="P65" s="6">
        <v>0.99</v>
      </c>
      <c r="Q65" s="6">
        <v>5.05</v>
      </c>
    </row>
    <row r="66" spans="1:17" customFormat="1">
      <c r="A66" s="72">
        <v>45309.604166666664</v>
      </c>
      <c r="B66" s="6">
        <v>16.559999999999999</v>
      </c>
      <c r="C66" s="6">
        <v>24.24</v>
      </c>
      <c r="D66" s="6">
        <v>27.3</v>
      </c>
      <c r="E66" s="6">
        <v>6.59</v>
      </c>
      <c r="F66" s="6">
        <v>3.73</v>
      </c>
      <c r="G66" s="6">
        <v>98.14</v>
      </c>
      <c r="H66" s="6">
        <v>47.78</v>
      </c>
      <c r="I66" s="6">
        <v>10.45</v>
      </c>
      <c r="J66" s="6">
        <v>0.64</v>
      </c>
      <c r="K66" s="6">
        <v>27.48</v>
      </c>
      <c r="L66" s="6">
        <v>24.95</v>
      </c>
      <c r="M66" s="6">
        <v>66.53</v>
      </c>
      <c r="N66" s="6">
        <v>81</v>
      </c>
      <c r="O66" s="6">
        <v>0</v>
      </c>
      <c r="P66" s="6">
        <v>1.03</v>
      </c>
      <c r="Q66" s="6">
        <v>5.0599999999999996</v>
      </c>
    </row>
    <row r="67" spans="1:17" customFormat="1">
      <c r="A67" s="72">
        <v>45309.614583333336</v>
      </c>
      <c r="B67" s="6">
        <v>15.51</v>
      </c>
      <c r="C67" s="6">
        <v>25.47</v>
      </c>
      <c r="D67" s="6">
        <v>27.1</v>
      </c>
      <c r="E67" s="6">
        <v>7.42</v>
      </c>
      <c r="F67" s="6">
        <v>3.77</v>
      </c>
      <c r="G67" s="6">
        <v>97.38</v>
      </c>
      <c r="H67" s="6">
        <v>47.78</v>
      </c>
      <c r="I67" s="6">
        <v>10.38</v>
      </c>
      <c r="J67" s="6">
        <v>1.0900000000000001</v>
      </c>
      <c r="K67" s="6">
        <v>41.59</v>
      </c>
      <c r="L67" s="6">
        <v>24.67</v>
      </c>
      <c r="M67" s="6">
        <v>68.69</v>
      </c>
      <c r="N67" s="6">
        <v>57.8</v>
      </c>
      <c r="O67" s="6">
        <v>0</v>
      </c>
      <c r="P67" s="6">
        <v>1.03</v>
      </c>
      <c r="Q67" s="6">
        <v>5.05</v>
      </c>
    </row>
    <row r="68" spans="1:17" customFormat="1">
      <c r="A68" s="72">
        <v>45309.625</v>
      </c>
      <c r="B68" s="6">
        <v>14.61</v>
      </c>
      <c r="C68" s="6">
        <v>26.55</v>
      </c>
      <c r="D68" s="6">
        <v>26.93</v>
      </c>
      <c r="E68" s="6">
        <v>7.46</v>
      </c>
      <c r="F68" s="6">
        <v>3.82</v>
      </c>
      <c r="G68" s="6">
        <v>97.38</v>
      </c>
      <c r="H68" s="6">
        <v>47.78</v>
      </c>
      <c r="I68" s="6">
        <v>10.29</v>
      </c>
      <c r="J68" s="6">
        <v>0.95</v>
      </c>
      <c r="K68" s="6">
        <v>43.41</v>
      </c>
      <c r="L68" s="6">
        <v>24.53</v>
      </c>
      <c r="M68" s="6">
        <v>68.3</v>
      </c>
      <c r="N68" s="6">
        <v>71.400000000000006</v>
      </c>
      <c r="O68" s="6">
        <v>0</v>
      </c>
      <c r="P68" s="6">
        <v>1.04</v>
      </c>
      <c r="Q68" s="6">
        <v>5.04</v>
      </c>
    </row>
    <row r="69" spans="1:17" customFormat="1">
      <c r="A69" s="72">
        <v>45309.635416666664</v>
      </c>
      <c r="B69" s="6">
        <v>13.65</v>
      </c>
      <c r="C69" s="6">
        <v>27.54</v>
      </c>
      <c r="D69" s="6">
        <v>26.69</v>
      </c>
      <c r="E69" s="6">
        <v>7.49</v>
      </c>
      <c r="F69" s="6">
        <v>3.89</v>
      </c>
      <c r="G69" s="6">
        <v>97.38</v>
      </c>
      <c r="H69" s="6">
        <v>47.78</v>
      </c>
      <c r="I69" s="6">
        <v>10.210000000000001</v>
      </c>
      <c r="J69" s="6">
        <v>1.19</v>
      </c>
      <c r="K69" s="6">
        <v>49.08</v>
      </c>
      <c r="L69" s="6">
        <v>24.67</v>
      </c>
      <c r="M69" s="6">
        <v>66.900000000000006</v>
      </c>
      <c r="N69" s="6">
        <v>75.7</v>
      </c>
      <c r="O69" s="6">
        <v>0</v>
      </c>
      <c r="P69" s="6">
        <v>1.04</v>
      </c>
      <c r="Q69" s="6">
        <v>5.03</v>
      </c>
    </row>
    <row r="70" spans="1:17" customFormat="1">
      <c r="A70" s="72">
        <v>45309.645833333336</v>
      </c>
      <c r="B70" s="6">
        <v>12.99</v>
      </c>
      <c r="C70" s="6">
        <v>28.01</v>
      </c>
      <c r="D70" s="6">
        <v>26.4</v>
      </c>
      <c r="E70" s="6">
        <v>8.1999999999999993</v>
      </c>
      <c r="F70" s="6">
        <v>4.0999999999999996</v>
      </c>
      <c r="G70" s="6">
        <v>105.59</v>
      </c>
      <c r="H70" s="6">
        <v>45.85</v>
      </c>
      <c r="I70" s="6">
        <v>10.14</v>
      </c>
      <c r="J70" s="6">
        <v>1.3</v>
      </c>
      <c r="K70" s="6">
        <v>52.8</v>
      </c>
      <c r="L70" s="6">
        <v>24.58</v>
      </c>
      <c r="M70" s="6">
        <v>66.56</v>
      </c>
      <c r="N70" s="6">
        <v>74.900000000000006</v>
      </c>
      <c r="O70" s="6">
        <v>0</v>
      </c>
      <c r="P70" s="6">
        <v>1.04</v>
      </c>
      <c r="Q70" s="6">
        <v>5.01</v>
      </c>
    </row>
    <row r="71" spans="1:17" customFormat="1">
      <c r="A71" s="72">
        <v>45309.65625</v>
      </c>
      <c r="B71" s="6">
        <v>12.36</v>
      </c>
      <c r="C71" s="6">
        <v>28.56</v>
      </c>
      <c r="D71" s="6">
        <v>26.19</v>
      </c>
      <c r="E71" s="6">
        <v>7.58</v>
      </c>
      <c r="F71" s="6">
        <v>3.94</v>
      </c>
      <c r="G71" s="6">
        <v>106.62</v>
      </c>
      <c r="H71" s="6">
        <v>45.85</v>
      </c>
      <c r="I71" s="6">
        <v>10.02</v>
      </c>
      <c r="J71" s="6">
        <v>0.96</v>
      </c>
      <c r="K71" s="6">
        <v>43.33</v>
      </c>
      <c r="L71" s="6">
        <v>24.6</v>
      </c>
      <c r="M71" s="6">
        <v>66.290000000000006</v>
      </c>
      <c r="N71" s="6">
        <v>63.3</v>
      </c>
      <c r="O71" s="6">
        <v>0</v>
      </c>
      <c r="P71" s="6">
        <v>1.04</v>
      </c>
      <c r="Q71" s="6">
        <v>5</v>
      </c>
    </row>
    <row r="72" spans="1:17" customFormat="1">
      <c r="A72" s="72">
        <v>45309.666666666664</v>
      </c>
      <c r="B72" s="6">
        <v>11.64</v>
      </c>
      <c r="C72" s="6">
        <v>28.73</v>
      </c>
      <c r="D72" s="6">
        <v>25.7</v>
      </c>
      <c r="E72" s="6">
        <v>6.66</v>
      </c>
      <c r="F72" s="6">
        <v>3.77</v>
      </c>
      <c r="G72" s="6">
        <v>106.62</v>
      </c>
      <c r="H72" s="6">
        <v>45.85</v>
      </c>
      <c r="I72" s="6">
        <v>9.91</v>
      </c>
      <c r="J72" s="6">
        <v>1.06</v>
      </c>
      <c r="K72" s="6">
        <v>43.34</v>
      </c>
      <c r="L72" s="6">
        <v>24.5</v>
      </c>
      <c r="M72" s="6">
        <v>66.28</v>
      </c>
      <c r="N72" s="6">
        <v>52.8</v>
      </c>
      <c r="O72" s="6">
        <v>0</v>
      </c>
      <c r="P72" s="6">
        <v>1.03</v>
      </c>
      <c r="Q72" s="6">
        <v>4.96</v>
      </c>
    </row>
    <row r="73" spans="1:17" customFormat="1">
      <c r="A73" s="72">
        <v>45309.677083333336</v>
      </c>
      <c r="B73" s="6">
        <v>10.86</v>
      </c>
      <c r="C73" s="6">
        <v>29.01</v>
      </c>
      <c r="D73" s="6">
        <v>25.22</v>
      </c>
      <c r="E73" s="6">
        <v>6.25</v>
      </c>
      <c r="F73" s="6">
        <v>3.35</v>
      </c>
      <c r="G73" s="6">
        <v>106.62</v>
      </c>
      <c r="H73" s="6">
        <v>45.85</v>
      </c>
      <c r="I73" s="6">
        <v>9.82</v>
      </c>
      <c r="J73" s="6">
        <v>1.08</v>
      </c>
      <c r="K73" s="6">
        <v>55.4</v>
      </c>
      <c r="L73" s="6">
        <v>24.42</v>
      </c>
      <c r="M73" s="6">
        <v>66.150000000000006</v>
      </c>
      <c r="N73" s="6">
        <v>43.7</v>
      </c>
      <c r="O73" s="6">
        <v>0</v>
      </c>
      <c r="P73" s="6">
        <v>1.03</v>
      </c>
      <c r="Q73" s="6">
        <v>4.92</v>
      </c>
    </row>
    <row r="74" spans="1:17" customFormat="1">
      <c r="A74" s="72">
        <v>45309.6875</v>
      </c>
      <c r="B74" s="6">
        <v>10.37</v>
      </c>
      <c r="C74" s="6">
        <v>29.26</v>
      </c>
      <c r="D74" s="6">
        <v>24.95</v>
      </c>
      <c r="E74" s="6">
        <v>6.95</v>
      </c>
      <c r="F74" s="6">
        <v>3.52</v>
      </c>
      <c r="G74" s="6">
        <v>91.58</v>
      </c>
      <c r="H74" s="6">
        <v>46.8</v>
      </c>
      <c r="I74" s="6">
        <v>9.7200000000000006</v>
      </c>
      <c r="J74" s="6">
        <v>1.25</v>
      </c>
      <c r="K74" s="6">
        <v>53.13</v>
      </c>
      <c r="L74" s="6">
        <v>24.27</v>
      </c>
      <c r="M74" s="6">
        <v>66.319999999999993</v>
      </c>
      <c r="N74" s="6">
        <v>28.4</v>
      </c>
      <c r="O74" s="6">
        <v>0</v>
      </c>
      <c r="P74" s="6">
        <v>1.02</v>
      </c>
      <c r="Q74" s="6">
        <v>4.91</v>
      </c>
    </row>
    <row r="75" spans="1:17" customFormat="1">
      <c r="A75" s="72">
        <v>45309.697916666664</v>
      </c>
      <c r="B75" s="6">
        <v>9.9700000000000006</v>
      </c>
      <c r="C75" s="6">
        <v>29.85</v>
      </c>
      <c r="D75" s="6">
        <v>24.94</v>
      </c>
      <c r="E75" s="6">
        <v>6.75</v>
      </c>
      <c r="F75" s="6">
        <v>3.52</v>
      </c>
      <c r="G75" s="6">
        <v>89.7</v>
      </c>
      <c r="H75" s="6">
        <v>46.8</v>
      </c>
      <c r="I75" s="6">
        <v>9.6</v>
      </c>
      <c r="J75" s="6">
        <v>0.99</v>
      </c>
      <c r="K75" s="6">
        <v>56.96</v>
      </c>
      <c r="L75" s="6">
        <v>24.16</v>
      </c>
      <c r="M75" s="6">
        <v>66.56</v>
      </c>
      <c r="N75" s="6">
        <v>27.2</v>
      </c>
      <c r="O75" s="6">
        <v>0</v>
      </c>
      <c r="P75" s="6">
        <v>1.03</v>
      </c>
      <c r="Q75" s="6">
        <v>4.8899999999999997</v>
      </c>
    </row>
    <row r="76" spans="1:17" customFormat="1">
      <c r="A76" s="72">
        <v>45309.708333333336</v>
      </c>
      <c r="B76" s="6">
        <v>9.93</v>
      </c>
      <c r="C76" s="6">
        <v>29.94</v>
      </c>
      <c r="D76" s="6">
        <v>24.96</v>
      </c>
      <c r="E76" s="6">
        <v>6.66</v>
      </c>
      <c r="F76" s="6">
        <v>3.54</v>
      </c>
      <c r="G76" s="6">
        <v>89.7</v>
      </c>
      <c r="H76" s="6">
        <v>46.8</v>
      </c>
      <c r="I76" s="6">
        <v>9.5299999999999994</v>
      </c>
      <c r="J76" s="6">
        <v>0.93</v>
      </c>
      <c r="K76" s="6">
        <v>58.89</v>
      </c>
      <c r="L76" s="6">
        <v>24.08</v>
      </c>
      <c r="M76" s="6">
        <v>66.599999999999994</v>
      </c>
      <c r="N76" s="6">
        <v>13.4</v>
      </c>
      <c r="O76" s="6">
        <v>0</v>
      </c>
      <c r="P76" s="6">
        <v>1.03</v>
      </c>
      <c r="Q76" s="6">
        <v>4.8600000000000003</v>
      </c>
    </row>
    <row r="77" spans="1:17" customFormat="1">
      <c r="A77" s="72">
        <v>45309.71875</v>
      </c>
      <c r="B77" s="6">
        <v>10.01</v>
      </c>
      <c r="C77" s="6">
        <v>30.32</v>
      </c>
      <c r="D77" s="6">
        <v>25.22</v>
      </c>
      <c r="E77" s="6">
        <v>6.73</v>
      </c>
      <c r="F77" s="6">
        <v>3.52</v>
      </c>
      <c r="G77" s="6">
        <v>89.7</v>
      </c>
      <c r="H77" s="6">
        <v>46.8</v>
      </c>
      <c r="I77" s="6">
        <v>9.49</v>
      </c>
      <c r="J77" s="6">
        <v>0.91</v>
      </c>
      <c r="K77" s="6">
        <v>61.22</v>
      </c>
      <c r="L77" s="6">
        <v>23.82</v>
      </c>
      <c r="M77" s="6">
        <v>67.709999999999994</v>
      </c>
      <c r="N77" s="6">
        <v>1.7</v>
      </c>
      <c r="O77" s="6">
        <v>0</v>
      </c>
      <c r="P77" s="6">
        <v>1.03</v>
      </c>
      <c r="Q77" s="6">
        <v>4.88</v>
      </c>
    </row>
    <row r="78" spans="1:17" customFormat="1">
      <c r="A78" s="72">
        <v>45309.729166666664</v>
      </c>
      <c r="B78" s="6">
        <v>10.1</v>
      </c>
      <c r="C78" s="6">
        <v>30.57</v>
      </c>
      <c r="D78" s="6">
        <v>25.42</v>
      </c>
      <c r="E78" s="6">
        <v>6.53</v>
      </c>
      <c r="F78" s="6">
        <v>3.37</v>
      </c>
      <c r="G78" s="6">
        <v>90.52</v>
      </c>
      <c r="H78" s="6">
        <v>43.35</v>
      </c>
      <c r="I78" s="6">
        <v>9.43</v>
      </c>
      <c r="J78" s="6">
        <v>0.82</v>
      </c>
      <c r="K78" s="6">
        <v>57.75</v>
      </c>
      <c r="L78" s="6">
        <v>23.46</v>
      </c>
      <c r="M78" s="6">
        <v>70.2</v>
      </c>
      <c r="N78" s="6">
        <v>0</v>
      </c>
      <c r="O78" s="6">
        <v>0</v>
      </c>
      <c r="P78" s="6">
        <v>1.04</v>
      </c>
      <c r="Q78" s="6">
        <v>4.8499999999999996</v>
      </c>
    </row>
    <row r="79" spans="1:17" customFormat="1">
      <c r="A79" s="72">
        <v>45309.739583333336</v>
      </c>
      <c r="B79" s="6">
        <v>10.46</v>
      </c>
      <c r="C79" s="6">
        <v>31.03</v>
      </c>
      <c r="D79" s="6">
        <v>25.95</v>
      </c>
      <c r="E79" s="6">
        <v>6.64</v>
      </c>
      <c r="F79" s="6">
        <v>3.5</v>
      </c>
      <c r="G79" s="6">
        <v>90.62</v>
      </c>
      <c r="H79" s="6">
        <v>43.35</v>
      </c>
      <c r="I79" s="6">
        <v>9.31</v>
      </c>
      <c r="J79" s="6">
        <v>1.02</v>
      </c>
      <c r="K79" s="6">
        <v>59.03</v>
      </c>
      <c r="L79" s="6">
        <v>23.05</v>
      </c>
      <c r="M79" s="6">
        <v>72.209999999999994</v>
      </c>
      <c r="N79" s="6">
        <v>0</v>
      </c>
      <c r="O79" s="6">
        <v>0</v>
      </c>
      <c r="P79" s="6">
        <v>1.04</v>
      </c>
      <c r="Q79" s="6">
        <v>4.87</v>
      </c>
    </row>
    <row r="80" spans="1:17" customFormat="1">
      <c r="A80" s="72">
        <v>45309.75</v>
      </c>
      <c r="B80" s="6">
        <v>11.19</v>
      </c>
      <c r="C80" s="6">
        <v>31.54</v>
      </c>
      <c r="D80" s="6">
        <v>26.8</v>
      </c>
      <c r="E80" s="6">
        <v>6.36</v>
      </c>
      <c r="F80" s="6">
        <v>3.2</v>
      </c>
      <c r="G80" s="6">
        <v>90.62</v>
      </c>
      <c r="H80" s="6">
        <v>43.35</v>
      </c>
      <c r="I80" s="6">
        <v>9.27</v>
      </c>
      <c r="J80" s="6">
        <v>0.86</v>
      </c>
      <c r="K80" s="6">
        <v>64.42</v>
      </c>
      <c r="L80" s="6">
        <v>22.69</v>
      </c>
      <c r="M80" s="6">
        <v>73.83</v>
      </c>
      <c r="N80" s="6">
        <v>0</v>
      </c>
      <c r="O80" s="6">
        <v>0</v>
      </c>
      <c r="P80" s="6">
        <v>1.05</v>
      </c>
      <c r="Q80" s="6">
        <v>4.8899999999999997</v>
      </c>
    </row>
    <row r="81" spans="1:17" customFormat="1">
      <c r="A81" s="72">
        <v>45309.760416666664</v>
      </c>
      <c r="B81" s="6">
        <v>11.74</v>
      </c>
      <c r="C81" s="6">
        <v>31.66</v>
      </c>
      <c r="D81" s="6">
        <v>27.31</v>
      </c>
      <c r="E81" s="6">
        <v>6.97</v>
      </c>
      <c r="F81" s="6">
        <v>3.39</v>
      </c>
      <c r="G81" s="6">
        <v>90.62</v>
      </c>
      <c r="H81" s="6">
        <v>43.35</v>
      </c>
      <c r="I81" s="6">
        <v>9.2799999999999994</v>
      </c>
      <c r="J81" s="6">
        <v>0.95</v>
      </c>
      <c r="K81" s="6">
        <v>60.52</v>
      </c>
      <c r="L81" s="6">
        <v>22.37</v>
      </c>
      <c r="M81" s="6">
        <v>75.67</v>
      </c>
      <c r="N81" s="6">
        <v>0</v>
      </c>
      <c r="O81" s="6">
        <v>0</v>
      </c>
      <c r="P81" s="6">
        <v>1.06</v>
      </c>
      <c r="Q81" s="6">
        <v>4.9000000000000004</v>
      </c>
    </row>
    <row r="82" spans="1:17" customFormat="1">
      <c r="A82" s="72">
        <v>45309.770833333336</v>
      </c>
      <c r="B82" s="6">
        <v>11.69</v>
      </c>
      <c r="C82" s="6">
        <v>31.94</v>
      </c>
      <c r="D82" s="6">
        <v>27.42</v>
      </c>
      <c r="E82" s="6">
        <v>7.77</v>
      </c>
      <c r="F82" s="6">
        <v>3.29</v>
      </c>
      <c r="G82" s="6">
        <v>94.51</v>
      </c>
      <c r="H82" s="6">
        <v>43.06</v>
      </c>
      <c r="I82" s="6">
        <v>9.26</v>
      </c>
      <c r="J82" s="6">
        <v>0.89</v>
      </c>
      <c r="K82" s="6">
        <v>57.27</v>
      </c>
      <c r="L82" s="6">
        <v>22.15</v>
      </c>
      <c r="M82" s="6">
        <v>76.930000000000007</v>
      </c>
      <c r="N82" s="6">
        <v>0</v>
      </c>
      <c r="O82" s="6">
        <v>0</v>
      </c>
      <c r="P82" s="6">
        <v>1.07</v>
      </c>
      <c r="Q82" s="6">
        <v>4.9000000000000004</v>
      </c>
    </row>
    <row r="83" spans="1:17" customFormat="1">
      <c r="A83" s="72">
        <v>45309.78125</v>
      </c>
      <c r="B83" s="6">
        <v>11.82</v>
      </c>
      <c r="C83" s="6">
        <v>32.229999999999997</v>
      </c>
      <c r="D83" s="6">
        <v>27.67</v>
      </c>
      <c r="E83" s="6">
        <v>7.61</v>
      </c>
      <c r="F83" s="6">
        <v>3.39</v>
      </c>
      <c r="G83" s="6">
        <v>95</v>
      </c>
      <c r="H83" s="6">
        <v>43.06</v>
      </c>
      <c r="I83" s="6">
        <v>9.25</v>
      </c>
      <c r="J83" s="6">
        <v>0.98</v>
      </c>
      <c r="K83" s="6">
        <v>57.56</v>
      </c>
      <c r="L83" s="6">
        <v>21.87</v>
      </c>
      <c r="M83" s="6">
        <v>78.27</v>
      </c>
      <c r="N83" s="6">
        <v>0</v>
      </c>
      <c r="O83" s="6">
        <v>0</v>
      </c>
      <c r="P83" s="6">
        <v>1.07</v>
      </c>
      <c r="Q83" s="6">
        <v>4.9000000000000004</v>
      </c>
    </row>
    <row r="84" spans="1:17" customFormat="1">
      <c r="A84" s="72">
        <v>45309.791666666664</v>
      </c>
      <c r="B84" s="6">
        <v>12.12</v>
      </c>
      <c r="C84" s="6">
        <v>32.31</v>
      </c>
      <c r="D84" s="6">
        <v>27.95</v>
      </c>
      <c r="E84" s="6">
        <v>7.93</v>
      </c>
      <c r="F84" s="6">
        <v>3.16</v>
      </c>
      <c r="G84" s="6">
        <v>95</v>
      </c>
      <c r="H84" s="6">
        <v>43.06</v>
      </c>
      <c r="I84" s="6">
        <v>9.2899999999999991</v>
      </c>
      <c r="J84" s="6">
        <v>1.06</v>
      </c>
      <c r="K84" s="6">
        <v>55.68</v>
      </c>
      <c r="L84" s="6">
        <v>21.61</v>
      </c>
      <c r="M84" s="6">
        <v>79.83</v>
      </c>
      <c r="N84" s="6">
        <v>0</v>
      </c>
      <c r="O84" s="6">
        <v>0</v>
      </c>
      <c r="P84" s="6">
        <v>1.07</v>
      </c>
      <c r="Q84" s="6">
        <v>4.8899999999999997</v>
      </c>
    </row>
    <row r="85" spans="1:17" customFormat="1">
      <c r="A85" s="72">
        <v>45309.802083333336</v>
      </c>
      <c r="B85" s="6">
        <v>12.59</v>
      </c>
      <c r="C85" s="6">
        <v>32.79</v>
      </c>
      <c r="D85" s="6">
        <v>28.58</v>
      </c>
      <c r="E85" s="6">
        <v>7.72</v>
      </c>
      <c r="F85" s="6">
        <v>3.17</v>
      </c>
      <c r="G85" s="6">
        <v>95</v>
      </c>
      <c r="H85" s="6">
        <v>43.06</v>
      </c>
      <c r="I85" s="6">
        <v>9.3699999999999992</v>
      </c>
      <c r="J85" s="6">
        <v>0.9</v>
      </c>
      <c r="K85" s="6">
        <v>61.59</v>
      </c>
      <c r="L85" s="6">
        <v>21.44</v>
      </c>
      <c r="M85" s="6">
        <v>80.84</v>
      </c>
      <c r="N85" s="6">
        <v>0</v>
      </c>
      <c r="O85" s="6">
        <v>0</v>
      </c>
      <c r="P85" s="6">
        <v>1.08</v>
      </c>
      <c r="Q85" s="6">
        <v>4.87</v>
      </c>
    </row>
    <row r="86" spans="1:17" customFormat="1">
      <c r="A86" s="72">
        <v>45309.8125</v>
      </c>
      <c r="B86" s="6">
        <v>13.1</v>
      </c>
      <c r="C86" s="6">
        <v>32.64</v>
      </c>
      <c r="D86" s="6">
        <v>28.91</v>
      </c>
      <c r="E86" s="6">
        <v>7.64</v>
      </c>
      <c r="F86" s="6">
        <v>3.33</v>
      </c>
      <c r="G86" s="6">
        <v>100.02</v>
      </c>
      <c r="H86" s="6">
        <v>44.41</v>
      </c>
      <c r="I86" s="6">
        <v>9.4600000000000009</v>
      </c>
      <c r="J86" s="6">
        <v>0.71</v>
      </c>
      <c r="K86" s="6">
        <v>63.19</v>
      </c>
      <c r="L86" s="6">
        <v>21.32</v>
      </c>
      <c r="M86" s="6">
        <v>81.680000000000007</v>
      </c>
      <c r="N86" s="6">
        <v>0</v>
      </c>
      <c r="O86" s="6">
        <v>0</v>
      </c>
      <c r="P86" s="6">
        <v>1.08</v>
      </c>
      <c r="Q86" s="6">
        <v>4.8600000000000003</v>
      </c>
    </row>
    <row r="87" spans="1:17" customFormat="1">
      <c r="A87" s="72">
        <v>45309.822916666664</v>
      </c>
      <c r="B87" s="6">
        <v>13.71</v>
      </c>
      <c r="C87" s="6">
        <v>28.9</v>
      </c>
      <c r="D87" s="6">
        <v>27.44</v>
      </c>
      <c r="E87" s="6">
        <v>7.44</v>
      </c>
      <c r="F87" s="6">
        <v>3.57</v>
      </c>
      <c r="G87" s="6">
        <v>100.65</v>
      </c>
      <c r="H87" s="6">
        <v>44.41</v>
      </c>
      <c r="I87" s="6">
        <v>9.5</v>
      </c>
      <c r="J87" s="6">
        <v>0.38</v>
      </c>
      <c r="K87" s="6">
        <v>78.680000000000007</v>
      </c>
      <c r="L87" s="6">
        <v>21.28</v>
      </c>
      <c r="M87" s="6">
        <v>82.09</v>
      </c>
      <c r="N87" s="6">
        <v>0</v>
      </c>
      <c r="O87" s="6">
        <v>0</v>
      </c>
      <c r="P87" s="6">
        <v>1.07</v>
      </c>
      <c r="Q87" s="6">
        <v>4.88</v>
      </c>
    </row>
    <row r="88" spans="1:17" customFormat="1">
      <c r="A88" s="72">
        <v>45309.833333333336</v>
      </c>
      <c r="B88" s="6">
        <v>13.96</v>
      </c>
      <c r="C88" s="6">
        <v>26.38</v>
      </c>
      <c r="D88" s="6">
        <v>26.33</v>
      </c>
      <c r="E88" s="6">
        <v>7.46</v>
      </c>
      <c r="F88" s="6">
        <v>3.63</v>
      </c>
      <c r="G88" s="6">
        <v>100.65</v>
      </c>
      <c r="H88" s="6">
        <v>44.41</v>
      </c>
      <c r="I88" s="6">
        <v>9.4700000000000006</v>
      </c>
      <c r="J88" s="6">
        <v>0.66</v>
      </c>
      <c r="K88" s="6">
        <v>69.72</v>
      </c>
      <c r="L88" s="6">
        <v>21.14</v>
      </c>
      <c r="M88" s="6">
        <v>83.02</v>
      </c>
      <c r="N88" s="6">
        <v>0</v>
      </c>
      <c r="O88" s="6">
        <v>0</v>
      </c>
      <c r="P88" s="6">
        <v>1.06</v>
      </c>
      <c r="Q88" s="6">
        <v>4.87</v>
      </c>
    </row>
    <row r="89" spans="1:17" customFormat="1">
      <c r="A89" s="72">
        <v>45309.84375</v>
      </c>
      <c r="B89" s="6">
        <v>14.38</v>
      </c>
      <c r="C89" s="6">
        <v>24.71</v>
      </c>
      <c r="D89" s="6">
        <v>25.79</v>
      </c>
      <c r="E89" s="6">
        <v>7.1</v>
      </c>
      <c r="F89" s="6">
        <v>3.59</v>
      </c>
      <c r="G89" s="6">
        <v>100.65</v>
      </c>
      <c r="H89" s="6">
        <v>44.41</v>
      </c>
      <c r="I89" s="6">
        <v>9.43</v>
      </c>
      <c r="J89" s="6">
        <v>0.31</v>
      </c>
      <c r="K89" s="6">
        <v>83.92</v>
      </c>
      <c r="L89" s="6">
        <v>20.93</v>
      </c>
      <c r="M89" s="6">
        <v>83.98</v>
      </c>
      <c r="N89" s="6">
        <v>0</v>
      </c>
      <c r="O89" s="6">
        <v>0</v>
      </c>
      <c r="P89" s="6">
        <v>1.06</v>
      </c>
      <c r="Q89" s="6">
        <v>4.88</v>
      </c>
    </row>
    <row r="90" spans="1:17" customFormat="1">
      <c r="A90" s="72">
        <v>45309.854166666664</v>
      </c>
      <c r="B90" s="6">
        <v>14.55</v>
      </c>
      <c r="C90" s="6">
        <v>24.53</v>
      </c>
      <c r="D90" s="6">
        <v>25.83</v>
      </c>
      <c r="E90" s="6">
        <v>7.86</v>
      </c>
      <c r="F90" s="6">
        <v>3.53</v>
      </c>
      <c r="G90" s="6">
        <v>95.33</v>
      </c>
      <c r="H90" s="6">
        <v>43.99</v>
      </c>
      <c r="I90" s="6">
        <v>9.41</v>
      </c>
      <c r="J90" s="6">
        <v>0.77</v>
      </c>
      <c r="K90" s="6">
        <v>69.83</v>
      </c>
      <c r="L90" s="6">
        <v>20.76</v>
      </c>
      <c r="M90" s="6">
        <v>83.88</v>
      </c>
      <c r="N90" s="6">
        <v>0</v>
      </c>
      <c r="O90" s="6">
        <v>0</v>
      </c>
      <c r="P90" s="6">
        <v>1.06</v>
      </c>
      <c r="Q90" s="6">
        <v>4.88</v>
      </c>
    </row>
    <row r="91" spans="1:17" customFormat="1">
      <c r="A91" s="72">
        <v>45309.864583333336</v>
      </c>
      <c r="B91" s="6">
        <v>14.74</v>
      </c>
      <c r="C91" s="6">
        <v>25.7</v>
      </c>
      <c r="D91" s="6">
        <v>26.6</v>
      </c>
      <c r="E91" s="6">
        <v>7.15</v>
      </c>
      <c r="F91" s="6">
        <v>3.41</v>
      </c>
      <c r="G91" s="6">
        <v>94.66</v>
      </c>
      <c r="H91" s="6">
        <v>43.99</v>
      </c>
      <c r="I91" s="6">
        <v>9.44</v>
      </c>
      <c r="J91" s="6">
        <v>0.5</v>
      </c>
      <c r="K91" s="6">
        <v>76.81</v>
      </c>
      <c r="L91" s="6">
        <v>20.55</v>
      </c>
      <c r="M91" s="6">
        <v>84.74</v>
      </c>
      <c r="N91" s="6">
        <v>0</v>
      </c>
      <c r="O91" s="6">
        <v>0</v>
      </c>
      <c r="P91" s="6">
        <v>1.06</v>
      </c>
      <c r="Q91" s="6">
        <v>4.9000000000000004</v>
      </c>
    </row>
    <row r="92" spans="1:17" customFormat="1">
      <c r="A92" s="72">
        <v>45309.875</v>
      </c>
      <c r="B92" s="6">
        <v>14.73</v>
      </c>
      <c r="C92" s="6">
        <v>26.39</v>
      </c>
      <c r="D92" s="6">
        <v>26.95</v>
      </c>
      <c r="E92" s="6">
        <v>7.38</v>
      </c>
      <c r="F92" s="6">
        <v>3.28</v>
      </c>
      <c r="G92" s="6">
        <v>94.66</v>
      </c>
      <c r="H92" s="6">
        <v>43.99</v>
      </c>
      <c r="I92" s="6">
        <v>9.44</v>
      </c>
      <c r="J92" s="6">
        <v>0.4</v>
      </c>
      <c r="K92" s="6">
        <v>73.72</v>
      </c>
      <c r="L92" s="6">
        <v>20.399999999999999</v>
      </c>
      <c r="M92" s="6">
        <v>85.24</v>
      </c>
      <c r="N92" s="6">
        <v>0</v>
      </c>
      <c r="O92" s="6">
        <v>0</v>
      </c>
      <c r="P92" s="6">
        <v>1.06</v>
      </c>
      <c r="Q92" s="6">
        <v>4.9000000000000004</v>
      </c>
    </row>
    <row r="93" spans="1:17" customFormat="1">
      <c r="A93" s="72">
        <v>45309.885416666664</v>
      </c>
      <c r="B93" s="6">
        <v>14.75</v>
      </c>
      <c r="C93" s="6">
        <v>24.7</v>
      </c>
      <c r="D93" s="6">
        <v>26.08</v>
      </c>
      <c r="E93" s="6">
        <v>7.04</v>
      </c>
      <c r="F93" s="6">
        <v>3.48</v>
      </c>
      <c r="G93" s="6">
        <v>94.66</v>
      </c>
      <c r="H93" s="6">
        <v>43.99</v>
      </c>
      <c r="I93" s="6">
        <v>9.51</v>
      </c>
      <c r="J93" s="6">
        <v>0.35</v>
      </c>
      <c r="K93" s="6">
        <v>85</v>
      </c>
      <c r="L93" s="6">
        <v>20.25</v>
      </c>
      <c r="M93" s="6">
        <v>85.68</v>
      </c>
      <c r="N93" s="6">
        <v>0</v>
      </c>
      <c r="O93" s="6">
        <v>0</v>
      </c>
      <c r="P93" s="6">
        <v>1.06</v>
      </c>
      <c r="Q93" s="6">
        <v>4.8899999999999997</v>
      </c>
    </row>
    <row r="94" spans="1:17" customFormat="1">
      <c r="A94" s="72">
        <v>45309.895833333336</v>
      </c>
      <c r="B94" s="6">
        <v>14.78</v>
      </c>
      <c r="C94" s="6">
        <v>22.7</v>
      </c>
      <c r="D94" s="6">
        <v>25.06</v>
      </c>
      <c r="E94" s="6">
        <v>7.11</v>
      </c>
      <c r="F94" s="6">
        <v>3.33</v>
      </c>
      <c r="G94" s="6">
        <v>92.92</v>
      </c>
      <c r="H94" s="6">
        <v>45.46</v>
      </c>
      <c r="I94" s="6">
        <v>9.58</v>
      </c>
      <c r="J94" s="6">
        <v>0.11</v>
      </c>
      <c r="K94" s="6">
        <v>104.99</v>
      </c>
      <c r="L94" s="6">
        <v>19.989999999999998</v>
      </c>
      <c r="M94" s="6">
        <v>86.98</v>
      </c>
      <c r="N94" s="6">
        <v>0</v>
      </c>
      <c r="O94" s="6">
        <v>0</v>
      </c>
      <c r="P94" s="6">
        <v>1.05</v>
      </c>
      <c r="Q94" s="6">
        <v>4.8899999999999997</v>
      </c>
    </row>
    <row r="95" spans="1:17" customFormat="1">
      <c r="A95" s="72">
        <v>45309.90625</v>
      </c>
      <c r="B95" s="6">
        <v>14.7</v>
      </c>
      <c r="C95" s="6">
        <v>22.56</v>
      </c>
      <c r="D95" s="6">
        <v>24.93</v>
      </c>
      <c r="E95" s="6">
        <v>7.4</v>
      </c>
      <c r="F95" s="6">
        <v>2.97</v>
      </c>
      <c r="G95" s="6">
        <v>92.7</v>
      </c>
      <c r="H95" s="6">
        <v>45.46</v>
      </c>
      <c r="I95" s="6">
        <v>9.58</v>
      </c>
      <c r="J95" s="6">
        <v>0.6</v>
      </c>
      <c r="K95" s="6">
        <v>63.2</v>
      </c>
      <c r="L95" s="6">
        <v>19.940000000000001</v>
      </c>
      <c r="M95" s="6">
        <v>86.37</v>
      </c>
      <c r="N95" s="6">
        <v>0</v>
      </c>
      <c r="O95" s="6">
        <v>0</v>
      </c>
      <c r="P95" s="6">
        <v>1.05</v>
      </c>
      <c r="Q95" s="6">
        <v>4.9000000000000004</v>
      </c>
    </row>
    <row r="96" spans="1:17" customFormat="1">
      <c r="A96" s="72">
        <v>45309.916666666664</v>
      </c>
      <c r="B96" s="6">
        <v>15.04</v>
      </c>
      <c r="C96" s="6">
        <v>24.25</v>
      </c>
      <c r="D96" s="6">
        <v>26.08</v>
      </c>
      <c r="E96" s="6">
        <v>7.13</v>
      </c>
      <c r="F96" s="6">
        <v>3.21</v>
      </c>
      <c r="G96" s="6">
        <v>92.7</v>
      </c>
      <c r="H96" s="6">
        <v>45.46</v>
      </c>
      <c r="I96" s="6">
        <v>9.57</v>
      </c>
      <c r="J96" s="6">
        <v>0.12</v>
      </c>
      <c r="K96" s="6">
        <v>158.66999999999999</v>
      </c>
      <c r="L96" s="6">
        <v>19.73</v>
      </c>
      <c r="M96" s="6">
        <v>87.33</v>
      </c>
      <c r="N96" s="6">
        <v>0</v>
      </c>
      <c r="O96" s="6">
        <v>0</v>
      </c>
      <c r="P96" s="6">
        <v>1.05</v>
      </c>
      <c r="Q96" s="6">
        <v>4.91</v>
      </c>
    </row>
    <row r="97" spans="1:22" customFormat="1">
      <c r="A97" s="72">
        <v>45309.927083333336</v>
      </c>
      <c r="B97" s="6">
        <v>14.97</v>
      </c>
      <c r="C97" s="6">
        <v>25.01</v>
      </c>
      <c r="D97" s="6">
        <v>26.42</v>
      </c>
      <c r="E97" s="6">
        <v>7.43</v>
      </c>
      <c r="F97" s="6">
        <v>3.2</v>
      </c>
      <c r="G97" s="6">
        <v>92.7</v>
      </c>
      <c r="H97" s="6">
        <v>45.46</v>
      </c>
      <c r="I97" s="6">
        <v>9.5500000000000007</v>
      </c>
      <c r="J97" s="6">
        <v>0.11</v>
      </c>
      <c r="K97" s="6">
        <v>158.58000000000001</v>
      </c>
      <c r="L97" s="6">
        <v>19.48</v>
      </c>
      <c r="M97" s="6">
        <v>88.75</v>
      </c>
      <c r="N97" s="6">
        <v>0</v>
      </c>
      <c r="O97" s="6">
        <v>0</v>
      </c>
      <c r="P97" s="6">
        <v>1.05</v>
      </c>
      <c r="Q97" s="6">
        <v>4.91</v>
      </c>
    </row>
    <row r="98" spans="1:22" customFormat="1">
      <c r="A98" s="72">
        <v>45309.9375</v>
      </c>
      <c r="B98" s="6">
        <v>14.78</v>
      </c>
      <c r="C98" s="6">
        <v>25.28</v>
      </c>
      <c r="D98" s="6">
        <v>26.41</v>
      </c>
      <c r="E98" s="6">
        <v>7.18</v>
      </c>
      <c r="F98" s="6">
        <v>3.14</v>
      </c>
      <c r="G98" s="6">
        <v>84.88</v>
      </c>
      <c r="H98" s="6">
        <v>46.67</v>
      </c>
      <c r="I98" s="6">
        <v>9.5399999999999991</v>
      </c>
      <c r="J98" s="6">
        <v>0.1</v>
      </c>
      <c r="K98" s="6">
        <v>167.6</v>
      </c>
      <c r="L98" s="6">
        <v>19.329999999999998</v>
      </c>
      <c r="M98" s="6">
        <v>88.27</v>
      </c>
      <c r="N98" s="6">
        <v>0</v>
      </c>
      <c r="O98" s="6">
        <v>0</v>
      </c>
      <c r="P98" s="6">
        <v>1.05</v>
      </c>
      <c r="Q98" s="6">
        <v>4.91</v>
      </c>
    </row>
    <row r="99" spans="1:22" customFormat="1">
      <c r="A99" s="72">
        <v>45309.947916666664</v>
      </c>
      <c r="B99" s="6">
        <v>14.61</v>
      </c>
      <c r="C99" s="6">
        <v>23.84</v>
      </c>
      <c r="D99" s="6">
        <v>25.52</v>
      </c>
      <c r="E99" s="6">
        <v>7.5</v>
      </c>
      <c r="F99" s="6">
        <v>3.48</v>
      </c>
      <c r="G99" s="6">
        <v>83.9</v>
      </c>
      <c r="H99" s="6">
        <v>46.67</v>
      </c>
      <c r="I99" s="6">
        <v>9.51</v>
      </c>
      <c r="J99" s="6">
        <v>0.09</v>
      </c>
      <c r="K99" s="6">
        <v>170.36</v>
      </c>
      <c r="L99" s="6">
        <v>19.2</v>
      </c>
      <c r="M99" s="6">
        <v>88.54</v>
      </c>
      <c r="N99" s="6">
        <v>0</v>
      </c>
      <c r="O99" s="6">
        <v>0</v>
      </c>
      <c r="P99" s="6">
        <v>1.03</v>
      </c>
      <c r="Q99" s="6">
        <v>4.92</v>
      </c>
    </row>
    <row r="100" spans="1:22" customFormat="1">
      <c r="A100" s="72">
        <v>45309.958333333336</v>
      </c>
      <c r="B100" s="6">
        <v>14.28</v>
      </c>
      <c r="C100" s="6">
        <v>21.95</v>
      </c>
      <c r="D100" s="6">
        <v>24.27</v>
      </c>
      <c r="E100" s="6">
        <v>7.03</v>
      </c>
      <c r="F100" s="6">
        <v>3.54</v>
      </c>
      <c r="G100" s="6">
        <v>83.9</v>
      </c>
      <c r="H100" s="6">
        <v>46.67</v>
      </c>
      <c r="I100" s="6">
        <v>9.4600000000000009</v>
      </c>
      <c r="J100" s="6">
        <v>0.16</v>
      </c>
      <c r="K100" s="6">
        <v>183.78</v>
      </c>
      <c r="L100" s="6">
        <v>19.13</v>
      </c>
      <c r="M100" s="6">
        <v>89.16</v>
      </c>
      <c r="N100" s="6">
        <v>0</v>
      </c>
      <c r="O100" s="6">
        <v>0</v>
      </c>
      <c r="P100" s="6">
        <v>1.02</v>
      </c>
      <c r="Q100" s="6">
        <v>4.9400000000000004</v>
      </c>
    </row>
    <row r="101" spans="1:22" customFormat="1">
      <c r="A101" s="72">
        <v>45309.96875</v>
      </c>
      <c r="B101" s="6">
        <v>13.94</v>
      </c>
      <c r="C101" s="6">
        <v>21.43</v>
      </c>
      <c r="D101" s="6">
        <v>23.73</v>
      </c>
      <c r="E101" s="6">
        <v>7.36</v>
      </c>
      <c r="F101" s="6">
        <v>3.35</v>
      </c>
      <c r="G101" s="6">
        <v>83.9</v>
      </c>
      <c r="H101" s="6">
        <v>46.67</v>
      </c>
      <c r="I101" s="6">
        <v>9.39</v>
      </c>
      <c r="J101" s="6">
        <v>0.14000000000000001</v>
      </c>
      <c r="K101" s="6">
        <v>220.72</v>
      </c>
      <c r="L101" s="6">
        <v>18.829999999999998</v>
      </c>
      <c r="M101" s="6">
        <v>91.33</v>
      </c>
      <c r="N101" s="6">
        <v>0</v>
      </c>
      <c r="O101" s="6">
        <v>0</v>
      </c>
      <c r="P101" s="6">
        <v>1.01</v>
      </c>
      <c r="Q101" s="6">
        <v>4.96</v>
      </c>
    </row>
    <row r="102" spans="1:22" customFormat="1">
      <c r="A102" s="72">
        <v>45309.979166666664</v>
      </c>
      <c r="B102" s="6">
        <v>13.77</v>
      </c>
      <c r="C102" s="6">
        <v>22.44</v>
      </c>
      <c r="D102" s="6">
        <v>24.12</v>
      </c>
      <c r="E102" s="6">
        <v>6.87</v>
      </c>
      <c r="F102" s="6">
        <v>3.23</v>
      </c>
      <c r="G102" s="6">
        <v>86.34</v>
      </c>
      <c r="H102" s="6">
        <v>42.6</v>
      </c>
      <c r="I102" s="6">
        <v>9.32</v>
      </c>
      <c r="J102" s="6">
        <v>0.04</v>
      </c>
      <c r="K102" s="6">
        <v>284.93</v>
      </c>
      <c r="L102" s="6">
        <v>18.71</v>
      </c>
      <c r="M102" s="6">
        <v>91.58</v>
      </c>
      <c r="N102" s="6">
        <v>0</v>
      </c>
      <c r="O102" s="6">
        <v>0</v>
      </c>
      <c r="P102" s="6">
        <v>1.03</v>
      </c>
      <c r="Q102" s="6">
        <v>4.96</v>
      </c>
    </row>
    <row r="103" spans="1:22" customFormat="1">
      <c r="A103" s="72">
        <v>45309.989583333336</v>
      </c>
      <c r="B103" s="6">
        <v>14.65</v>
      </c>
      <c r="C103" s="6">
        <v>23.39</v>
      </c>
      <c r="D103" s="6">
        <v>25.32</v>
      </c>
      <c r="E103" s="6">
        <v>7.67</v>
      </c>
      <c r="F103" s="6">
        <v>3.17</v>
      </c>
      <c r="G103" s="6">
        <v>86.61</v>
      </c>
      <c r="H103" s="6">
        <v>42.6</v>
      </c>
      <c r="I103" s="6">
        <v>9.2799999999999994</v>
      </c>
      <c r="J103" s="6">
        <v>0.11</v>
      </c>
      <c r="K103" s="6">
        <v>132.1</v>
      </c>
      <c r="L103" s="6">
        <v>18.91</v>
      </c>
      <c r="M103" s="6">
        <v>89.8</v>
      </c>
      <c r="N103" s="6">
        <v>0</v>
      </c>
      <c r="O103" s="6">
        <v>0</v>
      </c>
      <c r="P103" s="6">
        <v>1.03</v>
      </c>
      <c r="Q103" s="6">
        <v>4.9800000000000004</v>
      </c>
    </row>
    <row r="104" spans="1:22" customFormat="1">
      <c r="A104" s="72">
        <v>45310</v>
      </c>
      <c r="B104" s="6">
        <v>16.18</v>
      </c>
      <c r="C104" s="6">
        <v>24.16</v>
      </c>
      <c r="D104" s="6">
        <v>26.95</v>
      </c>
      <c r="E104" s="6">
        <v>7.41</v>
      </c>
      <c r="F104" s="6">
        <v>3.18</v>
      </c>
      <c r="G104" s="6">
        <v>86.61</v>
      </c>
      <c r="H104" s="6">
        <v>42.6</v>
      </c>
      <c r="I104" s="6">
        <v>9.27</v>
      </c>
      <c r="J104" s="6">
        <v>0.12</v>
      </c>
      <c r="K104" s="6">
        <v>147.75</v>
      </c>
      <c r="L104" s="6">
        <v>18.96</v>
      </c>
      <c r="M104" s="6">
        <v>89.03</v>
      </c>
      <c r="N104" s="6">
        <v>0</v>
      </c>
      <c r="O104" s="6">
        <v>0</v>
      </c>
      <c r="P104" s="6">
        <v>1.03</v>
      </c>
      <c r="Q104" s="6">
        <v>5.03</v>
      </c>
    </row>
    <row r="106" spans="1:22">
      <c r="A106" s="156" t="s">
        <v>48</v>
      </c>
      <c r="B106" s="157">
        <f>MIN(B9:B104)</f>
        <v>9.93</v>
      </c>
      <c r="C106" s="157">
        <f>MIN(C9:C104)</f>
        <v>20.62</v>
      </c>
      <c r="D106" s="157">
        <f t="shared" ref="D106:Q106" si="0">MIN(D9:D104)</f>
        <v>23.73</v>
      </c>
      <c r="E106" s="157">
        <f t="shared" si="0"/>
        <v>6</v>
      </c>
      <c r="F106" s="157">
        <f t="shared" si="0"/>
        <v>2.97</v>
      </c>
      <c r="G106" s="157">
        <f t="shared" si="0"/>
        <v>66.86</v>
      </c>
      <c r="H106" s="157">
        <f t="shared" si="0"/>
        <v>41.77</v>
      </c>
      <c r="I106" s="157">
        <f t="shared" si="0"/>
        <v>9.25</v>
      </c>
      <c r="J106" s="157">
        <f t="shared" si="0"/>
        <v>0.04</v>
      </c>
      <c r="K106" s="157">
        <f t="shared" si="0"/>
        <v>8.44</v>
      </c>
      <c r="L106" s="157">
        <f t="shared" si="0"/>
        <v>18.11</v>
      </c>
      <c r="M106" s="157">
        <f t="shared" si="0"/>
        <v>61.72</v>
      </c>
      <c r="N106" s="157">
        <f t="shared" si="0"/>
        <v>0</v>
      </c>
      <c r="O106" s="157">
        <f t="shared" si="0"/>
        <v>0</v>
      </c>
      <c r="P106" s="157">
        <f t="shared" si="0"/>
        <v>0.99</v>
      </c>
      <c r="Q106" s="157">
        <f t="shared" si="0"/>
        <v>4.8499999999999996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25.64</v>
      </c>
      <c r="C107" s="156">
        <f t="shared" ref="C107:Q107" si="1">MAX(C9:C104)</f>
        <v>32.79</v>
      </c>
      <c r="D107" s="156">
        <f t="shared" si="1"/>
        <v>37.22</v>
      </c>
      <c r="E107" s="156">
        <f t="shared" si="1"/>
        <v>9.92</v>
      </c>
      <c r="F107" s="156">
        <f t="shared" si="1"/>
        <v>4.13</v>
      </c>
      <c r="G107" s="156">
        <f t="shared" si="1"/>
        <v>111.38</v>
      </c>
      <c r="H107" s="156">
        <f t="shared" si="1"/>
        <v>49.28</v>
      </c>
      <c r="I107" s="156">
        <f t="shared" si="1"/>
        <v>12.06</v>
      </c>
      <c r="J107" s="156">
        <f t="shared" si="1"/>
        <v>1.36</v>
      </c>
      <c r="K107" s="156">
        <f t="shared" si="1"/>
        <v>338.43</v>
      </c>
      <c r="L107" s="156">
        <f t="shared" si="1"/>
        <v>25.27</v>
      </c>
      <c r="M107" s="156">
        <f t="shared" si="1"/>
        <v>91.96</v>
      </c>
      <c r="N107" s="156">
        <f t="shared" si="1"/>
        <v>224.2</v>
      </c>
      <c r="O107" s="156">
        <f t="shared" si="1"/>
        <v>0</v>
      </c>
      <c r="P107" s="156">
        <f t="shared" si="1"/>
        <v>1.1399999999999999</v>
      </c>
      <c r="Q107" s="156">
        <f t="shared" si="1"/>
        <v>5.0599999999999996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16.927291666666658</v>
      </c>
      <c r="C108" s="157">
        <f t="shared" ref="C108:Q108" si="2">AVERAGE(C9:C104)</f>
        <v>25.915312499999999</v>
      </c>
      <c r="D108" s="157">
        <f t="shared" si="2"/>
        <v>28.465624999999999</v>
      </c>
      <c r="E108" s="157">
        <f t="shared" si="2"/>
        <v>7.8224999999999989</v>
      </c>
      <c r="F108" s="157">
        <f t="shared" si="2"/>
        <v>3.4470833333333331</v>
      </c>
      <c r="G108" s="157">
        <f t="shared" si="2"/>
        <v>91.880729166666626</v>
      </c>
      <c r="H108" s="157">
        <f t="shared" si="2"/>
        <v>45.069583333333306</v>
      </c>
      <c r="I108" s="157">
        <f t="shared" si="2"/>
        <v>10.595104166666667</v>
      </c>
      <c r="J108" s="157">
        <f t="shared" si="2"/>
        <v>0.52895833333333342</v>
      </c>
      <c r="K108" s="157">
        <f t="shared" si="2"/>
        <v>119.47645833333333</v>
      </c>
      <c r="L108" s="157">
        <f t="shared" si="2"/>
        <v>21.319062500000005</v>
      </c>
      <c r="M108" s="157">
        <f t="shared" si="2"/>
        <v>80.283854166666686</v>
      </c>
      <c r="N108" s="157">
        <f t="shared" si="2"/>
        <v>40.727083333333333</v>
      </c>
      <c r="O108" s="157">
        <f t="shared" si="2"/>
        <v>0</v>
      </c>
      <c r="P108" s="157">
        <f t="shared" si="2"/>
        <v>1.0608333333333335</v>
      </c>
      <c r="Q108" s="157">
        <f t="shared" si="2"/>
        <v>4.9559374999999992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4.0135933445091148</v>
      </c>
      <c r="C109" s="157">
        <f t="shared" ref="C109:Q109" si="3">STDEV(C9:C104)</f>
        <v>3.2663737991926647</v>
      </c>
      <c r="D109" s="157">
        <f t="shared" si="3"/>
        <v>3.4817460267424392</v>
      </c>
      <c r="E109" s="157">
        <f t="shared" si="3"/>
        <v>0.95509823137673111</v>
      </c>
      <c r="F109" s="157">
        <f t="shared" si="3"/>
        <v>0.25170122918239746</v>
      </c>
      <c r="G109" s="157">
        <f t="shared" si="3"/>
        <v>11.249267320683542</v>
      </c>
      <c r="H109" s="157">
        <f t="shared" si="3"/>
        <v>2.2242954729255722</v>
      </c>
      <c r="I109" s="157">
        <f t="shared" si="3"/>
        <v>0.92173063172281555</v>
      </c>
      <c r="J109" s="157">
        <f t="shared" si="3"/>
        <v>0.36935357234431704</v>
      </c>
      <c r="K109" s="157">
        <f t="shared" si="3"/>
        <v>91.403936031559397</v>
      </c>
      <c r="L109" s="157">
        <f t="shared" si="3"/>
        <v>2.5714620367757135</v>
      </c>
      <c r="M109" s="157">
        <f t="shared" si="3"/>
        <v>10.404172580955056</v>
      </c>
      <c r="N109" s="157">
        <f t="shared" si="3"/>
        <v>59.545281273412634</v>
      </c>
      <c r="O109" s="157">
        <f t="shared" si="3"/>
        <v>0</v>
      </c>
      <c r="P109" s="157">
        <f t="shared" si="3"/>
        <v>3.2659863237109066E-2</v>
      </c>
      <c r="Q109" s="157">
        <f t="shared" si="3"/>
        <v>5.9852065435054939E-2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45310.010416666664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45310.010416666664</v>
      </c>
      <c r="B9" s="6">
        <v>16.86</v>
      </c>
      <c r="C9" s="6">
        <v>25.07</v>
      </c>
      <c r="D9" s="6">
        <v>27.97</v>
      </c>
      <c r="E9" s="6">
        <v>7.39</v>
      </c>
      <c r="F9" s="6">
        <v>3.12</v>
      </c>
      <c r="G9" s="6">
        <v>86.61</v>
      </c>
      <c r="H9" s="6">
        <v>42.6</v>
      </c>
      <c r="I9" s="6">
        <v>9.33</v>
      </c>
      <c r="J9" s="6">
        <v>0.06</v>
      </c>
      <c r="K9" s="6">
        <v>168.23</v>
      </c>
      <c r="L9" s="6">
        <v>18.84</v>
      </c>
      <c r="M9" s="6">
        <v>90.68</v>
      </c>
      <c r="N9" s="6">
        <v>0</v>
      </c>
      <c r="O9" s="6">
        <v>0</v>
      </c>
      <c r="P9" s="6">
        <v>1.03</v>
      </c>
      <c r="Q9" s="6">
        <v>5.0599999999999996</v>
      </c>
    </row>
    <row r="10" spans="1:21" customFormat="1">
      <c r="A10" s="72">
        <v>45310.020833333336</v>
      </c>
      <c r="B10" s="6">
        <v>16.86</v>
      </c>
      <c r="C10" s="6">
        <v>25.44</v>
      </c>
      <c r="D10" s="6">
        <v>28.17</v>
      </c>
      <c r="E10" s="6">
        <v>7.41</v>
      </c>
      <c r="F10" s="6">
        <v>3.35</v>
      </c>
      <c r="G10" s="6">
        <v>92.59</v>
      </c>
      <c r="H10" s="6">
        <v>41.73</v>
      </c>
      <c r="I10" s="6">
        <v>9.33</v>
      </c>
      <c r="J10" s="6">
        <v>0.27</v>
      </c>
      <c r="K10" s="6">
        <v>78.12</v>
      </c>
      <c r="L10" s="6">
        <v>19.239999999999998</v>
      </c>
      <c r="M10" s="6">
        <v>86.52</v>
      </c>
      <c r="N10" s="6">
        <v>0</v>
      </c>
      <c r="O10" s="6">
        <v>0</v>
      </c>
      <c r="P10" s="6">
        <v>1.03</v>
      </c>
      <c r="Q10" s="6">
        <v>5.0599999999999996</v>
      </c>
    </row>
    <row r="11" spans="1:21" customFormat="1">
      <c r="A11" s="72">
        <v>45310.03125</v>
      </c>
      <c r="B11" s="6">
        <v>17.34</v>
      </c>
      <c r="C11" s="6">
        <v>26.18</v>
      </c>
      <c r="D11" s="6">
        <v>28.93</v>
      </c>
      <c r="E11" s="6">
        <v>7.35</v>
      </c>
      <c r="F11" s="6">
        <v>3.27</v>
      </c>
      <c r="G11" s="6">
        <v>93.34</v>
      </c>
      <c r="H11" s="6">
        <v>41.73</v>
      </c>
      <c r="I11" s="6">
        <v>9.2899999999999991</v>
      </c>
      <c r="J11" s="6">
        <v>0.42</v>
      </c>
      <c r="K11" s="6">
        <v>51.11</v>
      </c>
      <c r="L11" s="6">
        <v>19.3</v>
      </c>
      <c r="M11" s="6">
        <v>85.4</v>
      </c>
      <c r="N11" s="6">
        <v>0</v>
      </c>
      <c r="O11" s="6">
        <v>0</v>
      </c>
      <c r="P11" s="6">
        <v>1.03</v>
      </c>
      <c r="Q11" s="6">
        <v>5.05</v>
      </c>
    </row>
    <row r="12" spans="1:21" customFormat="1">
      <c r="A12" s="72">
        <v>45310.041666666664</v>
      </c>
      <c r="B12" s="6">
        <v>17.5</v>
      </c>
      <c r="C12" s="6">
        <v>26.61</v>
      </c>
      <c r="D12" s="6">
        <v>29.29</v>
      </c>
      <c r="E12" s="6">
        <v>7.29</v>
      </c>
      <c r="F12" s="6">
        <v>3.42</v>
      </c>
      <c r="G12" s="6">
        <v>93.34</v>
      </c>
      <c r="H12" s="6">
        <v>41.73</v>
      </c>
      <c r="I12" s="6">
        <v>9.25</v>
      </c>
      <c r="J12" s="6">
        <v>0.09</v>
      </c>
      <c r="K12" s="6">
        <v>130.16999999999999</v>
      </c>
      <c r="L12" s="6">
        <v>19.18</v>
      </c>
      <c r="M12" s="6">
        <v>86.98</v>
      </c>
      <c r="N12" s="6">
        <v>0</v>
      </c>
      <c r="O12" s="6">
        <v>0</v>
      </c>
      <c r="P12" s="6">
        <v>1.03</v>
      </c>
      <c r="Q12" s="6">
        <v>5.0599999999999996</v>
      </c>
    </row>
    <row r="13" spans="1:21" customFormat="1">
      <c r="A13" s="72">
        <v>45310.052083333336</v>
      </c>
      <c r="B13" s="6">
        <v>17.329999999999998</v>
      </c>
      <c r="C13" s="6">
        <v>27.26</v>
      </c>
      <c r="D13" s="6">
        <v>29.48</v>
      </c>
      <c r="E13" s="6">
        <v>8.34</v>
      </c>
      <c r="F13" s="6">
        <v>3.35</v>
      </c>
      <c r="G13" s="6">
        <v>93.34</v>
      </c>
      <c r="H13" s="6">
        <v>41.73</v>
      </c>
      <c r="I13" s="6">
        <v>9.2200000000000006</v>
      </c>
      <c r="J13" s="6">
        <v>0.18</v>
      </c>
      <c r="K13" s="6">
        <v>61.04</v>
      </c>
      <c r="L13" s="6">
        <v>19</v>
      </c>
      <c r="M13" s="6">
        <v>88.24</v>
      </c>
      <c r="N13" s="6">
        <v>0</v>
      </c>
      <c r="O13" s="6">
        <v>0</v>
      </c>
      <c r="P13" s="6">
        <v>1.02</v>
      </c>
      <c r="Q13" s="6">
        <v>5.04</v>
      </c>
    </row>
    <row r="14" spans="1:21" customFormat="1">
      <c r="A14" s="72">
        <v>45310.0625</v>
      </c>
      <c r="B14" s="6">
        <v>16.97</v>
      </c>
      <c r="C14" s="6">
        <v>27.26</v>
      </c>
      <c r="D14" s="6">
        <v>29.2</v>
      </c>
      <c r="E14" s="6">
        <v>8.06</v>
      </c>
      <c r="F14" s="6">
        <v>3.33</v>
      </c>
      <c r="G14" s="6">
        <v>90.99</v>
      </c>
      <c r="H14" s="6">
        <v>45.09</v>
      </c>
      <c r="I14" s="6">
        <v>9.2100000000000009</v>
      </c>
      <c r="J14" s="6">
        <v>0.18</v>
      </c>
      <c r="K14" s="6">
        <v>194.29</v>
      </c>
      <c r="L14" s="6">
        <v>18.899999999999999</v>
      </c>
      <c r="M14" s="6">
        <v>88.45</v>
      </c>
      <c r="N14" s="6">
        <v>0</v>
      </c>
      <c r="O14" s="6">
        <v>0</v>
      </c>
      <c r="P14" s="6">
        <v>1.01</v>
      </c>
      <c r="Q14" s="6">
        <v>5.07</v>
      </c>
    </row>
    <row r="15" spans="1:21" customFormat="1">
      <c r="A15" s="72">
        <v>45310.072916666664</v>
      </c>
      <c r="B15" s="6">
        <v>16.46</v>
      </c>
      <c r="C15" s="6">
        <v>27.25</v>
      </c>
      <c r="D15" s="6">
        <v>28.79</v>
      </c>
      <c r="E15" s="6">
        <v>8.19</v>
      </c>
      <c r="F15" s="6">
        <v>3.2</v>
      </c>
      <c r="G15" s="6">
        <v>90.7</v>
      </c>
      <c r="H15" s="6">
        <v>45.09</v>
      </c>
      <c r="I15" s="6">
        <v>9.1300000000000008</v>
      </c>
      <c r="J15" s="6">
        <v>0.12</v>
      </c>
      <c r="K15" s="6">
        <v>202.82</v>
      </c>
      <c r="L15" s="6">
        <v>18.43</v>
      </c>
      <c r="M15" s="6">
        <v>90.53</v>
      </c>
      <c r="N15" s="6">
        <v>0</v>
      </c>
      <c r="O15" s="6">
        <v>0</v>
      </c>
      <c r="P15" s="6">
        <v>1</v>
      </c>
      <c r="Q15" s="6">
        <v>5.05</v>
      </c>
    </row>
    <row r="16" spans="1:21" customFormat="1">
      <c r="A16" s="72">
        <v>45310.083333333336</v>
      </c>
      <c r="B16" s="6">
        <v>15.9</v>
      </c>
      <c r="C16" s="6">
        <v>27.01</v>
      </c>
      <c r="D16" s="6">
        <v>28.22</v>
      </c>
      <c r="E16" s="6">
        <v>7.62</v>
      </c>
      <c r="F16" s="6">
        <v>3.12</v>
      </c>
      <c r="G16" s="6">
        <v>90.7</v>
      </c>
      <c r="H16" s="6">
        <v>45.09</v>
      </c>
      <c r="I16" s="6">
        <v>9.06</v>
      </c>
      <c r="J16" s="6">
        <v>0.13</v>
      </c>
      <c r="K16" s="6">
        <v>59.67</v>
      </c>
      <c r="L16" s="6">
        <v>18.29</v>
      </c>
      <c r="M16" s="6">
        <v>91.41</v>
      </c>
      <c r="N16" s="6">
        <v>0</v>
      </c>
      <c r="O16" s="6">
        <v>0</v>
      </c>
      <c r="P16" s="6">
        <v>0.99</v>
      </c>
      <c r="Q16" s="6">
        <v>5</v>
      </c>
    </row>
    <row r="17" spans="1:17" customFormat="1">
      <c r="A17" s="72">
        <v>45310.09375</v>
      </c>
      <c r="B17" s="6">
        <v>16.079999999999998</v>
      </c>
      <c r="C17" s="6">
        <v>27.15</v>
      </c>
      <c r="D17" s="6">
        <v>28.43</v>
      </c>
      <c r="E17" s="6">
        <v>5.85</v>
      </c>
      <c r="F17" s="6">
        <v>3.24</v>
      </c>
      <c r="G17" s="6">
        <v>90.7</v>
      </c>
      <c r="H17" s="6">
        <v>45.09</v>
      </c>
      <c r="I17" s="6">
        <v>9.01</v>
      </c>
      <c r="J17" s="6">
        <v>0.22</v>
      </c>
      <c r="K17" s="6">
        <v>70.91</v>
      </c>
      <c r="L17" s="6">
        <v>18.260000000000002</v>
      </c>
      <c r="M17" s="6">
        <v>90.57</v>
      </c>
      <c r="N17" s="6">
        <v>0</v>
      </c>
      <c r="O17" s="6">
        <v>0</v>
      </c>
      <c r="P17" s="6">
        <v>0.98</v>
      </c>
      <c r="Q17" s="6">
        <v>4.99</v>
      </c>
    </row>
    <row r="18" spans="1:17" customFormat="1">
      <c r="A18" s="72">
        <v>45310.104166666664</v>
      </c>
      <c r="B18" s="6">
        <v>16.34</v>
      </c>
      <c r="C18" s="6">
        <v>27.72</v>
      </c>
      <c r="D18" s="6">
        <v>28.94</v>
      </c>
      <c r="E18" s="6">
        <v>6.47</v>
      </c>
      <c r="F18" s="6">
        <v>3.13</v>
      </c>
      <c r="G18" s="6">
        <v>84.54</v>
      </c>
      <c r="H18" s="6">
        <v>45.48</v>
      </c>
      <c r="I18" s="6">
        <v>8.94</v>
      </c>
      <c r="J18" s="6">
        <v>0.51</v>
      </c>
      <c r="K18" s="6">
        <v>55.32</v>
      </c>
      <c r="L18" s="6">
        <v>18.32</v>
      </c>
      <c r="M18" s="6">
        <v>89.43</v>
      </c>
      <c r="N18" s="6">
        <v>0</v>
      </c>
      <c r="O18" s="6">
        <v>0</v>
      </c>
      <c r="P18" s="6">
        <v>0.98</v>
      </c>
      <c r="Q18" s="6">
        <v>4.95</v>
      </c>
    </row>
    <row r="19" spans="1:17" customFormat="1">
      <c r="A19" s="72">
        <v>45310.114583333336</v>
      </c>
      <c r="B19" s="6">
        <v>16.43</v>
      </c>
      <c r="C19" s="6">
        <v>27.76</v>
      </c>
      <c r="D19" s="6">
        <v>29.03</v>
      </c>
      <c r="E19" s="6">
        <v>6.17</v>
      </c>
      <c r="F19" s="6">
        <v>3.25</v>
      </c>
      <c r="G19" s="6">
        <v>83.77</v>
      </c>
      <c r="H19" s="6">
        <v>45.48</v>
      </c>
      <c r="I19" s="6">
        <v>8.9</v>
      </c>
      <c r="J19" s="6">
        <v>0.18</v>
      </c>
      <c r="K19" s="6">
        <v>94.28</v>
      </c>
      <c r="L19" s="6">
        <v>18.260000000000002</v>
      </c>
      <c r="M19" s="6">
        <v>89.7</v>
      </c>
      <c r="N19" s="6">
        <v>0</v>
      </c>
      <c r="O19" s="6">
        <v>0</v>
      </c>
      <c r="P19" s="6">
        <v>0.97</v>
      </c>
      <c r="Q19" s="6">
        <v>4.96</v>
      </c>
    </row>
    <row r="20" spans="1:17" customFormat="1">
      <c r="A20" s="72">
        <v>45310.125</v>
      </c>
      <c r="B20" s="6">
        <v>16.05</v>
      </c>
      <c r="C20" s="6">
        <v>27.77</v>
      </c>
      <c r="D20" s="6">
        <v>28.73</v>
      </c>
      <c r="E20" s="6">
        <v>7.06</v>
      </c>
      <c r="F20" s="6">
        <v>3.36</v>
      </c>
      <c r="G20" s="6">
        <v>83.77</v>
      </c>
      <c r="H20" s="6">
        <v>45.48</v>
      </c>
      <c r="I20" s="6">
        <v>8.9</v>
      </c>
      <c r="J20" s="6">
        <v>0.2</v>
      </c>
      <c r="K20" s="6">
        <v>78.17</v>
      </c>
      <c r="L20" s="6">
        <v>18.11</v>
      </c>
      <c r="M20" s="6">
        <v>90.64</v>
      </c>
      <c r="N20" s="6">
        <v>0</v>
      </c>
      <c r="O20" s="6">
        <v>0</v>
      </c>
      <c r="P20" s="6">
        <v>0.96</v>
      </c>
      <c r="Q20" s="6">
        <v>4.9400000000000004</v>
      </c>
    </row>
    <row r="21" spans="1:17" customFormat="1">
      <c r="A21" s="72">
        <v>45310.135416666664</v>
      </c>
      <c r="B21" s="6">
        <v>15.67</v>
      </c>
      <c r="C21" s="6">
        <v>28.16</v>
      </c>
      <c r="D21" s="6">
        <v>28.63</v>
      </c>
      <c r="E21" s="6">
        <v>6.83</v>
      </c>
      <c r="F21" s="6">
        <v>3.3</v>
      </c>
      <c r="G21" s="6">
        <v>83.77</v>
      </c>
      <c r="H21" s="6">
        <v>45.48</v>
      </c>
      <c r="I21" s="6">
        <v>8.8800000000000008</v>
      </c>
      <c r="J21" s="6">
        <v>0.23</v>
      </c>
      <c r="K21" s="6">
        <v>145.29</v>
      </c>
      <c r="L21" s="6">
        <v>18.010000000000002</v>
      </c>
      <c r="M21" s="6">
        <v>91.44</v>
      </c>
      <c r="N21" s="6">
        <v>0</v>
      </c>
      <c r="O21" s="6">
        <v>0</v>
      </c>
      <c r="P21" s="6">
        <v>0.97</v>
      </c>
      <c r="Q21" s="6">
        <v>4.92</v>
      </c>
    </row>
    <row r="22" spans="1:17" customFormat="1">
      <c r="A22" s="72">
        <v>45310.145833333336</v>
      </c>
      <c r="B22" s="6">
        <v>15.26</v>
      </c>
      <c r="C22" s="6">
        <v>28.14</v>
      </c>
      <c r="D22" s="6">
        <v>28.29</v>
      </c>
      <c r="E22" s="6">
        <v>6.57</v>
      </c>
      <c r="F22" s="6">
        <v>3.17</v>
      </c>
      <c r="G22" s="6">
        <v>84.08</v>
      </c>
      <c r="H22" s="6">
        <v>44.6</v>
      </c>
      <c r="I22" s="6">
        <v>8.8699999999999992</v>
      </c>
      <c r="J22" s="6">
        <v>0.23</v>
      </c>
      <c r="K22" s="6">
        <v>156.04</v>
      </c>
      <c r="L22" s="6">
        <v>18.11</v>
      </c>
      <c r="M22" s="6">
        <v>90.21</v>
      </c>
      <c r="N22" s="6">
        <v>0</v>
      </c>
      <c r="O22" s="6">
        <v>0</v>
      </c>
      <c r="P22" s="6">
        <v>0.97</v>
      </c>
      <c r="Q22" s="6">
        <v>4.9400000000000004</v>
      </c>
    </row>
    <row r="23" spans="1:17" customFormat="1">
      <c r="A23" s="72">
        <v>45310.15625</v>
      </c>
      <c r="B23" s="6">
        <v>14.62</v>
      </c>
      <c r="C23" s="6">
        <v>27.52</v>
      </c>
      <c r="D23" s="6">
        <v>27.45</v>
      </c>
      <c r="E23" s="6">
        <v>6.61</v>
      </c>
      <c r="F23" s="6">
        <v>3.27</v>
      </c>
      <c r="G23" s="6">
        <v>84.12</v>
      </c>
      <c r="H23" s="6">
        <v>44.6</v>
      </c>
      <c r="I23" s="6">
        <v>8.86</v>
      </c>
      <c r="J23" s="6">
        <v>7.0000000000000007E-2</v>
      </c>
      <c r="K23" s="6">
        <v>226.9</v>
      </c>
      <c r="L23" s="6">
        <v>17.95</v>
      </c>
      <c r="M23" s="6">
        <v>91.23</v>
      </c>
      <c r="N23" s="6">
        <v>0</v>
      </c>
      <c r="O23" s="6">
        <v>0</v>
      </c>
      <c r="P23" s="6">
        <v>0.96</v>
      </c>
      <c r="Q23" s="6">
        <v>4.9400000000000004</v>
      </c>
    </row>
    <row r="24" spans="1:17" customFormat="1">
      <c r="A24" s="72">
        <v>45310.166666666664</v>
      </c>
      <c r="B24" s="6">
        <v>13.93</v>
      </c>
      <c r="C24" s="6">
        <v>27.77</v>
      </c>
      <c r="D24" s="6">
        <v>27.03</v>
      </c>
      <c r="E24" s="6">
        <v>6.59</v>
      </c>
      <c r="F24" s="6">
        <v>3.28</v>
      </c>
      <c r="G24" s="6">
        <v>84.12</v>
      </c>
      <c r="H24" s="6">
        <v>44.6</v>
      </c>
      <c r="I24" s="6">
        <v>8.84</v>
      </c>
      <c r="J24" s="6">
        <v>0.13</v>
      </c>
      <c r="K24" s="6">
        <v>73.52</v>
      </c>
      <c r="L24" s="6">
        <v>17.89</v>
      </c>
      <c r="M24" s="6">
        <v>92.11</v>
      </c>
      <c r="N24" s="6">
        <v>0</v>
      </c>
      <c r="O24" s="6">
        <v>0</v>
      </c>
      <c r="P24" s="6">
        <v>0.95</v>
      </c>
      <c r="Q24" s="6">
        <v>4.93</v>
      </c>
    </row>
    <row r="25" spans="1:17" customFormat="1">
      <c r="A25" s="72">
        <v>45310.177083333336</v>
      </c>
      <c r="B25" s="6">
        <v>13.65</v>
      </c>
      <c r="C25" s="6">
        <v>27.46</v>
      </c>
      <c r="D25" s="6">
        <v>26.65</v>
      </c>
      <c r="E25" s="6">
        <v>6.86</v>
      </c>
      <c r="F25" s="6">
        <v>3.23</v>
      </c>
      <c r="G25" s="6">
        <v>84.12</v>
      </c>
      <c r="H25" s="6">
        <v>44.6</v>
      </c>
      <c r="I25" s="6">
        <v>8.83</v>
      </c>
      <c r="J25" s="6">
        <v>0.32</v>
      </c>
      <c r="K25" s="6">
        <v>31.63</v>
      </c>
      <c r="L25" s="6">
        <v>17.829999999999998</v>
      </c>
      <c r="M25" s="6">
        <v>92.22</v>
      </c>
      <c r="N25" s="6">
        <v>0</v>
      </c>
      <c r="O25" s="6">
        <v>0</v>
      </c>
      <c r="P25" s="6">
        <v>0.94</v>
      </c>
      <c r="Q25" s="6">
        <v>4.91</v>
      </c>
    </row>
    <row r="26" spans="1:17" customFormat="1">
      <c r="A26" s="72">
        <v>45310.1875</v>
      </c>
      <c r="B26" s="6">
        <v>13.61</v>
      </c>
      <c r="C26" s="6">
        <v>27.57</v>
      </c>
      <c r="D26" s="6">
        <v>26.67</v>
      </c>
      <c r="E26" s="6">
        <v>6.81</v>
      </c>
      <c r="F26" s="6">
        <v>3.24</v>
      </c>
      <c r="G26" s="6">
        <v>84.36</v>
      </c>
      <c r="H26" s="6">
        <v>43.34</v>
      </c>
      <c r="I26" s="6">
        <v>8.85</v>
      </c>
      <c r="J26" s="6">
        <v>0.28999999999999998</v>
      </c>
      <c r="K26" s="6">
        <v>63.36</v>
      </c>
      <c r="L26" s="6">
        <v>17.68</v>
      </c>
      <c r="M26" s="6">
        <v>92.79</v>
      </c>
      <c r="N26" s="6">
        <v>0</v>
      </c>
      <c r="O26" s="6">
        <v>0</v>
      </c>
      <c r="P26" s="6">
        <v>0.94</v>
      </c>
      <c r="Q26" s="6">
        <v>4.8899999999999997</v>
      </c>
    </row>
    <row r="27" spans="1:17" customFormat="1">
      <c r="A27" s="72">
        <v>45310.197916666664</v>
      </c>
      <c r="B27" s="6">
        <v>13.46</v>
      </c>
      <c r="C27" s="6">
        <v>27.83</v>
      </c>
      <c r="D27" s="6">
        <v>26.69</v>
      </c>
      <c r="E27" s="6">
        <v>6.84</v>
      </c>
      <c r="F27" s="6">
        <v>3.17</v>
      </c>
      <c r="G27" s="6">
        <v>84.39</v>
      </c>
      <c r="H27" s="6">
        <v>43.34</v>
      </c>
      <c r="I27" s="6">
        <v>8.84</v>
      </c>
      <c r="J27" s="6">
        <v>0.2</v>
      </c>
      <c r="K27" s="6">
        <v>59.54</v>
      </c>
      <c r="L27" s="6">
        <v>17.510000000000002</v>
      </c>
      <c r="M27" s="6">
        <v>93.82</v>
      </c>
      <c r="N27" s="6">
        <v>0</v>
      </c>
      <c r="O27" s="6">
        <v>0</v>
      </c>
      <c r="P27" s="6">
        <v>0.94</v>
      </c>
      <c r="Q27" s="6">
        <v>4.8899999999999997</v>
      </c>
    </row>
    <row r="28" spans="1:17" customFormat="1">
      <c r="A28" s="72">
        <v>45310.208333333336</v>
      </c>
      <c r="B28" s="6">
        <v>13.41</v>
      </c>
      <c r="C28" s="6">
        <v>27.71</v>
      </c>
      <c r="D28" s="6">
        <v>26.59</v>
      </c>
      <c r="E28" s="6">
        <v>7.04</v>
      </c>
      <c r="F28" s="6">
        <v>3.22</v>
      </c>
      <c r="G28" s="6">
        <v>84.39</v>
      </c>
      <c r="H28" s="6">
        <v>43.34</v>
      </c>
      <c r="I28" s="6">
        <v>8.8699999999999992</v>
      </c>
      <c r="J28" s="6">
        <v>0.18</v>
      </c>
      <c r="K28" s="6">
        <v>89</v>
      </c>
      <c r="L28" s="6">
        <v>17.489999999999998</v>
      </c>
      <c r="M28" s="6">
        <v>93.57</v>
      </c>
      <c r="N28" s="6">
        <v>0</v>
      </c>
      <c r="O28" s="6">
        <v>0</v>
      </c>
      <c r="P28" s="6">
        <v>0.93</v>
      </c>
      <c r="Q28" s="6">
        <v>4.91</v>
      </c>
    </row>
    <row r="29" spans="1:17" customFormat="1">
      <c r="A29" s="72">
        <v>45310.21875</v>
      </c>
      <c r="B29" s="6">
        <v>13.57</v>
      </c>
      <c r="C29" s="6">
        <v>28.31</v>
      </c>
      <c r="D29" s="6">
        <v>27.02</v>
      </c>
      <c r="E29" s="6">
        <v>6.81</v>
      </c>
      <c r="F29" s="6">
        <v>3.21</v>
      </c>
      <c r="G29" s="6">
        <v>84.39</v>
      </c>
      <c r="H29" s="6">
        <v>43.34</v>
      </c>
      <c r="I29" s="6">
        <v>8.91</v>
      </c>
      <c r="J29" s="6">
        <v>0.45</v>
      </c>
      <c r="K29" s="6">
        <v>62.26</v>
      </c>
      <c r="L29" s="6">
        <v>17.510000000000002</v>
      </c>
      <c r="M29" s="6">
        <v>92.44</v>
      </c>
      <c r="N29" s="6">
        <v>0</v>
      </c>
      <c r="O29" s="6">
        <v>0</v>
      </c>
      <c r="P29" s="6">
        <v>0.93</v>
      </c>
      <c r="Q29" s="6">
        <v>4.87</v>
      </c>
    </row>
    <row r="30" spans="1:17" customFormat="1">
      <c r="A30" s="72">
        <v>45310.229166666664</v>
      </c>
      <c r="B30" s="6">
        <v>13.87</v>
      </c>
      <c r="C30" s="6">
        <v>26.43</v>
      </c>
      <c r="D30" s="6">
        <v>26.28</v>
      </c>
      <c r="E30" s="6">
        <v>6.28</v>
      </c>
      <c r="F30" s="6">
        <v>3.5</v>
      </c>
      <c r="G30" s="6">
        <v>79.25</v>
      </c>
      <c r="H30" s="6">
        <v>43.63</v>
      </c>
      <c r="I30" s="6">
        <v>8.9</v>
      </c>
      <c r="J30" s="6">
        <v>0.56999999999999995</v>
      </c>
      <c r="K30" s="6">
        <v>63.27</v>
      </c>
      <c r="L30" s="6">
        <v>17.5</v>
      </c>
      <c r="M30" s="6">
        <v>91.31</v>
      </c>
      <c r="N30" s="6">
        <v>0</v>
      </c>
      <c r="O30" s="6">
        <v>0</v>
      </c>
      <c r="P30" s="6">
        <v>0.93</v>
      </c>
      <c r="Q30" s="6">
        <v>4.8899999999999997</v>
      </c>
    </row>
    <row r="31" spans="1:17" customFormat="1">
      <c r="A31" s="72">
        <v>45310.239583333336</v>
      </c>
      <c r="B31" s="6">
        <v>14.19</v>
      </c>
      <c r="C31" s="6">
        <v>23.65</v>
      </c>
      <c r="D31" s="6">
        <v>25.09</v>
      </c>
      <c r="E31" s="6">
        <v>5.89</v>
      </c>
      <c r="F31" s="6">
        <v>3.62</v>
      </c>
      <c r="G31" s="6">
        <v>78.599999999999994</v>
      </c>
      <c r="H31" s="6">
        <v>43.63</v>
      </c>
      <c r="I31" s="6">
        <v>8.91</v>
      </c>
      <c r="J31" s="6">
        <v>0.5</v>
      </c>
      <c r="K31" s="6">
        <v>43.17</v>
      </c>
      <c r="L31" s="6">
        <v>17.579999999999998</v>
      </c>
      <c r="M31" s="6">
        <v>90.67</v>
      </c>
      <c r="N31" s="6">
        <v>0</v>
      </c>
      <c r="O31" s="6">
        <v>0</v>
      </c>
      <c r="P31" s="6">
        <v>0.91</v>
      </c>
      <c r="Q31" s="6">
        <v>4.88</v>
      </c>
    </row>
    <row r="32" spans="1:17" customFormat="1">
      <c r="A32" s="72">
        <v>45310.25</v>
      </c>
      <c r="B32" s="6">
        <v>14.56</v>
      </c>
      <c r="C32" s="6">
        <v>24.05</v>
      </c>
      <c r="D32" s="6">
        <v>25.6</v>
      </c>
      <c r="E32" s="6">
        <v>6.61</v>
      </c>
      <c r="F32" s="6">
        <v>3.48</v>
      </c>
      <c r="G32" s="6">
        <v>78.599999999999994</v>
      </c>
      <c r="H32" s="6">
        <v>43.63</v>
      </c>
      <c r="I32" s="6">
        <v>8.92</v>
      </c>
      <c r="J32" s="6">
        <v>0.33</v>
      </c>
      <c r="K32" s="6">
        <v>20.39</v>
      </c>
      <c r="L32" s="6">
        <v>17.68</v>
      </c>
      <c r="M32" s="6">
        <v>90.55</v>
      </c>
      <c r="N32" s="6">
        <v>0</v>
      </c>
      <c r="O32" s="6">
        <v>0</v>
      </c>
      <c r="P32" s="6">
        <v>0.91</v>
      </c>
      <c r="Q32" s="6">
        <v>4.87</v>
      </c>
    </row>
    <row r="33" spans="1:17" customFormat="1">
      <c r="A33" s="72">
        <v>45310.260416666664</v>
      </c>
      <c r="B33" s="6">
        <v>14.91</v>
      </c>
      <c r="C33" s="6">
        <v>23.27</v>
      </c>
      <c r="D33" s="6">
        <v>25.47</v>
      </c>
      <c r="E33" s="6">
        <v>6.47</v>
      </c>
      <c r="F33" s="6">
        <v>3.44</v>
      </c>
      <c r="G33" s="6">
        <v>78.599999999999994</v>
      </c>
      <c r="H33" s="6">
        <v>43.63</v>
      </c>
      <c r="I33" s="6">
        <v>8.92</v>
      </c>
      <c r="J33" s="6">
        <v>0.67</v>
      </c>
      <c r="K33" s="6">
        <v>42.87</v>
      </c>
      <c r="L33" s="6">
        <v>17.78</v>
      </c>
      <c r="M33" s="6">
        <v>89.86</v>
      </c>
      <c r="N33" s="6">
        <v>0</v>
      </c>
      <c r="O33" s="6">
        <v>0</v>
      </c>
      <c r="P33" s="6">
        <v>0.91</v>
      </c>
      <c r="Q33" s="6">
        <v>4.88</v>
      </c>
    </row>
    <row r="34" spans="1:17" customFormat="1">
      <c r="A34" s="72">
        <v>45310.270833333336</v>
      </c>
      <c r="B34" s="6">
        <v>15.19</v>
      </c>
      <c r="C34" s="6">
        <v>23.53</v>
      </c>
      <c r="D34" s="6">
        <v>25.83</v>
      </c>
      <c r="E34" s="6">
        <v>6.51</v>
      </c>
      <c r="F34" s="6">
        <v>3.4</v>
      </c>
      <c r="G34" s="6">
        <v>79.19</v>
      </c>
      <c r="H34" s="6">
        <v>41.45</v>
      </c>
      <c r="I34" s="6">
        <v>8.93</v>
      </c>
      <c r="J34" s="6">
        <v>0.68</v>
      </c>
      <c r="K34" s="6">
        <v>50.97</v>
      </c>
      <c r="L34" s="6">
        <v>17.95</v>
      </c>
      <c r="M34" s="6">
        <v>88.25</v>
      </c>
      <c r="N34" s="6">
        <v>0</v>
      </c>
      <c r="O34" s="6">
        <v>0</v>
      </c>
      <c r="P34" s="6">
        <v>0.91</v>
      </c>
      <c r="Q34" s="6">
        <v>4.93</v>
      </c>
    </row>
    <row r="35" spans="1:17" customFormat="1">
      <c r="A35" s="72">
        <v>45310.28125</v>
      </c>
      <c r="B35" s="6">
        <v>15.4</v>
      </c>
      <c r="C35" s="6">
        <v>24.5</v>
      </c>
      <c r="D35" s="6">
        <v>26.5</v>
      </c>
      <c r="E35" s="6">
        <v>6.19</v>
      </c>
      <c r="F35" s="6">
        <v>3.06</v>
      </c>
      <c r="G35" s="6">
        <v>79.260000000000005</v>
      </c>
      <c r="H35" s="6">
        <v>41.45</v>
      </c>
      <c r="I35" s="6">
        <v>8.9499999999999993</v>
      </c>
      <c r="J35" s="6">
        <v>1.01</v>
      </c>
      <c r="K35" s="6">
        <v>54.45</v>
      </c>
      <c r="L35" s="6">
        <v>17.87</v>
      </c>
      <c r="M35" s="6">
        <v>88.9</v>
      </c>
      <c r="N35" s="6">
        <v>0</v>
      </c>
      <c r="O35" s="6">
        <v>0</v>
      </c>
      <c r="P35" s="6">
        <v>0.93</v>
      </c>
      <c r="Q35" s="6">
        <v>4.91</v>
      </c>
    </row>
    <row r="36" spans="1:17" customFormat="1">
      <c r="A36" s="72">
        <v>45310.291666666664</v>
      </c>
      <c r="B36" s="6">
        <v>15.68</v>
      </c>
      <c r="C36" s="6">
        <v>23.25</v>
      </c>
      <c r="D36" s="6">
        <v>26.07</v>
      </c>
      <c r="E36" s="6">
        <v>6.12</v>
      </c>
      <c r="F36" s="6">
        <v>3.33</v>
      </c>
      <c r="G36" s="6">
        <v>79.260000000000005</v>
      </c>
      <c r="H36" s="6">
        <v>41.45</v>
      </c>
      <c r="I36" s="6">
        <v>9.02</v>
      </c>
      <c r="J36" s="6">
        <v>0.84</v>
      </c>
      <c r="K36" s="6">
        <v>63.24</v>
      </c>
      <c r="L36" s="6">
        <v>17.86</v>
      </c>
      <c r="M36" s="6">
        <v>87.63</v>
      </c>
      <c r="N36" s="6">
        <v>0</v>
      </c>
      <c r="O36" s="6">
        <v>0</v>
      </c>
      <c r="P36" s="6">
        <v>0.92</v>
      </c>
      <c r="Q36" s="6">
        <v>4.8899999999999997</v>
      </c>
    </row>
    <row r="37" spans="1:17" customFormat="1">
      <c r="A37" s="72">
        <v>45310.302083333336</v>
      </c>
      <c r="B37" s="6">
        <v>15.71</v>
      </c>
      <c r="C37" s="6">
        <v>23.39</v>
      </c>
      <c r="D37" s="6">
        <v>26.17</v>
      </c>
      <c r="E37" s="6">
        <v>6.37</v>
      </c>
      <c r="F37" s="6">
        <v>3.3</v>
      </c>
      <c r="G37" s="6">
        <v>79.260000000000005</v>
      </c>
      <c r="H37" s="6">
        <v>41.45</v>
      </c>
      <c r="I37" s="6">
        <v>9.1300000000000008</v>
      </c>
      <c r="J37" s="6">
        <v>0.85</v>
      </c>
      <c r="K37" s="6">
        <v>64.14</v>
      </c>
      <c r="L37" s="6">
        <v>17.95</v>
      </c>
      <c r="M37" s="6">
        <v>85.38</v>
      </c>
      <c r="N37" s="6">
        <v>2.8</v>
      </c>
      <c r="O37" s="6">
        <v>0</v>
      </c>
      <c r="P37" s="6">
        <v>0.94</v>
      </c>
      <c r="Q37" s="6">
        <v>4.9000000000000004</v>
      </c>
    </row>
    <row r="38" spans="1:17" customFormat="1">
      <c r="A38" s="72">
        <v>45310.3125</v>
      </c>
      <c r="B38" s="6">
        <v>15.54</v>
      </c>
      <c r="C38" s="6">
        <v>22.95</v>
      </c>
      <c r="D38" s="6">
        <v>25.81</v>
      </c>
      <c r="E38" s="6">
        <v>5.94</v>
      </c>
      <c r="F38" s="6">
        <v>3.35</v>
      </c>
      <c r="G38" s="6">
        <v>82.19</v>
      </c>
      <c r="H38" s="6">
        <v>45.28</v>
      </c>
      <c r="I38" s="6">
        <v>9.24</v>
      </c>
      <c r="J38" s="6">
        <v>0.94</v>
      </c>
      <c r="K38" s="6">
        <v>62</v>
      </c>
      <c r="L38" s="6">
        <v>17.989999999999998</v>
      </c>
      <c r="M38" s="6">
        <v>84.63</v>
      </c>
      <c r="N38" s="6">
        <v>6.5</v>
      </c>
      <c r="O38" s="6">
        <v>0</v>
      </c>
      <c r="P38" s="6">
        <v>0.93</v>
      </c>
      <c r="Q38" s="6">
        <v>4.92</v>
      </c>
    </row>
    <row r="39" spans="1:17" customFormat="1">
      <c r="A39" s="72">
        <v>45310.322916666664</v>
      </c>
      <c r="B39" s="6">
        <v>15.5</v>
      </c>
      <c r="C39" s="6">
        <v>22.98</v>
      </c>
      <c r="D39" s="6">
        <v>25.79</v>
      </c>
      <c r="E39" s="6">
        <v>6.31</v>
      </c>
      <c r="F39" s="6">
        <v>3.38</v>
      </c>
      <c r="G39" s="6">
        <v>82.56</v>
      </c>
      <c r="H39" s="6">
        <v>45.28</v>
      </c>
      <c r="I39" s="6">
        <v>9.36</v>
      </c>
      <c r="J39" s="6">
        <v>1.06</v>
      </c>
      <c r="K39" s="6">
        <v>56.03</v>
      </c>
      <c r="L39" s="6">
        <v>18.09</v>
      </c>
      <c r="M39" s="6">
        <v>82.62</v>
      </c>
      <c r="N39" s="6">
        <v>11.5</v>
      </c>
      <c r="O39" s="6">
        <v>0</v>
      </c>
      <c r="P39" s="6">
        <v>0.95</v>
      </c>
      <c r="Q39" s="6">
        <v>4.9400000000000004</v>
      </c>
    </row>
    <row r="40" spans="1:17" customFormat="1">
      <c r="A40" s="72">
        <v>45310.333333333336</v>
      </c>
      <c r="B40" s="6">
        <v>15.82</v>
      </c>
      <c r="C40" s="6">
        <v>23.33</v>
      </c>
      <c r="D40" s="6">
        <v>26.23</v>
      </c>
      <c r="E40" s="6">
        <v>5.8</v>
      </c>
      <c r="F40" s="6">
        <v>3.31</v>
      </c>
      <c r="G40" s="6">
        <v>82.56</v>
      </c>
      <c r="H40" s="6">
        <v>45.28</v>
      </c>
      <c r="I40" s="6">
        <v>9.4600000000000009</v>
      </c>
      <c r="J40" s="6">
        <v>1.18</v>
      </c>
      <c r="K40" s="6">
        <v>54.19</v>
      </c>
      <c r="L40" s="6">
        <v>18.3</v>
      </c>
      <c r="M40" s="6">
        <v>78.75</v>
      </c>
      <c r="N40" s="6">
        <v>27</v>
      </c>
      <c r="O40" s="6">
        <v>0</v>
      </c>
      <c r="P40" s="6">
        <v>0.97</v>
      </c>
      <c r="Q40" s="6">
        <v>4.93</v>
      </c>
    </row>
    <row r="41" spans="1:17" customFormat="1">
      <c r="A41" s="72">
        <v>45310.34375</v>
      </c>
      <c r="B41" s="6">
        <v>16.78</v>
      </c>
      <c r="C41" s="6">
        <v>23.51</v>
      </c>
      <c r="D41" s="6">
        <v>27.09</v>
      </c>
      <c r="E41" s="6">
        <v>6.26</v>
      </c>
      <c r="F41" s="6">
        <v>3.42</v>
      </c>
      <c r="G41" s="6">
        <v>82.56</v>
      </c>
      <c r="H41" s="6">
        <v>45.28</v>
      </c>
      <c r="I41" s="6">
        <v>9.5399999999999991</v>
      </c>
      <c r="J41" s="6">
        <v>1.2</v>
      </c>
      <c r="K41" s="6">
        <v>56.13</v>
      </c>
      <c r="L41" s="6">
        <v>18.61</v>
      </c>
      <c r="M41" s="6">
        <v>75.87</v>
      </c>
      <c r="N41" s="6">
        <v>52.6</v>
      </c>
      <c r="O41" s="6">
        <v>0</v>
      </c>
      <c r="P41" s="6">
        <v>0.98</v>
      </c>
      <c r="Q41" s="6">
        <v>4.9400000000000004</v>
      </c>
    </row>
    <row r="42" spans="1:17" customFormat="1">
      <c r="A42" s="72">
        <v>45310.354166666664</v>
      </c>
      <c r="B42" s="6">
        <v>17.829999999999998</v>
      </c>
      <c r="C42" s="6">
        <v>24.22</v>
      </c>
      <c r="D42" s="6">
        <v>28.3</v>
      </c>
      <c r="E42" s="6">
        <v>6.53</v>
      </c>
      <c r="F42" s="6">
        <v>3.41</v>
      </c>
      <c r="G42" s="6">
        <v>86.5</v>
      </c>
      <c r="H42" s="6">
        <v>46.6</v>
      </c>
      <c r="I42" s="6">
        <v>9.65</v>
      </c>
      <c r="J42" s="6">
        <v>1.38</v>
      </c>
      <c r="K42" s="6">
        <v>49.41</v>
      </c>
      <c r="L42" s="6">
        <v>18.72</v>
      </c>
      <c r="M42" s="6">
        <v>74.650000000000006</v>
      </c>
      <c r="N42" s="6">
        <v>51.4</v>
      </c>
      <c r="O42" s="6">
        <v>0</v>
      </c>
      <c r="P42" s="6">
        <v>0.98</v>
      </c>
      <c r="Q42" s="6">
        <v>4.96</v>
      </c>
    </row>
    <row r="43" spans="1:17" customFormat="1">
      <c r="A43" s="72">
        <v>45310.364583333336</v>
      </c>
      <c r="B43" s="6">
        <v>18.690000000000001</v>
      </c>
      <c r="C43" s="6">
        <v>24.14</v>
      </c>
      <c r="D43" s="6">
        <v>28.95</v>
      </c>
      <c r="E43" s="6">
        <v>6.19</v>
      </c>
      <c r="F43" s="6">
        <v>3.29</v>
      </c>
      <c r="G43" s="6">
        <v>86.99</v>
      </c>
      <c r="H43" s="6">
        <v>46.6</v>
      </c>
      <c r="I43" s="6">
        <v>9.7200000000000006</v>
      </c>
      <c r="J43" s="6">
        <v>1.51</v>
      </c>
      <c r="K43" s="6">
        <v>54.22</v>
      </c>
      <c r="L43" s="6">
        <v>18.79</v>
      </c>
      <c r="M43" s="6">
        <v>72.709999999999994</v>
      </c>
      <c r="N43" s="6">
        <v>68.2</v>
      </c>
      <c r="O43" s="6">
        <v>0</v>
      </c>
      <c r="P43" s="6">
        <v>0.98</v>
      </c>
      <c r="Q43" s="6">
        <v>4.99</v>
      </c>
    </row>
    <row r="44" spans="1:17" customFormat="1">
      <c r="A44" s="72">
        <v>45310.375</v>
      </c>
      <c r="B44" s="6">
        <v>19</v>
      </c>
      <c r="C44" s="6">
        <v>24.82</v>
      </c>
      <c r="D44" s="6">
        <v>29.56</v>
      </c>
      <c r="E44" s="6">
        <v>6.39</v>
      </c>
      <c r="F44" s="6">
        <v>3.26</v>
      </c>
      <c r="G44" s="6">
        <v>86.99</v>
      </c>
      <c r="H44" s="6">
        <v>46.6</v>
      </c>
      <c r="I44" s="6">
        <v>9.7899999999999991</v>
      </c>
      <c r="J44" s="6">
        <v>1.34</v>
      </c>
      <c r="K44" s="6">
        <v>60.74</v>
      </c>
      <c r="L44" s="6">
        <v>19.11</v>
      </c>
      <c r="M44" s="6">
        <v>71.569999999999993</v>
      </c>
      <c r="N44" s="6">
        <v>95.8</v>
      </c>
      <c r="O44" s="6">
        <v>0</v>
      </c>
      <c r="P44" s="6">
        <v>0.99</v>
      </c>
      <c r="Q44" s="6">
        <v>4.9800000000000004</v>
      </c>
    </row>
    <row r="45" spans="1:17" customFormat="1">
      <c r="A45" s="72">
        <v>45310.385416666664</v>
      </c>
      <c r="B45" s="6">
        <v>19.09</v>
      </c>
      <c r="C45" s="6">
        <v>24.75</v>
      </c>
      <c r="D45" s="6">
        <v>29.59</v>
      </c>
      <c r="E45" s="6">
        <v>6.59</v>
      </c>
      <c r="F45" s="6">
        <v>3.31</v>
      </c>
      <c r="G45" s="6">
        <v>86.99</v>
      </c>
      <c r="H45" s="6">
        <v>46.6</v>
      </c>
      <c r="I45" s="6">
        <v>9.83</v>
      </c>
      <c r="J45" s="6">
        <v>0.89</v>
      </c>
      <c r="K45" s="6">
        <v>69.52</v>
      </c>
      <c r="L45" s="6">
        <v>19.52</v>
      </c>
      <c r="M45" s="6">
        <v>70.53</v>
      </c>
      <c r="N45" s="6">
        <v>57.7</v>
      </c>
      <c r="O45" s="6">
        <v>0</v>
      </c>
      <c r="P45" s="6">
        <v>0.99</v>
      </c>
      <c r="Q45" s="6">
        <v>4.99</v>
      </c>
    </row>
    <row r="46" spans="1:17" customFormat="1">
      <c r="A46" s="72">
        <v>45310.395833333336</v>
      </c>
      <c r="B46" s="6">
        <v>19.18</v>
      </c>
      <c r="C46" s="6">
        <v>25.01</v>
      </c>
      <c r="D46" s="6">
        <v>29.8</v>
      </c>
      <c r="E46" s="6">
        <v>6.51</v>
      </c>
      <c r="F46" s="6">
        <v>3.22</v>
      </c>
      <c r="G46" s="6">
        <v>86.31</v>
      </c>
      <c r="H46" s="6">
        <v>47.01</v>
      </c>
      <c r="I46" s="6">
        <v>9.85</v>
      </c>
      <c r="J46" s="6">
        <v>1.28</v>
      </c>
      <c r="K46" s="6">
        <v>62.36</v>
      </c>
      <c r="L46" s="6">
        <v>19.48</v>
      </c>
      <c r="M46" s="6">
        <v>70.739999999999995</v>
      </c>
      <c r="N46" s="6">
        <v>43.2</v>
      </c>
      <c r="O46" s="6">
        <v>0</v>
      </c>
      <c r="P46" s="6">
        <v>0.99</v>
      </c>
      <c r="Q46" s="6">
        <v>5.01</v>
      </c>
    </row>
    <row r="47" spans="1:17" customFormat="1">
      <c r="A47" s="72">
        <v>45310.40625</v>
      </c>
      <c r="B47" s="6">
        <v>19.600000000000001</v>
      </c>
      <c r="C47" s="6">
        <v>24.58</v>
      </c>
      <c r="D47" s="6">
        <v>29.92</v>
      </c>
      <c r="E47" s="6">
        <v>6.64</v>
      </c>
      <c r="F47" s="6">
        <v>3.43</v>
      </c>
      <c r="G47" s="6">
        <v>86.22</v>
      </c>
      <c r="H47" s="6">
        <v>47.01</v>
      </c>
      <c r="I47" s="6">
        <v>9.91</v>
      </c>
      <c r="J47" s="6">
        <v>1.1499999999999999</v>
      </c>
      <c r="K47" s="6">
        <v>41.88</v>
      </c>
      <c r="L47" s="6">
        <v>19.739999999999998</v>
      </c>
      <c r="M47" s="6">
        <v>70.67</v>
      </c>
      <c r="N47" s="6">
        <v>60.6</v>
      </c>
      <c r="O47" s="6">
        <v>0</v>
      </c>
      <c r="P47" s="6">
        <v>1</v>
      </c>
      <c r="Q47" s="6">
        <v>5</v>
      </c>
    </row>
    <row r="48" spans="1:17" customFormat="1">
      <c r="A48" s="72">
        <v>45310.416666666664</v>
      </c>
      <c r="B48" s="6">
        <v>20.3</v>
      </c>
      <c r="C48" s="6">
        <v>25.38</v>
      </c>
      <c r="D48" s="6">
        <v>30.9</v>
      </c>
      <c r="E48" s="6">
        <v>6.18</v>
      </c>
      <c r="F48" s="6">
        <v>3.46</v>
      </c>
      <c r="G48" s="6">
        <v>86.22</v>
      </c>
      <c r="H48" s="6">
        <v>47.01</v>
      </c>
      <c r="I48" s="6">
        <v>9.94</v>
      </c>
      <c r="J48" s="6">
        <v>1.34</v>
      </c>
      <c r="K48" s="6">
        <v>41.9</v>
      </c>
      <c r="L48" s="6">
        <v>19.7</v>
      </c>
      <c r="M48" s="6">
        <v>73.36</v>
      </c>
      <c r="N48" s="6">
        <v>40.5</v>
      </c>
      <c r="O48" s="6">
        <v>0</v>
      </c>
      <c r="P48" s="6">
        <v>1.02</v>
      </c>
      <c r="Q48" s="6">
        <v>5.0199999999999996</v>
      </c>
    </row>
    <row r="49" spans="1:17" customFormat="1">
      <c r="A49" s="72">
        <v>45310.427083333336</v>
      </c>
      <c r="B49" s="6">
        <v>21.09</v>
      </c>
      <c r="C49" s="6">
        <v>26.19</v>
      </c>
      <c r="D49" s="6">
        <v>31.94</v>
      </c>
      <c r="E49" s="6">
        <v>6.16</v>
      </c>
      <c r="F49" s="6">
        <v>3.31</v>
      </c>
      <c r="G49" s="6">
        <v>86.22</v>
      </c>
      <c r="H49" s="6">
        <v>47.01</v>
      </c>
      <c r="I49" s="6">
        <v>10</v>
      </c>
      <c r="J49" s="6">
        <v>0.98</v>
      </c>
      <c r="K49" s="6">
        <v>34.69</v>
      </c>
      <c r="L49" s="6">
        <v>19.63</v>
      </c>
      <c r="M49" s="6">
        <v>72.69</v>
      </c>
      <c r="N49" s="6">
        <v>84.5</v>
      </c>
      <c r="O49" s="6">
        <v>0</v>
      </c>
      <c r="P49" s="6">
        <v>1.03</v>
      </c>
      <c r="Q49" s="6">
        <v>5.0599999999999996</v>
      </c>
    </row>
    <row r="50" spans="1:17" customFormat="1">
      <c r="A50" s="72">
        <v>45310.4375</v>
      </c>
      <c r="B50" s="6">
        <v>21.87</v>
      </c>
      <c r="C50" s="6">
        <v>27.18</v>
      </c>
      <c r="D50" s="6">
        <v>33.090000000000003</v>
      </c>
      <c r="E50" s="6">
        <v>8.16</v>
      </c>
      <c r="F50" s="6">
        <v>3.27</v>
      </c>
      <c r="G50" s="6">
        <v>91.41</v>
      </c>
      <c r="H50" s="6">
        <v>45.14</v>
      </c>
      <c r="I50" s="6">
        <v>10.08</v>
      </c>
      <c r="J50" s="6">
        <v>1.0900000000000001</v>
      </c>
      <c r="K50" s="6">
        <v>37.880000000000003</v>
      </c>
      <c r="L50" s="6">
        <v>20.03</v>
      </c>
      <c r="M50" s="6">
        <v>70.62</v>
      </c>
      <c r="N50" s="6">
        <v>111.4</v>
      </c>
      <c r="O50" s="6">
        <v>0</v>
      </c>
      <c r="P50" s="6">
        <v>1.05</v>
      </c>
      <c r="Q50" s="6">
        <v>5.08</v>
      </c>
    </row>
    <row r="51" spans="1:17" customFormat="1">
      <c r="A51" s="72">
        <v>45310.447916666664</v>
      </c>
      <c r="B51" s="6">
        <v>22.95</v>
      </c>
      <c r="C51" s="6">
        <v>27.84</v>
      </c>
      <c r="D51" s="6">
        <v>34.299999999999997</v>
      </c>
      <c r="E51" s="6">
        <v>8.35</v>
      </c>
      <c r="F51" s="6">
        <v>3.44</v>
      </c>
      <c r="G51" s="6">
        <v>92.06</v>
      </c>
      <c r="H51" s="6">
        <v>45.14</v>
      </c>
      <c r="I51" s="6">
        <v>10.130000000000001</v>
      </c>
      <c r="J51" s="6">
        <v>1.24</v>
      </c>
      <c r="K51" s="6">
        <v>46.18</v>
      </c>
      <c r="L51" s="6">
        <v>20.13</v>
      </c>
      <c r="M51" s="6">
        <v>70.48</v>
      </c>
      <c r="N51" s="6">
        <v>69.599999999999994</v>
      </c>
      <c r="O51" s="6">
        <v>0</v>
      </c>
      <c r="P51" s="6">
        <v>1.05</v>
      </c>
      <c r="Q51" s="6">
        <v>5.08</v>
      </c>
    </row>
    <row r="52" spans="1:17" customFormat="1">
      <c r="A52" s="72">
        <v>45310.458333333336</v>
      </c>
      <c r="B52" s="6">
        <v>24.07</v>
      </c>
      <c r="C52" s="6">
        <v>28.74</v>
      </c>
      <c r="D52" s="6">
        <v>35.659999999999997</v>
      </c>
      <c r="E52" s="6">
        <v>8.25</v>
      </c>
      <c r="F52" s="6">
        <v>3.63</v>
      </c>
      <c r="G52" s="6">
        <v>92.06</v>
      </c>
      <c r="H52" s="6">
        <v>45.14</v>
      </c>
      <c r="I52" s="6">
        <v>10.16</v>
      </c>
      <c r="J52" s="6">
        <v>1.5</v>
      </c>
      <c r="K52" s="6">
        <v>40.770000000000003</v>
      </c>
      <c r="L52" s="6">
        <v>19.77</v>
      </c>
      <c r="M52" s="6">
        <v>71.430000000000007</v>
      </c>
      <c r="N52" s="6">
        <v>42.1</v>
      </c>
      <c r="O52" s="6">
        <v>0</v>
      </c>
      <c r="P52" s="6">
        <v>1.06</v>
      </c>
      <c r="Q52" s="6">
        <v>5.1100000000000003</v>
      </c>
    </row>
    <row r="53" spans="1:17" customFormat="1">
      <c r="A53" s="72">
        <v>45310.46875</v>
      </c>
      <c r="B53" s="6">
        <v>24.37</v>
      </c>
      <c r="C53" s="6">
        <v>29.36</v>
      </c>
      <c r="D53" s="6">
        <v>36.229999999999997</v>
      </c>
      <c r="E53" s="6">
        <v>7.86</v>
      </c>
      <c r="F53" s="6">
        <v>3.64</v>
      </c>
      <c r="G53" s="6">
        <v>92.06</v>
      </c>
      <c r="H53" s="6">
        <v>45.14</v>
      </c>
      <c r="I53" s="6">
        <v>10.24</v>
      </c>
      <c r="J53" s="6">
        <v>1.33</v>
      </c>
      <c r="K53" s="6">
        <v>45.43</v>
      </c>
      <c r="L53" s="6">
        <v>19.760000000000002</v>
      </c>
      <c r="M53" s="6">
        <v>72.349999999999994</v>
      </c>
      <c r="N53" s="6">
        <v>114.3</v>
      </c>
      <c r="O53" s="6">
        <v>0</v>
      </c>
      <c r="P53" s="6">
        <v>1.06</v>
      </c>
      <c r="Q53" s="6">
        <v>5.0999999999999996</v>
      </c>
    </row>
    <row r="54" spans="1:17" customFormat="1">
      <c r="A54" s="72">
        <v>45310.479166666664</v>
      </c>
      <c r="B54" s="6">
        <v>24.61</v>
      </c>
      <c r="C54" s="6">
        <v>30.06</v>
      </c>
      <c r="D54" s="6">
        <v>36.79</v>
      </c>
      <c r="E54" s="6">
        <v>8.4</v>
      </c>
      <c r="F54" s="6">
        <v>3.52</v>
      </c>
      <c r="G54" s="6">
        <v>93.85</v>
      </c>
      <c r="H54" s="6">
        <v>45.84</v>
      </c>
      <c r="I54" s="6">
        <v>10.28</v>
      </c>
      <c r="J54" s="6">
        <v>1.17</v>
      </c>
      <c r="K54" s="6">
        <v>38.35</v>
      </c>
      <c r="L54" s="6">
        <v>20.21</v>
      </c>
      <c r="M54" s="6">
        <v>71.13</v>
      </c>
      <c r="N54" s="6">
        <v>78.3</v>
      </c>
      <c r="O54" s="6">
        <v>0</v>
      </c>
      <c r="P54" s="6">
        <v>1.07</v>
      </c>
      <c r="Q54" s="6">
        <v>5.13</v>
      </c>
    </row>
    <row r="55" spans="1:17" customFormat="1">
      <c r="A55" s="72">
        <v>45310.489583333336</v>
      </c>
      <c r="B55" s="6">
        <v>24.85</v>
      </c>
      <c r="C55" s="6">
        <v>30.28</v>
      </c>
      <c r="D55" s="6">
        <v>37.1</v>
      </c>
      <c r="E55" s="6">
        <v>7.68</v>
      </c>
      <c r="F55" s="6">
        <v>3.06</v>
      </c>
      <c r="G55" s="6">
        <v>94.07</v>
      </c>
      <c r="H55" s="6">
        <v>45.84</v>
      </c>
      <c r="I55" s="6">
        <v>10.26</v>
      </c>
      <c r="J55" s="6">
        <v>1.28</v>
      </c>
      <c r="K55" s="6">
        <v>30.5</v>
      </c>
      <c r="L55" s="6">
        <v>20.010000000000002</v>
      </c>
      <c r="M55" s="6">
        <v>69.89</v>
      </c>
      <c r="N55" s="6">
        <v>119.4</v>
      </c>
      <c r="O55" s="6">
        <v>0</v>
      </c>
      <c r="P55" s="6">
        <v>1.07</v>
      </c>
      <c r="Q55" s="6">
        <v>5.15</v>
      </c>
    </row>
    <row r="56" spans="1:17" customFormat="1">
      <c r="A56" s="72">
        <v>45310.5</v>
      </c>
      <c r="B56" s="6">
        <v>24.47</v>
      </c>
      <c r="C56" s="6">
        <v>30.43</v>
      </c>
      <c r="D56" s="6">
        <v>36.869999999999997</v>
      </c>
      <c r="E56" s="6">
        <v>7.87</v>
      </c>
      <c r="F56" s="6">
        <v>3.44</v>
      </c>
      <c r="G56" s="6">
        <v>94.07</v>
      </c>
      <c r="H56" s="6">
        <v>45.84</v>
      </c>
      <c r="I56" s="6">
        <v>10.25</v>
      </c>
      <c r="J56" s="6">
        <v>1.38</v>
      </c>
      <c r="K56" s="6">
        <v>44.38</v>
      </c>
      <c r="L56" s="6">
        <v>19.829999999999998</v>
      </c>
      <c r="M56" s="6">
        <v>70.94</v>
      </c>
      <c r="N56" s="6">
        <v>125.8</v>
      </c>
      <c r="O56" s="6">
        <v>0</v>
      </c>
      <c r="P56" s="6">
        <v>1.07</v>
      </c>
      <c r="Q56" s="6">
        <v>5.14</v>
      </c>
    </row>
    <row r="57" spans="1:17" customFormat="1">
      <c r="A57" s="72">
        <v>45310.510416666664</v>
      </c>
      <c r="B57" s="6">
        <v>23.93</v>
      </c>
      <c r="C57" s="6">
        <v>30.38</v>
      </c>
      <c r="D57" s="6">
        <v>36.409999999999997</v>
      </c>
      <c r="E57" s="6">
        <v>7.62</v>
      </c>
      <c r="F57" s="6">
        <v>3.53</v>
      </c>
      <c r="G57" s="6">
        <v>94.07</v>
      </c>
      <c r="H57" s="6">
        <v>45.84</v>
      </c>
      <c r="I57" s="6">
        <v>10.24</v>
      </c>
      <c r="J57" s="6">
        <v>1.77</v>
      </c>
      <c r="K57" s="6">
        <v>50.57</v>
      </c>
      <c r="L57" s="6">
        <v>20.100000000000001</v>
      </c>
      <c r="M57" s="6">
        <v>72.78</v>
      </c>
      <c r="N57" s="6">
        <v>198.7</v>
      </c>
      <c r="O57" s="6">
        <v>0</v>
      </c>
      <c r="P57" s="6">
        <v>1.08</v>
      </c>
      <c r="Q57" s="6">
        <v>5.12</v>
      </c>
    </row>
    <row r="58" spans="1:17" customFormat="1">
      <c r="A58" s="72">
        <v>45310.520833333336</v>
      </c>
      <c r="B58" s="6">
        <v>23.35</v>
      </c>
      <c r="C58" s="6">
        <v>30.7</v>
      </c>
      <c r="D58" s="6">
        <v>36.11</v>
      </c>
      <c r="E58" s="6">
        <v>8.19</v>
      </c>
      <c r="F58" s="6">
        <v>3.47</v>
      </c>
      <c r="G58" s="6">
        <v>97.93</v>
      </c>
      <c r="H58" s="6">
        <v>45.93</v>
      </c>
      <c r="I58" s="6">
        <v>10.26</v>
      </c>
      <c r="J58" s="6">
        <v>1.59</v>
      </c>
      <c r="K58" s="6">
        <v>54.27</v>
      </c>
      <c r="L58" s="6">
        <v>20.86</v>
      </c>
      <c r="M58" s="6">
        <v>71.31</v>
      </c>
      <c r="N58" s="6">
        <v>223.9</v>
      </c>
      <c r="O58" s="6">
        <v>0</v>
      </c>
      <c r="P58" s="6">
        <v>1.08</v>
      </c>
      <c r="Q58" s="6">
        <v>5.0999999999999996</v>
      </c>
    </row>
    <row r="59" spans="1:17" customFormat="1">
      <c r="A59" s="72">
        <v>45310.53125</v>
      </c>
      <c r="B59" s="6">
        <v>22.93</v>
      </c>
      <c r="C59" s="6">
        <v>30.59</v>
      </c>
      <c r="D59" s="6">
        <v>35.72</v>
      </c>
      <c r="E59" s="6">
        <v>7.99</v>
      </c>
      <c r="F59" s="6">
        <v>3.36</v>
      </c>
      <c r="G59" s="6">
        <v>98.41</v>
      </c>
      <c r="H59" s="6">
        <v>45.93</v>
      </c>
      <c r="I59" s="6">
        <v>10.3</v>
      </c>
      <c r="J59" s="6">
        <v>1.6</v>
      </c>
      <c r="K59" s="6">
        <v>56.21</v>
      </c>
      <c r="L59" s="6">
        <v>21.05</v>
      </c>
      <c r="M59" s="6">
        <v>72.069999999999993</v>
      </c>
      <c r="N59" s="6">
        <v>222.8</v>
      </c>
      <c r="O59" s="6">
        <v>0</v>
      </c>
      <c r="P59" s="6">
        <v>1.08</v>
      </c>
      <c r="Q59" s="6">
        <v>5.09</v>
      </c>
    </row>
    <row r="60" spans="1:17" customFormat="1">
      <c r="A60" s="72">
        <v>45310.541666666664</v>
      </c>
      <c r="B60" s="6">
        <v>22.31</v>
      </c>
      <c r="C60" s="6">
        <v>30.93</v>
      </c>
      <c r="D60" s="6">
        <v>35.4</v>
      </c>
      <c r="E60" s="6">
        <v>7.91</v>
      </c>
      <c r="F60" s="6">
        <v>3.38</v>
      </c>
      <c r="G60" s="6">
        <v>98.41</v>
      </c>
      <c r="H60" s="6">
        <v>45.93</v>
      </c>
      <c r="I60" s="6">
        <v>10.38</v>
      </c>
      <c r="J60" s="6">
        <v>1.93</v>
      </c>
      <c r="K60" s="6">
        <v>50.86</v>
      </c>
      <c r="L60" s="6">
        <v>21.37</v>
      </c>
      <c r="M60" s="6">
        <v>70.02</v>
      </c>
      <c r="N60" s="6">
        <v>240</v>
      </c>
      <c r="O60" s="6">
        <v>0</v>
      </c>
      <c r="P60" s="6">
        <v>1.0900000000000001</v>
      </c>
      <c r="Q60" s="6">
        <v>5.08</v>
      </c>
    </row>
    <row r="61" spans="1:17" customFormat="1">
      <c r="A61" s="72">
        <v>45310.552083333336</v>
      </c>
      <c r="B61" s="6">
        <v>21.24</v>
      </c>
      <c r="C61" s="6">
        <v>31.4</v>
      </c>
      <c r="D61" s="6">
        <v>34.79</v>
      </c>
      <c r="E61" s="6">
        <v>8.85</v>
      </c>
      <c r="F61" s="6">
        <v>3.18</v>
      </c>
      <c r="G61" s="6">
        <v>98.41</v>
      </c>
      <c r="H61" s="6">
        <v>45.93</v>
      </c>
      <c r="I61" s="6">
        <v>10.57</v>
      </c>
      <c r="J61" s="6">
        <v>2.06</v>
      </c>
      <c r="K61" s="6">
        <v>57.55</v>
      </c>
      <c r="L61" s="6">
        <v>21.44</v>
      </c>
      <c r="M61" s="6">
        <v>70.11</v>
      </c>
      <c r="N61" s="6">
        <v>241</v>
      </c>
      <c r="O61" s="6">
        <v>0</v>
      </c>
      <c r="P61" s="6">
        <v>1.1000000000000001</v>
      </c>
      <c r="Q61" s="6">
        <v>5.07</v>
      </c>
    </row>
    <row r="62" spans="1:17" customFormat="1">
      <c r="A62" s="72">
        <v>45310.5625</v>
      </c>
      <c r="B62" s="6">
        <v>20.14</v>
      </c>
      <c r="C62" s="6">
        <v>31.59</v>
      </c>
      <c r="D62" s="6">
        <v>34.01</v>
      </c>
      <c r="E62" s="6">
        <v>8.5399999999999991</v>
      </c>
      <c r="F62" s="6">
        <v>3.28</v>
      </c>
      <c r="G62" s="6">
        <v>103.18</v>
      </c>
      <c r="H62" s="6">
        <v>49.8</v>
      </c>
      <c r="I62" s="6">
        <v>10.64</v>
      </c>
      <c r="J62" s="6">
        <v>2.0099999999999998</v>
      </c>
      <c r="K62" s="6">
        <v>53.68</v>
      </c>
      <c r="L62" s="6">
        <v>21.66</v>
      </c>
      <c r="M62" s="6">
        <v>69.69</v>
      </c>
      <c r="N62" s="6">
        <v>223.8</v>
      </c>
      <c r="O62" s="6">
        <v>0</v>
      </c>
      <c r="P62" s="6">
        <v>1.1000000000000001</v>
      </c>
      <c r="Q62" s="6">
        <v>5.0599999999999996</v>
      </c>
    </row>
    <row r="63" spans="1:17" customFormat="1">
      <c r="A63" s="72">
        <v>45310.572916666664</v>
      </c>
      <c r="B63" s="6">
        <v>18.79</v>
      </c>
      <c r="C63" s="6">
        <v>31.41</v>
      </c>
      <c r="D63" s="6">
        <v>32.83</v>
      </c>
      <c r="E63" s="6">
        <v>8.7100000000000009</v>
      </c>
      <c r="F63" s="6">
        <v>3.46</v>
      </c>
      <c r="G63" s="6">
        <v>103.77</v>
      </c>
      <c r="H63" s="6">
        <v>49.8</v>
      </c>
      <c r="I63" s="6">
        <v>10.62</v>
      </c>
      <c r="J63" s="6">
        <v>2.37</v>
      </c>
      <c r="K63" s="6">
        <v>50.83</v>
      </c>
      <c r="L63" s="6">
        <v>21.96</v>
      </c>
      <c r="M63" s="6">
        <v>69.540000000000006</v>
      </c>
      <c r="N63" s="6">
        <v>224.3</v>
      </c>
      <c r="O63" s="6">
        <v>0</v>
      </c>
      <c r="P63" s="6">
        <v>1.1000000000000001</v>
      </c>
      <c r="Q63" s="6">
        <v>5.04</v>
      </c>
    </row>
    <row r="64" spans="1:17" customFormat="1">
      <c r="A64" s="72">
        <v>45310.583333333336</v>
      </c>
      <c r="B64" s="6">
        <v>17.48</v>
      </c>
      <c r="C64" s="6">
        <v>31.31</v>
      </c>
      <c r="D64" s="6">
        <v>31.73</v>
      </c>
      <c r="E64" s="6">
        <v>8.6</v>
      </c>
      <c r="F64" s="6">
        <v>3.52</v>
      </c>
      <c r="G64" s="6">
        <v>103.77</v>
      </c>
      <c r="H64" s="6">
        <v>49.8</v>
      </c>
      <c r="I64" s="6">
        <v>10.63</v>
      </c>
      <c r="J64" s="6">
        <v>1.59</v>
      </c>
      <c r="K64" s="6">
        <v>54.39</v>
      </c>
      <c r="L64" s="6">
        <v>22.31</v>
      </c>
      <c r="M64" s="6">
        <v>69.58</v>
      </c>
      <c r="N64" s="6">
        <v>219.1</v>
      </c>
      <c r="O64" s="6">
        <v>0</v>
      </c>
      <c r="P64" s="6">
        <v>1.1000000000000001</v>
      </c>
      <c r="Q64" s="6">
        <v>5.0199999999999996</v>
      </c>
    </row>
    <row r="65" spans="1:17" customFormat="1">
      <c r="A65" s="72">
        <v>45310.59375</v>
      </c>
      <c r="B65" s="6">
        <v>16.36</v>
      </c>
      <c r="C65" s="6">
        <v>31.29</v>
      </c>
      <c r="D65" s="6">
        <v>30.82</v>
      </c>
      <c r="E65" s="6">
        <v>8.58</v>
      </c>
      <c r="F65" s="6">
        <v>3.44</v>
      </c>
      <c r="G65" s="6">
        <v>103.77</v>
      </c>
      <c r="H65" s="6">
        <v>49.8</v>
      </c>
      <c r="I65" s="6">
        <v>10.65</v>
      </c>
      <c r="J65" s="6">
        <v>2.21</v>
      </c>
      <c r="K65" s="6">
        <v>50.2</v>
      </c>
      <c r="L65" s="6">
        <v>22.19</v>
      </c>
      <c r="M65" s="6">
        <v>72.17</v>
      </c>
      <c r="N65" s="6">
        <v>208.8</v>
      </c>
      <c r="O65" s="6">
        <v>0</v>
      </c>
      <c r="P65" s="6">
        <v>0.99</v>
      </c>
      <c r="Q65" s="6">
        <v>4.99</v>
      </c>
    </row>
    <row r="66" spans="1:17" customFormat="1">
      <c r="A66" s="72">
        <v>45310.604166666664</v>
      </c>
      <c r="B66" s="6">
        <v>15.43</v>
      </c>
      <c r="C66" s="6">
        <v>31.41</v>
      </c>
      <c r="D66" s="6">
        <v>30.13</v>
      </c>
      <c r="E66" s="6">
        <v>8.57</v>
      </c>
      <c r="F66" s="6">
        <v>3.57</v>
      </c>
      <c r="G66" s="6">
        <v>99.79</v>
      </c>
      <c r="H66" s="6">
        <v>46.54</v>
      </c>
      <c r="I66" s="6">
        <v>10.62</v>
      </c>
      <c r="J66" s="6">
        <v>1.39</v>
      </c>
      <c r="K66" s="6">
        <v>64.91</v>
      </c>
      <c r="L66" s="6">
        <v>22.47</v>
      </c>
      <c r="M66" s="6">
        <v>71.319999999999993</v>
      </c>
      <c r="N66" s="6">
        <v>149.19999999999999</v>
      </c>
      <c r="O66" s="6">
        <v>0</v>
      </c>
      <c r="P66" s="6">
        <v>1.05</v>
      </c>
      <c r="Q66" s="6">
        <v>4.99</v>
      </c>
    </row>
    <row r="67" spans="1:17" customFormat="1">
      <c r="A67" s="72">
        <v>45310.614583333336</v>
      </c>
      <c r="B67" s="6">
        <v>14.64</v>
      </c>
      <c r="C67" s="6">
        <v>31.14</v>
      </c>
      <c r="D67" s="6">
        <v>29.36</v>
      </c>
      <c r="E67" s="6">
        <v>8.77</v>
      </c>
      <c r="F67" s="6">
        <v>3.69</v>
      </c>
      <c r="G67" s="6">
        <v>99.29</v>
      </c>
      <c r="H67" s="6">
        <v>46.54</v>
      </c>
      <c r="I67" s="6">
        <v>10.54</v>
      </c>
      <c r="J67" s="6">
        <v>2.06</v>
      </c>
      <c r="K67" s="6">
        <v>57.59</v>
      </c>
      <c r="L67" s="6">
        <v>22.42</v>
      </c>
      <c r="M67" s="6">
        <v>71.97</v>
      </c>
      <c r="N67" s="6">
        <v>127</v>
      </c>
      <c r="O67" s="6">
        <v>0</v>
      </c>
      <c r="P67" s="6">
        <v>1.04</v>
      </c>
      <c r="Q67" s="6">
        <v>4.97</v>
      </c>
    </row>
    <row r="68" spans="1:17" customFormat="1">
      <c r="A68" s="72">
        <v>45310.625</v>
      </c>
      <c r="B68" s="6">
        <v>13.85</v>
      </c>
      <c r="C68" s="6">
        <v>31.33</v>
      </c>
      <c r="D68" s="6">
        <v>28.83</v>
      </c>
      <c r="E68" s="6">
        <v>7.98</v>
      </c>
      <c r="F68" s="6">
        <v>3.62</v>
      </c>
      <c r="G68" s="6">
        <v>99.29</v>
      </c>
      <c r="H68" s="6">
        <v>46.54</v>
      </c>
      <c r="I68" s="6">
        <v>10.45</v>
      </c>
      <c r="J68" s="6">
        <v>1.5</v>
      </c>
      <c r="K68" s="6">
        <v>56.3</v>
      </c>
      <c r="L68" s="6">
        <v>22.48</v>
      </c>
      <c r="M68" s="6">
        <v>71.75</v>
      </c>
      <c r="N68" s="6">
        <v>110.7</v>
      </c>
      <c r="O68" s="6">
        <v>0</v>
      </c>
      <c r="P68" s="6">
        <v>1.03</v>
      </c>
      <c r="Q68" s="6">
        <v>4.93</v>
      </c>
    </row>
    <row r="69" spans="1:17" customFormat="1">
      <c r="A69" s="72">
        <v>45310.635416666664</v>
      </c>
      <c r="B69" s="6">
        <v>13.44</v>
      </c>
      <c r="C69" s="6">
        <v>31.51</v>
      </c>
      <c r="D69" s="6">
        <v>28.59</v>
      </c>
      <c r="E69" s="6">
        <v>7.54</v>
      </c>
      <c r="F69" s="6">
        <v>3.53</v>
      </c>
      <c r="G69" s="6">
        <v>99.29</v>
      </c>
      <c r="H69" s="6">
        <v>46.54</v>
      </c>
      <c r="I69" s="6">
        <v>10.38</v>
      </c>
      <c r="J69" s="6">
        <v>1.58</v>
      </c>
      <c r="K69" s="6">
        <v>57.06</v>
      </c>
      <c r="L69" s="6">
        <v>22.64</v>
      </c>
      <c r="M69" s="6">
        <v>70.73</v>
      </c>
      <c r="N69" s="6">
        <v>96.8</v>
      </c>
      <c r="O69" s="6">
        <v>0</v>
      </c>
      <c r="P69" s="6">
        <v>1.02</v>
      </c>
      <c r="Q69" s="6">
        <v>4.9000000000000004</v>
      </c>
    </row>
    <row r="70" spans="1:17" customFormat="1">
      <c r="A70" s="72">
        <v>45310.645833333336</v>
      </c>
      <c r="B70" s="6">
        <v>13.43</v>
      </c>
      <c r="C70" s="6">
        <v>28.56</v>
      </c>
      <c r="D70" s="6">
        <v>27.05</v>
      </c>
      <c r="E70" s="6">
        <v>7.37</v>
      </c>
      <c r="F70" s="6">
        <v>3.82</v>
      </c>
      <c r="G70" s="6">
        <v>93.36</v>
      </c>
      <c r="H70" s="6">
        <v>42.07</v>
      </c>
      <c r="I70" s="6">
        <v>10.34</v>
      </c>
      <c r="J70" s="6">
        <v>1.45</v>
      </c>
      <c r="K70" s="6">
        <v>48.97</v>
      </c>
      <c r="L70" s="6">
        <v>22.67</v>
      </c>
      <c r="M70" s="6">
        <v>70.459999999999994</v>
      </c>
      <c r="N70" s="6">
        <v>83.7</v>
      </c>
      <c r="O70" s="6">
        <v>0</v>
      </c>
      <c r="P70" s="6">
        <v>1.02</v>
      </c>
      <c r="Q70" s="6">
        <v>4.92</v>
      </c>
    </row>
    <row r="71" spans="1:17" customFormat="1">
      <c r="A71" s="72">
        <v>45310.65625</v>
      </c>
      <c r="B71" s="6">
        <v>13.72</v>
      </c>
      <c r="C71" s="6">
        <v>26.07</v>
      </c>
      <c r="D71" s="6">
        <v>25.98</v>
      </c>
      <c r="E71" s="6">
        <v>7.66</v>
      </c>
      <c r="F71" s="6">
        <v>3.94</v>
      </c>
      <c r="G71" s="6">
        <v>92.62</v>
      </c>
      <c r="H71" s="6">
        <v>42.07</v>
      </c>
      <c r="I71" s="6">
        <v>10.27</v>
      </c>
      <c r="J71" s="6">
        <v>1.6</v>
      </c>
      <c r="K71" s="6">
        <v>42.87</v>
      </c>
      <c r="L71" s="6">
        <v>22.44</v>
      </c>
      <c r="M71" s="6">
        <v>71.13</v>
      </c>
      <c r="N71" s="6">
        <v>71.3</v>
      </c>
      <c r="O71" s="6">
        <v>0</v>
      </c>
      <c r="P71" s="6">
        <v>1.01</v>
      </c>
      <c r="Q71" s="6">
        <v>4.91</v>
      </c>
    </row>
    <row r="72" spans="1:17" customFormat="1">
      <c r="A72" s="72">
        <v>45310.666666666664</v>
      </c>
      <c r="B72" s="6">
        <v>14</v>
      </c>
      <c r="C72" s="6">
        <v>24.11</v>
      </c>
      <c r="D72" s="6">
        <v>25.17</v>
      </c>
      <c r="E72" s="6">
        <v>7.28</v>
      </c>
      <c r="F72" s="6">
        <v>3.86</v>
      </c>
      <c r="G72" s="6">
        <v>92.62</v>
      </c>
      <c r="H72" s="6">
        <v>42.07</v>
      </c>
      <c r="I72" s="6">
        <v>10.210000000000001</v>
      </c>
      <c r="J72" s="6">
        <v>1.82</v>
      </c>
      <c r="K72" s="6">
        <v>50.68</v>
      </c>
      <c r="L72" s="6">
        <v>22.22</v>
      </c>
      <c r="M72" s="6">
        <v>71.760000000000005</v>
      </c>
      <c r="N72" s="6">
        <v>58.7</v>
      </c>
      <c r="O72" s="6">
        <v>0</v>
      </c>
      <c r="P72" s="6">
        <v>1</v>
      </c>
      <c r="Q72" s="6">
        <v>4.92</v>
      </c>
    </row>
    <row r="73" spans="1:17" customFormat="1">
      <c r="A73" s="72">
        <v>45310.677083333336</v>
      </c>
      <c r="B73" s="6">
        <v>14.09</v>
      </c>
      <c r="C73" s="6">
        <v>23.66</v>
      </c>
      <c r="D73" s="6">
        <v>25.02</v>
      </c>
      <c r="E73" s="6">
        <v>6.92</v>
      </c>
      <c r="F73" s="6">
        <v>3.58</v>
      </c>
      <c r="G73" s="6">
        <v>92.62</v>
      </c>
      <c r="H73" s="6">
        <v>42.07</v>
      </c>
      <c r="I73" s="6">
        <v>10.18</v>
      </c>
      <c r="J73" s="6">
        <v>1.6</v>
      </c>
      <c r="K73" s="6">
        <v>54.36</v>
      </c>
      <c r="L73" s="6">
        <v>21.92</v>
      </c>
      <c r="M73" s="6">
        <v>72.08</v>
      </c>
      <c r="N73" s="6">
        <v>46.8</v>
      </c>
      <c r="O73" s="6">
        <v>0</v>
      </c>
      <c r="P73" s="6">
        <v>0.99</v>
      </c>
      <c r="Q73" s="6">
        <v>4.91</v>
      </c>
    </row>
    <row r="74" spans="1:17" customFormat="1">
      <c r="A74" s="72">
        <v>45310.6875</v>
      </c>
      <c r="B74" s="6">
        <v>14.36</v>
      </c>
      <c r="C74" s="6">
        <v>24.4</v>
      </c>
      <c r="D74" s="6">
        <v>25.61</v>
      </c>
      <c r="E74" s="6">
        <v>6.95</v>
      </c>
      <c r="F74" s="6">
        <v>3.34</v>
      </c>
      <c r="G74" s="6">
        <v>89.31</v>
      </c>
      <c r="H74" s="6">
        <v>42.27</v>
      </c>
      <c r="I74" s="6">
        <v>10.18</v>
      </c>
      <c r="J74" s="6">
        <v>1.58</v>
      </c>
      <c r="K74" s="6">
        <v>48.03</v>
      </c>
      <c r="L74" s="6">
        <v>21.58</v>
      </c>
      <c r="M74" s="6">
        <v>72.209999999999994</v>
      </c>
      <c r="N74" s="6">
        <v>35.4</v>
      </c>
      <c r="O74" s="6">
        <v>0</v>
      </c>
      <c r="P74" s="6">
        <v>1</v>
      </c>
      <c r="Q74" s="6">
        <v>4.93</v>
      </c>
    </row>
    <row r="75" spans="1:17" customFormat="1">
      <c r="A75" s="72">
        <v>45310.697916666664</v>
      </c>
      <c r="B75" s="6">
        <v>14.98</v>
      </c>
      <c r="C75" s="6">
        <v>25.15</v>
      </c>
      <c r="D75" s="6">
        <v>26.5</v>
      </c>
      <c r="E75" s="6">
        <v>6.93</v>
      </c>
      <c r="F75" s="6">
        <v>3.37</v>
      </c>
      <c r="G75" s="6">
        <v>88.89</v>
      </c>
      <c r="H75" s="6">
        <v>42.27</v>
      </c>
      <c r="I75" s="6">
        <v>10.11</v>
      </c>
      <c r="J75" s="6">
        <v>1.56</v>
      </c>
      <c r="K75" s="6">
        <v>56.26</v>
      </c>
      <c r="L75" s="6">
        <v>21.36</v>
      </c>
      <c r="M75" s="6">
        <v>73.180000000000007</v>
      </c>
      <c r="N75" s="6">
        <v>23.7</v>
      </c>
      <c r="O75" s="6">
        <v>0</v>
      </c>
      <c r="P75" s="6">
        <v>1.01</v>
      </c>
      <c r="Q75" s="6">
        <v>4.92</v>
      </c>
    </row>
    <row r="76" spans="1:17" customFormat="1">
      <c r="A76" s="72">
        <v>45310.708333333336</v>
      </c>
      <c r="B76" s="6">
        <v>15.77</v>
      </c>
      <c r="C76" s="6">
        <v>25.9</v>
      </c>
      <c r="D76" s="6">
        <v>27.53</v>
      </c>
      <c r="E76" s="6">
        <v>7.11</v>
      </c>
      <c r="F76" s="6">
        <v>3.34</v>
      </c>
      <c r="G76" s="6">
        <v>88.89</v>
      </c>
      <c r="H76" s="6">
        <v>42.27</v>
      </c>
      <c r="I76" s="6">
        <v>10.06</v>
      </c>
      <c r="J76" s="6">
        <v>1.46</v>
      </c>
      <c r="K76" s="6">
        <v>48.8</v>
      </c>
      <c r="L76" s="6">
        <v>21.01</v>
      </c>
      <c r="M76" s="6">
        <v>74.400000000000006</v>
      </c>
      <c r="N76" s="6">
        <v>12.3</v>
      </c>
      <c r="O76" s="6">
        <v>0</v>
      </c>
      <c r="P76" s="6">
        <v>1.01</v>
      </c>
      <c r="Q76" s="6">
        <v>4.9400000000000004</v>
      </c>
    </row>
    <row r="77" spans="1:17" customFormat="1">
      <c r="A77" s="72">
        <v>45310.71875</v>
      </c>
      <c r="B77" s="6">
        <v>17.010000000000002</v>
      </c>
      <c r="C77" s="6">
        <v>25.03</v>
      </c>
      <c r="D77" s="6">
        <v>28.07</v>
      </c>
      <c r="E77" s="6">
        <v>6.91</v>
      </c>
      <c r="F77" s="6">
        <v>3.61</v>
      </c>
      <c r="G77" s="6">
        <v>88.89</v>
      </c>
      <c r="H77" s="6">
        <v>42.27</v>
      </c>
      <c r="I77" s="6">
        <v>10.02</v>
      </c>
      <c r="J77" s="6">
        <v>1.37</v>
      </c>
      <c r="K77" s="6">
        <v>47.62</v>
      </c>
      <c r="L77" s="6">
        <v>20.65</v>
      </c>
      <c r="M77" s="6">
        <v>75.760000000000005</v>
      </c>
      <c r="N77" s="6">
        <v>3.3</v>
      </c>
      <c r="O77" s="6">
        <v>0</v>
      </c>
      <c r="P77" s="6">
        <v>1</v>
      </c>
      <c r="Q77" s="6">
        <v>4.97</v>
      </c>
    </row>
    <row r="78" spans="1:17" customFormat="1">
      <c r="A78" s="72">
        <v>45310.729166666664</v>
      </c>
      <c r="B78" s="6">
        <v>17.989999999999998</v>
      </c>
      <c r="C78" s="6">
        <v>24.22</v>
      </c>
      <c r="D78" s="6">
        <v>28.43</v>
      </c>
      <c r="E78" s="6">
        <v>6.82</v>
      </c>
      <c r="F78" s="6">
        <v>3.57</v>
      </c>
      <c r="G78" s="6">
        <v>86.29</v>
      </c>
      <c r="H78" s="6">
        <v>42.48</v>
      </c>
      <c r="I78" s="6">
        <v>9.9700000000000006</v>
      </c>
      <c r="J78" s="6">
        <v>1.51</v>
      </c>
      <c r="K78" s="6">
        <v>53.31</v>
      </c>
      <c r="L78" s="6">
        <v>20.260000000000002</v>
      </c>
      <c r="M78" s="6">
        <v>77.66</v>
      </c>
      <c r="N78" s="6">
        <v>0</v>
      </c>
      <c r="O78" s="6">
        <v>0</v>
      </c>
      <c r="P78" s="6">
        <v>1</v>
      </c>
      <c r="Q78" s="6">
        <v>5</v>
      </c>
    </row>
    <row r="79" spans="1:17" customFormat="1">
      <c r="A79" s="72">
        <v>45310.739583333336</v>
      </c>
      <c r="B79" s="6">
        <v>18.899999999999999</v>
      </c>
      <c r="C79" s="6">
        <v>26.27</v>
      </c>
      <c r="D79" s="6">
        <v>30.23</v>
      </c>
      <c r="E79" s="6">
        <v>7.17</v>
      </c>
      <c r="F79" s="6">
        <v>3.33</v>
      </c>
      <c r="G79" s="6">
        <v>85.96</v>
      </c>
      <c r="H79" s="6">
        <v>42.48</v>
      </c>
      <c r="I79" s="6">
        <v>9.94</v>
      </c>
      <c r="J79" s="6">
        <v>1.1499999999999999</v>
      </c>
      <c r="K79" s="6">
        <v>54.01</v>
      </c>
      <c r="L79" s="6">
        <v>19.95</v>
      </c>
      <c r="M79" s="6">
        <v>78.67</v>
      </c>
      <c r="N79" s="6">
        <v>0</v>
      </c>
      <c r="O79" s="6">
        <v>0</v>
      </c>
      <c r="P79" s="6">
        <v>1</v>
      </c>
      <c r="Q79" s="6">
        <v>5.03</v>
      </c>
    </row>
    <row r="80" spans="1:17" customFormat="1">
      <c r="A80" s="72">
        <v>45310.75</v>
      </c>
      <c r="B80" s="6">
        <v>20.260000000000002</v>
      </c>
      <c r="C80" s="6">
        <v>26</v>
      </c>
      <c r="D80" s="6">
        <v>31.19</v>
      </c>
      <c r="E80" s="6">
        <v>6.84</v>
      </c>
      <c r="F80" s="6">
        <v>3.38</v>
      </c>
      <c r="G80" s="6">
        <v>85.96</v>
      </c>
      <c r="H80" s="6">
        <v>42.48</v>
      </c>
      <c r="I80" s="6">
        <v>9.93</v>
      </c>
      <c r="J80" s="6">
        <v>1.21</v>
      </c>
      <c r="K80" s="6">
        <v>55.29</v>
      </c>
      <c r="L80" s="6">
        <v>19.77</v>
      </c>
      <c r="M80" s="6">
        <v>79.25</v>
      </c>
      <c r="N80" s="6">
        <v>0</v>
      </c>
      <c r="O80" s="6">
        <v>0</v>
      </c>
      <c r="P80" s="6">
        <v>1.02</v>
      </c>
      <c r="Q80" s="6">
        <v>5.07</v>
      </c>
    </row>
    <row r="81" spans="1:17" customFormat="1">
      <c r="A81" s="72">
        <v>45310.760416666664</v>
      </c>
      <c r="B81" s="6">
        <v>22.09</v>
      </c>
      <c r="C81" s="6">
        <v>26.57</v>
      </c>
      <c r="D81" s="6">
        <v>32.950000000000003</v>
      </c>
      <c r="E81" s="6">
        <v>8.1</v>
      </c>
      <c r="F81" s="6">
        <v>3.32</v>
      </c>
      <c r="G81" s="6">
        <v>85.96</v>
      </c>
      <c r="H81" s="6">
        <v>42.48</v>
      </c>
      <c r="I81" s="6">
        <v>9.94</v>
      </c>
      <c r="J81" s="6">
        <v>1.21</v>
      </c>
      <c r="K81" s="6">
        <v>52.95</v>
      </c>
      <c r="L81" s="6">
        <v>19.57</v>
      </c>
      <c r="M81" s="6">
        <v>79.86</v>
      </c>
      <c r="N81" s="6">
        <v>0</v>
      </c>
      <c r="O81" s="6">
        <v>0</v>
      </c>
      <c r="P81" s="6">
        <v>1.03</v>
      </c>
      <c r="Q81" s="6">
        <v>5.0999999999999996</v>
      </c>
    </row>
    <row r="82" spans="1:17" customFormat="1">
      <c r="A82" s="72">
        <v>45310.770833333336</v>
      </c>
      <c r="B82" s="6">
        <v>23.96</v>
      </c>
      <c r="C82" s="6">
        <v>26.6</v>
      </c>
      <c r="D82" s="6">
        <v>34.46</v>
      </c>
      <c r="E82" s="6">
        <v>9.06</v>
      </c>
      <c r="F82" s="6">
        <v>3.38</v>
      </c>
      <c r="G82" s="6">
        <v>87.88</v>
      </c>
      <c r="H82" s="6">
        <v>40.79</v>
      </c>
      <c r="I82" s="6">
        <v>9.9700000000000006</v>
      </c>
      <c r="J82" s="6">
        <v>1.17</v>
      </c>
      <c r="K82" s="6">
        <v>54.66</v>
      </c>
      <c r="L82" s="6">
        <v>19.36</v>
      </c>
      <c r="M82" s="6">
        <v>80.73</v>
      </c>
      <c r="N82" s="6">
        <v>0</v>
      </c>
      <c r="O82" s="6">
        <v>0</v>
      </c>
      <c r="P82" s="6">
        <v>1.03</v>
      </c>
      <c r="Q82" s="6">
        <v>5.15</v>
      </c>
    </row>
    <row r="83" spans="1:17" customFormat="1">
      <c r="A83" s="72">
        <v>45310.78125</v>
      </c>
      <c r="B83" s="6">
        <v>25.55</v>
      </c>
      <c r="C83" s="6">
        <v>27.25</v>
      </c>
      <c r="D83" s="6">
        <v>36.08</v>
      </c>
      <c r="E83" s="6">
        <v>9.65</v>
      </c>
      <c r="F83" s="6">
        <v>3.26</v>
      </c>
      <c r="G83" s="6">
        <v>88.12</v>
      </c>
      <c r="H83" s="6">
        <v>40.79</v>
      </c>
      <c r="I83" s="6">
        <v>10.029999999999999</v>
      </c>
      <c r="J83" s="6">
        <v>1.28</v>
      </c>
      <c r="K83" s="6">
        <v>56.55</v>
      </c>
      <c r="L83" s="6">
        <v>19.22</v>
      </c>
      <c r="M83" s="6">
        <v>80.69</v>
      </c>
      <c r="N83" s="6">
        <v>0</v>
      </c>
      <c r="O83" s="6">
        <v>0</v>
      </c>
      <c r="P83" s="6">
        <v>1.04</v>
      </c>
      <c r="Q83" s="6">
        <v>5.16</v>
      </c>
    </row>
    <row r="84" spans="1:17" customFormat="1">
      <c r="A84" s="72">
        <v>45310.791666666664</v>
      </c>
      <c r="B84" s="6">
        <v>27.14</v>
      </c>
      <c r="C84" s="6">
        <v>28</v>
      </c>
      <c r="D84" s="6">
        <v>37.74</v>
      </c>
      <c r="E84" s="6">
        <v>9.1300000000000008</v>
      </c>
      <c r="F84" s="6">
        <v>3.46</v>
      </c>
      <c r="G84" s="6">
        <v>88.12</v>
      </c>
      <c r="H84" s="6">
        <v>40.79</v>
      </c>
      <c r="I84" s="6">
        <v>10.16</v>
      </c>
      <c r="J84" s="6">
        <v>1.07</v>
      </c>
      <c r="K84" s="6">
        <v>50.44</v>
      </c>
      <c r="L84" s="6">
        <v>18.98</v>
      </c>
      <c r="M84" s="6">
        <v>80.62</v>
      </c>
      <c r="N84" s="6">
        <v>0</v>
      </c>
      <c r="O84" s="6">
        <v>0</v>
      </c>
      <c r="P84" s="6">
        <v>1.06</v>
      </c>
      <c r="Q84" s="6">
        <v>5.18</v>
      </c>
    </row>
    <row r="85" spans="1:17" customFormat="1">
      <c r="A85" s="72">
        <v>45310.802083333336</v>
      </c>
      <c r="B85" s="6">
        <v>28.94</v>
      </c>
      <c r="C85" s="6">
        <v>27.9</v>
      </c>
      <c r="D85" s="6">
        <v>39.14</v>
      </c>
      <c r="E85" s="6">
        <v>9.4700000000000006</v>
      </c>
      <c r="F85" s="6">
        <v>3.44</v>
      </c>
      <c r="G85" s="6">
        <v>88.12</v>
      </c>
      <c r="H85" s="6">
        <v>40.79</v>
      </c>
      <c r="I85" s="6">
        <v>10.26</v>
      </c>
      <c r="J85" s="6">
        <v>1.0900000000000001</v>
      </c>
      <c r="K85" s="6">
        <v>45.1</v>
      </c>
      <c r="L85" s="6">
        <v>18.760000000000002</v>
      </c>
      <c r="M85" s="6">
        <v>80.34</v>
      </c>
      <c r="N85" s="6">
        <v>0</v>
      </c>
      <c r="O85" s="6">
        <v>0</v>
      </c>
      <c r="P85" s="6">
        <v>1.07</v>
      </c>
      <c r="Q85" s="6">
        <v>5.21</v>
      </c>
    </row>
    <row r="86" spans="1:17" customFormat="1">
      <c r="A86" s="72">
        <v>45310.8125</v>
      </c>
      <c r="B86" s="6">
        <v>30.19</v>
      </c>
      <c r="C86" s="6">
        <v>28.75</v>
      </c>
      <c r="D86" s="6">
        <v>40.58</v>
      </c>
      <c r="E86" s="6">
        <v>8.98</v>
      </c>
      <c r="F86" s="6">
        <v>3.28</v>
      </c>
      <c r="G86" s="6">
        <v>91.55</v>
      </c>
      <c r="H86" s="6">
        <v>41.82</v>
      </c>
      <c r="I86" s="6">
        <v>10.35</v>
      </c>
      <c r="J86" s="6">
        <v>0.96</v>
      </c>
      <c r="K86" s="6">
        <v>59.07</v>
      </c>
      <c r="L86" s="6">
        <v>18.64</v>
      </c>
      <c r="M86" s="6">
        <v>80.64</v>
      </c>
      <c r="N86" s="6">
        <v>0</v>
      </c>
      <c r="O86" s="6">
        <v>0</v>
      </c>
      <c r="P86" s="6">
        <v>1.0900000000000001</v>
      </c>
      <c r="Q86" s="6">
        <v>5.23</v>
      </c>
    </row>
    <row r="87" spans="1:17" customFormat="1">
      <c r="A87" s="72">
        <v>45310.822916666664</v>
      </c>
      <c r="B87" s="6">
        <v>31.77</v>
      </c>
      <c r="C87" s="6">
        <v>29.07</v>
      </c>
      <c r="D87" s="6">
        <v>42.01</v>
      </c>
      <c r="E87" s="6">
        <v>9.6999999999999993</v>
      </c>
      <c r="F87" s="6">
        <v>3.24</v>
      </c>
      <c r="G87" s="6">
        <v>91.98</v>
      </c>
      <c r="H87" s="6">
        <v>41.82</v>
      </c>
      <c r="I87" s="6">
        <v>10.43</v>
      </c>
      <c r="J87" s="6">
        <v>0.82</v>
      </c>
      <c r="K87" s="6">
        <v>51.15</v>
      </c>
      <c r="L87" s="6">
        <v>18.55</v>
      </c>
      <c r="M87" s="6">
        <v>80.7</v>
      </c>
      <c r="N87" s="6">
        <v>0</v>
      </c>
      <c r="O87" s="6">
        <v>0</v>
      </c>
      <c r="P87" s="6">
        <v>1.1000000000000001</v>
      </c>
      <c r="Q87" s="6">
        <v>5.26</v>
      </c>
    </row>
    <row r="88" spans="1:17" customFormat="1">
      <c r="A88" s="72">
        <v>45310.833333333336</v>
      </c>
      <c r="B88" s="6">
        <v>33.04</v>
      </c>
      <c r="C88" s="6">
        <v>30.81</v>
      </c>
      <c r="D88" s="6">
        <v>43.94</v>
      </c>
      <c r="E88" s="6">
        <v>9.64</v>
      </c>
      <c r="F88" s="6">
        <v>3.14</v>
      </c>
      <c r="G88" s="6">
        <v>91.98</v>
      </c>
      <c r="H88" s="6">
        <v>41.82</v>
      </c>
      <c r="I88" s="6">
        <v>10.5</v>
      </c>
      <c r="J88" s="6">
        <v>0.93</v>
      </c>
      <c r="K88" s="6">
        <v>58.37</v>
      </c>
      <c r="L88" s="6">
        <v>18.399999999999999</v>
      </c>
      <c r="M88" s="6">
        <v>81</v>
      </c>
      <c r="N88" s="6">
        <v>0</v>
      </c>
      <c r="O88" s="6">
        <v>0</v>
      </c>
      <c r="P88" s="6">
        <v>1.1100000000000001</v>
      </c>
      <c r="Q88" s="6">
        <v>5.3</v>
      </c>
    </row>
    <row r="89" spans="1:17" customFormat="1">
      <c r="A89" s="72">
        <v>45310.84375</v>
      </c>
      <c r="B89" s="6">
        <v>34.72</v>
      </c>
      <c r="C89" s="6">
        <v>31.92</v>
      </c>
      <c r="D89" s="6">
        <v>45.87</v>
      </c>
      <c r="E89" s="6">
        <v>10.46</v>
      </c>
      <c r="F89" s="6">
        <v>3.2</v>
      </c>
      <c r="G89" s="6">
        <v>91.98</v>
      </c>
      <c r="H89" s="6">
        <v>41.82</v>
      </c>
      <c r="I89" s="6">
        <v>10.61</v>
      </c>
      <c r="J89" s="6">
        <v>0.9</v>
      </c>
      <c r="K89" s="6">
        <v>51.71</v>
      </c>
      <c r="L89" s="6">
        <v>18.29</v>
      </c>
      <c r="M89" s="6">
        <v>81.209999999999994</v>
      </c>
      <c r="N89" s="6">
        <v>0</v>
      </c>
      <c r="O89" s="6">
        <v>0</v>
      </c>
      <c r="P89" s="6">
        <v>1.1200000000000001</v>
      </c>
      <c r="Q89" s="6">
        <v>5.31</v>
      </c>
    </row>
    <row r="90" spans="1:17" customFormat="1">
      <c r="A90" s="72">
        <v>45310.854166666664</v>
      </c>
      <c r="B90" s="6">
        <v>36.6</v>
      </c>
      <c r="C90" s="6">
        <v>32.770000000000003</v>
      </c>
      <c r="D90" s="6">
        <v>47.82</v>
      </c>
      <c r="E90" s="6">
        <v>10</v>
      </c>
      <c r="F90" s="6">
        <v>3.17</v>
      </c>
      <c r="G90" s="6">
        <v>101.81</v>
      </c>
      <c r="H90" s="6">
        <v>45.96</v>
      </c>
      <c r="I90" s="6">
        <v>10.69</v>
      </c>
      <c r="J90" s="6">
        <v>0.96</v>
      </c>
      <c r="K90" s="6">
        <v>59.94</v>
      </c>
      <c r="L90" s="6">
        <v>18.16</v>
      </c>
      <c r="M90" s="6">
        <v>81.33</v>
      </c>
      <c r="N90" s="6">
        <v>0</v>
      </c>
      <c r="O90" s="6">
        <v>0</v>
      </c>
      <c r="P90" s="6">
        <v>1.1499999999999999</v>
      </c>
      <c r="Q90" s="6">
        <v>5.33</v>
      </c>
    </row>
    <row r="91" spans="1:17" customFormat="1">
      <c r="A91" s="72">
        <v>45310.864583333336</v>
      </c>
      <c r="B91" s="6">
        <v>38.28</v>
      </c>
      <c r="C91" s="6">
        <v>33.33</v>
      </c>
      <c r="D91" s="6">
        <v>49.46</v>
      </c>
      <c r="E91" s="6">
        <v>9.74</v>
      </c>
      <c r="F91" s="6">
        <v>3.36</v>
      </c>
      <c r="G91" s="6">
        <v>103.04</v>
      </c>
      <c r="H91" s="6">
        <v>45.96</v>
      </c>
      <c r="I91" s="6">
        <v>10.79</v>
      </c>
      <c r="J91" s="6">
        <v>0.83</v>
      </c>
      <c r="K91" s="6">
        <v>56.29</v>
      </c>
      <c r="L91" s="6">
        <v>18.010000000000002</v>
      </c>
      <c r="M91" s="6">
        <v>81.88</v>
      </c>
      <c r="N91" s="6">
        <v>0</v>
      </c>
      <c r="O91" s="6">
        <v>0</v>
      </c>
      <c r="P91" s="6">
        <v>1.1599999999999999</v>
      </c>
      <c r="Q91" s="6">
        <v>5.35</v>
      </c>
    </row>
    <row r="92" spans="1:17" customFormat="1">
      <c r="A92" s="72">
        <v>45310.875</v>
      </c>
      <c r="B92" s="6">
        <v>39.4</v>
      </c>
      <c r="C92" s="6">
        <v>33.700000000000003</v>
      </c>
      <c r="D92" s="6">
        <v>50.55</v>
      </c>
      <c r="E92" s="6">
        <v>10.15</v>
      </c>
      <c r="F92" s="6">
        <v>3.41</v>
      </c>
      <c r="G92" s="6">
        <v>103.04</v>
      </c>
      <c r="H92" s="6">
        <v>45.96</v>
      </c>
      <c r="I92" s="6">
        <v>10.96</v>
      </c>
      <c r="J92" s="6">
        <v>0.74</v>
      </c>
      <c r="K92" s="6">
        <v>57.86</v>
      </c>
      <c r="L92" s="6">
        <v>17.93</v>
      </c>
      <c r="M92" s="6">
        <v>81.62</v>
      </c>
      <c r="N92" s="6">
        <v>0</v>
      </c>
      <c r="O92" s="6">
        <v>0</v>
      </c>
      <c r="P92" s="6">
        <v>1.17</v>
      </c>
      <c r="Q92" s="6">
        <v>5.35</v>
      </c>
    </row>
    <row r="93" spans="1:17" customFormat="1">
      <c r="A93" s="72">
        <v>45310.885416666664</v>
      </c>
      <c r="B93" s="6">
        <v>39.97</v>
      </c>
      <c r="C93" s="6">
        <v>34.01</v>
      </c>
      <c r="D93" s="6">
        <v>51.18</v>
      </c>
      <c r="E93" s="6">
        <v>9.67</v>
      </c>
      <c r="F93" s="6">
        <v>3.42</v>
      </c>
      <c r="G93" s="6">
        <v>103.04</v>
      </c>
      <c r="H93" s="6">
        <v>45.96</v>
      </c>
      <c r="I93" s="6">
        <v>11.19</v>
      </c>
      <c r="J93" s="6">
        <v>0.72</v>
      </c>
      <c r="K93" s="6">
        <v>59.29</v>
      </c>
      <c r="L93" s="6">
        <v>17.78</v>
      </c>
      <c r="M93" s="6">
        <v>81.93</v>
      </c>
      <c r="N93" s="6">
        <v>0</v>
      </c>
      <c r="O93" s="6">
        <v>0</v>
      </c>
      <c r="P93" s="6">
        <v>1.18</v>
      </c>
      <c r="Q93" s="6">
        <v>5.36</v>
      </c>
    </row>
    <row r="94" spans="1:17" customFormat="1">
      <c r="A94" s="72">
        <v>45310.895833333336</v>
      </c>
      <c r="B94" s="6">
        <v>40.31</v>
      </c>
      <c r="C94" s="6">
        <v>34.159999999999997</v>
      </c>
      <c r="D94" s="6">
        <v>51.53</v>
      </c>
      <c r="E94" s="6">
        <v>9.81</v>
      </c>
      <c r="F94" s="6">
        <v>3.18</v>
      </c>
      <c r="G94" s="6">
        <v>104.1</v>
      </c>
      <c r="H94" s="6">
        <v>50.05</v>
      </c>
      <c r="I94" s="6">
        <v>11.4</v>
      </c>
      <c r="J94" s="6">
        <v>0.6</v>
      </c>
      <c r="K94" s="6">
        <v>59.5</v>
      </c>
      <c r="L94" s="6">
        <v>17.690000000000001</v>
      </c>
      <c r="M94" s="6">
        <v>82.23</v>
      </c>
      <c r="N94" s="6">
        <v>0</v>
      </c>
      <c r="O94" s="6">
        <v>0</v>
      </c>
      <c r="P94" s="6">
        <v>1.19</v>
      </c>
      <c r="Q94" s="6">
        <v>5.36</v>
      </c>
    </row>
    <row r="95" spans="1:17" customFormat="1">
      <c r="A95" s="72">
        <v>45310.90625</v>
      </c>
      <c r="B95" s="6">
        <v>40.479999999999997</v>
      </c>
      <c r="C95" s="6">
        <v>34.31</v>
      </c>
      <c r="D95" s="6">
        <v>51.74</v>
      </c>
      <c r="E95" s="6">
        <v>10.07</v>
      </c>
      <c r="F95" s="6">
        <v>3.26</v>
      </c>
      <c r="G95" s="6">
        <v>104.21</v>
      </c>
      <c r="H95" s="6">
        <v>50.05</v>
      </c>
      <c r="I95" s="6">
        <v>11.54</v>
      </c>
      <c r="J95" s="6">
        <v>0.51</v>
      </c>
      <c r="K95" s="6">
        <v>54.74</v>
      </c>
      <c r="L95" s="6">
        <v>17.57</v>
      </c>
      <c r="M95" s="6">
        <v>82.69</v>
      </c>
      <c r="N95" s="6">
        <v>0</v>
      </c>
      <c r="O95" s="6">
        <v>0</v>
      </c>
      <c r="P95" s="6">
        <v>1.2</v>
      </c>
      <c r="Q95" s="6">
        <v>5.36</v>
      </c>
    </row>
    <row r="96" spans="1:17" customFormat="1">
      <c r="A96" s="72">
        <v>45310.916666666664</v>
      </c>
      <c r="B96" s="6">
        <v>40.79</v>
      </c>
      <c r="C96" s="6">
        <v>34.25</v>
      </c>
      <c r="D96" s="6">
        <v>51.96</v>
      </c>
      <c r="E96" s="6">
        <v>9.8800000000000008</v>
      </c>
      <c r="F96" s="6">
        <v>3.16</v>
      </c>
      <c r="G96" s="6">
        <v>104.21</v>
      </c>
      <c r="H96" s="6">
        <v>50.05</v>
      </c>
      <c r="I96" s="6">
        <v>11.66</v>
      </c>
      <c r="J96" s="6">
        <v>0.47</v>
      </c>
      <c r="K96" s="6">
        <v>42.45</v>
      </c>
      <c r="L96" s="6">
        <v>17.47</v>
      </c>
      <c r="M96" s="6">
        <v>82.74</v>
      </c>
      <c r="N96" s="6">
        <v>0</v>
      </c>
      <c r="O96" s="6">
        <v>0</v>
      </c>
      <c r="P96" s="6">
        <v>1.2</v>
      </c>
      <c r="Q96" s="6">
        <v>5.33</v>
      </c>
    </row>
    <row r="97" spans="1:22" customFormat="1">
      <c r="A97" s="72">
        <v>45310.927083333336</v>
      </c>
      <c r="B97" s="6">
        <v>42.01</v>
      </c>
      <c r="C97" s="6">
        <v>34.450000000000003</v>
      </c>
      <c r="D97" s="6">
        <v>53.04</v>
      </c>
      <c r="E97" s="6">
        <v>10.39</v>
      </c>
      <c r="F97" s="6">
        <v>3.4</v>
      </c>
      <c r="G97" s="6">
        <v>104.21</v>
      </c>
      <c r="H97" s="6">
        <v>50.05</v>
      </c>
      <c r="I97" s="6">
        <v>11.76</v>
      </c>
      <c r="J97" s="6">
        <v>0.55000000000000004</v>
      </c>
      <c r="K97" s="6">
        <v>59.39</v>
      </c>
      <c r="L97" s="6">
        <v>17.45</v>
      </c>
      <c r="M97" s="6">
        <v>81.69</v>
      </c>
      <c r="N97" s="6">
        <v>0</v>
      </c>
      <c r="O97" s="6">
        <v>0</v>
      </c>
      <c r="P97" s="6">
        <v>1.21</v>
      </c>
      <c r="Q97" s="6">
        <v>5.33</v>
      </c>
    </row>
    <row r="98" spans="1:22" customFormat="1">
      <c r="A98" s="72">
        <v>45310.9375</v>
      </c>
      <c r="B98" s="6">
        <v>43.21</v>
      </c>
      <c r="C98" s="6">
        <v>34.69</v>
      </c>
      <c r="D98" s="6">
        <v>54.13</v>
      </c>
      <c r="E98" s="6">
        <v>10.35</v>
      </c>
      <c r="F98" s="6">
        <v>3.54</v>
      </c>
      <c r="G98" s="6">
        <v>106.13</v>
      </c>
      <c r="H98" s="6">
        <v>51.98</v>
      </c>
      <c r="I98" s="6">
        <v>11.83</v>
      </c>
      <c r="J98" s="6">
        <v>0.73</v>
      </c>
      <c r="K98" s="6">
        <v>52</v>
      </c>
      <c r="L98" s="6">
        <v>17.399999999999999</v>
      </c>
      <c r="M98" s="6">
        <v>81.28</v>
      </c>
      <c r="N98" s="6">
        <v>0</v>
      </c>
      <c r="O98" s="6">
        <v>0</v>
      </c>
      <c r="P98" s="6">
        <v>1.22</v>
      </c>
      <c r="Q98" s="6">
        <v>5.34</v>
      </c>
    </row>
    <row r="99" spans="1:22" customFormat="1">
      <c r="A99" s="72">
        <v>45310.947916666664</v>
      </c>
      <c r="B99" s="6">
        <v>43.94</v>
      </c>
      <c r="C99" s="6">
        <v>34.49</v>
      </c>
      <c r="D99" s="6">
        <v>54.61</v>
      </c>
      <c r="E99" s="6">
        <v>9.4499999999999993</v>
      </c>
      <c r="F99" s="6">
        <v>3.44</v>
      </c>
      <c r="G99" s="6">
        <v>106.34</v>
      </c>
      <c r="H99" s="6">
        <v>51.98</v>
      </c>
      <c r="I99" s="6">
        <v>11.85</v>
      </c>
      <c r="J99" s="6">
        <v>0.68</v>
      </c>
      <c r="K99" s="6">
        <v>55.42</v>
      </c>
      <c r="L99" s="6">
        <v>17.3</v>
      </c>
      <c r="M99" s="6">
        <v>81.5</v>
      </c>
      <c r="N99" s="6">
        <v>0</v>
      </c>
      <c r="O99" s="6">
        <v>0</v>
      </c>
      <c r="P99" s="6">
        <v>1.21</v>
      </c>
      <c r="Q99" s="6">
        <v>5.35</v>
      </c>
    </row>
    <row r="100" spans="1:22" customFormat="1">
      <c r="A100" s="72">
        <v>45310.958333333336</v>
      </c>
      <c r="B100" s="6">
        <v>44</v>
      </c>
      <c r="C100" s="6">
        <v>34.58</v>
      </c>
      <c r="D100" s="6">
        <v>54.7</v>
      </c>
      <c r="E100" s="6">
        <v>9.4700000000000006</v>
      </c>
      <c r="F100" s="6">
        <v>3.36</v>
      </c>
      <c r="G100" s="6">
        <v>106.34</v>
      </c>
      <c r="H100" s="6">
        <v>51.98</v>
      </c>
      <c r="I100" s="6">
        <v>11.89</v>
      </c>
      <c r="J100" s="6">
        <v>0.47</v>
      </c>
      <c r="K100" s="6">
        <v>66.48</v>
      </c>
      <c r="L100" s="6">
        <v>17.2</v>
      </c>
      <c r="M100" s="6">
        <v>81.96</v>
      </c>
      <c r="N100" s="6">
        <v>0</v>
      </c>
      <c r="O100" s="6">
        <v>0</v>
      </c>
      <c r="P100" s="6">
        <v>1.2</v>
      </c>
      <c r="Q100" s="6">
        <v>5.34</v>
      </c>
    </row>
    <row r="101" spans="1:22" customFormat="1">
      <c r="A101" s="72">
        <v>45310.96875</v>
      </c>
      <c r="B101" s="6">
        <v>43.7</v>
      </c>
      <c r="C101" s="6">
        <v>34.729999999999997</v>
      </c>
      <c r="D101" s="6">
        <v>54.54</v>
      </c>
      <c r="E101" s="6">
        <v>9.75</v>
      </c>
      <c r="F101" s="6">
        <v>3.25</v>
      </c>
      <c r="G101" s="6">
        <v>106.34</v>
      </c>
      <c r="H101" s="6">
        <v>51.98</v>
      </c>
      <c r="I101" s="6">
        <v>11.91</v>
      </c>
      <c r="J101" s="6">
        <v>0.56000000000000005</v>
      </c>
      <c r="K101" s="6">
        <v>54.72</v>
      </c>
      <c r="L101" s="6">
        <v>17.13</v>
      </c>
      <c r="M101" s="6">
        <v>82.42</v>
      </c>
      <c r="N101" s="6">
        <v>0</v>
      </c>
      <c r="O101" s="6">
        <v>0</v>
      </c>
      <c r="P101" s="6">
        <v>1.22</v>
      </c>
      <c r="Q101" s="6">
        <v>5.33</v>
      </c>
    </row>
    <row r="102" spans="1:22" customFormat="1">
      <c r="A102" s="72">
        <v>45310.979166666664</v>
      </c>
      <c r="B102" s="6">
        <v>43.98</v>
      </c>
      <c r="C102" s="6">
        <v>34.5</v>
      </c>
      <c r="D102" s="6">
        <v>54.64</v>
      </c>
      <c r="E102" s="6">
        <v>10.210000000000001</v>
      </c>
      <c r="F102" s="6">
        <v>3.24</v>
      </c>
      <c r="G102" s="6">
        <v>119.13</v>
      </c>
      <c r="H102" s="6">
        <v>54.18</v>
      </c>
      <c r="I102" s="6">
        <v>11.92</v>
      </c>
      <c r="J102" s="6">
        <v>0.52</v>
      </c>
      <c r="K102" s="6">
        <v>57.09</v>
      </c>
      <c r="L102" s="6">
        <v>17.02</v>
      </c>
      <c r="M102" s="6">
        <v>83.31</v>
      </c>
      <c r="N102" s="6">
        <v>0</v>
      </c>
      <c r="O102" s="6">
        <v>0</v>
      </c>
      <c r="P102" s="6">
        <v>1.21</v>
      </c>
      <c r="Q102" s="6">
        <v>5.33</v>
      </c>
    </row>
    <row r="103" spans="1:22" customFormat="1">
      <c r="A103" s="72">
        <v>45310.989583333336</v>
      </c>
      <c r="B103" s="6">
        <v>44.27</v>
      </c>
      <c r="C103" s="6">
        <v>34.46</v>
      </c>
      <c r="D103" s="6">
        <v>54.86</v>
      </c>
      <c r="E103" s="6">
        <v>10.3</v>
      </c>
      <c r="F103" s="6">
        <v>3.35</v>
      </c>
      <c r="G103" s="6">
        <v>120.73</v>
      </c>
      <c r="H103" s="6">
        <v>54.18</v>
      </c>
      <c r="I103" s="6">
        <v>11.91</v>
      </c>
      <c r="J103" s="6">
        <v>0.47</v>
      </c>
      <c r="K103" s="6">
        <v>63.75</v>
      </c>
      <c r="L103" s="6">
        <v>16.920000000000002</v>
      </c>
      <c r="M103" s="6">
        <v>84.02</v>
      </c>
      <c r="N103" s="6">
        <v>0</v>
      </c>
      <c r="O103" s="6">
        <v>0</v>
      </c>
      <c r="P103" s="6">
        <v>1.2</v>
      </c>
      <c r="Q103" s="6">
        <v>5.33</v>
      </c>
    </row>
    <row r="104" spans="1:22" customFormat="1">
      <c r="A104" s="72">
        <v>45311</v>
      </c>
      <c r="B104" s="6">
        <v>44.09</v>
      </c>
      <c r="C104" s="6">
        <v>34.17</v>
      </c>
      <c r="D104" s="6">
        <v>54.56</v>
      </c>
      <c r="E104" s="6">
        <v>9.7899999999999991</v>
      </c>
      <c r="F104" s="6">
        <v>3.41</v>
      </c>
      <c r="G104" s="6">
        <v>120.73</v>
      </c>
      <c r="H104" s="6">
        <v>54.18</v>
      </c>
      <c r="I104" s="6">
        <v>11.92</v>
      </c>
      <c r="J104" s="6">
        <v>0.65</v>
      </c>
      <c r="K104" s="6">
        <v>55.76</v>
      </c>
      <c r="L104" s="6">
        <v>16.809999999999999</v>
      </c>
      <c r="M104" s="6">
        <v>84.83</v>
      </c>
      <c r="N104" s="6">
        <v>0</v>
      </c>
      <c r="O104" s="6">
        <v>0</v>
      </c>
      <c r="P104" s="6">
        <v>1.2</v>
      </c>
      <c r="Q104" s="6">
        <v>5.34</v>
      </c>
    </row>
    <row r="106" spans="1:22">
      <c r="A106" s="156" t="s">
        <v>48</v>
      </c>
      <c r="B106" s="157">
        <f>MIN(B9:B104)</f>
        <v>13.41</v>
      </c>
      <c r="C106" s="157">
        <f>MIN(C9:C104)</f>
        <v>22.95</v>
      </c>
      <c r="D106" s="157">
        <f t="shared" ref="D106:Q106" si="0">MIN(D9:D104)</f>
        <v>25.02</v>
      </c>
      <c r="E106" s="157">
        <f t="shared" si="0"/>
        <v>5.8</v>
      </c>
      <c r="F106" s="157">
        <f t="shared" si="0"/>
        <v>3.06</v>
      </c>
      <c r="G106" s="157">
        <f t="shared" si="0"/>
        <v>78.599999999999994</v>
      </c>
      <c r="H106" s="157">
        <f t="shared" si="0"/>
        <v>40.79</v>
      </c>
      <c r="I106" s="157">
        <f t="shared" si="0"/>
        <v>8.83</v>
      </c>
      <c r="J106" s="157">
        <f t="shared" si="0"/>
        <v>0.06</v>
      </c>
      <c r="K106" s="157">
        <f t="shared" si="0"/>
        <v>20.39</v>
      </c>
      <c r="L106" s="157">
        <f t="shared" si="0"/>
        <v>16.809999999999999</v>
      </c>
      <c r="M106" s="157">
        <f t="shared" si="0"/>
        <v>69.540000000000006</v>
      </c>
      <c r="N106" s="157">
        <f t="shared" si="0"/>
        <v>0</v>
      </c>
      <c r="O106" s="157">
        <f t="shared" si="0"/>
        <v>0</v>
      </c>
      <c r="P106" s="157">
        <f t="shared" si="0"/>
        <v>0.91</v>
      </c>
      <c r="Q106" s="157">
        <f t="shared" si="0"/>
        <v>4.87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44.27</v>
      </c>
      <c r="C107" s="156">
        <f t="shared" ref="C107:Q107" si="1">MAX(C9:C104)</f>
        <v>34.729999999999997</v>
      </c>
      <c r="D107" s="156">
        <f t="shared" si="1"/>
        <v>54.86</v>
      </c>
      <c r="E107" s="156">
        <f t="shared" si="1"/>
        <v>10.46</v>
      </c>
      <c r="F107" s="156">
        <f t="shared" si="1"/>
        <v>3.94</v>
      </c>
      <c r="G107" s="156">
        <f t="shared" si="1"/>
        <v>120.73</v>
      </c>
      <c r="H107" s="156">
        <f t="shared" si="1"/>
        <v>54.18</v>
      </c>
      <c r="I107" s="156">
        <f t="shared" si="1"/>
        <v>11.92</v>
      </c>
      <c r="J107" s="156">
        <f t="shared" si="1"/>
        <v>2.37</v>
      </c>
      <c r="K107" s="156">
        <f t="shared" si="1"/>
        <v>226.9</v>
      </c>
      <c r="L107" s="156">
        <f t="shared" si="1"/>
        <v>22.67</v>
      </c>
      <c r="M107" s="156">
        <f t="shared" si="1"/>
        <v>93.82</v>
      </c>
      <c r="N107" s="156">
        <f t="shared" si="1"/>
        <v>241</v>
      </c>
      <c r="O107" s="156">
        <f t="shared" si="1"/>
        <v>0</v>
      </c>
      <c r="P107" s="156">
        <f t="shared" si="1"/>
        <v>1.22</v>
      </c>
      <c r="Q107" s="156">
        <f t="shared" si="1"/>
        <v>5.36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22.221354166666671</v>
      </c>
      <c r="C108" s="157">
        <f t="shared" ref="C108:Q108" si="2">AVERAGE(C9:C104)</f>
        <v>28.277083333333334</v>
      </c>
      <c r="D108" s="157">
        <f t="shared" si="2"/>
        <v>33.94510416666666</v>
      </c>
      <c r="E108" s="157">
        <f t="shared" si="2"/>
        <v>7.8093750000000028</v>
      </c>
      <c r="F108" s="157">
        <f t="shared" si="2"/>
        <v>3.3682291666666688</v>
      </c>
      <c r="G108" s="157">
        <f t="shared" si="2"/>
        <v>92.082499999999982</v>
      </c>
      <c r="H108" s="157">
        <f t="shared" si="2"/>
        <v>45.256875000000029</v>
      </c>
      <c r="I108" s="157">
        <f t="shared" si="2"/>
        <v>10.017187499999999</v>
      </c>
      <c r="J108" s="157">
        <f t="shared" si="2"/>
        <v>0.96052083333333338</v>
      </c>
      <c r="K108" s="157">
        <f t="shared" si="2"/>
        <v>63.437812499999986</v>
      </c>
      <c r="L108" s="157">
        <f t="shared" si="2"/>
        <v>19.18843750000001</v>
      </c>
      <c r="M108" s="157">
        <f t="shared" si="2"/>
        <v>80.28520833333333</v>
      </c>
      <c r="N108" s="157">
        <f t="shared" si="2"/>
        <v>42.546875000000007</v>
      </c>
      <c r="O108" s="157">
        <f t="shared" si="2"/>
        <v>0</v>
      </c>
      <c r="P108" s="157">
        <f t="shared" si="2"/>
        <v>1.0380208333333336</v>
      </c>
      <c r="Q108" s="157">
        <f t="shared" si="2"/>
        <v>5.062708333333334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9.5980111558035581</v>
      </c>
      <c r="C109" s="157">
        <f t="shared" ref="C109:Q109" si="3">STDEV(C9:C104)</f>
        <v>3.5162800070130062</v>
      </c>
      <c r="D109" s="157">
        <f t="shared" si="3"/>
        <v>9.186403797236304</v>
      </c>
      <c r="E109" s="157">
        <f t="shared" si="3"/>
        <v>1.3524370303465578</v>
      </c>
      <c r="F109" s="157">
        <f t="shared" si="3"/>
        <v>0.16510918104898545</v>
      </c>
      <c r="G109" s="157">
        <f t="shared" si="3"/>
        <v>9.2750753720869969</v>
      </c>
      <c r="H109" s="157">
        <f t="shared" si="3"/>
        <v>3.2472593505098541</v>
      </c>
      <c r="I109" s="157">
        <f t="shared" si="3"/>
        <v>0.88927729749617757</v>
      </c>
      <c r="J109" s="157">
        <f t="shared" si="3"/>
        <v>0.56979658381726417</v>
      </c>
      <c r="K109" s="157">
        <f t="shared" si="3"/>
        <v>34.281129509215894</v>
      </c>
      <c r="L109" s="157">
        <f t="shared" si="3"/>
        <v>1.6223201891280992</v>
      </c>
      <c r="M109" s="157">
        <f t="shared" si="3"/>
        <v>7.826296022373838</v>
      </c>
      <c r="N109" s="157">
        <f t="shared" si="3"/>
        <v>69.507149125865183</v>
      </c>
      <c r="O109" s="157">
        <f t="shared" si="3"/>
        <v>0</v>
      </c>
      <c r="P109" s="157">
        <f t="shared" si="3"/>
        <v>8.5256514388133628E-2</v>
      </c>
      <c r="Q109" s="157">
        <f t="shared" si="3"/>
        <v>0.15402309578465084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45311.010416666664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45311.010416666664</v>
      </c>
      <c r="B9" s="6">
        <v>44.83</v>
      </c>
      <c r="C9" s="6">
        <v>34.409999999999997</v>
      </c>
      <c r="D9" s="6">
        <v>55.28</v>
      </c>
      <c r="E9" s="6">
        <v>10.17</v>
      </c>
      <c r="F9" s="6">
        <v>3.35</v>
      </c>
      <c r="G9" s="6">
        <v>120.73</v>
      </c>
      <c r="H9" s="6">
        <v>54.18</v>
      </c>
      <c r="I9" s="6">
        <v>11.95</v>
      </c>
      <c r="J9" s="6">
        <v>0.61</v>
      </c>
      <c r="K9" s="6">
        <v>60.03</v>
      </c>
      <c r="L9" s="6">
        <v>16.7</v>
      </c>
      <c r="M9" s="6">
        <v>85.56</v>
      </c>
      <c r="N9" s="6">
        <v>0</v>
      </c>
      <c r="O9" s="6">
        <v>0</v>
      </c>
      <c r="P9" s="6">
        <v>1.21</v>
      </c>
      <c r="Q9" s="6">
        <v>5.32</v>
      </c>
    </row>
    <row r="10" spans="1:21" customFormat="1">
      <c r="A10" s="72">
        <v>45311.020833333336</v>
      </c>
      <c r="B10" s="6">
        <v>45.07</v>
      </c>
      <c r="C10" s="6">
        <v>34.229999999999997</v>
      </c>
      <c r="D10" s="6">
        <v>55.37</v>
      </c>
      <c r="E10" s="6">
        <v>9.74</v>
      </c>
      <c r="F10" s="6">
        <v>3.39</v>
      </c>
      <c r="G10" s="6">
        <v>123.25</v>
      </c>
      <c r="H10" s="6">
        <v>54.4</v>
      </c>
      <c r="I10" s="6">
        <v>11.95</v>
      </c>
      <c r="J10" s="6">
        <v>0.42</v>
      </c>
      <c r="K10" s="6">
        <v>65.5</v>
      </c>
      <c r="L10" s="6">
        <v>16.61</v>
      </c>
      <c r="M10" s="6">
        <v>86.01</v>
      </c>
      <c r="N10" s="6">
        <v>0</v>
      </c>
      <c r="O10" s="6">
        <v>0</v>
      </c>
      <c r="P10" s="6">
        <v>1.2</v>
      </c>
      <c r="Q10" s="6">
        <v>5.28</v>
      </c>
    </row>
    <row r="11" spans="1:21" customFormat="1">
      <c r="A11" s="72">
        <v>45311.03125</v>
      </c>
      <c r="B11" s="6">
        <v>44.43</v>
      </c>
      <c r="C11" s="6">
        <v>33.840000000000003</v>
      </c>
      <c r="D11" s="6">
        <v>54.66</v>
      </c>
      <c r="E11" s="6">
        <v>10.1</v>
      </c>
      <c r="F11" s="6">
        <v>3.3</v>
      </c>
      <c r="G11" s="6">
        <v>123.57</v>
      </c>
      <c r="H11" s="6">
        <v>54.4</v>
      </c>
      <c r="I11" s="6">
        <v>11.95</v>
      </c>
      <c r="J11" s="6">
        <v>0.51</v>
      </c>
      <c r="K11" s="6">
        <v>53.78</v>
      </c>
      <c r="L11" s="6">
        <v>16.559999999999999</v>
      </c>
      <c r="M11" s="6">
        <v>86.5</v>
      </c>
      <c r="N11" s="6">
        <v>0</v>
      </c>
      <c r="O11" s="6">
        <v>0</v>
      </c>
      <c r="P11" s="6">
        <v>1.19</v>
      </c>
      <c r="Q11" s="6">
        <v>5.32</v>
      </c>
    </row>
    <row r="12" spans="1:21" customFormat="1">
      <c r="A12" s="72">
        <v>45311.041666666664</v>
      </c>
      <c r="B12" s="6">
        <v>43.78</v>
      </c>
      <c r="C12" s="6">
        <v>34.03</v>
      </c>
      <c r="D12" s="6">
        <v>54.24</v>
      </c>
      <c r="E12" s="6">
        <v>9.42</v>
      </c>
      <c r="F12" s="6">
        <v>3.28</v>
      </c>
      <c r="G12" s="6">
        <v>123.57</v>
      </c>
      <c r="H12" s="6">
        <v>54.4</v>
      </c>
      <c r="I12" s="6">
        <v>11.94</v>
      </c>
      <c r="J12" s="6">
        <v>0.43</v>
      </c>
      <c r="K12" s="6">
        <v>61.18</v>
      </c>
      <c r="L12" s="6">
        <v>16.55</v>
      </c>
      <c r="M12" s="6">
        <v>86.63</v>
      </c>
      <c r="N12" s="6">
        <v>0</v>
      </c>
      <c r="O12" s="6">
        <v>0</v>
      </c>
      <c r="P12" s="6">
        <v>1.18</v>
      </c>
      <c r="Q12" s="6">
        <v>5.3</v>
      </c>
    </row>
    <row r="13" spans="1:21" customFormat="1">
      <c r="A13" s="72">
        <v>45311.052083333336</v>
      </c>
      <c r="B13" s="6">
        <v>43.57</v>
      </c>
      <c r="C13" s="6">
        <v>32.159999999999997</v>
      </c>
      <c r="D13" s="6">
        <v>53.09</v>
      </c>
      <c r="E13" s="6">
        <v>9.14</v>
      </c>
      <c r="F13" s="6">
        <v>3.5</v>
      </c>
      <c r="G13" s="6">
        <v>123.57</v>
      </c>
      <c r="H13" s="6">
        <v>54.4</v>
      </c>
      <c r="I13" s="6">
        <v>11.96</v>
      </c>
      <c r="J13" s="6">
        <v>0.57999999999999996</v>
      </c>
      <c r="K13" s="6">
        <v>66.819999999999993</v>
      </c>
      <c r="L13" s="6">
        <v>16.41</v>
      </c>
      <c r="M13" s="6">
        <v>87.36</v>
      </c>
      <c r="N13" s="6">
        <v>0</v>
      </c>
      <c r="O13" s="6">
        <v>0</v>
      </c>
      <c r="P13" s="6">
        <v>1.18</v>
      </c>
      <c r="Q13" s="6">
        <v>5.26</v>
      </c>
    </row>
    <row r="14" spans="1:21" customFormat="1">
      <c r="A14" s="72">
        <v>45311.0625</v>
      </c>
      <c r="B14" s="6">
        <v>43.2</v>
      </c>
      <c r="C14" s="6">
        <v>29.5</v>
      </c>
      <c r="D14" s="6">
        <v>51.41</v>
      </c>
      <c r="E14" s="6">
        <v>8.61</v>
      </c>
      <c r="F14" s="6">
        <v>3.55</v>
      </c>
      <c r="G14" s="6">
        <v>118.25</v>
      </c>
      <c r="H14" s="6">
        <v>54.74</v>
      </c>
      <c r="I14" s="6">
        <v>11.98</v>
      </c>
      <c r="J14" s="6">
        <v>0.86</v>
      </c>
      <c r="K14" s="6">
        <v>51.5</v>
      </c>
      <c r="L14" s="6">
        <v>16.309999999999999</v>
      </c>
      <c r="M14" s="6">
        <v>88.08</v>
      </c>
      <c r="N14" s="6">
        <v>0</v>
      </c>
      <c r="O14" s="6">
        <v>0</v>
      </c>
      <c r="P14" s="6">
        <v>1.1599999999999999</v>
      </c>
      <c r="Q14" s="6">
        <v>5.28</v>
      </c>
    </row>
    <row r="15" spans="1:21" customFormat="1">
      <c r="A15" s="72">
        <v>45311.072916666664</v>
      </c>
      <c r="B15" s="6">
        <v>42.29</v>
      </c>
      <c r="C15" s="6">
        <v>29.56</v>
      </c>
      <c r="D15" s="6">
        <v>50.7</v>
      </c>
      <c r="E15" s="6">
        <v>9.26</v>
      </c>
      <c r="F15" s="6">
        <v>3.33</v>
      </c>
      <c r="G15" s="6">
        <v>117.58</v>
      </c>
      <c r="H15" s="6">
        <v>54.74</v>
      </c>
      <c r="I15" s="6">
        <v>11.94</v>
      </c>
      <c r="J15" s="6">
        <v>0.39</v>
      </c>
      <c r="K15" s="6">
        <v>42.75</v>
      </c>
      <c r="L15" s="6">
        <v>16.13</v>
      </c>
      <c r="M15" s="6">
        <v>89.14</v>
      </c>
      <c r="N15" s="6">
        <v>0</v>
      </c>
      <c r="O15" s="6">
        <v>0</v>
      </c>
      <c r="P15" s="6">
        <v>1.1599999999999999</v>
      </c>
      <c r="Q15" s="6">
        <v>5.29</v>
      </c>
    </row>
    <row r="16" spans="1:21" customFormat="1">
      <c r="A16" s="72">
        <v>45311.083333333336</v>
      </c>
      <c r="B16" s="6">
        <v>41.52</v>
      </c>
      <c r="C16" s="6">
        <v>28.93</v>
      </c>
      <c r="D16" s="6">
        <v>49.76</v>
      </c>
      <c r="E16" s="6">
        <v>9.17</v>
      </c>
      <c r="F16" s="6">
        <v>3.41</v>
      </c>
      <c r="G16" s="6">
        <v>117.58</v>
      </c>
      <c r="H16" s="6">
        <v>54.74</v>
      </c>
      <c r="I16" s="6">
        <v>11.89</v>
      </c>
      <c r="J16" s="6">
        <v>0.62</v>
      </c>
      <c r="K16" s="6">
        <v>57.99</v>
      </c>
      <c r="L16" s="6">
        <v>16.010000000000002</v>
      </c>
      <c r="M16" s="6">
        <v>89.4</v>
      </c>
      <c r="N16" s="6">
        <v>0</v>
      </c>
      <c r="O16" s="6">
        <v>0</v>
      </c>
      <c r="P16" s="6">
        <v>1.1399999999999999</v>
      </c>
      <c r="Q16" s="6">
        <v>5.3</v>
      </c>
    </row>
    <row r="17" spans="1:17" customFormat="1">
      <c r="A17" s="72">
        <v>45311.09375</v>
      </c>
      <c r="B17" s="6">
        <v>40.700000000000003</v>
      </c>
      <c r="C17" s="6">
        <v>28.85</v>
      </c>
      <c r="D17" s="6">
        <v>49.06</v>
      </c>
      <c r="E17" s="6">
        <v>7.01</v>
      </c>
      <c r="F17" s="6">
        <v>3.28</v>
      </c>
      <c r="G17" s="6">
        <v>117.58</v>
      </c>
      <c r="H17" s="6">
        <v>54.74</v>
      </c>
      <c r="I17" s="6">
        <v>11.85</v>
      </c>
      <c r="J17" s="6">
        <v>0.53</v>
      </c>
      <c r="K17" s="6">
        <v>47.98</v>
      </c>
      <c r="L17" s="6">
        <v>16.010000000000002</v>
      </c>
      <c r="M17" s="6">
        <v>89.18</v>
      </c>
      <c r="N17" s="6">
        <v>0</v>
      </c>
      <c r="O17" s="6">
        <v>0</v>
      </c>
      <c r="P17" s="6">
        <v>1.1399999999999999</v>
      </c>
      <c r="Q17" s="6">
        <v>5.29</v>
      </c>
    </row>
    <row r="18" spans="1:17" customFormat="1">
      <c r="A18" s="72">
        <v>45311.104166666664</v>
      </c>
      <c r="B18" s="6">
        <v>39.71</v>
      </c>
      <c r="C18" s="6">
        <v>29</v>
      </c>
      <c r="D18" s="6">
        <v>48.35</v>
      </c>
      <c r="E18" s="6">
        <v>7.99</v>
      </c>
      <c r="F18" s="6">
        <v>3.31</v>
      </c>
      <c r="G18" s="6">
        <v>116.57</v>
      </c>
      <c r="H18" s="6">
        <v>52.28</v>
      </c>
      <c r="I18" s="6">
        <v>11.79</v>
      </c>
      <c r="J18" s="6">
        <v>0.2</v>
      </c>
      <c r="K18" s="6">
        <v>289.47000000000003</v>
      </c>
      <c r="L18" s="6">
        <v>15.96</v>
      </c>
      <c r="M18" s="6">
        <v>89.33</v>
      </c>
      <c r="N18" s="6">
        <v>0</v>
      </c>
      <c r="O18" s="6">
        <v>0</v>
      </c>
      <c r="P18" s="6">
        <v>1.1399999999999999</v>
      </c>
      <c r="Q18" s="6">
        <v>5.3</v>
      </c>
    </row>
    <row r="19" spans="1:17" customFormat="1">
      <c r="A19" s="72">
        <v>45311.114583333336</v>
      </c>
      <c r="B19" s="6">
        <v>38.61</v>
      </c>
      <c r="C19" s="6">
        <v>29.04</v>
      </c>
      <c r="D19" s="6">
        <v>47.49</v>
      </c>
      <c r="E19" s="6">
        <v>7.25</v>
      </c>
      <c r="F19" s="6">
        <v>3.23</v>
      </c>
      <c r="G19" s="6">
        <v>116.44</v>
      </c>
      <c r="H19" s="6">
        <v>52.28</v>
      </c>
      <c r="I19" s="6">
        <v>11.75</v>
      </c>
      <c r="J19" s="6">
        <v>0.1</v>
      </c>
      <c r="K19" s="6">
        <v>63.47</v>
      </c>
      <c r="L19" s="6">
        <v>15.81</v>
      </c>
      <c r="M19" s="6">
        <v>90.32</v>
      </c>
      <c r="N19" s="6">
        <v>0</v>
      </c>
      <c r="O19" s="6">
        <v>0</v>
      </c>
      <c r="P19" s="6">
        <v>1.1200000000000001</v>
      </c>
      <c r="Q19" s="6">
        <v>5.29</v>
      </c>
    </row>
    <row r="20" spans="1:17" customFormat="1">
      <c r="A20" s="72">
        <v>45311.125</v>
      </c>
      <c r="B20" s="6">
        <v>37.68</v>
      </c>
      <c r="C20" s="6">
        <v>28.45</v>
      </c>
      <c r="D20" s="6">
        <v>46.44</v>
      </c>
      <c r="E20" s="6">
        <v>8.0399999999999991</v>
      </c>
      <c r="F20" s="6">
        <v>3.21</v>
      </c>
      <c r="G20" s="6">
        <v>116.44</v>
      </c>
      <c r="H20" s="6">
        <v>52.28</v>
      </c>
      <c r="I20" s="6">
        <v>11.71</v>
      </c>
      <c r="J20" s="6">
        <v>0.39</v>
      </c>
      <c r="K20" s="6">
        <v>173.62</v>
      </c>
      <c r="L20" s="6">
        <v>15.88</v>
      </c>
      <c r="M20" s="6">
        <v>90.49</v>
      </c>
      <c r="N20" s="6">
        <v>0</v>
      </c>
      <c r="O20" s="6">
        <v>0</v>
      </c>
      <c r="P20" s="6">
        <v>1.1100000000000001</v>
      </c>
      <c r="Q20" s="6">
        <v>5.27</v>
      </c>
    </row>
    <row r="21" spans="1:17" customFormat="1">
      <c r="A21" s="72">
        <v>45311.135416666664</v>
      </c>
      <c r="B21" s="6">
        <v>36.369999999999997</v>
      </c>
      <c r="C21" s="6">
        <v>27.4</v>
      </c>
      <c r="D21" s="6">
        <v>44.84</v>
      </c>
      <c r="E21" s="6">
        <v>8.09</v>
      </c>
      <c r="F21" s="6">
        <v>3.28</v>
      </c>
      <c r="G21" s="6">
        <v>116.44</v>
      </c>
      <c r="H21" s="6">
        <v>52.28</v>
      </c>
      <c r="I21" s="6">
        <v>11.64</v>
      </c>
      <c r="J21" s="6">
        <v>0.09</v>
      </c>
      <c r="K21" s="6">
        <v>69.06</v>
      </c>
      <c r="L21" s="6">
        <v>15.94</v>
      </c>
      <c r="M21" s="6">
        <v>90.11</v>
      </c>
      <c r="N21" s="6">
        <v>0</v>
      </c>
      <c r="O21" s="6">
        <v>0</v>
      </c>
      <c r="P21" s="6">
        <v>1.1000000000000001</v>
      </c>
      <c r="Q21" s="6">
        <v>5.25</v>
      </c>
    </row>
    <row r="22" spans="1:17" customFormat="1">
      <c r="A22" s="72">
        <v>45311.145833333336</v>
      </c>
      <c r="B22" s="6">
        <v>35.299999999999997</v>
      </c>
      <c r="C22" s="6">
        <v>27.59</v>
      </c>
      <c r="D22" s="6">
        <v>44.08</v>
      </c>
      <c r="E22" s="6">
        <v>7.64</v>
      </c>
      <c r="F22" s="6">
        <v>3.52</v>
      </c>
      <c r="G22" s="6">
        <v>106.77</v>
      </c>
      <c r="H22" s="6">
        <v>51.59</v>
      </c>
      <c r="I22" s="6">
        <v>11.57</v>
      </c>
      <c r="J22" s="6">
        <v>0.36</v>
      </c>
      <c r="K22" s="6">
        <v>65.48</v>
      </c>
      <c r="L22" s="6">
        <v>16.510000000000002</v>
      </c>
      <c r="M22" s="6">
        <v>85.64</v>
      </c>
      <c r="N22" s="6">
        <v>0</v>
      </c>
      <c r="O22" s="6">
        <v>0</v>
      </c>
      <c r="P22" s="6">
        <v>1.1000000000000001</v>
      </c>
      <c r="Q22" s="6">
        <v>5.24</v>
      </c>
    </row>
    <row r="23" spans="1:17" customFormat="1">
      <c r="A23" s="72">
        <v>45311.15625</v>
      </c>
      <c r="B23" s="6">
        <v>34.840000000000003</v>
      </c>
      <c r="C23" s="6">
        <v>28.1</v>
      </c>
      <c r="D23" s="6">
        <v>43.97</v>
      </c>
      <c r="E23" s="6">
        <v>7.5</v>
      </c>
      <c r="F23" s="6">
        <v>3.28</v>
      </c>
      <c r="G23" s="6">
        <v>105.57</v>
      </c>
      <c r="H23" s="6">
        <v>51.59</v>
      </c>
      <c r="I23" s="6">
        <v>11.53</v>
      </c>
      <c r="J23" s="6">
        <v>0.39</v>
      </c>
      <c r="K23" s="6">
        <v>80.47</v>
      </c>
      <c r="L23" s="6">
        <v>16.760000000000002</v>
      </c>
      <c r="M23" s="6">
        <v>81.87</v>
      </c>
      <c r="N23" s="6">
        <v>0</v>
      </c>
      <c r="O23" s="6">
        <v>0</v>
      </c>
      <c r="P23" s="6">
        <v>1.0900000000000001</v>
      </c>
      <c r="Q23" s="6">
        <v>5.21</v>
      </c>
    </row>
    <row r="24" spans="1:17" customFormat="1">
      <c r="A24" s="72">
        <v>45311.166666666664</v>
      </c>
      <c r="B24" s="6">
        <v>34.22</v>
      </c>
      <c r="C24" s="6">
        <v>27.75</v>
      </c>
      <c r="D24" s="6">
        <v>43.29</v>
      </c>
      <c r="E24" s="6">
        <v>7.42</v>
      </c>
      <c r="F24" s="6">
        <v>3.3</v>
      </c>
      <c r="G24" s="6">
        <v>105.57</v>
      </c>
      <c r="H24" s="6">
        <v>51.59</v>
      </c>
      <c r="I24" s="6">
        <v>11.49</v>
      </c>
      <c r="J24" s="6">
        <v>0.42</v>
      </c>
      <c r="K24" s="6">
        <v>63.53</v>
      </c>
      <c r="L24" s="6">
        <v>16.82</v>
      </c>
      <c r="M24" s="6">
        <v>81.12</v>
      </c>
      <c r="N24" s="6">
        <v>0</v>
      </c>
      <c r="O24" s="6">
        <v>0</v>
      </c>
      <c r="P24" s="6">
        <v>1.0900000000000001</v>
      </c>
      <c r="Q24" s="6">
        <v>5.22</v>
      </c>
    </row>
    <row r="25" spans="1:17" customFormat="1">
      <c r="A25" s="72">
        <v>45311.177083333336</v>
      </c>
      <c r="B25" s="6">
        <v>33.380000000000003</v>
      </c>
      <c r="C25" s="6">
        <v>27.22</v>
      </c>
      <c r="D25" s="6">
        <v>42.34</v>
      </c>
      <c r="E25" s="6">
        <v>7.62</v>
      </c>
      <c r="F25" s="6">
        <v>3.29</v>
      </c>
      <c r="G25" s="6">
        <v>105.57</v>
      </c>
      <c r="H25" s="6">
        <v>51.59</v>
      </c>
      <c r="I25" s="6">
        <v>11.48</v>
      </c>
      <c r="J25" s="6">
        <v>0.37</v>
      </c>
      <c r="K25" s="6">
        <v>85.41</v>
      </c>
      <c r="L25" s="6">
        <v>16.89</v>
      </c>
      <c r="M25" s="6">
        <v>81.180000000000007</v>
      </c>
      <c r="N25" s="6">
        <v>0</v>
      </c>
      <c r="O25" s="6">
        <v>0</v>
      </c>
      <c r="P25" s="6">
        <v>1.08</v>
      </c>
      <c r="Q25" s="6">
        <v>5.23</v>
      </c>
    </row>
    <row r="26" spans="1:17" customFormat="1">
      <c r="A26" s="72">
        <v>45311.1875</v>
      </c>
      <c r="B26" s="6">
        <v>32.39</v>
      </c>
      <c r="C26" s="6">
        <v>27.32</v>
      </c>
      <c r="D26" s="6">
        <v>41.6</v>
      </c>
      <c r="E26" s="6">
        <v>7.6</v>
      </c>
      <c r="F26" s="6">
        <v>3.34</v>
      </c>
      <c r="G26" s="6">
        <v>99.85</v>
      </c>
      <c r="H26" s="6">
        <v>48.73</v>
      </c>
      <c r="I26" s="6">
        <v>11.49</v>
      </c>
      <c r="J26" s="6">
        <v>0.41</v>
      </c>
      <c r="K26" s="6">
        <v>84.72</v>
      </c>
      <c r="L26" s="6">
        <v>16.670000000000002</v>
      </c>
      <c r="M26" s="6">
        <v>81.67</v>
      </c>
      <c r="N26" s="6">
        <v>0</v>
      </c>
      <c r="O26" s="6">
        <v>0</v>
      </c>
      <c r="P26" s="6">
        <v>1.07</v>
      </c>
      <c r="Q26" s="6">
        <v>5.21</v>
      </c>
    </row>
    <row r="27" spans="1:17" customFormat="1">
      <c r="A27" s="72">
        <v>45311.197916666664</v>
      </c>
      <c r="B27" s="6">
        <v>31.55</v>
      </c>
      <c r="C27" s="6">
        <v>27.52</v>
      </c>
      <c r="D27" s="6">
        <v>41.03</v>
      </c>
      <c r="E27" s="6">
        <v>8</v>
      </c>
      <c r="F27" s="6">
        <v>3.14</v>
      </c>
      <c r="G27" s="6">
        <v>99.14</v>
      </c>
      <c r="H27" s="6">
        <v>48.73</v>
      </c>
      <c r="I27" s="6">
        <v>11.49</v>
      </c>
      <c r="J27" s="6">
        <v>0.37</v>
      </c>
      <c r="K27" s="6">
        <v>51.19</v>
      </c>
      <c r="L27" s="6">
        <v>16.7</v>
      </c>
      <c r="M27" s="6">
        <v>81.47</v>
      </c>
      <c r="N27" s="6">
        <v>0</v>
      </c>
      <c r="O27" s="6">
        <v>0</v>
      </c>
      <c r="P27" s="6">
        <v>1.07</v>
      </c>
      <c r="Q27" s="6">
        <v>5.18</v>
      </c>
    </row>
    <row r="28" spans="1:17" customFormat="1">
      <c r="A28" s="72">
        <v>45311.208333333336</v>
      </c>
      <c r="B28" s="6">
        <v>31.24</v>
      </c>
      <c r="C28" s="6">
        <v>26.47</v>
      </c>
      <c r="D28" s="6">
        <v>40.229999999999997</v>
      </c>
      <c r="E28" s="6">
        <v>8.09</v>
      </c>
      <c r="F28" s="6">
        <v>3.38</v>
      </c>
      <c r="G28" s="6">
        <v>99.14</v>
      </c>
      <c r="H28" s="6">
        <v>48.73</v>
      </c>
      <c r="I28" s="6">
        <v>11.45</v>
      </c>
      <c r="J28" s="6">
        <v>0.12</v>
      </c>
      <c r="K28" s="6">
        <v>136.35</v>
      </c>
      <c r="L28" s="6">
        <v>16.8</v>
      </c>
      <c r="M28" s="6">
        <v>80.72</v>
      </c>
      <c r="N28" s="6">
        <v>0</v>
      </c>
      <c r="O28" s="6">
        <v>0</v>
      </c>
      <c r="P28" s="6">
        <v>1.06</v>
      </c>
      <c r="Q28" s="6">
        <v>5.17</v>
      </c>
    </row>
    <row r="29" spans="1:17" customFormat="1">
      <c r="A29" s="72">
        <v>45311.21875</v>
      </c>
      <c r="B29" s="6">
        <v>30.61</v>
      </c>
      <c r="C29" s="6">
        <v>26.74</v>
      </c>
      <c r="D29" s="6">
        <v>39.869999999999997</v>
      </c>
      <c r="E29" s="6">
        <v>8.11</v>
      </c>
      <c r="F29" s="6">
        <v>3.3</v>
      </c>
      <c r="G29" s="6">
        <v>99.14</v>
      </c>
      <c r="H29" s="6">
        <v>48.73</v>
      </c>
      <c r="I29" s="6">
        <v>11.42</v>
      </c>
      <c r="J29" s="6">
        <v>0.52</v>
      </c>
      <c r="K29" s="6">
        <v>28.73</v>
      </c>
      <c r="L29" s="6">
        <v>16.77</v>
      </c>
      <c r="M29" s="6">
        <v>80.91</v>
      </c>
      <c r="N29" s="6">
        <v>0</v>
      </c>
      <c r="O29" s="6">
        <v>0</v>
      </c>
      <c r="P29" s="6">
        <v>1.06</v>
      </c>
      <c r="Q29" s="6">
        <v>5.17</v>
      </c>
    </row>
    <row r="30" spans="1:17" customFormat="1">
      <c r="A30" s="72">
        <v>45311.229166666664</v>
      </c>
      <c r="B30" s="6">
        <v>30.13</v>
      </c>
      <c r="C30" s="6">
        <v>26.28</v>
      </c>
      <c r="D30" s="6">
        <v>39.25</v>
      </c>
      <c r="E30" s="6">
        <v>7.69</v>
      </c>
      <c r="F30" s="6">
        <v>3.34</v>
      </c>
      <c r="G30" s="6">
        <v>94.03</v>
      </c>
      <c r="H30" s="6">
        <v>48.76</v>
      </c>
      <c r="I30" s="6">
        <v>11.43</v>
      </c>
      <c r="J30" s="6">
        <v>0.33</v>
      </c>
      <c r="K30" s="6">
        <v>107.75</v>
      </c>
      <c r="L30" s="6">
        <v>16.71</v>
      </c>
      <c r="M30" s="6">
        <v>80.45</v>
      </c>
      <c r="N30" s="6">
        <v>0</v>
      </c>
      <c r="O30" s="6">
        <v>0</v>
      </c>
      <c r="P30" s="6">
        <v>1.06</v>
      </c>
      <c r="Q30" s="6">
        <v>5.16</v>
      </c>
    </row>
    <row r="31" spans="1:17" customFormat="1">
      <c r="A31" s="72">
        <v>45311.239583333336</v>
      </c>
      <c r="B31" s="6">
        <v>29.2</v>
      </c>
      <c r="C31" s="6">
        <v>27.87</v>
      </c>
      <c r="D31" s="6">
        <v>39.33</v>
      </c>
      <c r="E31" s="6">
        <v>8.16</v>
      </c>
      <c r="F31" s="6">
        <v>3.1</v>
      </c>
      <c r="G31" s="6">
        <v>93.39</v>
      </c>
      <c r="H31" s="6">
        <v>48.76</v>
      </c>
      <c r="I31" s="6">
        <v>11.43</v>
      </c>
      <c r="J31" s="6">
        <v>0.27</v>
      </c>
      <c r="K31" s="6">
        <v>135.16</v>
      </c>
      <c r="L31" s="6">
        <v>16.54</v>
      </c>
      <c r="M31" s="6">
        <v>80.680000000000007</v>
      </c>
      <c r="N31" s="6">
        <v>0</v>
      </c>
      <c r="O31" s="6">
        <v>0</v>
      </c>
      <c r="P31" s="6">
        <v>1.05</v>
      </c>
      <c r="Q31" s="6">
        <v>5.15</v>
      </c>
    </row>
    <row r="32" spans="1:17" customFormat="1">
      <c r="A32" s="72">
        <v>45311.25</v>
      </c>
      <c r="B32" s="6">
        <v>28.12</v>
      </c>
      <c r="C32" s="6">
        <v>27.56</v>
      </c>
      <c r="D32" s="6">
        <v>38.299999999999997</v>
      </c>
      <c r="E32" s="6">
        <v>8.15</v>
      </c>
      <c r="F32" s="6">
        <v>3.21</v>
      </c>
      <c r="G32" s="6">
        <v>93.39</v>
      </c>
      <c r="H32" s="6">
        <v>48.76</v>
      </c>
      <c r="I32" s="6">
        <v>11.43</v>
      </c>
      <c r="J32" s="6">
        <v>0.17</v>
      </c>
      <c r="K32" s="6">
        <v>75.459999999999994</v>
      </c>
      <c r="L32" s="6">
        <v>16.52</v>
      </c>
      <c r="M32" s="6">
        <v>81.260000000000005</v>
      </c>
      <c r="N32" s="6">
        <v>0</v>
      </c>
      <c r="O32" s="6">
        <v>0</v>
      </c>
      <c r="P32" s="6">
        <v>1.06</v>
      </c>
      <c r="Q32" s="6">
        <v>5.15</v>
      </c>
    </row>
    <row r="33" spans="1:17" customFormat="1">
      <c r="A33" s="72">
        <v>45311.260416666664</v>
      </c>
      <c r="B33" s="6">
        <v>26.93</v>
      </c>
      <c r="C33" s="6">
        <v>27.82</v>
      </c>
      <c r="D33" s="6">
        <v>37.479999999999997</v>
      </c>
      <c r="E33" s="6">
        <v>7.87</v>
      </c>
      <c r="F33" s="6">
        <v>3.35</v>
      </c>
      <c r="G33" s="6">
        <v>93.39</v>
      </c>
      <c r="H33" s="6">
        <v>48.76</v>
      </c>
      <c r="I33" s="6">
        <v>11.45</v>
      </c>
      <c r="J33" s="6">
        <v>0.51</v>
      </c>
      <c r="K33" s="6">
        <v>47.56</v>
      </c>
      <c r="L33" s="6">
        <v>16.670000000000002</v>
      </c>
      <c r="M33" s="6">
        <v>81.52</v>
      </c>
      <c r="N33" s="6">
        <v>0</v>
      </c>
      <c r="O33" s="6">
        <v>0</v>
      </c>
      <c r="P33" s="6">
        <v>1.05</v>
      </c>
      <c r="Q33" s="6">
        <v>5.15</v>
      </c>
    </row>
    <row r="34" spans="1:17" customFormat="1">
      <c r="A34" s="72">
        <v>45311.270833333336</v>
      </c>
      <c r="B34" s="6">
        <v>26.97</v>
      </c>
      <c r="C34" s="6">
        <v>27.92</v>
      </c>
      <c r="D34" s="6">
        <v>37.57</v>
      </c>
      <c r="E34" s="6">
        <v>7.98</v>
      </c>
      <c r="F34" s="6">
        <v>3.34</v>
      </c>
      <c r="G34" s="6">
        <v>87.79</v>
      </c>
      <c r="H34" s="6">
        <v>46.27</v>
      </c>
      <c r="I34" s="6">
        <v>11.45</v>
      </c>
      <c r="J34" s="6">
        <v>0.77</v>
      </c>
      <c r="K34" s="6">
        <v>45.89</v>
      </c>
      <c r="L34" s="6">
        <v>16.579999999999998</v>
      </c>
      <c r="M34" s="6">
        <v>81.61</v>
      </c>
      <c r="N34" s="6">
        <v>0</v>
      </c>
      <c r="O34" s="6">
        <v>0</v>
      </c>
      <c r="P34" s="6">
        <v>1.06</v>
      </c>
      <c r="Q34" s="6">
        <v>5.14</v>
      </c>
    </row>
    <row r="35" spans="1:17" customFormat="1">
      <c r="A35" s="72">
        <v>45311.28125</v>
      </c>
      <c r="B35" s="6">
        <v>27.18</v>
      </c>
      <c r="C35" s="6">
        <v>28.25</v>
      </c>
      <c r="D35" s="6">
        <v>37.909999999999997</v>
      </c>
      <c r="E35" s="6">
        <v>8.5</v>
      </c>
      <c r="F35" s="6">
        <v>3.47</v>
      </c>
      <c r="G35" s="6">
        <v>87.09</v>
      </c>
      <c r="H35" s="6">
        <v>46.27</v>
      </c>
      <c r="I35" s="6">
        <v>11.4</v>
      </c>
      <c r="J35" s="6">
        <v>0.46</v>
      </c>
      <c r="K35" s="6">
        <v>14.59</v>
      </c>
      <c r="L35" s="6">
        <v>16.52</v>
      </c>
      <c r="M35" s="6">
        <v>82.01</v>
      </c>
      <c r="N35" s="6">
        <v>0</v>
      </c>
      <c r="O35" s="6">
        <v>0</v>
      </c>
      <c r="P35" s="6">
        <v>1.05</v>
      </c>
      <c r="Q35" s="6">
        <v>5.15</v>
      </c>
    </row>
    <row r="36" spans="1:17" customFormat="1">
      <c r="A36" s="72">
        <v>45311.291666666664</v>
      </c>
      <c r="B36" s="6">
        <v>27.18</v>
      </c>
      <c r="C36" s="6">
        <v>28.51</v>
      </c>
      <c r="D36" s="6">
        <v>38.04</v>
      </c>
      <c r="E36" s="6">
        <v>8.0500000000000007</v>
      </c>
      <c r="F36" s="6">
        <v>3.31</v>
      </c>
      <c r="G36" s="6">
        <v>87.09</v>
      </c>
      <c r="H36" s="6">
        <v>46.27</v>
      </c>
      <c r="I36" s="6">
        <v>11.38</v>
      </c>
      <c r="J36" s="6">
        <v>0.43</v>
      </c>
      <c r="K36" s="6">
        <v>342.05</v>
      </c>
      <c r="L36" s="6">
        <v>16.64</v>
      </c>
      <c r="M36" s="6">
        <v>81.14</v>
      </c>
      <c r="N36" s="6">
        <v>0</v>
      </c>
      <c r="O36" s="6">
        <v>0</v>
      </c>
      <c r="P36" s="6">
        <v>1.06</v>
      </c>
      <c r="Q36" s="6">
        <v>5.14</v>
      </c>
    </row>
    <row r="37" spans="1:17" customFormat="1">
      <c r="A37" s="72">
        <v>45311.302083333336</v>
      </c>
      <c r="B37" s="6">
        <v>27.44</v>
      </c>
      <c r="C37" s="6">
        <v>28.1</v>
      </c>
      <c r="D37" s="6">
        <v>38.04</v>
      </c>
      <c r="E37" s="6">
        <v>8.0399999999999991</v>
      </c>
      <c r="F37" s="6">
        <v>3.38</v>
      </c>
      <c r="G37" s="6">
        <v>87.09</v>
      </c>
      <c r="H37" s="6">
        <v>46.27</v>
      </c>
      <c r="I37" s="6">
        <v>11.37</v>
      </c>
      <c r="J37" s="6">
        <v>0.42</v>
      </c>
      <c r="K37" s="6">
        <v>14.79</v>
      </c>
      <c r="L37" s="6">
        <v>16.739999999999998</v>
      </c>
      <c r="M37" s="6">
        <v>78.959999999999994</v>
      </c>
      <c r="N37" s="6">
        <v>0</v>
      </c>
      <c r="O37" s="6">
        <v>0</v>
      </c>
      <c r="P37" s="6">
        <v>1.06</v>
      </c>
      <c r="Q37" s="6">
        <v>5.14</v>
      </c>
    </row>
    <row r="38" spans="1:17" customFormat="1">
      <c r="A38" s="72">
        <v>45311.3125</v>
      </c>
      <c r="B38" s="6">
        <v>27.38</v>
      </c>
      <c r="C38" s="6">
        <v>28.5</v>
      </c>
      <c r="D38" s="6">
        <v>38.200000000000003</v>
      </c>
      <c r="E38" s="6">
        <v>7.9</v>
      </c>
      <c r="F38" s="6">
        <v>3.42</v>
      </c>
      <c r="G38" s="6">
        <v>88.9</v>
      </c>
      <c r="H38" s="6">
        <v>45.84</v>
      </c>
      <c r="I38" s="6">
        <v>11.37</v>
      </c>
      <c r="J38" s="6">
        <v>0.55000000000000004</v>
      </c>
      <c r="K38" s="6">
        <v>30.47</v>
      </c>
      <c r="L38" s="6">
        <v>16.670000000000002</v>
      </c>
      <c r="M38" s="6">
        <v>78.08</v>
      </c>
      <c r="N38" s="6">
        <v>0</v>
      </c>
      <c r="O38" s="6">
        <v>0</v>
      </c>
      <c r="P38" s="6">
        <v>1.07</v>
      </c>
      <c r="Q38" s="6">
        <v>5.13</v>
      </c>
    </row>
    <row r="39" spans="1:17" customFormat="1">
      <c r="A39" s="72">
        <v>45311.322916666664</v>
      </c>
      <c r="B39" s="6">
        <v>27.66</v>
      </c>
      <c r="C39" s="6">
        <v>28.92</v>
      </c>
      <c r="D39" s="6">
        <v>38.64</v>
      </c>
      <c r="E39" s="6">
        <v>8.33</v>
      </c>
      <c r="F39" s="6">
        <v>3.2</v>
      </c>
      <c r="G39" s="6">
        <v>89.13</v>
      </c>
      <c r="H39" s="6">
        <v>45.84</v>
      </c>
      <c r="I39" s="6">
        <v>11.45</v>
      </c>
      <c r="J39" s="6">
        <v>0.56000000000000005</v>
      </c>
      <c r="K39" s="6">
        <v>40.17</v>
      </c>
      <c r="L39" s="6">
        <v>16.62</v>
      </c>
      <c r="M39" s="6">
        <v>77.63</v>
      </c>
      <c r="N39" s="6">
        <v>1.5</v>
      </c>
      <c r="O39" s="6">
        <v>0</v>
      </c>
      <c r="P39" s="6">
        <v>1.0900000000000001</v>
      </c>
      <c r="Q39" s="6">
        <v>5.1100000000000003</v>
      </c>
    </row>
    <row r="40" spans="1:17" customFormat="1">
      <c r="A40" s="72">
        <v>45311.333333333336</v>
      </c>
      <c r="B40" s="6">
        <v>28.37</v>
      </c>
      <c r="C40" s="6">
        <v>28.82</v>
      </c>
      <c r="D40" s="6">
        <v>39.159999999999997</v>
      </c>
      <c r="E40" s="6">
        <v>8.07</v>
      </c>
      <c r="F40" s="6">
        <v>3.33</v>
      </c>
      <c r="G40" s="6">
        <v>89.13</v>
      </c>
      <c r="H40" s="6">
        <v>45.84</v>
      </c>
      <c r="I40" s="6">
        <v>11.57</v>
      </c>
      <c r="J40" s="6">
        <v>0.38</v>
      </c>
      <c r="K40" s="6">
        <v>31.84</v>
      </c>
      <c r="L40" s="6">
        <v>16.82</v>
      </c>
      <c r="M40" s="6">
        <v>76.2</v>
      </c>
      <c r="N40" s="6">
        <v>2.6</v>
      </c>
      <c r="O40" s="6">
        <v>0</v>
      </c>
      <c r="P40" s="6">
        <v>1.1000000000000001</v>
      </c>
      <c r="Q40" s="6">
        <v>5.12</v>
      </c>
    </row>
    <row r="41" spans="1:17" customFormat="1">
      <c r="A41" s="72">
        <v>45311.34375</v>
      </c>
      <c r="B41" s="6">
        <v>28.71</v>
      </c>
      <c r="C41" s="6">
        <v>28.83</v>
      </c>
      <c r="D41" s="6">
        <v>39.44</v>
      </c>
      <c r="E41" s="6">
        <v>7.83</v>
      </c>
      <c r="F41" s="6">
        <v>3.46</v>
      </c>
      <c r="G41" s="6">
        <v>89.13</v>
      </c>
      <c r="H41" s="6">
        <v>45.84</v>
      </c>
      <c r="I41" s="6">
        <v>11.69</v>
      </c>
      <c r="J41" s="6">
        <v>0.74</v>
      </c>
      <c r="K41" s="6">
        <v>43.76</v>
      </c>
      <c r="L41" s="6">
        <v>16.93</v>
      </c>
      <c r="M41" s="6">
        <v>74.62</v>
      </c>
      <c r="N41" s="6">
        <v>3.4</v>
      </c>
      <c r="O41" s="6">
        <v>0</v>
      </c>
      <c r="P41" s="6">
        <v>1.1000000000000001</v>
      </c>
      <c r="Q41" s="6">
        <v>5.14</v>
      </c>
    </row>
    <row r="42" spans="1:17" customFormat="1">
      <c r="A42" s="72">
        <v>45311.354166666664</v>
      </c>
      <c r="B42" s="6">
        <v>28.95</v>
      </c>
      <c r="C42" s="6">
        <v>29.04</v>
      </c>
      <c r="D42" s="6">
        <v>39.74</v>
      </c>
      <c r="E42" s="6">
        <v>8.0399999999999991</v>
      </c>
      <c r="F42" s="6">
        <v>3.27</v>
      </c>
      <c r="G42" s="6">
        <v>91.21</v>
      </c>
      <c r="H42" s="6">
        <v>46.03</v>
      </c>
      <c r="I42" s="6">
        <v>11.82</v>
      </c>
      <c r="J42" s="6">
        <v>0.85</v>
      </c>
      <c r="K42" s="6">
        <v>44.57</v>
      </c>
      <c r="L42" s="6">
        <v>16.97</v>
      </c>
      <c r="M42" s="6">
        <v>73.69</v>
      </c>
      <c r="N42" s="6">
        <v>9.8000000000000007</v>
      </c>
      <c r="O42" s="6">
        <v>0</v>
      </c>
      <c r="P42" s="6">
        <v>1.1100000000000001</v>
      </c>
      <c r="Q42" s="6">
        <v>5.14</v>
      </c>
    </row>
    <row r="43" spans="1:17" customFormat="1">
      <c r="A43" s="72">
        <v>45311.364583333336</v>
      </c>
      <c r="B43" s="6">
        <v>29.68</v>
      </c>
      <c r="C43" s="6">
        <v>29.42</v>
      </c>
      <c r="D43" s="6">
        <v>40.520000000000003</v>
      </c>
      <c r="E43" s="6">
        <v>8.4700000000000006</v>
      </c>
      <c r="F43" s="6">
        <v>3.26</v>
      </c>
      <c r="G43" s="6">
        <v>91.47</v>
      </c>
      <c r="H43" s="6">
        <v>46.03</v>
      </c>
      <c r="I43" s="6">
        <v>11.91</v>
      </c>
      <c r="J43" s="6">
        <v>0.79</v>
      </c>
      <c r="K43" s="6">
        <v>39.11</v>
      </c>
      <c r="L43" s="6">
        <v>17.12</v>
      </c>
      <c r="M43" s="6">
        <v>73.459999999999994</v>
      </c>
      <c r="N43" s="6">
        <v>10.6</v>
      </c>
      <c r="O43" s="6">
        <v>0</v>
      </c>
      <c r="P43" s="6">
        <v>1.1200000000000001</v>
      </c>
      <c r="Q43" s="6">
        <v>5.14</v>
      </c>
    </row>
    <row r="44" spans="1:17" customFormat="1">
      <c r="A44" s="72">
        <v>45311.375</v>
      </c>
      <c r="B44" s="6">
        <v>30.51</v>
      </c>
      <c r="C44" s="6">
        <v>29.63</v>
      </c>
      <c r="D44" s="6">
        <v>41.3</v>
      </c>
      <c r="E44" s="6">
        <v>9.01</v>
      </c>
      <c r="F44" s="6">
        <v>3.23</v>
      </c>
      <c r="G44" s="6">
        <v>91.47</v>
      </c>
      <c r="H44" s="6">
        <v>46.03</v>
      </c>
      <c r="I44" s="6">
        <v>11.98</v>
      </c>
      <c r="J44" s="6">
        <v>0.84</v>
      </c>
      <c r="K44" s="6">
        <v>45.19</v>
      </c>
      <c r="L44" s="6">
        <v>17.309999999999999</v>
      </c>
      <c r="M44" s="6">
        <v>73.959999999999994</v>
      </c>
      <c r="N44" s="6">
        <v>19.3</v>
      </c>
      <c r="O44" s="6">
        <v>0</v>
      </c>
      <c r="P44" s="6">
        <v>1.1399999999999999</v>
      </c>
      <c r="Q44" s="6">
        <v>5.16</v>
      </c>
    </row>
    <row r="45" spans="1:17" customFormat="1">
      <c r="A45" s="72">
        <v>45311.385416666664</v>
      </c>
      <c r="B45" s="6">
        <v>31.55</v>
      </c>
      <c r="C45" s="6">
        <v>29.79</v>
      </c>
      <c r="D45" s="6">
        <v>42.22</v>
      </c>
      <c r="E45" s="6">
        <v>9.23</v>
      </c>
      <c r="F45" s="6">
        <v>3.17</v>
      </c>
      <c r="G45" s="6">
        <v>91.47</v>
      </c>
      <c r="H45" s="6">
        <v>46.03</v>
      </c>
      <c r="I45" s="6">
        <v>12.07</v>
      </c>
      <c r="J45" s="6">
        <v>1.1599999999999999</v>
      </c>
      <c r="K45" s="6">
        <v>51.61</v>
      </c>
      <c r="L45" s="6">
        <v>17.489999999999998</v>
      </c>
      <c r="M45" s="6">
        <v>73.37</v>
      </c>
      <c r="N45" s="6">
        <v>30.3</v>
      </c>
      <c r="O45" s="6">
        <v>0</v>
      </c>
      <c r="P45" s="6">
        <v>1.17</v>
      </c>
      <c r="Q45" s="6">
        <v>5.17</v>
      </c>
    </row>
    <row r="46" spans="1:17" customFormat="1">
      <c r="A46" s="72">
        <v>45311.395833333336</v>
      </c>
      <c r="B46" s="6">
        <v>32.090000000000003</v>
      </c>
      <c r="C46" s="6">
        <v>30.1</v>
      </c>
      <c r="D46" s="6">
        <v>42.81</v>
      </c>
      <c r="E46" s="6">
        <v>8.6</v>
      </c>
      <c r="F46" s="6">
        <v>3.33</v>
      </c>
      <c r="G46" s="6">
        <v>103.51</v>
      </c>
      <c r="H46" s="6">
        <v>47.83</v>
      </c>
      <c r="I46" s="6">
        <v>12.17</v>
      </c>
      <c r="J46" s="6">
        <v>1.1000000000000001</v>
      </c>
      <c r="K46" s="6">
        <v>44.49</v>
      </c>
      <c r="L46" s="6">
        <v>17.600000000000001</v>
      </c>
      <c r="M46" s="6">
        <v>72.64</v>
      </c>
      <c r="N46" s="6">
        <v>46.7</v>
      </c>
      <c r="O46" s="6">
        <v>0</v>
      </c>
      <c r="P46" s="6">
        <v>1.19</v>
      </c>
      <c r="Q46" s="6">
        <v>5.16</v>
      </c>
    </row>
    <row r="47" spans="1:17" customFormat="1">
      <c r="A47" s="72">
        <v>45311.40625</v>
      </c>
      <c r="B47" s="6">
        <v>32.18</v>
      </c>
      <c r="C47" s="6">
        <v>30.05</v>
      </c>
      <c r="D47" s="6">
        <v>42.86</v>
      </c>
      <c r="E47" s="6">
        <v>8.82</v>
      </c>
      <c r="F47" s="6">
        <v>3.36</v>
      </c>
      <c r="G47" s="6">
        <v>105.01</v>
      </c>
      <c r="H47" s="6">
        <v>47.83</v>
      </c>
      <c r="I47" s="6">
        <v>12.27</v>
      </c>
      <c r="J47" s="6">
        <v>1.18</v>
      </c>
      <c r="K47" s="6">
        <v>52.71</v>
      </c>
      <c r="L47" s="6">
        <v>17.82</v>
      </c>
      <c r="M47" s="6">
        <v>73.53</v>
      </c>
      <c r="N47" s="6">
        <v>42.9</v>
      </c>
      <c r="O47" s="6">
        <v>0</v>
      </c>
      <c r="P47" s="6">
        <v>1.2</v>
      </c>
      <c r="Q47" s="6">
        <v>5.15</v>
      </c>
    </row>
    <row r="48" spans="1:17" customFormat="1">
      <c r="A48" s="72">
        <v>45311.416666666664</v>
      </c>
      <c r="B48" s="6">
        <v>32.33</v>
      </c>
      <c r="C48" s="6">
        <v>29.98</v>
      </c>
      <c r="D48" s="6">
        <v>42.94</v>
      </c>
      <c r="E48" s="6">
        <v>8.18</v>
      </c>
      <c r="F48" s="6">
        <v>3.24</v>
      </c>
      <c r="G48" s="6">
        <v>105.01</v>
      </c>
      <c r="H48" s="6">
        <v>47.83</v>
      </c>
      <c r="I48" s="6">
        <v>12.38</v>
      </c>
      <c r="J48" s="6">
        <v>1.06</v>
      </c>
      <c r="K48" s="6">
        <v>51.22</v>
      </c>
      <c r="L48" s="6">
        <v>18.05</v>
      </c>
      <c r="M48" s="6">
        <v>73.150000000000006</v>
      </c>
      <c r="N48" s="6">
        <v>73.099999999999994</v>
      </c>
      <c r="O48" s="6">
        <v>0</v>
      </c>
      <c r="P48" s="6">
        <v>1.22</v>
      </c>
      <c r="Q48" s="6">
        <v>5.17</v>
      </c>
    </row>
    <row r="49" spans="1:17" customFormat="1">
      <c r="A49" s="72">
        <v>45311.427083333336</v>
      </c>
      <c r="B49" s="6">
        <v>32.49</v>
      </c>
      <c r="C49" s="6">
        <v>30.27</v>
      </c>
      <c r="D49" s="6">
        <v>43.22</v>
      </c>
      <c r="E49" s="6">
        <v>7.33</v>
      </c>
      <c r="F49" s="6">
        <v>3.15</v>
      </c>
      <c r="G49" s="6">
        <v>105.01</v>
      </c>
      <c r="H49" s="6">
        <v>47.83</v>
      </c>
      <c r="I49" s="6">
        <v>12.4</v>
      </c>
      <c r="J49" s="6">
        <v>1.0900000000000001</v>
      </c>
      <c r="K49" s="6">
        <v>50.2</v>
      </c>
      <c r="L49" s="6">
        <v>18.420000000000002</v>
      </c>
      <c r="M49" s="6">
        <v>72.75</v>
      </c>
      <c r="N49" s="6">
        <v>83.6</v>
      </c>
      <c r="O49" s="6">
        <v>0</v>
      </c>
      <c r="P49" s="6">
        <v>1.22</v>
      </c>
      <c r="Q49" s="6">
        <v>5.16</v>
      </c>
    </row>
    <row r="50" spans="1:17" customFormat="1">
      <c r="A50" s="72">
        <v>45311.4375</v>
      </c>
      <c r="B50" s="6">
        <v>32.26</v>
      </c>
      <c r="C50" s="6">
        <v>30.16</v>
      </c>
      <c r="D50" s="6">
        <v>42.98</v>
      </c>
      <c r="E50" s="6">
        <v>7.73</v>
      </c>
      <c r="F50" s="6">
        <v>3.09</v>
      </c>
      <c r="G50" s="6">
        <v>107.24</v>
      </c>
      <c r="H50" s="6">
        <v>47.54</v>
      </c>
      <c r="I50" s="6">
        <v>12.38</v>
      </c>
      <c r="J50" s="6">
        <v>0.88</v>
      </c>
      <c r="K50" s="6">
        <v>41.99</v>
      </c>
      <c r="L50" s="6">
        <v>18.809999999999999</v>
      </c>
      <c r="M50" s="6">
        <v>71.8</v>
      </c>
      <c r="N50" s="6">
        <v>71.099999999999994</v>
      </c>
      <c r="O50" s="6">
        <v>0</v>
      </c>
      <c r="P50" s="6">
        <v>1.22</v>
      </c>
      <c r="Q50" s="6">
        <v>5.16</v>
      </c>
    </row>
    <row r="51" spans="1:17" customFormat="1">
      <c r="A51" s="72">
        <v>45311.447916666664</v>
      </c>
      <c r="B51" s="6">
        <v>32.1</v>
      </c>
      <c r="C51" s="6">
        <v>30.6</v>
      </c>
      <c r="D51" s="6">
        <v>43.08</v>
      </c>
      <c r="E51" s="6">
        <v>8.01</v>
      </c>
      <c r="F51" s="6">
        <v>3.18</v>
      </c>
      <c r="G51" s="6">
        <v>107.51</v>
      </c>
      <c r="H51" s="6">
        <v>47.54</v>
      </c>
      <c r="I51" s="6">
        <v>12.34</v>
      </c>
      <c r="J51" s="6">
        <v>0.88</v>
      </c>
      <c r="K51" s="6">
        <v>43.55</v>
      </c>
      <c r="L51" s="6">
        <v>19.13</v>
      </c>
      <c r="M51" s="6">
        <v>71.430000000000007</v>
      </c>
      <c r="N51" s="6">
        <v>74.099999999999994</v>
      </c>
      <c r="O51" s="6">
        <v>0</v>
      </c>
      <c r="P51" s="6">
        <v>1.22</v>
      </c>
      <c r="Q51" s="6">
        <v>5.16</v>
      </c>
    </row>
    <row r="52" spans="1:17" customFormat="1">
      <c r="A52" s="72">
        <v>45311.458333333336</v>
      </c>
      <c r="B52" s="6">
        <v>31.64</v>
      </c>
      <c r="C52" s="6">
        <v>30.42</v>
      </c>
      <c r="D52" s="6">
        <v>42.62</v>
      </c>
      <c r="E52" s="6">
        <v>7.98</v>
      </c>
      <c r="F52" s="6">
        <v>3.45</v>
      </c>
      <c r="G52" s="6">
        <v>107.51</v>
      </c>
      <c r="H52" s="6">
        <v>47.54</v>
      </c>
      <c r="I52" s="6">
        <v>12.32</v>
      </c>
      <c r="J52" s="6">
        <v>0.61</v>
      </c>
      <c r="K52" s="6">
        <v>30.51</v>
      </c>
      <c r="L52" s="6">
        <v>19.38</v>
      </c>
      <c r="M52" s="6">
        <v>70.72</v>
      </c>
      <c r="N52" s="6">
        <v>67.7</v>
      </c>
      <c r="O52" s="6">
        <v>0</v>
      </c>
      <c r="P52" s="6">
        <v>1.22</v>
      </c>
      <c r="Q52" s="6">
        <v>5.15</v>
      </c>
    </row>
    <row r="53" spans="1:17" customFormat="1">
      <c r="A53" s="72">
        <v>45311.46875</v>
      </c>
      <c r="B53" s="6">
        <v>31.59</v>
      </c>
      <c r="C53" s="6">
        <v>27.73</v>
      </c>
      <c r="D53" s="6">
        <v>41.17</v>
      </c>
      <c r="E53" s="6">
        <v>7.45</v>
      </c>
      <c r="F53" s="6">
        <v>3.66</v>
      </c>
      <c r="G53" s="6">
        <v>107.51</v>
      </c>
      <c r="H53" s="6">
        <v>47.54</v>
      </c>
      <c r="I53" s="6">
        <v>12.34</v>
      </c>
      <c r="J53" s="6">
        <v>0.57999999999999996</v>
      </c>
      <c r="K53" s="6">
        <v>36.130000000000003</v>
      </c>
      <c r="L53" s="6">
        <v>19.760000000000002</v>
      </c>
      <c r="M53" s="6">
        <v>70.28</v>
      </c>
      <c r="N53" s="6">
        <v>84.3</v>
      </c>
      <c r="O53" s="6">
        <v>0</v>
      </c>
      <c r="P53" s="6">
        <v>1.21</v>
      </c>
      <c r="Q53" s="6">
        <v>5.14</v>
      </c>
    </row>
    <row r="54" spans="1:17" customFormat="1">
      <c r="A54" s="72">
        <v>45311.479166666664</v>
      </c>
      <c r="B54" s="6">
        <v>31.56</v>
      </c>
      <c r="C54" s="6">
        <v>25.71</v>
      </c>
      <c r="D54" s="6">
        <v>40.1</v>
      </c>
      <c r="E54" s="6">
        <v>7.26</v>
      </c>
      <c r="F54" s="6">
        <v>3.64</v>
      </c>
      <c r="G54" s="6">
        <v>109.87</v>
      </c>
      <c r="H54" s="6">
        <v>47.81</v>
      </c>
      <c r="I54" s="6">
        <v>12.3</v>
      </c>
      <c r="J54" s="6">
        <v>0.74</v>
      </c>
      <c r="K54" s="6">
        <v>47.54</v>
      </c>
      <c r="L54" s="6">
        <v>20.04</v>
      </c>
      <c r="M54" s="6">
        <v>70.45</v>
      </c>
      <c r="N54" s="6">
        <v>77.400000000000006</v>
      </c>
      <c r="O54" s="6">
        <v>0</v>
      </c>
      <c r="P54" s="6">
        <v>1.2</v>
      </c>
      <c r="Q54" s="6">
        <v>5.14</v>
      </c>
    </row>
    <row r="55" spans="1:17" customFormat="1">
      <c r="A55" s="72">
        <v>45311.489583333336</v>
      </c>
      <c r="B55" s="6">
        <v>30.98</v>
      </c>
      <c r="C55" s="6">
        <v>26.16</v>
      </c>
      <c r="D55" s="6">
        <v>39.86</v>
      </c>
      <c r="E55" s="6">
        <v>8.01</v>
      </c>
      <c r="F55" s="6">
        <v>3.26</v>
      </c>
      <c r="G55" s="6">
        <v>110.16</v>
      </c>
      <c r="H55" s="6">
        <v>47.81</v>
      </c>
      <c r="I55" s="6">
        <v>12.27</v>
      </c>
      <c r="J55" s="6">
        <v>0.39</v>
      </c>
      <c r="K55" s="6">
        <v>91.69</v>
      </c>
      <c r="L55" s="6">
        <v>20.48</v>
      </c>
      <c r="M55" s="6">
        <v>69.16</v>
      </c>
      <c r="N55" s="6">
        <v>87.9</v>
      </c>
      <c r="O55" s="6">
        <v>0</v>
      </c>
      <c r="P55" s="6">
        <v>1.18</v>
      </c>
      <c r="Q55" s="6">
        <v>5.14</v>
      </c>
    </row>
    <row r="56" spans="1:17" customFormat="1">
      <c r="A56" s="72">
        <v>45311.5</v>
      </c>
      <c r="B56" s="6">
        <v>29.33</v>
      </c>
      <c r="C56" s="6">
        <v>24.46</v>
      </c>
      <c r="D56" s="6">
        <v>37.65</v>
      </c>
      <c r="E56" s="6">
        <v>8.19</v>
      </c>
      <c r="F56" s="6">
        <v>3.6</v>
      </c>
      <c r="G56" s="6">
        <v>110.16</v>
      </c>
      <c r="H56" s="6">
        <v>47.81</v>
      </c>
      <c r="I56" s="6">
        <v>12.23</v>
      </c>
      <c r="J56" s="6">
        <v>0.28000000000000003</v>
      </c>
      <c r="K56" s="6">
        <v>125.23</v>
      </c>
      <c r="L56" s="6">
        <v>21.12</v>
      </c>
      <c r="M56" s="6">
        <v>68.37</v>
      </c>
      <c r="N56" s="6">
        <v>100</v>
      </c>
      <c r="O56" s="6">
        <v>0</v>
      </c>
      <c r="P56" s="6">
        <v>1.17</v>
      </c>
      <c r="Q56" s="6">
        <v>5.1100000000000003</v>
      </c>
    </row>
    <row r="57" spans="1:17" customFormat="1">
      <c r="A57" s="72">
        <v>45311.510416666664</v>
      </c>
      <c r="B57" s="6">
        <v>28.13</v>
      </c>
      <c r="C57" s="6">
        <v>23.41</v>
      </c>
      <c r="D57" s="6">
        <v>36.15</v>
      </c>
      <c r="E57" s="6">
        <v>7.24</v>
      </c>
      <c r="F57" s="6">
        <v>3.52</v>
      </c>
      <c r="G57" s="6">
        <v>110.16</v>
      </c>
      <c r="H57" s="6">
        <v>47.81</v>
      </c>
      <c r="I57" s="6">
        <v>12.17</v>
      </c>
      <c r="J57" s="6">
        <v>0.28999999999999998</v>
      </c>
      <c r="K57" s="6">
        <v>74.349999999999994</v>
      </c>
      <c r="L57" s="6">
        <v>21.29</v>
      </c>
      <c r="M57" s="6">
        <v>68.16</v>
      </c>
      <c r="N57" s="6">
        <v>85.1</v>
      </c>
      <c r="O57" s="6">
        <v>0</v>
      </c>
      <c r="P57" s="6">
        <v>1.17</v>
      </c>
      <c r="Q57" s="6">
        <v>5.1100000000000003</v>
      </c>
    </row>
    <row r="58" spans="1:17" customFormat="1">
      <c r="A58" s="72">
        <v>45311.520833333336</v>
      </c>
      <c r="B58" s="6">
        <v>27.23</v>
      </c>
      <c r="C58" s="6">
        <v>23.78</v>
      </c>
      <c r="D58" s="6">
        <v>35.61</v>
      </c>
      <c r="E58" s="6">
        <v>7.15</v>
      </c>
      <c r="F58" s="6">
        <v>3.39</v>
      </c>
      <c r="G58" s="6">
        <v>101.15</v>
      </c>
      <c r="H58" s="6">
        <v>50.59</v>
      </c>
      <c r="I58" s="6">
        <v>12.07</v>
      </c>
      <c r="J58" s="6">
        <v>0.85</v>
      </c>
      <c r="K58" s="6">
        <v>50.68</v>
      </c>
      <c r="L58" s="6">
        <v>21.25</v>
      </c>
      <c r="M58" s="6">
        <v>69.38</v>
      </c>
      <c r="N58" s="6">
        <v>57.8</v>
      </c>
      <c r="O58" s="6">
        <v>0</v>
      </c>
      <c r="P58" s="6">
        <v>1.17</v>
      </c>
      <c r="Q58" s="6">
        <v>5.09</v>
      </c>
    </row>
    <row r="59" spans="1:17" customFormat="1">
      <c r="A59" s="72">
        <v>45311.53125</v>
      </c>
      <c r="B59" s="6">
        <v>26.98</v>
      </c>
      <c r="C59" s="6">
        <v>24.27</v>
      </c>
      <c r="D59" s="6">
        <v>35.67</v>
      </c>
      <c r="E59" s="6">
        <v>7.55</v>
      </c>
      <c r="F59" s="6">
        <v>3.39</v>
      </c>
      <c r="G59" s="6">
        <v>100.02</v>
      </c>
      <c r="H59" s="6">
        <v>50.59</v>
      </c>
      <c r="I59" s="6">
        <v>12.04</v>
      </c>
      <c r="J59" s="6">
        <v>1.08</v>
      </c>
      <c r="K59" s="6">
        <v>62.11</v>
      </c>
      <c r="L59" s="6">
        <v>21.25</v>
      </c>
      <c r="M59" s="6">
        <v>70.28</v>
      </c>
      <c r="N59" s="6">
        <v>71.7</v>
      </c>
      <c r="O59" s="6">
        <v>0</v>
      </c>
      <c r="P59" s="6">
        <v>1.1599999999999999</v>
      </c>
      <c r="Q59" s="6">
        <v>5.0999999999999996</v>
      </c>
    </row>
    <row r="60" spans="1:17" customFormat="1">
      <c r="A60" s="72">
        <v>45311.541666666664</v>
      </c>
      <c r="B60" s="6">
        <v>27.18</v>
      </c>
      <c r="C60" s="6">
        <v>24.35</v>
      </c>
      <c r="D60" s="6">
        <v>35.869999999999997</v>
      </c>
      <c r="E60" s="6">
        <v>7.29</v>
      </c>
      <c r="F60" s="6">
        <v>3.37</v>
      </c>
      <c r="G60" s="6">
        <v>100.02</v>
      </c>
      <c r="H60" s="6">
        <v>50.59</v>
      </c>
      <c r="I60" s="6">
        <v>11.99</v>
      </c>
      <c r="J60" s="6">
        <v>0.99</v>
      </c>
      <c r="K60" s="6">
        <v>55.19</v>
      </c>
      <c r="L60" s="6">
        <v>21.37</v>
      </c>
      <c r="M60" s="6">
        <v>70.67</v>
      </c>
      <c r="N60" s="6">
        <v>94.2</v>
      </c>
      <c r="O60" s="6">
        <v>0</v>
      </c>
      <c r="P60" s="6">
        <v>1.17</v>
      </c>
      <c r="Q60" s="6">
        <v>5.12</v>
      </c>
    </row>
    <row r="61" spans="1:17" customFormat="1">
      <c r="A61" s="72">
        <v>45311.552083333336</v>
      </c>
      <c r="B61" s="6">
        <v>26.35</v>
      </c>
      <c r="C61" s="6">
        <v>23.56</v>
      </c>
      <c r="D61" s="6">
        <v>34.799999999999997</v>
      </c>
      <c r="E61" s="6">
        <v>7.86</v>
      </c>
      <c r="F61" s="6">
        <v>3.38</v>
      </c>
      <c r="G61" s="6">
        <v>100.02</v>
      </c>
      <c r="H61" s="6">
        <v>50.59</v>
      </c>
      <c r="I61" s="6">
        <v>11.97</v>
      </c>
      <c r="J61" s="6">
        <v>0.94</v>
      </c>
      <c r="K61" s="6">
        <v>46.14</v>
      </c>
      <c r="L61" s="6">
        <v>21.74</v>
      </c>
      <c r="M61" s="6">
        <v>70.55</v>
      </c>
      <c r="N61" s="6">
        <v>110.9</v>
      </c>
      <c r="O61" s="6">
        <v>0</v>
      </c>
      <c r="P61" s="6">
        <v>1.1499999999999999</v>
      </c>
      <c r="Q61" s="6">
        <v>5.1100000000000003</v>
      </c>
    </row>
    <row r="62" spans="1:17" customFormat="1">
      <c r="A62" s="72">
        <v>45311.5625</v>
      </c>
      <c r="B62" s="6">
        <v>24.88</v>
      </c>
      <c r="C62" s="6">
        <v>23.22</v>
      </c>
      <c r="D62" s="6">
        <v>33.44</v>
      </c>
      <c r="E62" s="6">
        <v>6.79</v>
      </c>
      <c r="F62" s="6">
        <v>3.7</v>
      </c>
      <c r="G62" s="6">
        <v>105.68</v>
      </c>
      <c r="H62" s="6">
        <v>49.47</v>
      </c>
      <c r="I62" s="6">
        <v>11.92</v>
      </c>
      <c r="J62" s="6">
        <v>0.89</v>
      </c>
      <c r="K62" s="6">
        <v>39</v>
      </c>
      <c r="L62" s="6">
        <v>22.14</v>
      </c>
      <c r="M62" s="6">
        <v>70.58</v>
      </c>
      <c r="N62" s="6">
        <v>124.1</v>
      </c>
      <c r="O62" s="6">
        <v>0</v>
      </c>
      <c r="P62" s="6">
        <v>1.1299999999999999</v>
      </c>
      <c r="Q62" s="6">
        <v>5.07</v>
      </c>
    </row>
    <row r="63" spans="1:17" customFormat="1">
      <c r="A63" s="72">
        <v>45311.572916666664</v>
      </c>
      <c r="B63" s="6">
        <v>24.15</v>
      </c>
      <c r="C63" s="6">
        <v>23.32</v>
      </c>
      <c r="D63" s="6">
        <v>32.9</v>
      </c>
      <c r="E63" s="6">
        <v>7.06</v>
      </c>
      <c r="F63" s="6">
        <v>3.53</v>
      </c>
      <c r="G63" s="6">
        <v>106.39</v>
      </c>
      <c r="H63" s="6">
        <v>49.47</v>
      </c>
      <c r="I63" s="6">
        <v>11.73</v>
      </c>
      <c r="J63" s="6">
        <v>1.03</v>
      </c>
      <c r="K63" s="6">
        <v>48.46</v>
      </c>
      <c r="L63" s="6">
        <v>22.47</v>
      </c>
      <c r="M63" s="6">
        <v>70.05</v>
      </c>
      <c r="N63" s="6">
        <v>141.4</v>
      </c>
      <c r="O63" s="6">
        <v>0</v>
      </c>
      <c r="P63" s="6">
        <v>1.1100000000000001</v>
      </c>
      <c r="Q63" s="6">
        <v>5.0599999999999996</v>
      </c>
    </row>
    <row r="64" spans="1:17" customFormat="1">
      <c r="A64" s="72">
        <v>45311.583333333336</v>
      </c>
      <c r="B64" s="6">
        <v>23.49</v>
      </c>
      <c r="C64" s="6">
        <v>23.84</v>
      </c>
      <c r="D64" s="6">
        <v>32.64</v>
      </c>
      <c r="E64" s="6">
        <v>7.27</v>
      </c>
      <c r="F64" s="6">
        <v>3.61</v>
      </c>
      <c r="G64" s="6">
        <v>106.39</v>
      </c>
      <c r="H64" s="6">
        <v>49.47</v>
      </c>
      <c r="I64" s="6">
        <v>11.57</v>
      </c>
      <c r="J64" s="6">
        <v>1.0900000000000001</v>
      </c>
      <c r="K64" s="6">
        <v>51.44</v>
      </c>
      <c r="L64" s="6">
        <v>22.53</v>
      </c>
      <c r="M64" s="6">
        <v>69.77</v>
      </c>
      <c r="N64" s="6">
        <v>148.80000000000001</v>
      </c>
      <c r="O64" s="6">
        <v>0</v>
      </c>
      <c r="P64" s="6">
        <v>1.1100000000000001</v>
      </c>
      <c r="Q64" s="6">
        <v>5.0599999999999996</v>
      </c>
    </row>
    <row r="65" spans="1:17" customFormat="1">
      <c r="A65" s="72">
        <v>45311.59375</v>
      </c>
      <c r="B65" s="6">
        <v>22.81</v>
      </c>
      <c r="C65" s="6">
        <v>23.98</v>
      </c>
      <c r="D65" s="6">
        <v>32.17</v>
      </c>
      <c r="E65" s="6">
        <v>6.81</v>
      </c>
      <c r="F65" s="6">
        <v>3.23</v>
      </c>
      <c r="G65" s="6">
        <v>106.39</v>
      </c>
      <c r="H65" s="6">
        <v>49.47</v>
      </c>
      <c r="I65" s="6">
        <v>11.47</v>
      </c>
      <c r="J65" s="6">
        <v>0.84</v>
      </c>
      <c r="K65" s="6">
        <v>40.270000000000003</v>
      </c>
      <c r="L65" s="6">
        <v>22.78</v>
      </c>
      <c r="M65" s="6">
        <v>69.56</v>
      </c>
      <c r="N65" s="6">
        <v>201.1</v>
      </c>
      <c r="O65" s="6">
        <v>0</v>
      </c>
      <c r="P65" s="6">
        <v>1.04</v>
      </c>
      <c r="Q65" s="6">
        <v>5.0599999999999996</v>
      </c>
    </row>
    <row r="66" spans="1:17" customFormat="1">
      <c r="A66" s="72">
        <v>45311.604166666664</v>
      </c>
      <c r="B66" s="6">
        <v>22.12</v>
      </c>
      <c r="C66" s="6">
        <v>24.11</v>
      </c>
      <c r="D66" s="6">
        <v>31.69</v>
      </c>
      <c r="E66" s="6">
        <v>7.13</v>
      </c>
      <c r="F66" s="6">
        <v>3.43</v>
      </c>
      <c r="G66" s="6">
        <v>102.51</v>
      </c>
      <c r="H66" s="6">
        <v>47.36</v>
      </c>
      <c r="I66" s="6">
        <v>11.37</v>
      </c>
      <c r="J66" s="6">
        <v>0.6</v>
      </c>
      <c r="K66" s="6">
        <v>44.8</v>
      </c>
      <c r="L66" s="6">
        <v>23.24</v>
      </c>
      <c r="M66" s="6">
        <v>68.010000000000005</v>
      </c>
      <c r="N66" s="6">
        <v>147.80000000000001</v>
      </c>
      <c r="O66" s="6">
        <v>0</v>
      </c>
      <c r="P66" s="6">
        <v>1.1000000000000001</v>
      </c>
      <c r="Q66" s="6">
        <v>5.05</v>
      </c>
    </row>
    <row r="67" spans="1:17" customFormat="1">
      <c r="A67" s="72">
        <v>45311.614583333336</v>
      </c>
      <c r="B67" s="6">
        <v>21.56</v>
      </c>
      <c r="C67" s="6">
        <v>23.9</v>
      </c>
      <c r="D67" s="6">
        <v>31.12</v>
      </c>
      <c r="E67" s="6">
        <v>7.3</v>
      </c>
      <c r="F67" s="6">
        <v>3.47</v>
      </c>
      <c r="G67" s="6">
        <v>102.02</v>
      </c>
      <c r="H67" s="6">
        <v>47.36</v>
      </c>
      <c r="I67" s="6">
        <v>11.25</v>
      </c>
      <c r="J67" s="6">
        <v>0.84</v>
      </c>
      <c r="K67" s="6">
        <v>35.479999999999997</v>
      </c>
      <c r="L67" s="6">
        <v>23.5</v>
      </c>
      <c r="M67" s="6">
        <v>67.12</v>
      </c>
      <c r="N67" s="6">
        <v>126.5</v>
      </c>
      <c r="O67" s="6">
        <v>0</v>
      </c>
      <c r="P67" s="6">
        <v>1.0900000000000001</v>
      </c>
      <c r="Q67" s="6">
        <v>5.05</v>
      </c>
    </row>
    <row r="68" spans="1:17" customFormat="1">
      <c r="A68" s="72">
        <v>45311.625</v>
      </c>
      <c r="B68" s="6">
        <v>20.92</v>
      </c>
      <c r="C68" s="6">
        <v>23.66</v>
      </c>
      <c r="D68" s="6">
        <v>30.49</v>
      </c>
      <c r="E68" s="6">
        <v>7.49</v>
      </c>
      <c r="F68" s="6">
        <v>3.62</v>
      </c>
      <c r="G68" s="6">
        <v>102.02</v>
      </c>
      <c r="H68" s="6">
        <v>47.36</v>
      </c>
      <c r="I68" s="6">
        <v>11.14</v>
      </c>
      <c r="J68" s="6">
        <v>0.43</v>
      </c>
      <c r="K68" s="6">
        <v>32.18</v>
      </c>
      <c r="L68" s="6">
        <v>23.42</v>
      </c>
      <c r="M68" s="6">
        <v>67.44</v>
      </c>
      <c r="N68" s="6">
        <v>107.2</v>
      </c>
      <c r="O68" s="6">
        <v>0</v>
      </c>
      <c r="P68" s="6">
        <v>1.08</v>
      </c>
      <c r="Q68" s="6">
        <v>5.04</v>
      </c>
    </row>
    <row r="69" spans="1:17" customFormat="1">
      <c r="A69" s="72">
        <v>45311.635416666664</v>
      </c>
      <c r="B69" s="6">
        <v>20.420000000000002</v>
      </c>
      <c r="C69" s="6">
        <v>23.48</v>
      </c>
      <c r="D69" s="6">
        <v>29.99</v>
      </c>
      <c r="E69" s="6">
        <v>6.92</v>
      </c>
      <c r="F69" s="6">
        <v>3.44</v>
      </c>
      <c r="G69" s="6">
        <v>102.02</v>
      </c>
      <c r="H69" s="6">
        <v>47.36</v>
      </c>
      <c r="I69" s="6">
        <v>11.02</v>
      </c>
      <c r="J69" s="6">
        <v>0.82</v>
      </c>
      <c r="K69" s="6">
        <v>56.66</v>
      </c>
      <c r="L69" s="6">
        <v>23.55</v>
      </c>
      <c r="M69" s="6">
        <v>67.099999999999994</v>
      </c>
      <c r="N69" s="6">
        <v>91</v>
      </c>
      <c r="O69" s="6">
        <v>0</v>
      </c>
      <c r="P69" s="6">
        <v>1.07</v>
      </c>
      <c r="Q69" s="6">
        <v>5.0199999999999996</v>
      </c>
    </row>
    <row r="70" spans="1:17" customFormat="1">
      <c r="A70" s="72">
        <v>45311.645833333336</v>
      </c>
      <c r="B70" s="6">
        <v>19.850000000000001</v>
      </c>
      <c r="C70" s="6">
        <v>23.52</v>
      </c>
      <c r="D70" s="6">
        <v>29.56</v>
      </c>
      <c r="E70" s="6">
        <v>7.35</v>
      </c>
      <c r="F70" s="6">
        <v>3.48</v>
      </c>
      <c r="G70" s="6">
        <v>87.61</v>
      </c>
      <c r="H70" s="6">
        <v>42.77</v>
      </c>
      <c r="I70" s="6">
        <v>10.91</v>
      </c>
      <c r="J70" s="6">
        <v>0.93</v>
      </c>
      <c r="K70" s="6">
        <v>65.989999999999995</v>
      </c>
      <c r="L70" s="6">
        <v>23.56</v>
      </c>
      <c r="M70" s="6">
        <v>67.02</v>
      </c>
      <c r="N70" s="6">
        <v>81.5</v>
      </c>
      <c r="O70" s="6">
        <v>0</v>
      </c>
      <c r="P70" s="6">
        <v>1.07</v>
      </c>
      <c r="Q70" s="6">
        <v>5.04</v>
      </c>
    </row>
    <row r="71" spans="1:17" customFormat="1">
      <c r="A71" s="72">
        <v>45311.65625</v>
      </c>
      <c r="B71" s="6">
        <v>18.68</v>
      </c>
      <c r="C71" s="6">
        <v>24</v>
      </c>
      <c r="D71" s="6">
        <v>28.87</v>
      </c>
      <c r="E71" s="6">
        <v>7.14</v>
      </c>
      <c r="F71" s="6">
        <v>3.65</v>
      </c>
      <c r="G71" s="6">
        <v>85.81</v>
      </c>
      <c r="H71" s="6">
        <v>42.77</v>
      </c>
      <c r="I71" s="6">
        <v>10.82</v>
      </c>
      <c r="J71" s="6">
        <v>0.68</v>
      </c>
      <c r="K71" s="6">
        <v>43.77</v>
      </c>
      <c r="L71" s="6">
        <v>23.57</v>
      </c>
      <c r="M71" s="6">
        <v>67.12</v>
      </c>
      <c r="N71" s="6">
        <v>66.900000000000006</v>
      </c>
      <c r="O71" s="6">
        <v>0</v>
      </c>
      <c r="P71" s="6">
        <v>1.04</v>
      </c>
      <c r="Q71" s="6">
        <v>5.03</v>
      </c>
    </row>
    <row r="72" spans="1:17" customFormat="1">
      <c r="A72" s="72">
        <v>45311.666666666664</v>
      </c>
      <c r="B72" s="6">
        <v>17.18</v>
      </c>
      <c r="C72" s="6">
        <v>25.55</v>
      </c>
      <c r="D72" s="6">
        <v>28.47</v>
      </c>
      <c r="E72" s="6">
        <v>7.26</v>
      </c>
      <c r="F72" s="6">
        <v>3.5</v>
      </c>
      <c r="G72" s="6">
        <v>85.81</v>
      </c>
      <c r="H72" s="6">
        <v>42.77</v>
      </c>
      <c r="I72" s="6">
        <v>10.72</v>
      </c>
      <c r="J72" s="6">
        <v>0.77</v>
      </c>
      <c r="K72" s="6">
        <v>36.979999999999997</v>
      </c>
      <c r="L72" s="6">
        <v>23.55</v>
      </c>
      <c r="M72" s="6">
        <v>67.209999999999994</v>
      </c>
      <c r="N72" s="6">
        <v>55.5</v>
      </c>
      <c r="O72" s="6">
        <v>0</v>
      </c>
      <c r="P72" s="6">
        <v>1.03</v>
      </c>
      <c r="Q72" s="6">
        <v>5.0199999999999996</v>
      </c>
    </row>
    <row r="73" spans="1:17" customFormat="1">
      <c r="A73" s="72">
        <v>45311.677083333336</v>
      </c>
      <c r="B73" s="6">
        <v>15.99</v>
      </c>
      <c r="C73" s="6">
        <v>26.84</v>
      </c>
      <c r="D73" s="6">
        <v>28.19</v>
      </c>
      <c r="E73" s="6">
        <v>7.63</v>
      </c>
      <c r="F73" s="6">
        <v>3.51</v>
      </c>
      <c r="G73" s="6">
        <v>85.81</v>
      </c>
      <c r="H73" s="6">
        <v>42.77</v>
      </c>
      <c r="I73" s="6">
        <v>10.54</v>
      </c>
      <c r="J73" s="6">
        <v>0.85</v>
      </c>
      <c r="K73" s="6">
        <v>34.020000000000003</v>
      </c>
      <c r="L73" s="6">
        <v>23.39</v>
      </c>
      <c r="M73" s="6">
        <v>67.58</v>
      </c>
      <c r="N73" s="6">
        <v>43.5</v>
      </c>
      <c r="O73" s="6">
        <v>0</v>
      </c>
      <c r="P73" s="6">
        <v>1.02</v>
      </c>
      <c r="Q73" s="6">
        <v>4.99</v>
      </c>
    </row>
    <row r="74" spans="1:17" customFormat="1">
      <c r="A74" s="72">
        <v>45311.6875</v>
      </c>
      <c r="B74" s="6">
        <v>15.18</v>
      </c>
      <c r="C74" s="6">
        <v>27.97</v>
      </c>
      <c r="D74" s="6">
        <v>28.13</v>
      </c>
      <c r="E74" s="6">
        <v>7.56</v>
      </c>
      <c r="F74" s="6">
        <v>3.39</v>
      </c>
      <c r="G74" s="6">
        <v>87.49</v>
      </c>
      <c r="H74" s="6">
        <v>41.97</v>
      </c>
      <c r="I74" s="6">
        <v>10.39</v>
      </c>
      <c r="J74" s="6">
        <v>0.84</v>
      </c>
      <c r="K74" s="6">
        <v>41.26</v>
      </c>
      <c r="L74" s="6">
        <v>23.26</v>
      </c>
      <c r="M74" s="6">
        <v>67.849999999999994</v>
      </c>
      <c r="N74" s="6">
        <v>32.1</v>
      </c>
      <c r="O74" s="6">
        <v>0</v>
      </c>
      <c r="P74" s="6">
        <v>1.01</v>
      </c>
      <c r="Q74" s="6">
        <v>4.99</v>
      </c>
    </row>
    <row r="75" spans="1:17" customFormat="1">
      <c r="A75" s="72">
        <v>45311.697916666664</v>
      </c>
      <c r="B75" s="6">
        <v>14.92</v>
      </c>
      <c r="C75" s="6">
        <v>28.72</v>
      </c>
      <c r="D75" s="6">
        <v>28.32</v>
      </c>
      <c r="E75" s="6">
        <v>7.79</v>
      </c>
      <c r="F75" s="6">
        <v>3.36</v>
      </c>
      <c r="G75" s="6">
        <v>87.7</v>
      </c>
      <c r="H75" s="6">
        <v>41.97</v>
      </c>
      <c r="I75" s="6">
        <v>10.25</v>
      </c>
      <c r="J75" s="6">
        <v>1.05</v>
      </c>
      <c r="K75" s="6">
        <v>36.65</v>
      </c>
      <c r="L75" s="6">
        <v>22.92</v>
      </c>
      <c r="M75" s="6">
        <v>69.040000000000006</v>
      </c>
      <c r="N75" s="6">
        <v>21.6</v>
      </c>
      <c r="O75" s="6">
        <v>0</v>
      </c>
      <c r="P75" s="6">
        <v>1.02</v>
      </c>
      <c r="Q75" s="6">
        <v>4.9800000000000004</v>
      </c>
    </row>
    <row r="76" spans="1:17" customFormat="1">
      <c r="A76" s="72">
        <v>45311.708333333336</v>
      </c>
      <c r="B76" s="6">
        <v>14.55</v>
      </c>
      <c r="C76" s="6">
        <v>29.29</v>
      </c>
      <c r="D76" s="6">
        <v>28.33</v>
      </c>
      <c r="E76" s="6">
        <v>8.1199999999999992</v>
      </c>
      <c r="F76" s="6">
        <v>3.65</v>
      </c>
      <c r="G76" s="6">
        <v>87.7</v>
      </c>
      <c r="H76" s="6">
        <v>41.97</v>
      </c>
      <c r="I76" s="6">
        <v>10.14</v>
      </c>
      <c r="J76" s="6">
        <v>1.05</v>
      </c>
      <c r="K76" s="6">
        <v>41.4</v>
      </c>
      <c r="L76" s="6">
        <v>22.59</v>
      </c>
      <c r="M76" s="6">
        <v>70.319999999999993</v>
      </c>
      <c r="N76" s="6">
        <v>10.6</v>
      </c>
      <c r="O76" s="6">
        <v>0</v>
      </c>
      <c r="P76" s="6">
        <v>1.02</v>
      </c>
      <c r="Q76" s="6">
        <v>4.9800000000000004</v>
      </c>
    </row>
    <row r="77" spans="1:17" customFormat="1">
      <c r="A77" s="72">
        <v>45311.71875</v>
      </c>
      <c r="B77" s="6">
        <v>14.24</v>
      </c>
      <c r="C77" s="6">
        <v>29.96</v>
      </c>
      <c r="D77" s="6">
        <v>28.42</v>
      </c>
      <c r="E77" s="6">
        <v>7.83</v>
      </c>
      <c r="F77" s="6">
        <v>3.42</v>
      </c>
      <c r="G77" s="6">
        <v>87.7</v>
      </c>
      <c r="H77" s="6">
        <v>41.97</v>
      </c>
      <c r="I77" s="6">
        <v>10.1</v>
      </c>
      <c r="J77" s="6">
        <v>0.94</v>
      </c>
      <c r="K77" s="6">
        <v>38.01</v>
      </c>
      <c r="L77" s="6">
        <v>22.27</v>
      </c>
      <c r="M77" s="6">
        <v>71.72</v>
      </c>
      <c r="N77" s="6">
        <v>2</v>
      </c>
      <c r="O77" s="6">
        <v>0</v>
      </c>
      <c r="P77" s="6">
        <v>1.02</v>
      </c>
      <c r="Q77" s="6">
        <v>4.99</v>
      </c>
    </row>
    <row r="78" spans="1:17" customFormat="1">
      <c r="A78" s="72">
        <v>45311.729166666664</v>
      </c>
      <c r="B78" s="6">
        <v>14.36</v>
      </c>
      <c r="C78" s="6">
        <v>30.51</v>
      </c>
      <c r="D78" s="6">
        <v>28.8</v>
      </c>
      <c r="E78" s="6">
        <v>7.42</v>
      </c>
      <c r="F78" s="6">
        <v>3.21</v>
      </c>
      <c r="G78" s="6">
        <v>91.43</v>
      </c>
      <c r="H78" s="6">
        <v>40.51</v>
      </c>
      <c r="I78" s="6">
        <v>10.08</v>
      </c>
      <c r="J78" s="6">
        <v>0.83</v>
      </c>
      <c r="K78" s="6">
        <v>42.15</v>
      </c>
      <c r="L78" s="6">
        <v>21.95</v>
      </c>
      <c r="M78" s="6">
        <v>73.319999999999993</v>
      </c>
      <c r="N78" s="6">
        <v>0</v>
      </c>
      <c r="O78" s="6">
        <v>0</v>
      </c>
      <c r="P78" s="6">
        <v>1.03</v>
      </c>
      <c r="Q78" s="6">
        <v>4.97</v>
      </c>
    </row>
    <row r="79" spans="1:17" customFormat="1">
      <c r="A79" s="72">
        <v>45311.739583333336</v>
      </c>
      <c r="B79" s="6">
        <v>14.85</v>
      </c>
      <c r="C79" s="6">
        <v>30.88</v>
      </c>
      <c r="D79" s="6">
        <v>29.39</v>
      </c>
      <c r="E79" s="6">
        <v>7.93</v>
      </c>
      <c r="F79" s="6">
        <v>3.28</v>
      </c>
      <c r="G79" s="6">
        <v>91.9</v>
      </c>
      <c r="H79" s="6">
        <v>40.51</v>
      </c>
      <c r="I79" s="6">
        <v>10.06</v>
      </c>
      <c r="J79" s="6">
        <v>0.99</v>
      </c>
      <c r="K79" s="6">
        <v>42.23</v>
      </c>
      <c r="L79" s="6">
        <v>21.66</v>
      </c>
      <c r="M79" s="6">
        <v>74.599999999999994</v>
      </c>
      <c r="N79" s="6">
        <v>0</v>
      </c>
      <c r="O79" s="6">
        <v>0</v>
      </c>
      <c r="P79" s="6">
        <v>1.04</v>
      </c>
      <c r="Q79" s="6">
        <v>4.96</v>
      </c>
    </row>
    <row r="80" spans="1:17" customFormat="1">
      <c r="A80" s="72">
        <v>45311.75</v>
      </c>
      <c r="B80" s="6">
        <v>15.44</v>
      </c>
      <c r="C80" s="6">
        <v>31.12</v>
      </c>
      <c r="D80" s="6">
        <v>29.99</v>
      </c>
      <c r="E80" s="6">
        <v>8.4</v>
      </c>
      <c r="F80" s="6">
        <v>3.56</v>
      </c>
      <c r="G80" s="6">
        <v>91.9</v>
      </c>
      <c r="H80" s="6">
        <v>40.51</v>
      </c>
      <c r="I80" s="6">
        <v>10.039999999999999</v>
      </c>
      <c r="J80" s="6">
        <v>1.02</v>
      </c>
      <c r="K80" s="6">
        <v>50.53</v>
      </c>
      <c r="L80" s="6">
        <v>21.27</v>
      </c>
      <c r="M80" s="6">
        <v>76.819999999999993</v>
      </c>
      <c r="N80" s="6">
        <v>0</v>
      </c>
      <c r="O80" s="6">
        <v>0</v>
      </c>
      <c r="P80" s="6">
        <v>1.03</v>
      </c>
      <c r="Q80" s="6">
        <v>4.97</v>
      </c>
    </row>
    <row r="81" spans="1:17" customFormat="1">
      <c r="A81" s="72">
        <v>45311.760416666664</v>
      </c>
      <c r="B81" s="6">
        <v>16.14</v>
      </c>
      <c r="C81" s="6">
        <v>31.64</v>
      </c>
      <c r="D81" s="6">
        <v>30.83</v>
      </c>
      <c r="E81" s="6">
        <v>7.31</v>
      </c>
      <c r="F81" s="6">
        <v>3.21</v>
      </c>
      <c r="G81" s="6">
        <v>91.9</v>
      </c>
      <c r="H81" s="6">
        <v>40.51</v>
      </c>
      <c r="I81" s="6">
        <v>10.06</v>
      </c>
      <c r="J81" s="6">
        <v>1.04</v>
      </c>
      <c r="K81" s="6">
        <v>60.04</v>
      </c>
      <c r="L81" s="6">
        <v>20.97</v>
      </c>
      <c r="M81" s="6">
        <v>78.28</v>
      </c>
      <c r="N81" s="6">
        <v>0</v>
      </c>
      <c r="O81" s="6">
        <v>0</v>
      </c>
      <c r="P81" s="6">
        <v>1.05</v>
      </c>
      <c r="Q81" s="6">
        <v>4.9400000000000004</v>
      </c>
    </row>
    <row r="82" spans="1:17" customFormat="1">
      <c r="A82" s="72">
        <v>45311.770833333336</v>
      </c>
      <c r="B82" s="6">
        <v>16.97</v>
      </c>
      <c r="C82" s="6">
        <v>31.98</v>
      </c>
      <c r="D82" s="6">
        <v>31.67</v>
      </c>
      <c r="E82" s="6">
        <v>8.4700000000000006</v>
      </c>
      <c r="F82" s="6">
        <v>3.02</v>
      </c>
      <c r="G82" s="6">
        <v>96.99</v>
      </c>
      <c r="H82" s="6">
        <v>40.29</v>
      </c>
      <c r="I82" s="6">
        <v>10.11</v>
      </c>
      <c r="J82" s="6">
        <v>0.91</v>
      </c>
      <c r="K82" s="6">
        <v>63.76</v>
      </c>
      <c r="L82" s="6">
        <v>20.74</v>
      </c>
      <c r="M82" s="6">
        <v>79.45</v>
      </c>
      <c r="N82" s="6">
        <v>0</v>
      </c>
      <c r="O82" s="6">
        <v>0</v>
      </c>
      <c r="P82" s="6">
        <v>1.08</v>
      </c>
      <c r="Q82" s="6">
        <v>4.95</v>
      </c>
    </row>
    <row r="83" spans="1:17" customFormat="1">
      <c r="A83" s="72">
        <v>45311.78125</v>
      </c>
      <c r="B83" s="6">
        <v>17.8</v>
      </c>
      <c r="C83" s="6">
        <v>32.119999999999997</v>
      </c>
      <c r="D83" s="6">
        <v>32.4</v>
      </c>
      <c r="E83" s="6">
        <v>8.77</v>
      </c>
      <c r="F83" s="6">
        <v>3.12</v>
      </c>
      <c r="G83" s="6">
        <v>97.63</v>
      </c>
      <c r="H83" s="6">
        <v>40.29</v>
      </c>
      <c r="I83" s="6">
        <v>10.27</v>
      </c>
      <c r="J83" s="6">
        <v>1.1299999999999999</v>
      </c>
      <c r="K83" s="6">
        <v>54.97</v>
      </c>
      <c r="L83" s="6">
        <v>20.5</v>
      </c>
      <c r="M83" s="6">
        <v>80.59</v>
      </c>
      <c r="N83" s="6">
        <v>0</v>
      </c>
      <c r="O83" s="6">
        <v>0</v>
      </c>
      <c r="P83" s="6">
        <v>1.08</v>
      </c>
      <c r="Q83" s="6">
        <v>4.97</v>
      </c>
    </row>
    <row r="84" spans="1:17" customFormat="1">
      <c r="A84" s="72">
        <v>45311.791666666664</v>
      </c>
      <c r="B84" s="6">
        <v>18.600000000000001</v>
      </c>
      <c r="C84" s="6">
        <v>32.22</v>
      </c>
      <c r="D84" s="6">
        <v>33.1</v>
      </c>
      <c r="E84" s="6">
        <v>8.4499999999999993</v>
      </c>
      <c r="F84" s="6">
        <v>3.27</v>
      </c>
      <c r="G84" s="6">
        <v>97.63</v>
      </c>
      <c r="H84" s="6">
        <v>40.29</v>
      </c>
      <c r="I84" s="6">
        <v>10.4</v>
      </c>
      <c r="J84" s="6">
        <v>1.06</v>
      </c>
      <c r="K84" s="6">
        <v>54.28</v>
      </c>
      <c r="L84" s="6">
        <v>20.2</v>
      </c>
      <c r="M84" s="6">
        <v>82.1</v>
      </c>
      <c r="N84" s="6">
        <v>0</v>
      </c>
      <c r="O84" s="6">
        <v>0</v>
      </c>
      <c r="P84" s="6">
        <v>1.0900000000000001</v>
      </c>
      <c r="Q84" s="6">
        <v>4.9800000000000004</v>
      </c>
    </row>
    <row r="85" spans="1:17" customFormat="1">
      <c r="A85" s="72">
        <v>45311.802083333336</v>
      </c>
      <c r="B85" s="6">
        <v>19.22</v>
      </c>
      <c r="C85" s="6">
        <v>32.53</v>
      </c>
      <c r="D85" s="6">
        <v>33.76</v>
      </c>
      <c r="E85" s="6">
        <v>8.5299999999999994</v>
      </c>
      <c r="F85" s="6">
        <v>3.54</v>
      </c>
      <c r="G85" s="6">
        <v>97.63</v>
      </c>
      <c r="H85" s="6">
        <v>40.29</v>
      </c>
      <c r="I85" s="6">
        <v>10.46</v>
      </c>
      <c r="J85" s="6">
        <v>0.59</v>
      </c>
      <c r="K85" s="6">
        <v>67.42</v>
      </c>
      <c r="L85" s="6">
        <v>20.02</v>
      </c>
      <c r="M85" s="6">
        <v>83.16</v>
      </c>
      <c r="N85" s="6">
        <v>0</v>
      </c>
      <c r="O85" s="6">
        <v>0</v>
      </c>
      <c r="P85" s="6">
        <v>1.1000000000000001</v>
      </c>
      <c r="Q85" s="6">
        <v>4.96</v>
      </c>
    </row>
    <row r="86" spans="1:17" customFormat="1">
      <c r="A86" s="72">
        <v>45311.8125</v>
      </c>
      <c r="B86" s="6">
        <v>19.649999999999999</v>
      </c>
      <c r="C86" s="6">
        <v>32</v>
      </c>
      <c r="D86" s="6">
        <v>33.83</v>
      </c>
      <c r="E86" s="6">
        <v>8.69</v>
      </c>
      <c r="F86" s="6">
        <v>3.36</v>
      </c>
      <c r="G86" s="6">
        <v>96.6</v>
      </c>
      <c r="H86" s="6">
        <v>45.49</v>
      </c>
      <c r="I86" s="6">
        <v>10.53</v>
      </c>
      <c r="J86" s="6">
        <v>0.95</v>
      </c>
      <c r="K86" s="6">
        <v>67.14</v>
      </c>
      <c r="L86" s="6">
        <v>19.89</v>
      </c>
      <c r="M86" s="6">
        <v>83.99</v>
      </c>
      <c r="N86" s="6">
        <v>0</v>
      </c>
      <c r="O86" s="6">
        <v>0</v>
      </c>
      <c r="P86" s="6">
        <v>1.1000000000000001</v>
      </c>
      <c r="Q86" s="6">
        <v>4.97</v>
      </c>
    </row>
    <row r="87" spans="1:17" customFormat="1">
      <c r="A87" s="72">
        <v>45311.822916666664</v>
      </c>
      <c r="B87" s="6">
        <v>20.22</v>
      </c>
      <c r="C87" s="6">
        <v>32.049999999999997</v>
      </c>
      <c r="D87" s="6">
        <v>34.31</v>
      </c>
      <c r="E87" s="6">
        <v>8.3000000000000007</v>
      </c>
      <c r="F87" s="6">
        <v>3.15</v>
      </c>
      <c r="G87" s="6">
        <v>96.47</v>
      </c>
      <c r="H87" s="6">
        <v>45.49</v>
      </c>
      <c r="I87" s="6">
        <v>10.62</v>
      </c>
      <c r="J87" s="6">
        <v>0.88</v>
      </c>
      <c r="K87" s="6">
        <v>68.89</v>
      </c>
      <c r="L87" s="6">
        <v>19.68</v>
      </c>
      <c r="M87" s="6">
        <v>85.44</v>
      </c>
      <c r="N87" s="6">
        <v>0</v>
      </c>
      <c r="O87" s="6">
        <v>0</v>
      </c>
      <c r="P87" s="6">
        <v>1.1100000000000001</v>
      </c>
      <c r="Q87" s="6">
        <v>4.9400000000000004</v>
      </c>
    </row>
    <row r="88" spans="1:17" customFormat="1">
      <c r="A88" s="72">
        <v>45311.833333333336</v>
      </c>
      <c r="B88" s="6">
        <v>20.54</v>
      </c>
      <c r="C88" s="6">
        <v>32.04</v>
      </c>
      <c r="D88" s="6">
        <v>34.56</v>
      </c>
      <c r="E88" s="6">
        <v>8.42</v>
      </c>
      <c r="F88" s="6">
        <v>3.24</v>
      </c>
      <c r="G88" s="6">
        <v>96.47</v>
      </c>
      <c r="H88" s="6">
        <v>45.49</v>
      </c>
      <c r="I88" s="6">
        <v>10.71</v>
      </c>
      <c r="J88" s="6">
        <v>0.77</v>
      </c>
      <c r="K88" s="6">
        <v>63.29</v>
      </c>
      <c r="L88" s="6">
        <v>19.54</v>
      </c>
      <c r="M88" s="6">
        <v>86.48</v>
      </c>
      <c r="N88" s="6">
        <v>0</v>
      </c>
      <c r="O88" s="6">
        <v>0</v>
      </c>
      <c r="P88" s="6">
        <v>1.1200000000000001</v>
      </c>
      <c r="Q88" s="6">
        <v>4.96</v>
      </c>
    </row>
    <row r="89" spans="1:17" customFormat="1">
      <c r="A89" s="72">
        <v>45311.84375</v>
      </c>
      <c r="B89" s="6">
        <v>21.13</v>
      </c>
      <c r="C89" s="6">
        <v>32.31</v>
      </c>
      <c r="D89" s="6">
        <v>35.18</v>
      </c>
      <c r="E89" s="6">
        <v>8.67</v>
      </c>
      <c r="F89" s="6">
        <v>3.26</v>
      </c>
      <c r="G89" s="6">
        <v>96.47</v>
      </c>
      <c r="H89" s="6">
        <v>45.49</v>
      </c>
      <c r="I89" s="6">
        <v>10.81</v>
      </c>
      <c r="J89" s="6">
        <v>0.8</v>
      </c>
      <c r="K89" s="6">
        <v>55.24</v>
      </c>
      <c r="L89" s="6">
        <v>19.420000000000002</v>
      </c>
      <c r="M89" s="6">
        <v>87.17</v>
      </c>
      <c r="N89" s="6">
        <v>0</v>
      </c>
      <c r="O89" s="6">
        <v>0</v>
      </c>
      <c r="P89" s="6">
        <v>1.1299999999999999</v>
      </c>
      <c r="Q89" s="6">
        <v>4.97</v>
      </c>
    </row>
    <row r="90" spans="1:17" customFormat="1">
      <c r="A90" s="72">
        <v>45311.854166666664</v>
      </c>
      <c r="B90" s="6">
        <v>22.04</v>
      </c>
      <c r="C90" s="6">
        <v>32.32</v>
      </c>
      <c r="D90" s="6">
        <v>35.909999999999997</v>
      </c>
      <c r="E90" s="6">
        <v>8.9</v>
      </c>
      <c r="F90" s="6">
        <v>3.26</v>
      </c>
      <c r="G90" s="6">
        <v>100.62</v>
      </c>
      <c r="H90" s="6">
        <v>45.88</v>
      </c>
      <c r="I90" s="6">
        <v>10.9</v>
      </c>
      <c r="J90" s="6">
        <v>0.91</v>
      </c>
      <c r="K90" s="6">
        <v>57.85</v>
      </c>
      <c r="L90" s="6">
        <v>19.2</v>
      </c>
      <c r="M90" s="6">
        <v>88.28</v>
      </c>
      <c r="N90" s="6">
        <v>0</v>
      </c>
      <c r="O90" s="6">
        <v>0</v>
      </c>
      <c r="P90" s="6">
        <v>1.1399999999999999</v>
      </c>
      <c r="Q90" s="6">
        <v>4.97</v>
      </c>
    </row>
    <row r="91" spans="1:17" customFormat="1">
      <c r="A91" s="72">
        <v>45311.864583333336</v>
      </c>
      <c r="B91" s="6">
        <v>22.84</v>
      </c>
      <c r="C91" s="6">
        <v>33.130000000000003</v>
      </c>
      <c r="D91" s="6">
        <v>36.979999999999997</v>
      </c>
      <c r="E91" s="6">
        <v>8.41</v>
      </c>
      <c r="F91" s="6">
        <v>3.29</v>
      </c>
      <c r="G91" s="6">
        <v>101.14</v>
      </c>
      <c r="H91" s="6">
        <v>45.88</v>
      </c>
      <c r="I91" s="6">
        <v>10.98</v>
      </c>
      <c r="J91" s="6">
        <v>0.91</v>
      </c>
      <c r="K91" s="6">
        <v>55.1</v>
      </c>
      <c r="L91" s="6">
        <v>19.010000000000002</v>
      </c>
      <c r="M91" s="6">
        <v>89.36</v>
      </c>
      <c r="N91" s="6">
        <v>0</v>
      </c>
      <c r="O91" s="6">
        <v>0</v>
      </c>
      <c r="P91" s="6">
        <v>1.1399999999999999</v>
      </c>
      <c r="Q91" s="6">
        <v>4.97</v>
      </c>
    </row>
    <row r="92" spans="1:17" customFormat="1">
      <c r="A92" s="72">
        <v>45311.875</v>
      </c>
      <c r="B92" s="6">
        <v>23.54</v>
      </c>
      <c r="C92" s="6">
        <v>30.98</v>
      </c>
      <c r="D92" s="6">
        <v>36.409999999999997</v>
      </c>
      <c r="E92" s="6">
        <v>8.0500000000000007</v>
      </c>
      <c r="F92" s="6">
        <v>3.61</v>
      </c>
      <c r="G92" s="6">
        <v>101.14</v>
      </c>
      <c r="H92" s="6">
        <v>45.88</v>
      </c>
      <c r="I92" s="6">
        <v>11.11</v>
      </c>
      <c r="J92" s="6">
        <v>0.94</v>
      </c>
      <c r="K92" s="6">
        <v>54.91</v>
      </c>
      <c r="L92" s="6">
        <v>18.88</v>
      </c>
      <c r="M92" s="6">
        <v>90.03</v>
      </c>
      <c r="N92" s="6">
        <v>0</v>
      </c>
      <c r="O92" s="6">
        <v>0</v>
      </c>
      <c r="P92" s="6">
        <v>1.1499999999999999</v>
      </c>
      <c r="Q92" s="6">
        <v>4.9800000000000004</v>
      </c>
    </row>
    <row r="93" spans="1:17" customFormat="1">
      <c r="A93" s="72">
        <v>45311.885416666664</v>
      </c>
      <c r="B93" s="6">
        <v>24.09</v>
      </c>
      <c r="C93" s="6">
        <v>27.42</v>
      </c>
      <c r="D93" s="6">
        <v>35</v>
      </c>
      <c r="E93" s="6">
        <v>7.67</v>
      </c>
      <c r="F93" s="6">
        <v>3.69</v>
      </c>
      <c r="G93" s="6">
        <v>101.14</v>
      </c>
      <c r="H93" s="6">
        <v>45.88</v>
      </c>
      <c r="I93" s="6">
        <v>11.16</v>
      </c>
      <c r="J93" s="6">
        <v>0.99</v>
      </c>
      <c r="K93" s="6">
        <v>58.76</v>
      </c>
      <c r="L93" s="6">
        <v>18.75</v>
      </c>
      <c r="M93" s="6">
        <v>90.67</v>
      </c>
      <c r="N93" s="6">
        <v>0</v>
      </c>
      <c r="O93" s="6">
        <v>0</v>
      </c>
      <c r="P93" s="6">
        <v>1.1399999999999999</v>
      </c>
      <c r="Q93" s="6">
        <v>4.99</v>
      </c>
    </row>
    <row r="94" spans="1:17" customFormat="1">
      <c r="A94" s="72">
        <v>45311.895833333336</v>
      </c>
      <c r="B94" s="6">
        <v>24.46</v>
      </c>
      <c r="C94" s="6">
        <v>26.72</v>
      </c>
      <c r="D94" s="6">
        <v>34.93</v>
      </c>
      <c r="E94" s="6">
        <v>7.17</v>
      </c>
      <c r="F94" s="6">
        <v>3.47</v>
      </c>
      <c r="G94" s="6">
        <v>102.65</v>
      </c>
      <c r="H94" s="6">
        <v>44.36</v>
      </c>
      <c r="I94" s="6">
        <v>11.19</v>
      </c>
      <c r="J94" s="6">
        <v>0.89</v>
      </c>
      <c r="K94" s="6">
        <v>52.12</v>
      </c>
      <c r="L94" s="6">
        <v>18.62</v>
      </c>
      <c r="M94" s="6">
        <v>91.21</v>
      </c>
      <c r="N94" s="6">
        <v>0</v>
      </c>
      <c r="O94" s="6">
        <v>0</v>
      </c>
      <c r="P94" s="6">
        <v>1.1399999999999999</v>
      </c>
      <c r="Q94" s="6">
        <v>4.99</v>
      </c>
    </row>
    <row r="95" spans="1:17" customFormat="1">
      <c r="A95" s="72">
        <v>45311.90625</v>
      </c>
      <c r="B95" s="6">
        <v>25.17</v>
      </c>
      <c r="C95" s="6">
        <v>26.04</v>
      </c>
      <c r="D95" s="6">
        <v>35.14</v>
      </c>
      <c r="E95" s="6">
        <v>7.23</v>
      </c>
      <c r="F95" s="6">
        <v>3.47</v>
      </c>
      <c r="G95" s="6">
        <v>102.83</v>
      </c>
      <c r="H95" s="6">
        <v>44.36</v>
      </c>
      <c r="I95" s="6">
        <v>11.23</v>
      </c>
      <c r="J95" s="6">
        <v>0.79</v>
      </c>
      <c r="K95" s="6">
        <v>52.85</v>
      </c>
      <c r="L95" s="6">
        <v>18.57</v>
      </c>
      <c r="M95" s="6">
        <v>91.6</v>
      </c>
      <c r="N95" s="6">
        <v>0</v>
      </c>
      <c r="O95" s="6">
        <v>0</v>
      </c>
      <c r="P95" s="6">
        <v>1.1399999999999999</v>
      </c>
      <c r="Q95" s="6">
        <v>5</v>
      </c>
    </row>
    <row r="96" spans="1:17" customFormat="1">
      <c r="A96" s="72">
        <v>45311.916666666664</v>
      </c>
      <c r="B96" s="6">
        <v>25.88</v>
      </c>
      <c r="C96" s="6">
        <v>26.14</v>
      </c>
      <c r="D96" s="6">
        <v>35.76</v>
      </c>
      <c r="E96" s="6">
        <v>7.64</v>
      </c>
      <c r="F96" s="6">
        <v>3.2</v>
      </c>
      <c r="G96" s="6">
        <v>102.83</v>
      </c>
      <c r="H96" s="6">
        <v>44.36</v>
      </c>
      <c r="I96" s="6">
        <v>11.28</v>
      </c>
      <c r="J96" s="6">
        <v>0.76</v>
      </c>
      <c r="K96" s="6">
        <v>48.1</v>
      </c>
      <c r="L96" s="6">
        <v>18.46</v>
      </c>
      <c r="M96" s="6">
        <v>91.9</v>
      </c>
      <c r="N96" s="6">
        <v>0</v>
      </c>
      <c r="O96" s="6">
        <v>0</v>
      </c>
      <c r="P96" s="6">
        <v>1.1499999999999999</v>
      </c>
      <c r="Q96" s="6">
        <v>4.99</v>
      </c>
    </row>
    <row r="97" spans="1:22" customFormat="1">
      <c r="A97" s="72">
        <v>45311.927083333336</v>
      </c>
      <c r="B97" s="6">
        <v>26.52</v>
      </c>
      <c r="C97" s="6">
        <v>26.18</v>
      </c>
      <c r="D97" s="6">
        <v>36.29</v>
      </c>
      <c r="E97" s="6">
        <v>7.24</v>
      </c>
      <c r="F97" s="6">
        <v>3.13</v>
      </c>
      <c r="G97" s="6">
        <v>102.83</v>
      </c>
      <c r="H97" s="6">
        <v>44.36</v>
      </c>
      <c r="I97" s="6">
        <v>11.32</v>
      </c>
      <c r="J97" s="6">
        <v>0.55000000000000004</v>
      </c>
      <c r="K97" s="6">
        <v>31.21</v>
      </c>
      <c r="L97" s="6">
        <v>18.38</v>
      </c>
      <c r="M97" s="6">
        <v>92.28</v>
      </c>
      <c r="N97" s="6">
        <v>0</v>
      </c>
      <c r="O97" s="6">
        <v>0</v>
      </c>
      <c r="P97" s="6">
        <v>1.1599999999999999</v>
      </c>
      <c r="Q97" s="6">
        <v>5.01</v>
      </c>
    </row>
    <row r="98" spans="1:22" customFormat="1">
      <c r="A98" s="72">
        <v>45311.9375</v>
      </c>
      <c r="B98" s="6">
        <v>26.92</v>
      </c>
      <c r="C98" s="6">
        <v>26.92</v>
      </c>
      <c r="D98" s="6">
        <v>37.01</v>
      </c>
      <c r="E98" s="6">
        <v>7.33</v>
      </c>
      <c r="F98" s="6">
        <v>3.14</v>
      </c>
      <c r="G98" s="6">
        <v>102.13</v>
      </c>
      <c r="H98" s="6">
        <v>45.46</v>
      </c>
      <c r="I98" s="6">
        <v>11.36</v>
      </c>
      <c r="J98" s="6">
        <v>0.59</v>
      </c>
      <c r="K98" s="6">
        <v>38.35</v>
      </c>
      <c r="L98" s="6">
        <v>18.420000000000002</v>
      </c>
      <c r="M98" s="6">
        <v>92</v>
      </c>
      <c r="N98" s="6">
        <v>0</v>
      </c>
      <c r="O98" s="6">
        <v>0</v>
      </c>
      <c r="P98" s="6">
        <v>1.17</v>
      </c>
      <c r="Q98" s="6">
        <v>5.03</v>
      </c>
    </row>
    <row r="99" spans="1:22" customFormat="1">
      <c r="A99" s="72">
        <v>45311.947916666664</v>
      </c>
      <c r="B99" s="6">
        <v>27.3</v>
      </c>
      <c r="C99" s="6">
        <v>25.83</v>
      </c>
      <c r="D99" s="6">
        <v>36.74</v>
      </c>
      <c r="E99" s="6">
        <v>7.82</v>
      </c>
      <c r="F99" s="6">
        <v>3.4</v>
      </c>
      <c r="G99" s="6">
        <v>102.05</v>
      </c>
      <c r="H99" s="6">
        <v>45.46</v>
      </c>
      <c r="I99" s="6">
        <v>11.42</v>
      </c>
      <c r="J99" s="6">
        <v>0.66</v>
      </c>
      <c r="K99" s="6">
        <v>45.75</v>
      </c>
      <c r="L99" s="6">
        <v>18.47</v>
      </c>
      <c r="M99" s="6">
        <v>91.44</v>
      </c>
      <c r="N99" s="6">
        <v>0</v>
      </c>
      <c r="O99" s="6">
        <v>0</v>
      </c>
      <c r="P99" s="6">
        <v>1.1599999999999999</v>
      </c>
      <c r="Q99" s="6">
        <v>5.04</v>
      </c>
    </row>
    <row r="100" spans="1:22" customFormat="1">
      <c r="A100" s="72">
        <v>45311.958333333336</v>
      </c>
      <c r="B100" s="6">
        <v>27.54</v>
      </c>
      <c r="C100" s="6">
        <v>26.45</v>
      </c>
      <c r="D100" s="6">
        <v>37.26</v>
      </c>
      <c r="E100" s="6">
        <v>7.64</v>
      </c>
      <c r="F100" s="6">
        <v>3.34</v>
      </c>
      <c r="G100" s="6">
        <v>102.05</v>
      </c>
      <c r="H100" s="6">
        <v>45.46</v>
      </c>
      <c r="I100" s="6">
        <v>11.44</v>
      </c>
      <c r="J100" s="6">
        <v>0.56999999999999995</v>
      </c>
      <c r="K100" s="6">
        <v>47.72</v>
      </c>
      <c r="L100" s="6">
        <v>18.37</v>
      </c>
      <c r="M100" s="6">
        <v>91.67</v>
      </c>
      <c r="N100" s="6">
        <v>0</v>
      </c>
      <c r="O100" s="6">
        <v>0</v>
      </c>
      <c r="P100" s="6">
        <v>1.1599999999999999</v>
      </c>
      <c r="Q100" s="6">
        <v>5.04</v>
      </c>
    </row>
    <row r="101" spans="1:22" customFormat="1">
      <c r="A101" s="72">
        <v>45311.96875</v>
      </c>
      <c r="B101" s="6">
        <v>27.82</v>
      </c>
      <c r="C101" s="6">
        <v>25.96</v>
      </c>
      <c r="D101" s="6">
        <v>37.22</v>
      </c>
      <c r="E101" s="6">
        <v>7.51</v>
      </c>
      <c r="F101" s="6">
        <v>3.3</v>
      </c>
      <c r="G101" s="6">
        <v>102.05</v>
      </c>
      <c r="H101" s="6">
        <v>45.46</v>
      </c>
      <c r="I101" s="6">
        <v>11.46</v>
      </c>
      <c r="J101" s="6">
        <v>0.64</v>
      </c>
      <c r="K101" s="6">
        <v>56.81</v>
      </c>
      <c r="L101" s="6">
        <v>18.420000000000002</v>
      </c>
      <c r="M101" s="6">
        <v>91.36</v>
      </c>
      <c r="N101" s="6">
        <v>0</v>
      </c>
      <c r="O101" s="6">
        <v>0</v>
      </c>
      <c r="P101" s="6">
        <v>1.1599999999999999</v>
      </c>
      <c r="Q101" s="6">
        <v>5.04</v>
      </c>
    </row>
    <row r="102" spans="1:22" customFormat="1">
      <c r="A102" s="72">
        <v>45311.979166666664</v>
      </c>
      <c r="B102" s="6">
        <v>28.33</v>
      </c>
      <c r="C102" s="6">
        <v>26.46</v>
      </c>
      <c r="D102" s="6">
        <v>37.89</v>
      </c>
      <c r="E102" s="6">
        <v>7.53</v>
      </c>
      <c r="F102" s="6">
        <v>3.31</v>
      </c>
      <c r="G102" s="6">
        <v>101.36</v>
      </c>
      <c r="H102" s="6">
        <v>46.1</v>
      </c>
      <c r="I102" s="6">
        <v>11.49</v>
      </c>
      <c r="J102" s="6">
        <v>0.76</v>
      </c>
      <c r="K102" s="6">
        <v>56.23</v>
      </c>
      <c r="L102" s="6">
        <v>18.37</v>
      </c>
      <c r="M102" s="6">
        <v>91.04</v>
      </c>
      <c r="N102" s="6">
        <v>0</v>
      </c>
      <c r="O102" s="6">
        <v>0</v>
      </c>
      <c r="P102" s="6">
        <v>1.1599999999999999</v>
      </c>
      <c r="Q102" s="6">
        <v>5.08</v>
      </c>
    </row>
    <row r="103" spans="1:22" customFormat="1">
      <c r="A103" s="72">
        <v>45311.989583333336</v>
      </c>
      <c r="B103" s="6">
        <v>28.59</v>
      </c>
      <c r="C103" s="6">
        <v>26.97</v>
      </c>
      <c r="D103" s="6">
        <v>38.369999999999997</v>
      </c>
      <c r="E103" s="6">
        <v>7.82</v>
      </c>
      <c r="F103" s="6">
        <v>3.34</v>
      </c>
      <c r="G103" s="6">
        <v>101.27</v>
      </c>
      <c r="H103" s="6">
        <v>46.1</v>
      </c>
      <c r="I103" s="6">
        <v>11.54</v>
      </c>
      <c r="J103" s="6">
        <v>0.75</v>
      </c>
      <c r="K103" s="6">
        <v>63.41</v>
      </c>
      <c r="L103" s="6">
        <v>18.27</v>
      </c>
      <c r="M103" s="6">
        <v>91.13</v>
      </c>
      <c r="N103" s="6">
        <v>0</v>
      </c>
      <c r="O103" s="6">
        <v>0</v>
      </c>
      <c r="P103" s="6">
        <v>1.1599999999999999</v>
      </c>
      <c r="Q103" s="6">
        <v>5.09</v>
      </c>
    </row>
    <row r="104" spans="1:22" customFormat="1">
      <c r="A104" s="72">
        <v>45312</v>
      </c>
      <c r="B104" s="6">
        <v>28.63</v>
      </c>
      <c r="C104" s="6">
        <v>26.11</v>
      </c>
      <c r="D104" s="6">
        <v>37.950000000000003</v>
      </c>
      <c r="E104" s="6">
        <v>7.78</v>
      </c>
      <c r="F104" s="6">
        <v>3.38</v>
      </c>
      <c r="G104" s="6">
        <v>101.27</v>
      </c>
      <c r="H104" s="6">
        <v>46.1</v>
      </c>
      <c r="I104" s="6">
        <v>11.59</v>
      </c>
      <c r="J104" s="6">
        <v>0.76</v>
      </c>
      <c r="K104" s="6">
        <v>62.04</v>
      </c>
      <c r="L104" s="6">
        <v>18.190000000000001</v>
      </c>
      <c r="M104" s="6">
        <v>91.53</v>
      </c>
      <c r="N104" s="6">
        <v>0</v>
      </c>
      <c r="O104" s="6">
        <v>0</v>
      </c>
      <c r="P104" s="6">
        <v>1.17</v>
      </c>
      <c r="Q104" s="6">
        <v>5.09</v>
      </c>
    </row>
    <row r="106" spans="1:22">
      <c r="A106" s="156" t="s">
        <v>48</v>
      </c>
      <c r="B106" s="157">
        <f>MIN(B9:B104)</f>
        <v>14.24</v>
      </c>
      <c r="C106" s="157">
        <f>MIN(C9:C104)</f>
        <v>23.22</v>
      </c>
      <c r="D106" s="157">
        <f t="shared" ref="D106:Q106" si="0">MIN(D9:D104)</f>
        <v>28.13</v>
      </c>
      <c r="E106" s="157">
        <f t="shared" si="0"/>
        <v>6.79</v>
      </c>
      <c r="F106" s="157">
        <f t="shared" si="0"/>
        <v>3.02</v>
      </c>
      <c r="G106" s="157">
        <f t="shared" si="0"/>
        <v>85.81</v>
      </c>
      <c r="H106" s="157">
        <f t="shared" si="0"/>
        <v>40.29</v>
      </c>
      <c r="I106" s="157">
        <f t="shared" si="0"/>
        <v>10.039999999999999</v>
      </c>
      <c r="J106" s="157">
        <f t="shared" si="0"/>
        <v>0.09</v>
      </c>
      <c r="K106" s="157">
        <f t="shared" si="0"/>
        <v>14.59</v>
      </c>
      <c r="L106" s="157">
        <f t="shared" si="0"/>
        <v>15.81</v>
      </c>
      <c r="M106" s="157">
        <f t="shared" si="0"/>
        <v>67.02</v>
      </c>
      <c r="N106" s="157">
        <f t="shared" si="0"/>
        <v>0</v>
      </c>
      <c r="O106" s="157">
        <f t="shared" si="0"/>
        <v>0</v>
      </c>
      <c r="P106" s="157">
        <f t="shared" si="0"/>
        <v>1.01</v>
      </c>
      <c r="Q106" s="157">
        <f t="shared" si="0"/>
        <v>4.9400000000000004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45.07</v>
      </c>
      <c r="C107" s="156">
        <f t="shared" ref="C107:Q107" si="1">MAX(C9:C104)</f>
        <v>34.409999999999997</v>
      </c>
      <c r="D107" s="156">
        <f t="shared" si="1"/>
        <v>55.37</v>
      </c>
      <c r="E107" s="156">
        <f t="shared" si="1"/>
        <v>10.17</v>
      </c>
      <c r="F107" s="156">
        <f t="shared" si="1"/>
        <v>3.7</v>
      </c>
      <c r="G107" s="156">
        <f t="shared" si="1"/>
        <v>123.57</v>
      </c>
      <c r="H107" s="156">
        <f t="shared" si="1"/>
        <v>54.74</v>
      </c>
      <c r="I107" s="156">
        <f t="shared" si="1"/>
        <v>12.4</v>
      </c>
      <c r="J107" s="156">
        <f t="shared" si="1"/>
        <v>1.18</v>
      </c>
      <c r="K107" s="156">
        <f t="shared" si="1"/>
        <v>342.05</v>
      </c>
      <c r="L107" s="156">
        <f t="shared" si="1"/>
        <v>23.57</v>
      </c>
      <c r="M107" s="156">
        <f t="shared" si="1"/>
        <v>92.28</v>
      </c>
      <c r="N107" s="156">
        <f t="shared" si="1"/>
        <v>201.1</v>
      </c>
      <c r="O107" s="156">
        <f t="shared" si="1"/>
        <v>0</v>
      </c>
      <c r="P107" s="156">
        <f t="shared" si="1"/>
        <v>1.22</v>
      </c>
      <c r="Q107" s="156">
        <f t="shared" si="1"/>
        <v>5.32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27.720833333333342</v>
      </c>
      <c r="C108" s="157">
        <f t="shared" ref="C108:Q108" si="2">AVERAGE(C9:C104)</f>
        <v>28.216354166666662</v>
      </c>
      <c r="D108" s="157">
        <f t="shared" si="2"/>
        <v>38.323333333333316</v>
      </c>
      <c r="E108" s="157">
        <f t="shared" si="2"/>
        <v>7.9634374999999977</v>
      </c>
      <c r="F108" s="157">
        <f t="shared" si="2"/>
        <v>3.3579166666666662</v>
      </c>
      <c r="G108" s="157">
        <f t="shared" si="2"/>
        <v>101.11239583333334</v>
      </c>
      <c r="H108" s="157">
        <f t="shared" si="2"/>
        <v>47.253749999999997</v>
      </c>
      <c r="I108" s="157">
        <f t="shared" si="2"/>
        <v>11.416874999999999</v>
      </c>
      <c r="J108" s="157">
        <f t="shared" si="2"/>
        <v>0.69739583333333355</v>
      </c>
      <c r="K108" s="157">
        <f t="shared" si="2"/>
        <v>61.148437500000028</v>
      </c>
      <c r="L108" s="157">
        <f t="shared" si="2"/>
        <v>19.001250000000002</v>
      </c>
      <c r="M108" s="157">
        <f t="shared" si="2"/>
        <v>79.364999999999995</v>
      </c>
      <c r="N108" s="157">
        <f t="shared" si="2"/>
        <v>28.204166666666666</v>
      </c>
      <c r="O108" s="157">
        <f t="shared" si="2"/>
        <v>0</v>
      </c>
      <c r="P108" s="157">
        <f t="shared" si="2"/>
        <v>1.1176041666666665</v>
      </c>
      <c r="Q108" s="157">
        <f t="shared" si="2"/>
        <v>5.1054166666666676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7.758920525388648</v>
      </c>
      <c r="C109" s="157">
        <f t="shared" ref="C109:Q109" si="3">STDEV(C9:C104)</f>
        <v>2.8934274411943299</v>
      </c>
      <c r="D109" s="157">
        <f t="shared" si="3"/>
        <v>6.6570296310571635</v>
      </c>
      <c r="E109" s="157">
        <f t="shared" si="3"/>
        <v>0.69489995966856144</v>
      </c>
      <c r="F109" s="157">
        <f t="shared" si="3"/>
        <v>0.14993273345538499</v>
      </c>
      <c r="G109" s="157">
        <f t="shared" si="3"/>
        <v>9.8704895356433902</v>
      </c>
      <c r="H109" s="157">
        <f t="shared" si="3"/>
        <v>3.8303121351440255</v>
      </c>
      <c r="I109" s="157">
        <f t="shared" si="3"/>
        <v>0.63786372492794041</v>
      </c>
      <c r="J109" s="157">
        <f t="shared" si="3"/>
        <v>0.27445733938146111</v>
      </c>
      <c r="K109" s="157">
        <f t="shared" si="3"/>
        <v>44.434185756562293</v>
      </c>
      <c r="L109" s="157">
        <f t="shared" si="3"/>
        <v>2.4426302691113273</v>
      </c>
      <c r="M109" s="157">
        <f t="shared" si="3"/>
        <v>8.43199558074393</v>
      </c>
      <c r="N109" s="157">
        <f t="shared" si="3"/>
        <v>45.613711965792085</v>
      </c>
      <c r="O109" s="157">
        <f t="shared" si="3"/>
        <v>0</v>
      </c>
      <c r="P109" s="157">
        <f t="shared" si="3"/>
        <v>5.7211423071136372E-2</v>
      </c>
      <c r="Q109" s="157">
        <f t="shared" si="3"/>
        <v>0.10609743949156671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45312.010416666664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45312.010416666664</v>
      </c>
      <c r="B9" s="6">
        <v>28.19</v>
      </c>
      <c r="C9" s="6">
        <v>25.14</v>
      </c>
      <c r="D9" s="6">
        <v>37.090000000000003</v>
      </c>
      <c r="E9" s="6">
        <v>7.42</v>
      </c>
      <c r="F9" s="6">
        <v>3.33</v>
      </c>
      <c r="G9" s="6">
        <v>101.27</v>
      </c>
      <c r="H9" s="6">
        <v>46.1</v>
      </c>
      <c r="I9" s="6">
        <v>11.63</v>
      </c>
      <c r="J9" s="6">
        <v>0.6</v>
      </c>
      <c r="K9" s="6">
        <v>48.92</v>
      </c>
      <c r="L9" s="6">
        <v>18.21</v>
      </c>
      <c r="M9" s="6">
        <v>91.35</v>
      </c>
      <c r="N9" s="6">
        <v>0</v>
      </c>
      <c r="O9" s="6">
        <v>0</v>
      </c>
      <c r="P9" s="6">
        <v>1.17</v>
      </c>
      <c r="Q9" s="6">
        <v>5.08</v>
      </c>
    </row>
    <row r="10" spans="1:21" customFormat="1">
      <c r="A10" s="72">
        <v>45312.020833333336</v>
      </c>
      <c r="B10" s="6">
        <v>28.3</v>
      </c>
      <c r="C10" s="6">
        <v>25.78</v>
      </c>
      <c r="D10" s="6">
        <v>37.520000000000003</v>
      </c>
      <c r="E10" s="6">
        <v>7.28</v>
      </c>
      <c r="F10" s="6">
        <v>3.2</v>
      </c>
      <c r="G10" s="6">
        <v>99.81</v>
      </c>
      <c r="H10" s="6">
        <v>45.99</v>
      </c>
      <c r="I10" s="6">
        <v>11.64</v>
      </c>
      <c r="J10" s="6">
        <v>0.28999999999999998</v>
      </c>
      <c r="K10" s="6">
        <v>358.6</v>
      </c>
      <c r="L10" s="6">
        <v>18.14</v>
      </c>
      <c r="M10" s="6">
        <v>91.63</v>
      </c>
      <c r="N10" s="6">
        <v>0</v>
      </c>
      <c r="O10" s="6">
        <v>0</v>
      </c>
      <c r="P10" s="6">
        <v>1.17</v>
      </c>
      <c r="Q10" s="6">
        <v>5.07</v>
      </c>
    </row>
    <row r="11" spans="1:21" customFormat="1">
      <c r="A11" s="72">
        <v>45312.03125</v>
      </c>
      <c r="B11" s="6">
        <v>28.41</v>
      </c>
      <c r="C11" s="6">
        <v>26.07</v>
      </c>
      <c r="D11" s="6">
        <v>37.75</v>
      </c>
      <c r="E11" s="6">
        <v>7.46</v>
      </c>
      <c r="F11" s="6">
        <v>3.18</v>
      </c>
      <c r="G11" s="6">
        <v>99.62</v>
      </c>
      <c r="H11" s="6">
        <v>45.99</v>
      </c>
      <c r="I11" s="6">
        <v>11.65</v>
      </c>
      <c r="J11" s="6">
        <v>0.37</v>
      </c>
      <c r="K11" s="6">
        <v>40.17</v>
      </c>
      <c r="L11" s="6">
        <v>18.11</v>
      </c>
      <c r="M11" s="6">
        <v>91.78</v>
      </c>
      <c r="N11" s="6">
        <v>0</v>
      </c>
      <c r="O11" s="6">
        <v>0</v>
      </c>
      <c r="P11" s="6">
        <v>1.1599999999999999</v>
      </c>
      <c r="Q11" s="6">
        <v>5.08</v>
      </c>
    </row>
    <row r="12" spans="1:21" customFormat="1">
      <c r="A12" s="72">
        <v>45312.041666666664</v>
      </c>
      <c r="B12" s="6">
        <v>28.26</v>
      </c>
      <c r="C12" s="6">
        <v>25.91</v>
      </c>
      <c r="D12" s="6">
        <v>37.549999999999997</v>
      </c>
      <c r="E12" s="6">
        <v>7.51</v>
      </c>
      <c r="F12" s="6">
        <v>3.22</v>
      </c>
      <c r="G12" s="6">
        <v>99.62</v>
      </c>
      <c r="H12" s="6">
        <v>45.99</v>
      </c>
      <c r="I12" s="6">
        <v>11.66</v>
      </c>
      <c r="J12" s="6">
        <v>0.94</v>
      </c>
      <c r="K12" s="6">
        <v>42.2</v>
      </c>
      <c r="L12" s="6">
        <v>18.21</v>
      </c>
      <c r="M12" s="6">
        <v>91.16</v>
      </c>
      <c r="N12" s="6">
        <v>0</v>
      </c>
      <c r="O12" s="6">
        <v>0</v>
      </c>
      <c r="P12" s="6">
        <v>1.17</v>
      </c>
      <c r="Q12" s="6">
        <v>5.0999999999999996</v>
      </c>
    </row>
    <row r="13" spans="1:21" customFormat="1">
      <c r="A13" s="72">
        <v>45312.052083333336</v>
      </c>
      <c r="B13" s="6">
        <v>27.86</v>
      </c>
      <c r="C13" s="6">
        <v>25.71</v>
      </c>
      <c r="D13" s="6">
        <v>37.119999999999997</v>
      </c>
      <c r="E13" s="6">
        <v>7.65</v>
      </c>
      <c r="F13" s="6">
        <v>3.2</v>
      </c>
      <c r="G13" s="6">
        <v>99.62</v>
      </c>
      <c r="H13" s="6">
        <v>45.99</v>
      </c>
      <c r="I13" s="6">
        <v>11.68</v>
      </c>
      <c r="J13" s="6">
        <v>0.5</v>
      </c>
      <c r="K13" s="6">
        <v>35.96</v>
      </c>
      <c r="L13" s="6">
        <v>18.190000000000001</v>
      </c>
      <c r="M13" s="6">
        <v>91.21</v>
      </c>
      <c r="N13" s="6">
        <v>0</v>
      </c>
      <c r="O13" s="6">
        <v>0</v>
      </c>
      <c r="P13" s="6">
        <v>1.17</v>
      </c>
      <c r="Q13" s="6">
        <v>5.08</v>
      </c>
    </row>
    <row r="14" spans="1:21" customFormat="1">
      <c r="A14" s="72">
        <v>45312.0625</v>
      </c>
      <c r="B14" s="6">
        <v>27.52</v>
      </c>
      <c r="C14" s="6">
        <v>25.45</v>
      </c>
      <c r="D14" s="6">
        <v>36.72</v>
      </c>
      <c r="E14" s="6">
        <v>7.66</v>
      </c>
      <c r="F14" s="6">
        <v>3.32</v>
      </c>
      <c r="G14" s="6">
        <v>100.6</v>
      </c>
      <c r="H14" s="6">
        <v>47.61</v>
      </c>
      <c r="I14" s="6">
        <v>11.68</v>
      </c>
      <c r="J14" s="6">
        <v>0.2</v>
      </c>
      <c r="K14" s="6">
        <v>93.82</v>
      </c>
      <c r="L14" s="6">
        <v>18.2</v>
      </c>
      <c r="M14" s="6">
        <v>90.99</v>
      </c>
      <c r="N14" s="6">
        <v>0</v>
      </c>
      <c r="O14" s="6">
        <v>0</v>
      </c>
      <c r="P14" s="6">
        <v>1.1599999999999999</v>
      </c>
      <c r="Q14" s="6">
        <v>5.08</v>
      </c>
    </row>
    <row r="15" spans="1:21" customFormat="1">
      <c r="A15" s="72">
        <v>45312.072916666664</v>
      </c>
      <c r="B15" s="6">
        <v>27.04</v>
      </c>
      <c r="C15" s="6">
        <v>25.49</v>
      </c>
      <c r="D15" s="6">
        <v>36.35</v>
      </c>
      <c r="E15" s="6">
        <v>7.92</v>
      </c>
      <c r="F15" s="6">
        <v>3.41</v>
      </c>
      <c r="G15" s="6">
        <v>100.73</v>
      </c>
      <c r="H15" s="6">
        <v>47.61</v>
      </c>
      <c r="I15" s="6">
        <v>11.71</v>
      </c>
      <c r="J15" s="6">
        <v>0.3</v>
      </c>
      <c r="K15" s="6">
        <v>44.71</v>
      </c>
      <c r="L15" s="6">
        <v>18.149999999999999</v>
      </c>
      <c r="M15" s="6">
        <v>91.07</v>
      </c>
      <c r="N15" s="6">
        <v>0</v>
      </c>
      <c r="O15" s="6">
        <v>0</v>
      </c>
      <c r="P15" s="6">
        <v>1.17</v>
      </c>
      <c r="Q15" s="6">
        <v>5.09</v>
      </c>
    </row>
    <row r="16" spans="1:21" customFormat="1">
      <c r="A16" s="72">
        <v>45312.083333333336</v>
      </c>
      <c r="B16" s="6">
        <v>27.02</v>
      </c>
      <c r="C16" s="6">
        <v>26.01</v>
      </c>
      <c r="D16" s="6">
        <v>36.61</v>
      </c>
      <c r="E16" s="6">
        <v>8.1</v>
      </c>
      <c r="F16" s="6">
        <v>3.45</v>
      </c>
      <c r="G16" s="6">
        <v>100.73</v>
      </c>
      <c r="H16" s="6">
        <v>47.61</v>
      </c>
      <c r="I16" s="6">
        <v>11.78</v>
      </c>
      <c r="J16" s="6">
        <v>0.51</v>
      </c>
      <c r="K16" s="6">
        <v>45.05</v>
      </c>
      <c r="L16" s="6">
        <v>18.170000000000002</v>
      </c>
      <c r="M16" s="6">
        <v>90.32</v>
      </c>
      <c r="N16" s="6">
        <v>0</v>
      </c>
      <c r="O16" s="6">
        <v>0</v>
      </c>
      <c r="P16" s="6">
        <v>1.17</v>
      </c>
      <c r="Q16" s="6">
        <v>5.1100000000000003</v>
      </c>
    </row>
    <row r="17" spans="1:17" customFormat="1">
      <c r="A17" s="72">
        <v>45312.09375</v>
      </c>
      <c r="B17" s="6">
        <v>27.36</v>
      </c>
      <c r="C17" s="6">
        <v>26.71</v>
      </c>
      <c r="D17" s="6">
        <v>37.25</v>
      </c>
      <c r="E17" s="6">
        <v>8.07</v>
      </c>
      <c r="F17" s="6">
        <v>3.32</v>
      </c>
      <c r="G17" s="6">
        <v>100.73</v>
      </c>
      <c r="H17" s="6">
        <v>47.61</v>
      </c>
      <c r="I17" s="6">
        <v>11.88</v>
      </c>
      <c r="J17" s="6">
        <v>0.52</v>
      </c>
      <c r="K17" s="6">
        <v>43.79</v>
      </c>
      <c r="L17" s="6">
        <v>18</v>
      </c>
      <c r="M17" s="6">
        <v>91.11</v>
      </c>
      <c r="N17" s="6">
        <v>0</v>
      </c>
      <c r="O17" s="6">
        <v>0</v>
      </c>
      <c r="P17" s="6">
        <v>1.17</v>
      </c>
      <c r="Q17" s="6">
        <v>5.0999999999999996</v>
      </c>
    </row>
    <row r="18" spans="1:17" customFormat="1">
      <c r="A18" s="72">
        <v>45312.104166666664</v>
      </c>
      <c r="B18" s="6">
        <v>27.52</v>
      </c>
      <c r="C18" s="6">
        <v>27.51</v>
      </c>
      <c r="D18" s="6">
        <v>37.79</v>
      </c>
      <c r="E18" s="6">
        <v>9.5</v>
      </c>
      <c r="F18" s="6">
        <v>3.35</v>
      </c>
      <c r="G18" s="6">
        <v>104.81</v>
      </c>
      <c r="H18" s="6">
        <v>49.11</v>
      </c>
      <c r="I18" s="6">
        <v>11.93</v>
      </c>
      <c r="J18" s="6">
        <v>0.83</v>
      </c>
      <c r="K18" s="6">
        <v>51.57</v>
      </c>
      <c r="L18" s="6">
        <v>18</v>
      </c>
      <c r="M18" s="6">
        <v>90.61</v>
      </c>
      <c r="N18" s="6">
        <v>0</v>
      </c>
      <c r="O18" s="6">
        <v>0</v>
      </c>
      <c r="P18" s="6">
        <v>1.18</v>
      </c>
      <c r="Q18" s="6">
        <v>5.09</v>
      </c>
    </row>
    <row r="19" spans="1:17" customFormat="1">
      <c r="A19" s="72">
        <v>45312.114583333336</v>
      </c>
      <c r="B19" s="6">
        <v>27.67</v>
      </c>
      <c r="C19" s="6">
        <v>27.73</v>
      </c>
      <c r="D19" s="6">
        <v>38.03</v>
      </c>
      <c r="E19" s="6">
        <v>8.92</v>
      </c>
      <c r="F19" s="6">
        <v>3.3</v>
      </c>
      <c r="G19" s="6">
        <v>105.32</v>
      </c>
      <c r="H19" s="6">
        <v>49.11</v>
      </c>
      <c r="I19" s="6">
        <v>11.95</v>
      </c>
      <c r="J19" s="6">
        <v>0.7</v>
      </c>
      <c r="K19" s="6">
        <v>30.2</v>
      </c>
      <c r="L19" s="6">
        <v>18.02</v>
      </c>
      <c r="M19" s="6">
        <v>90.24</v>
      </c>
      <c r="N19" s="6">
        <v>0</v>
      </c>
      <c r="O19" s="6">
        <v>0</v>
      </c>
      <c r="P19" s="6">
        <v>1.18</v>
      </c>
      <c r="Q19" s="6">
        <v>5.0999999999999996</v>
      </c>
    </row>
    <row r="20" spans="1:17" customFormat="1">
      <c r="A20" s="72">
        <v>45312.125</v>
      </c>
      <c r="B20" s="6">
        <v>27.6</v>
      </c>
      <c r="C20" s="6">
        <v>27.94</v>
      </c>
      <c r="D20" s="6">
        <v>38.08</v>
      </c>
      <c r="E20" s="6">
        <v>9.0299999999999994</v>
      </c>
      <c r="F20" s="6">
        <v>3.44</v>
      </c>
      <c r="G20" s="6">
        <v>105.32</v>
      </c>
      <c r="H20" s="6">
        <v>49.11</v>
      </c>
      <c r="I20" s="6">
        <v>11.96</v>
      </c>
      <c r="J20" s="6">
        <v>0.6</v>
      </c>
      <c r="K20" s="6">
        <v>5.04</v>
      </c>
      <c r="L20" s="6">
        <v>18.010000000000002</v>
      </c>
      <c r="M20" s="6">
        <v>91.17</v>
      </c>
      <c r="N20" s="6">
        <v>0</v>
      </c>
      <c r="O20" s="6">
        <v>0</v>
      </c>
      <c r="P20" s="6">
        <v>1.17</v>
      </c>
      <c r="Q20" s="6">
        <v>5.1100000000000003</v>
      </c>
    </row>
    <row r="21" spans="1:17" customFormat="1">
      <c r="A21" s="72">
        <v>45312.135416666664</v>
      </c>
      <c r="B21" s="6">
        <v>27.08</v>
      </c>
      <c r="C21" s="6">
        <v>28.15</v>
      </c>
      <c r="D21" s="6">
        <v>37.78</v>
      </c>
      <c r="E21" s="6">
        <v>9.25</v>
      </c>
      <c r="F21" s="6">
        <v>3.44</v>
      </c>
      <c r="G21" s="6">
        <v>105.32</v>
      </c>
      <c r="H21" s="6">
        <v>49.11</v>
      </c>
      <c r="I21" s="6">
        <v>11.99</v>
      </c>
      <c r="J21" s="6">
        <v>1.1000000000000001</v>
      </c>
      <c r="K21" s="6">
        <v>39.1</v>
      </c>
      <c r="L21" s="6">
        <v>17.86</v>
      </c>
      <c r="M21" s="6">
        <v>92.24</v>
      </c>
      <c r="N21" s="6">
        <v>0</v>
      </c>
      <c r="O21" s="6">
        <v>0</v>
      </c>
      <c r="P21" s="6">
        <v>1.18</v>
      </c>
      <c r="Q21" s="6">
        <v>5.0999999999999996</v>
      </c>
    </row>
    <row r="22" spans="1:17" customFormat="1">
      <c r="A22" s="72">
        <v>45312.145833333336</v>
      </c>
      <c r="B22" s="6">
        <v>26.65</v>
      </c>
      <c r="C22" s="6">
        <v>28.27</v>
      </c>
      <c r="D22" s="6">
        <v>37.49</v>
      </c>
      <c r="E22" s="6">
        <v>9.34</v>
      </c>
      <c r="F22" s="6">
        <v>3.35</v>
      </c>
      <c r="G22" s="6">
        <v>102.42</v>
      </c>
      <c r="H22" s="6">
        <v>45.51</v>
      </c>
      <c r="I22" s="6">
        <v>12</v>
      </c>
      <c r="J22" s="6">
        <v>0.87</v>
      </c>
      <c r="K22" s="6">
        <v>46.06</v>
      </c>
      <c r="L22" s="6">
        <v>17.78</v>
      </c>
      <c r="M22" s="6">
        <v>93.28</v>
      </c>
      <c r="N22" s="6">
        <v>0</v>
      </c>
      <c r="O22" s="6">
        <v>0</v>
      </c>
      <c r="P22" s="6">
        <v>1.19</v>
      </c>
      <c r="Q22" s="6">
        <v>5.08</v>
      </c>
    </row>
    <row r="23" spans="1:17" customFormat="1">
      <c r="A23" s="72">
        <v>45312.15625</v>
      </c>
      <c r="B23" s="6">
        <v>26.34</v>
      </c>
      <c r="C23" s="6">
        <v>28.11</v>
      </c>
      <c r="D23" s="6">
        <v>37.159999999999997</v>
      </c>
      <c r="E23" s="6">
        <v>9.52</v>
      </c>
      <c r="F23" s="6">
        <v>3.22</v>
      </c>
      <c r="G23" s="6">
        <v>102.05</v>
      </c>
      <c r="H23" s="6">
        <v>45.51</v>
      </c>
      <c r="I23" s="6">
        <v>12.01</v>
      </c>
      <c r="J23" s="6">
        <v>1.22</v>
      </c>
      <c r="K23" s="6">
        <v>46.78</v>
      </c>
      <c r="L23" s="6">
        <v>17.54</v>
      </c>
      <c r="M23" s="6">
        <v>93.5</v>
      </c>
      <c r="N23" s="6">
        <v>0</v>
      </c>
      <c r="O23" s="6">
        <v>0</v>
      </c>
      <c r="P23" s="6">
        <v>1.2</v>
      </c>
      <c r="Q23" s="6">
        <v>5.09</v>
      </c>
    </row>
    <row r="24" spans="1:17" customFormat="1">
      <c r="A24" s="72">
        <v>45312.166666666664</v>
      </c>
      <c r="B24" s="6">
        <v>25.75</v>
      </c>
      <c r="C24" s="6">
        <v>28.21</v>
      </c>
      <c r="D24" s="6">
        <v>36.74</v>
      </c>
      <c r="E24" s="6">
        <v>9.33</v>
      </c>
      <c r="F24" s="6">
        <v>3.21</v>
      </c>
      <c r="G24" s="6">
        <v>102.05</v>
      </c>
      <c r="H24" s="6">
        <v>45.51</v>
      </c>
      <c r="I24" s="6">
        <v>11.97</v>
      </c>
      <c r="J24" s="6">
        <v>0.92</v>
      </c>
      <c r="K24" s="6">
        <v>46.07</v>
      </c>
      <c r="L24" s="6">
        <v>17.260000000000002</v>
      </c>
      <c r="M24" s="6">
        <v>93.39</v>
      </c>
      <c r="N24" s="6">
        <v>0</v>
      </c>
      <c r="O24" s="6">
        <v>0</v>
      </c>
      <c r="P24" s="6">
        <v>1.18</v>
      </c>
      <c r="Q24" s="6">
        <v>5.09</v>
      </c>
    </row>
    <row r="25" spans="1:17" customFormat="1">
      <c r="A25" s="72">
        <v>45312.177083333336</v>
      </c>
      <c r="B25" s="6">
        <v>25.18</v>
      </c>
      <c r="C25" s="6">
        <v>27.98</v>
      </c>
      <c r="D25" s="6">
        <v>36.159999999999997</v>
      </c>
      <c r="E25" s="6">
        <v>9.26</v>
      </c>
      <c r="F25" s="6">
        <v>3.14</v>
      </c>
      <c r="G25" s="6">
        <v>102.05</v>
      </c>
      <c r="H25" s="6">
        <v>45.51</v>
      </c>
      <c r="I25" s="6">
        <v>11.87</v>
      </c>
      <c r="J25" s="6">
        <v>1.1000000000000001</v>
      </c>
      <c r="K25" s="6">
        <v>51.71</v>
      </c>
      <c r="L25" s="6">
        <v>17.12</v>
      </c>
      <c r="M25" s="6">
        <v>92.02</v>
      </c>
      <c r="N25" s="6">
        <v>0</v>
      </c>
      <c r="O25" s="6">
        <v>0</v>
      </c>
      <c r="P25" s="6">
        <v>1.17</v>
      </c>
      <c r="Q25" s="6">
        <v>5.07</v>
      </c>
    </row>
    <row r="26" spans="1:17" customFormat="1">
      <c r="A26" s="72">
        <v>45312.1875</v>
      </c>
      <c r="B26" s="6">
        <v>24.44</v>
      </c>
      <c r="C26" s="6">
        <v>27.85</v>
      </c>
      <c r="D26" s="6">
        <v>35.5</v>
      </c>
      <c r="E26" s="6">
        <v>9.09</v>
      </c>
      <c r="F26" s="6">
        <v>3.3</v>
      </c>
      <c r="G26" s="6">
        <v>90.19</v>
      </c>
      <c r="H26" s="6">
        <v>47.42</v>
      </c>
      <c r="I26" s="6">
        <v>11.7</v>
      </c>
      <c r="J26" s="6">
        <v>0.84</v>
      </c>
      <c r="K26" s="6">
        <v>49.48</v>
      </c>
      <c r="L26" s="6">
        <v>17.100000000000001</v>
      </c>
      <c r="M26" s="6">
        <v>91.93</v>
      </c>
      <c r="N26" s="6">
        <v>0</v>
      </c>
      <c r="O26" s="6">
        <v>0</v>
      </c>
      <c r="P26" s="6">
        <v>1.1399999999999999</v>
      </c>
      <c r="Q26" s="6">
        <v>5.04</v>
      </c>
    </row>
    <row r="27" spans="1:17" customFormat="1">
      <c r="A27" s="72">
        <v>45312.197916666664</v>
      </c>
      <c r="B27" s="6">
        <v>24.08</v>
      </c>
      <c r="C27" s="6">
        <v>27.59</v>
      </c>
      <c r="D27" s="6">
        <v>35.07</v>
      </c>
      <c r="E27" s="6">
        <v>9.26</v>
      </c>
      <c r="F27" s="6">
        <v>3.17</v>
      </c>
      <c r="G27" s="6">
        <v>88.71</v>
      </c>
      <c r="H27" s="6">
        <v>47.42</v>
      </c>
      <c r="I27" s="6">
        <v>11.51</v>
      </c>
      <c r="J27" s="6">
        <v>0.68</v>
      </c>
      <c r="K27" s="6">
        <v>57.71</v>
      </c>
      <c r="L27" s="6">
        <v>17.190000000000001</v>
      </c>
      <c r="M27" s="6">
        <v>90.19</v>
      </c>
      <c r="N27" s="6">
        <v>0</v>
      </c>
      <c r="O27" s="6">
        <v>0</v>
      </c>
      <c r="P27" s="6">
        <v>1.1100000000000001</v>
      </c>
      <c r="Q27" s="6">
        <v>5.03</v>
      </c>
    </row>
    <row r="28" spans="1:17" customFormat="1">
      <c r="A28" s="72">
        <v>45312.208333333336</v>
      </c>
      <c r="B28" s="6">
        <v>24.03</v>
      </c>
      <c r="C28" s="6">
        <v>27.75</v>
      </c>
      <c r="D28" s="6">
        <v>35.119999999999997</v>
      </c>
      <c r="E28" s="6">
        <v>9.31</v>
      </c>
      <c r="F28" s="6">
        <v>3.07</v>
      </c>
      <c r="G28" s="6">
        <v>88.71</v>
      </c>
      <c r="H28" s="6">
        <v>47.42</v>
      </c>
      <c r="I28" s="6">
        <v>11.3</v>
      </c>
      <c r="J28" s="6">
        <v>0.34</v>
      </c>
      <c r="K28" s="6">
        <v>74.92</v>
      </c>
      <c r="L28" s="6">
        <v>17.28</v>
      </c>
      <c r="M28" s="6">
        <v>89.17</v>
      </c>
      <c r="N28" s="6">
        <v>0</v>
      </c>
      <c r="O28" s="6">
        <v>0</v>
      </c>
      <c r="P28" s="6">
        <v>1.1000000000000001</v>
      </c>
      <c r="Q28" s="6">
        <v>5.0599999999999996</v>
      </c>
    </row>
    <row r="29" spans="1:17" customFormat="1">
      <c r="A29" s="72">
        <v>45312.21875</v>
      </c>
      <c r="B29" s="6">
        <v>23.78</v>
      </c>
      <c r="C29" s="6">
        <v>27.8</v>
      </c>
      <c r="D29" s="6">
        <v>34.950000000000003</v>
      </c>
      <c r="E29" s="6">
        <v>9.48</v>
      </c>
      <c r="F29" s="6">
        <v>3</v>
      </c>
      <c r="G29" s="6">
        <v>88.71</v>
      </c>
      <c r="H29" s="6">
        <v>47.42</v>
      </c>
      <c r="I29" s="6">
        <v>11.07</v>
      </c>
      <c r="J29" s="6">
        <v>0.26</v>
      </c>
      <c r="K29" s="6">
        <v>89.97</v>
      </c>
      <c r="L29" s="6">
        <v>17.36</v>
      </c>
      <c r="M29" s="6">
        <v>89.28</v>
      </c>
      <c r="N29" s="6">
        <v>0</v>
      </c>
      <c r="O29" s="6">
        <v>0</v>
      </c>
      <c r="P29" s="6">
        <v>1.08</v>
      </c>
      <c r="Q29" s="6">
        <v>5.05</v>
      </c>
    </row>
    <row r="30" spans="1:17" customFormat="1">
      <c r="A30" s="72">
        <v>45312.229166666664</v>
      </c>
      <c r="B30" s="6">
        <v>23.07</v>
      </c>
      <c r="C30" s="6">
        <v>28.02</v>
      </c>
      <c r="D30" s="6">
        <v>34.5</v>
      </c>
      <c r="E30" s="6">
        <v>9.16</v>
      </c>
      <c r="F30" s="6">
        <v>3.15</v>
      </c>
      <c r="G30" s="6">
        <v>84.41</v>
      </c>
      <c r="H30" s="6">
        <v>45.59</v>
      </c>
      <c r="I30" s="6">
        <v>10.89</v>
      </c>
      <c r="J30" s="6">
        <v>0.6</v>
      </c>
      <c r="K30" s="6">
        <v>68.73</v>
      </c>
      <c r="L30" s="6">
        <v>17.329999999999998</v>
      </c>
      <c r="M30" s="6">
        <v>87.14</v>
      </c>
      <c r="N30" s="6">
        <v>0</v>
      </c>
      <c r="O30" s="6">
        <v>0</v>
      </c>
      <c r="P30" s="6">
        <v>1.06</v>
      </c>
      <c r="Q30" s="6">
        <v>5.05</v>
      </c>
    </row>
    <row r="31" spans="1:17" customFormat="1">
      <c r="A31" s="72">
        <v>45312.239583333336</v>
      </c>
      <c r="B31" s="6">
        <v>22.51</v>
      </c>
      <c r="C31" s="6">
        <v>27.76</v>
      </c>
      <c r="D31" s="6">
        <v>33.9</v>
      </c>
      <c r="E31" s="6">
        <v>9.18</v>
      </c>
      <c r="F31" s="6">
        <v>3.23</v>
      </c>
      <c r="G31" s="6">
        <v>83.87</v>
      </c>
      <c r="H31" s="6">
        <v>45.59</v>
      </c>
      <c r="I31" s="6">
        <v>10.7</v>
      </c>
      <c r="J31" s="6">
        <v>0.88</v>
      </c>
      <c r="K31" s="6">
        <v>67.53</v>
      </c>
      <c r="L31" s="6">
        <v>17.32</v>
      </c>
      <c r="M31" s="6">
        <v>86.41</v>
      </c>
      <c r="N31" s="6">
        <v>0</v>
      </c>
      <c r="O31" s="6">
        <v>0</v>
      </c>
      <c r="P31" s="6">
        <v>1.05</v>
      </c>
      <c r="Q31" s="6">
        <v>5.0199999999999996</v>
      </c>
    </row>
    <row r="32" spans="1:17" customFormat="1">
      <c r="A32" s="72">
        <v>45312.25</v>
      </c>
      <c r="B32" s="6">
        <v>21.98</v>
      </c>
      <c r="C32" s="6">
        <v>27.59</v>
      </c>
      <c r="D32" s="6">
        <v>33.4</v>
      </c>
      <c r="E32" s="6">
        <v>9.89</v>
      </c>
      <c r="F32" s="6">
        <v>3.01</v>
      </c>
      <c r="G32" s="6">
        <v>83.87</v>
      </c>
      <c r="H32" s="6">
        <v>45.59</v>
      </c>
      <c r="I32" s="6">
        <v>10.53</v>
      </c>
      <c r="J32" s="6">
        <v>0.47</v>
      </c>
      <c r="K32" s="6">
        <v>351.06</v>
      </c>
      <c r="L32" s="6">
        <v>17.28</v>
      </c>
      <c r="M32" s="6">
        <v>85.11</v>
      </c>
      <c r="N32" s="6">
        <v>0</v>
      </c>
      <c r="O32" s="6">
        <v>0</v>
      </c>
      <c r="P32" s="6">
        <v>1.02</v>
      </c>
      <c r="Q32" s="6">
        <v>5.01</v>
      </c>
    </row>
    <row r="33" spans="1:17" customFormat="1">
      <c r="A33" s="72">
        <v>45312.260416666664</v>
      </c>
      <c r="B33" s="6">
        <v>21.45</v>
      </c>
      <c r="C33" s="6">
        <v>27.54</v>
      </c>
      <c r="D33" s="6">
        <v>32.94</v>
      </c>
      <c r="E33" s="6">
        <v>9.2200000000000006</v>
      </c>
      <c r="F33" s="6">
        <v>3.16</v>
      </c>
      <c r="G33" s="6">
        <v>83.87</v>
      </c>
      <c r="H33" s="6">
        <v>45.59</v>
      </c>
      <c r="I33" s="6">
        <v>10.38</v>
      </c>
      <c r="J33" s="6">
        <v>0.37</v>
      </c>
      <c r="K33" s="6">
        <v>298.67</v>
      </c>
      <c r="L33" s="6">
        <v>16.47</v>
      </c>
      <c r="M33" s="6">
        <v>93.94</v>
      </c>
      <c r="N33" s="6">
        <v>0</v>
      </c>
      <c r="O33" s="6">
        <v>2.4</v>
      </c>
      <c r="P33" s="6">
        <v>1.02</v>
      </c>
      <c r="Q33" s="6">
        <v>5.01</v>
      </c>
    </row>
    <row r="34" spans="1:17" customFormat="1">
      <c r="A34" s="72">
        <v>45312.270833333336</v>
      </c>
      <c r="B34" s="6">
        <v>20.59</v>
      </c>
      <c r="C34" s="6">
        <v>27.76</v>
      </c>
      <c r="D34" s="6">
        <v>32.369999999999997</v>
      </c>
      <c r="E34" s="6">
        <v>9.6999999999999993</v>
      </c>
      <c r="F34" s="6">
        <v>3.22</v>
      </c>
      <c r="G34" s="6">
        <v>79.05</v>
      </c>
      <c r="H34" s="6">
        <v>41.3</v>
      </c>
      <c r="I34" s="6">
        <v>10.199999999999999</v>
      </c>
      <c r="J34" s="6">
        <v>0.3</v>
      </c>
      <c r="K34" s="6">
        <v>1.56</v>
      </c>
      <c r="L34" s="6">
        <v>16.13</v>
      </c>
      <c r="M34" s="6">
        <v>97.51</v>
      </c>
      <c r="N34" s="6">
        <v>0</v>
      </c>
      <c r="O34" s="6">
        <v>0</v>
      </c>
      <c r="P34" s="6">
        <v>1</v>
      </c>
      <c r="Q34" s="6">
        <v>4.96</v>
      </c>
    </row>
    <row r="35" spans="1:17" customFormat="1">
      <c r="A35" s="72">
        <v>45312.28125</v>
      </c>
      <c r="B35" s="6">
        <v>20.43</v>
      </c>
      <c r="C35" s="6">
        <v>28.25</v>
      </c>
      <c r="D35" s="6">
        <v>32.49</v>
      </c>
      <c r="E35" s="6">
        <v>9</v>
      </c>
      <c r="F35" s="6">
        <v>3.42</v>
      </c>
      <c r="G35" s="6">
        <v>78.45</v>
      </c>
      <c r="H35" s="6">
        <v>41.3</v>
      </c>
      <c r="I35" s="6">
        <v>10.07</v>
      </c>
      <c r="J35" s="6">
        <v>0.79</v>
      </c>
      <c r="K35" s="6">
        <v>45.36</v>
      </c>
      <c r="L35" s="6">
        <v>16.190000000000001</v>
      </c>
      <c r="M35" s="6">
        <v>97.53</v>
      </c>
      <c r="N35" s="6">
        <v>0</v>
      </c>
      <c r="O35" s="6">
        <v>0</v>
      </c>
      <c r="P35" s="6">
        <v>0.99</v>
      </c>
      <c r="Q35" s="6">
        <v>4.96</v>
      </c>
    </row>
    <row r="36" spans="1:17" customFormat="1">
      <c r="A36" s="72">
        <v>45312.291666666664</v>
      </c>
      <c r="B36" s="6">
        <v>20.89</v>
      </c>
      <c r="C36" s="6">
        <v>25.35</v>
      </c>
      <c r="D36" s="6">
        <v>31.35</v>
      </c>
      <c r="E36" s="6">
        <v>9.16</v>
      </c>
      <c r="F36" s="6">
        <v>3.58</v>
      </c>
      <c r="G36" s="6">
        <v>78.45</v>
      </c>
      <c r="H36" s="6">
        <v>41.3</v>
      </c>
      <c r="I36" s="6">
        <v>10.01</v>
      </c>
      <c r="J36" s="6">
        <v>0.65</v>
      </c>
      <c r="K36" s="6">
        <v>58.36</v>
      </c>
      <c r="L36" s="6">
        <v>16.239999999999998</v>
      </c>
      <c r="M36" s="6">
        <v>95.96</v>
      </c>
      <c r="N36" s="6">
        <v>4.4000000000000004</v>
      </c>
      <c r="O36" s="6">
        <v>0</v>
      </c>
      <c r="P36" s="6">
        <v>0.98</v>
      </c>
      <c r="Q36" s="6">
        <v>4.96</v>
      </c>
    </row>
    <row r="37" spans="1:17" customFormat="1">
      <c r="A37" s="72">
        <v>45312.302083333336</v>
      </c>
      <c r="B37" s="6">
        <v>21.88</v>
      </c>
      <c r="C37" s="6">
        <v>22.97</v>
      </c>
      <c r="D37" s="6">
        <v>30.9</v>
      </c>
      <c r="E37" s="6">
        <v>9.08</v>
      </c>
      <c r="F37" s="6">
        <v>3.38</v>
      </c>
      <c r="G37" s="6">
        <v>78.45</v>
      </c>
      <c r="H37" s="6">
        <v>41.3</v>
      </c>
      <c r="I37" s="6">
        <v>9.9499999999999993</v>
      </c>
      <c r="J37" s="6">
        <v>0.5</v>
      </c>
      <c r="K37" s="6">
        <v>47.96</v>
      </c>
      <c r="L37" s="6">
        <v>16.41</v>
      </c>
      <c r="M37" s="6">
        <v>95.66</v>
      </c>
      <c r="N37" s="6">
        <v>9.9</v>
      </c>
      <c r="O37" s="6">
        <v>0</v>
      </c>
      <c r="P37" s="6">
        <v>0.98</v>
      </c>
      <c r="Q37" s="6">
        <v>4.96</v>
      </c>
    </row>
    <row r="38" spans="1:17" customFormat="1">
      <c r="A38" s="72">
        <v>45312.3125</v>
      </c>
      <c r="B38" s="6">
        <v>22.98</v>
      </c>
      <c r="C38" s="6">
        <v>22.61</v>
      </c>
      <c r="D38" s="6">
        <v>31.59</v>
      </c>
      <c r="E38" s="6">
        <v>8.74</v>
      </c>
      <c r="F38" s="6">
        <v>3.26</v>
      </c>
      <c r="G38" s="6">
        <v>81.69</v>
      </c>
      <c r="H38" s="6">
        <v>43.07</v>
      </c>
      <c r="I38" s="6">
        <v>9.9</v>
      </c>
      <c r="J38" s="6">
        <v>0.2</v>
      </c>
      <c r="K38" s="6">
        <v>85.62</v>
      </c>
      <c r="L38" s="6">
        <v>16.63</v>
      </c>
      <c r="M38" s="6">
        <v>96.04</v>
      </c>
      <c r="N38" s="6">
        <v>15.1</v>
      </c>
      <c r="O38" s="6">
        <v>0</v>
      </c>
      <c r="P38" s="6">
        <v>0.98</v>
      </c>
      <c r="Q38" s="6">
        <v>4.97</v>
      </c>
    </row>
    <row r="39" spans="1:17" customFormat="1">
      <c r="A39" s="72">
        <v>45312.322916666664</v>
      </c>
      <c r="B39" s="6">
        <v>23.21</v>
      </c>
      <c r="C39" s="6">
        <v>23.65</v>
      </c>
      <c r="D39" s="6">
        <v>32.32</v>
      </c>
      <c r="E39" s="6">
        <v>9.15</v>
      </c>
      <c r="F39" s="6">
        <v>3.25</v>
      </c>
      <c r="G39" s="6">
        <v>82.09</v>
      </c>
      <c r="H39" s="6">
        <v>43.07</v>
      </c>
      <c r="I39" s="6">
        <v>9.89</v>
      </c>
      <c r="J39" s="6">
        <v>0.39</v>
      </c>
      <c r="K39" s="6">
        <v>77.13</v>
      </c>
      <c r="L39" s="6">
        <v>16.7</v>
      </c>
      <c r="M39" s="6">
        <v>96.57</v>
      </c>
      <c r="N39" s="6">
        <v>25</v>
      </c>
      <c r="O39" s="6">
        <v>0</v>
      </c>
      <c r="P39" s="6">
        <v>0.98</v>
      </c>
      <c r="Q39" s="6">
        <v>5</v>
      </c>
    </row>
    <row r="40" spans="1:17" customFormat="1">
      <c r="A40" s="72">
        <v>45312.333333333336</v>
      </c>
      <c r="B40" s="6">
        <v>23.53</v>
      </c>
      <c r="C40" s="6">
        <v>24.36</v>
      </c>
      <c r="D40" s="6">
        <v>32.950000000000003</v>
      </c>
      <c r="E40" s="6">
        <v>9.01</v>
      </c>
      <c r="F40" s="6">
        <v>3.21</v>
      </c>
      <c r="G40" s="6">
        <v>82.09</v>
      </c>
      <c r="H40" s="6">
        <v>43.07</v>
      </c>
      <c r="I40" s="6">
        <v>9.8800000000000008</v>
      </c>
      <c r="J40" s="6">
        <v>0.78</v>
      </c>
      <c r="K40" s="6">
        <v>70.14</v>
      </c>
      <c r="L40" s="6">
        <v>16.8</v>
      </c>
      <c r="M40" s="6">
        <v>94.67</v>
      </c>
      <c r="N40" s="6">
        <v>20.3</v>
      </c>
      <c r="O40" s="6">
        <v>0</v>
      </c>
      <c r="P40" s="6">
        <v>0.99</v>
      </c>
      <c r="Q40" s="6">
        <v>5.01</v>
      </c>
    </row>
    <row r="41" spans="1:17" customFormat="1">
      <c r="A41" s="72">
        <v>45312.34375</v>
      </c>
      <c r="B41" s="6">
        <v>23.69</v>
      </c>
      <c r="C41" s="6">
        <v>24.34</v>
      </c>
      <c r="D41" s="6">
        <v>33.06</v>
      </c>
      <c r="E41" s="6">
        <v>8.8800000000000008</v>
      </c>
      <c r="F41" s="6">
        <v>3.17</v>
      </c>
      <c r="G41" s="6">
        <v>82.09</v>
      </c>
      <c r="H41" s="6">
        <v>43.07</v>
      </c>
      <c r="I41" s="6">
        <v>9.85</v>
      </c>
      <c r="J41" s="6">
        <v>0.31</v>
      </c>
      <c r="K41" s="6">
        <v>82.77</v>
      </c>
      <c r="L41" s="6">
        <v>16.96</v>
      </c>
      <c r="M41" s="6">
        <v>94.76</v>
      </c>
      <c r="N41" s="6">
        <v>25.3</v>
      </c>
      <c r="O41" s="6">
        <v>0</v>
      </c>
      <c r="P41" s="6">
        <v>0.99</v>
      </c>
      <c r="Q41" s="6">
        <v>5</v>
      </c>
    </row>
    <row r="42" spans="1:17" customFormat="1">
      <c r="A42" s="72">
        <v>45312.354166666664</v>
      </c>
      <c r="B42" s="6">
        <v>23.57</v>
      </c>
      <c r="C42" s="6">
        <v>24.35</v>
      </c>
      <c r="D42" s="6">
        <v>32.979999999999997</v>
      </c>
      <c r="E42" s="6">
        <v>8.68</v>
      </c>
      <c r="F42" s="6">
        <v>3.26</v>
      </c>
      <c r="G42" s="6">
        <v>79.62</v>
      </c>
      <c r="H42" s="6">
        <v>41.19</v>
      </c>
      <c r="I42" s="6">
        <v>9.82</v>
      </c>
      <c r="J42" s="6">
        <v>0.49</v>
      </c>
      <c r="K42" s="6">
        <v>68.87</v>
      </c>
      <c r="L42" s="6">
        <v>17.059999999999999</v>
      </c>
      <c r="M42" s="6">
        <v>93.12</v>
      </c>
      <c r="N42" s="6">
        <v>9.9</v>
      </c>
      <c r="O42" s="6">
        <v>0</v>
      </c>
      <c r="P42" s="6">
        <v>0.99</v>
      </c>
      <c r="Q42" s="6">
        <v>5.01</v>
      </c>
    </row>
    <row r="43" spans="1:17" customFormat="1">
      <c r="A43" s="72">
        <v>45312.364583333336</v>
      </c>
      <c r="B43" s="6">
        <v>23.84</v>
      </c>
      <c r="C43" s="6">
        <v>24.37</v>
      </c>
      <c r="D43" s="6">
        <v>33.200000000000003</v>
      </c>
      <c r="E43" s="6">
        <v>8.99</v>
      </c>
      <c r="F43" s="6">
        <v>3.14</v>
      </c>
      <c r="G43" s="6">
        <v>79.31</v>
      </c>
      <c r="H43" s="6">
        <v>41.19</v>
      </c>
      <c r="I43" s="6">
        <v>9.76</v>
      </c>
      <c r="J43" s="6">
        <v>0.42</v>
      </c>
      <c r="K43" s="6">
        <v>335.44</v>
      </c>
      <c r="L43" s="6">
        <v>16.760000000000002</v>
      </c>
      <c r="M43" s="6">
        <v>95.34</v>
      </c>
      <c r="N43" s="6">
        <v>0</v>
      </c>
      <c r="O43" s="6">
        <v>2.6</v>
      </c>
      <c r="P43" s="6">
        <v>0.98</v>
      </c>
      <c r="Q43" s="6">
        <v>5</v>
      </c>
    </row>
    <row r="44" spans="1:17" customFormat="1">
      <c r="A44" s="72">
        <v>45312.375</v>
      </c>
      <c r="B44" s="6">
        <v>24.83</v>
      </c>
      <c r="C44" s="6">
        <v>24.51</v>
      </c>
      <c r="D44" s="6">
        <v>34.07</v>
      </c>
      <c r="E44" s="6">
        <v>8.36</v>
      </c>
      <c r="F44" s="6">
        <v>3.25</v>
      </c>
      <c r="G44" s="6">
        <v>79.31</v>
      </c>
      <c r="H44" s="6">
        <v>41.19</v>
      </c>
      <c r="I44" s="6">
        <v>9.69</v>
      </c>
      <c r="J44" s="6">
        <v>0.08</v>
      </c>
      <c r="K44" s="6">
        <v>84.18</v>
      </c>
      <c r="L44" s="6">
        <v>16.61</v>
      </c>
      <c r="M44" s="6">
        <v>98.44</v>
      </c>
      <c r="N44" s="6">
        <v>15.5</v>
      </c>
      <c r="O44" s="6">
        <v>0.2</v>
      </c>
      <c r="P44" s="6">
        <v>0.98</v>
      </c>
      <c r="Q44" s="6">
        <v>5.03</v>
      </c>
    </row>
    <row r="45" spans="1:17" customFormat="1">
      <c r="A45" s="72">
        <v>45312.385416666664</v>
      </c>
      <c r="B45" s="6">
        <v>26.19</v>
      </c>
      <c r="C45" s="6">
        <v>23.47</v>
      </c>
      <c r="D45" s="6">
        <v>34.61</v>
      </c>
      <c r="E45" s="6">
        <v>8.6199999999999992</v>
      </c>
      <c r="F45" s="6">
        <v>3.59</v>
      </c>
      <c r="G45" s="6">
        <v>79.31</v>
      </c>
      <c r="H45" s="6">
        <v>41.19</v>
      </c>
      <c r="I45" s="6">
        <v>9.64</v>
      </c>
      <c r="J45" s="6">
        <v>0.1</v>
      </c>
      <c r="K45" s="6">
        <v>50.09</v>
      </c>
      <c r="L45" s="6">
        <v>16.77</v>
      </c>
      <c r="M45" s="6">
        <v>99.33</v>
      </c>
      <c r="N45" s="6">
        <v>54.7</v>
      </c>
      <c r="O45" s="6">
        <v>0</v>
      </c>
      <c r="P45" s="6">
        <v>0.96</v>
      </c>
      <c r="Q45" s="6">
        <v>5.03</v>
      </c>
    </row>
    <row r="46" spans="1:17" customFormat="1">
      <c r="A46" s="72">
        <v>45312.395833333336</v>
      </c>
      <c r="B46" s="6">
        <v>26.96</v>
      </c>
      <c r="C46" s="6">
        <v>23.45</v>
      </c>
      <c r="D46" s="6">
        <v>35.22</v>
      </c>
      <c r="E46" s="6">
        <v>9.11</v>
      </c>
      <c r="F46" s="6">
        <v>3.3</v>
      </c>
      <c r="G46" s="6">
        <v>71.599999999999994</v>
      </c>
      <c r="H46" s="6">
        <v>40.82</v>
      </c>
      <c r="I46" s="6">
        <v>9.6</v>
      </c>
      <c r="J46" s="6">
        <v>0.18</v>
      </c>
      <c r="K46" s="6">
        <v>112.07</v>
      </c>
      <c r="L46" s="6">
        <v>17.149999999999999</v>
      </c>
      <c r="M46" s="6">
        <v>99.53</v>
      </c>
      <c r="N46" s="6">
        <v>119.9</v>
      </c>
      <c r="O46" s="6">
        <v>0</v>
      </c>
      <c r="P46" s="6">
        <v>0.96</v>
      </c>
      <c r="Q46" s="6">
        <v>5.04</v>
      </c>
    </row>
    <row r="47" spans="1:17" customFormat="1">
      <c r="A47" s="72">
        <v>45312.40625</v>
      </c>
      <c r="B47" s="6">
        <v>27.36</v>
      </c>
      <c r="C47" s="6">
        <v>23.46</v>
      </c>
      <c r="D47" s="6">
        <v>35.549999999999997</v>
      </c>
      <c r="E47" s="6">
        <v>8.44</v>
      </c>
      <c r="F47" s="6">
        <v>3.52</v>
      </c>
      <c r="G47" s="6">
        <v>70.64</v>
      </c>
      <c r="H47" s="6">
        <v>40.82</v>
      </c>
      <c r="I47" s="6">
        <v>9.56</v>
      </c>
      <c r="J47" s="6">
        <v>0.61</v>
      </c>
      <c r="K47" s="6">
        <v>70.930000000000007</v>
      </c>
      <c r="L47" s="6">
        <v>17.73</v>
      </c>
      <c r="M47" s="6">
        <v>99.03</v>
      </c>
      <c r="N47" s="6">
        <v>213.5</v>
      </c>
      <c r="O47" s="6">
        <v>0</v>
      </c>
      <c r="P47" s="6">
        <v>0.94</v>
      </c>
      <c r="Q47" s="6">
        <v>5.0599999999999996</v>
      </c>
    </row>
    <row r="48" spans="1:17" customFormat="1">
      <c r="A48" s="72">
        <v>45312.416666666664</v>
      </c>
      <c r="B48" s="6">
        <v>27.42</v>
      </c>
      <c r="C48" s="6">
        <v>24.05</v>
      </c>
      <c r="D48" s="6">
        <v>35.909999999999997</v>
      </c>
      <c r="E48" s="6">
        <v>8.74</v>
      </c>
      <c r="F48" s="6">
        <v>3.26</v>
      </c>
      <c r="G48" s="6">
        <v>70.64</v>
      </c>
      <c r="H48" s="6">
        <v>40.82</v>
      </c>
      <c r="I48" s="6">
        <v>9.5299999999999994</v>
      </c>
      <c r="J48" s="6">
        <v>0.48</v>
      </c>
      <c r="K48" s="6">
        <v>73.819999999999993</v>
      </c>
      <c r="L48" s="6">
        <v>18.45</v>
      </c>
      <c r="M48" s="6">
        <v>95.5</v>
      </c>
      <c r="N48" s="6">
        <v>285.60000000000002</v>
      </c>
      <c r="O48" s="6">
        <v>0</v>
      </c>
      <c r="P48" s="6">
        <v>0.94</v>
      </c>
      <c r="Q48" s="6">
        <v>5.09</v>
      </c>
    </row>
    <row r="49" spans="1:17" customFormat="1">
      <c r="A49" s="72">
        <v>45312.427083333336</v>
      </c>
      <c r="B49" s="6">
        <v>27.43</v>
      </c>
      <c r="C49" s="6">
        <v>23.13</v>
      </c>
      <c r="D49" s="6">
        <v>35.43</v>
      </c>
      <c r="E49" s="6">
        <v>5.82</v>
      </c>
      <c r="F49" s="6">
        <v>3.29</v>
      </c>
      <c r="G49" s="6">
        <v>70.64</v>
      </c>
      <c r="H49" s="6">
        <v>40.82</v>
      </c>
      <c r="I49" s="6">
        <v>9.4700000000000006</v>
      </c>
      <c r="J49" s="6">
        <v>0.8</v>
      </c>
      <c r="K49" s="6">
        <v>57.19</v>
      </c>
      <c r="L49" s="6">
        <v>18.84</v>
      </c>
      <c r="M49" s="6">
        <v>91.68</v>
      </c>
      <c r="N49" s="6">
        <v>208.2</v>
      </c>
      <c r="O49" s="6">
        <v>0</v>
      </c>
      <c r="P49" s="6">
        <v>0.93</v>
      </c>
      <c r="Q49" s="6">
        <v>5.1100000000000003</v>
      </c>
    </row>
    <row r="50" spans="1:17" customFormat="1">
      <c r="A50" s="72">
        <v>45312.4375</v>
      </c>
      <c r="B50" s="6">
        <v>27.48</v>
      </c>
      <c r="C50" s="6">
        <v>23.67</v>
      </c>
      <c r="D50" s="6">
        <v>35.76</v>
      </c>
      <c r="E50" s="6">
        <v>6.48</v>
      </c>
      <c r="F50" s="6">
        <v>3.3</v>
      </c>
      <c r="G50" s="6">
        <v>67.239999999999995</v>
      </c>
      <c r="H50" s="6">
        <v>39.19</v>
      </c>
      <c r="I50" s="6">
        <v>9.41</v>
      </c>
      <c r="J50" s="6">
        <v>0.61</v>
      </c>
      <c r="K50" s="6">
        <v>47.92</v>
      </c>
      <c r="L50" s="6">
        <v>19.190000000000001</v>
      </c>
      <c r="M50" s="6">
        <v>89.85</v>
      </c>
      <c r="N50" s="6">
        <v>232.7</v>
      </c>
      <c r="O50" s="6">
        <v>0</v>
      </c>
      <c r="P50" s="6">
        <v>0.94</v>
      </c>
      <c r="Q50" s="6">
        <v>5.1100000000000003</v>
      </c>
    </row>
    <row r="51" spans="1:17" customFormat="1">
      <c r="A51" s="72">
        <v>45312.447916666664</v>
      </c>
      <c r="B51" s="6">
        <v>27.71</v>
      </c>
      <c r="C51" s="6">
        <v>23.5</v>
      </c>
      <c r="D51" s="6">
        <v>35.85</v>
      </c>
      <c r="E51" s="6">
        <v>6.54</v>
      </c>
      <c r="F51" s="6">
        <v>3.29</v>
      </c>
      <c r="G51" s="6">
        <v>66.81</v>
      </c>
      <c r="H51" s="6">
        <v>39.19</v>
      </c>
      <c r="I51" s="6">
        <v>9.33</v>
      </c>
      <c r="J51" s="6">
        <v>0.72</v>
      </c>
      <c r="K51" s="6">
        <v>53.63</v>
      </c>
      <c r="L51" s="6">
        <v>19.57</v>
      </c>
      <c r="M51" s="6">
        <v>87.24</v>
      </c>
      <c r="N51" s="6">
        <v>301.8</v>
      </c>
      <c r="O51" s="6">
        <v>0</v>
      </c>
      <c r="P51" s="6">
        <v>0.93</v>
      </c>
      <c r="Q51" s="6">
        <v>5.13</v>
      </c>
    </row>
    <row r="52" spans="1:17" customFormat="1">
      <c r="A52" s="72">
        <v>45312.458333333336</v>
      </c>
      <c r="B52" s="6">
        <v>27.57</v>
      </c>
      <c r="C52" s="6">
        <v>23.75</v>
      </c>
      <c r="D52" s="6">
        <v>35.869999999999997</v>
      </c>
      <c r="E52" s="6">
        <v>6.68</v>
      </c>
      <c r="F52" s="6">
        <v>3.26</v>
      </c>
      <c r="G52" s="6">
        <v>66.81</v>
      </c>
      <c r="H52" s="6">
        <v>39.19</v>
      </c>
      <c r="I52" s="6">
        <v>9.2799999999999994</v>
      </c>
      <c r="J52" s="6">
        <v>0.56999999999999995</v>
      </c>
      <c r="K52" s="6">
        <v>71.790000000000006</v>
      </c>
      <c r="L52" s="6">
        <v>20.440000000000001</v>
      </c>
      <c r="M52" s="6">
        <v>83.51</v>
      </c>
      <c r="N52" s="6">
        <v>306.5</v>
      </c>
      <c r="O52" s="6">
        <v>0</v>
      </c>
      <c r="P52" s="6">
        <v>0.92</v>
      </c>
      <c r="Q52" s="6">
        <v>5.1100000000000003</v>
      </c>
    </row>
    <row r="53" spans="1:17" customFormat="1">
      <c r="A53" s="72">
        <v>45312.46875</v>
      </c>
      <c r="B53" s="6">
        <v>26.74</v>
      </c>
      <c r="C53" s="6">
        <v>23.48</v>
      </c>
      <c r="D53" s="6">
        <v>35.06</v>
      </c>
      <c r="E53" s="6">
        <v>6.53</v>
      </c>
      <c r="F53" s="6">
        <v>3.29</v>
      </c>
      <c r="G53" s="6">
        <v>66.81</v>
      </c>
      <c r="H53" s="6">
        <v>39.19</v>
      </c>
      <c r="I53" s="6">
        <v>9.23</v>
      </c>
      <c r="J53" s="6">
        <v>0.71</v>
      </c>
      <c r="K53" s="6">
        <v>78.98</v>
      </c>
      <c r="L53" s="6">
        <v>20.76</v>
      </c>
      <c r="M53" s="6">
        <v>80.63</v>
      </c>
      <c r="N53" s="6">
        <v>329.1</v>
      </c>
      <c r="O53" s="6">
        <v>0</v>
      </c>
      <c r="P53" s="6">
        <v>0.92</v>
      </c>
      <c r="Q53" s="6">
        <v>5.0999999999999996</v>
      </c>
    </row>
    <row r="54" spans="1:17" customFormat="1">
      <c r="A54" s="72">
        <v>45312.479166666664</v>
      </c>
      <c r="B54" s="6">
        <v>25.75</v>
      </c>
      <c r="C54" s="6">
        <v>22.87</v>
      </c>
      <c r="D54" s="6">
        <v>33.950000000000003</v>
      </c>
      <c r="E54" s="6">
        <v>6.81</v>
      </c>
      <c r="F54" s="6">
        <v>3.41</v>
      </c>
      <c r="G54" s="6">
        <v>69.42</v>
      </c>
      <c r="H54" s="6">
        <v>38.5</v>
      </c>
      <c r="I54" s="6">
        <v>9.15</v>
      </c>
      <c r="J54" s="6">
        <v>0.23</v>
      </c>
      <c r="K54" s="6">
        <v>89.37</v>
      </c>
      <c r="L54" s="6">
        <v>21.36</v>
      </c>
      <c r="M54" s="6">
        <v>78.69</v>
      </c>
      <c r="N54" s="6">
        <v>248.7</v>
      </c>
      <c r="O54" s="6">
        <v>0</v>
      </c>
      <c r="P54" s="6">
        <v>0.91</v>
      </c>
      <c r="Q54" s="6">
        <v>5.1100000000000003</v>
      </c>
    </row>
    <row r="55" spans="1:17" customFormat="1">
      <c r="A55" s="72">
        <v>45312.489583333336</v>
      </c>
      <c r="B55" s="6">
        <v>24.33</v>
      </c>
      <c r="C55" s="6">
        <v>23.5</v>
      </c>
      <c r="D55" s="6">
        <v>33.14</v>
      </c>
      <c r="E55" s="6">
        <v>6.76</v>
      </c>
      <c r="F55" s="6">
        <v>3.54</v>
      </c>
      <c r="G55" s="6">
        <v>69.739999999999995</v>
      </c>
      <c r="H55" s="6">
        <v>38.5</v>
      </c>
      <c r="I55" s="6">
        <v>9.0399999999999991</v>
      </c>
      <c r="J55" s="6">
        <v>0.56000000000000005</v>
      </c>
      <c r="K55" s="6">
        <v>84.59</v>
      </c>
      <c r="L55" s="6">
        <v>21.83</v>
      </c>
      <c r="M55" s="6">
        <v>76.5</v>
      </c>
      <c r="N55" s="6">
        <v>419.5</v>
      </c>
      <c r="O55" s="6">
        <v>0</v>
      </c>
      <c r="P55" s="6">
        <v>0.89</v>
      </c>
      <c r="Q55" s="6">
        <v>5.1100000000000003</v>
      </c>
    </row>
    <row r="56" spans="1:17" customFormat="1">
      <c r="A56" s="72">
        <v>45312.5</v>
      </c>
      <c r="B56" s="6">
        <v>23.06</v>
      </c>
      <c r="C56" s="6">
        <v>24.24</v>
      </c>
      <c r="D56" s="6">
        <v>32.51</v>
      </c>
      <c r="E56" s="6">
        <v>6.86</v>
      </c>
      <c r="F56" s="6">
        <v>3.53</v>
      </c>
      <c r="G56" s="6">
        <v>69.739999999999995</v>
      </c>
      <c r="H56" s="6">
        <v>38.5</v>
      </c>
      <c r="I56" s="6">
        <v>8.93</v>
      </c>
      <c r="J56" s="6">
        <v>0.39</v>
      </c>
      <c r="K56" s="6">
        <v>89.42</v>
      </c>
      <c r="L56" s="6">
        <v>22.46</v>
      </c>
      <c r="M56" s="6">
        <v>73.739999999999995</v>
      </c>
      <c r="N56" s="6">
        <v>383.6</v>
      </c>
      <c r="O56" s="6">
        <v>0</v>
      </c>
      <c r="P56" s="6">
        <v>0.89</v>
      </c>
      <c r="Q56" s="6">
        <v>5.09</v>
      </c>
    </row>
    <row r="57" spans="1:17" customFormat="1">
      <c r="A57" s="72">
        <v>45312.510416666664</v>
      </c>
      <c r="B57" s="6">
        <v>21.48</v>
      </c>
      <c r="C57" s="6">
        <v>25.01</v>
      </c>
      <c r="D57" s="6">
        <v>31.64</v>
      </c>
      <c r="E57" s="6">
        <v>7.18</v>
      </c>
      <c r="F57" s="6">
        <v>3.26</v>
      </c>
      <c r="G57" s="6">
        <v>69.739999999999995</v>
      </c>
      <c r="H57" s="6">
        <v>38.5</v>
      </c>
      <c r="I57" s="6">
        <v>8.81</v>
      </c>
      <c r="J57" s="6">
        <v>0.49</v>
      </c>
      <c r="K57" s="6">
        <v>44.19</v>
      </c>
      <c r="L57" s="6">
        <v>22.64</v>
      </c>
      <c r="M57" s="6">
        <v>73.209999999999994</v>
      </c>
      <c r="N57" s="6">
        <v>371.2</v>
      </c>
      <c r="O57" s="6">
        <v>0</v>
      </c>
      <c r="P57" s="6">
        <v>0.88</v>
      </c>
      <c r="Q57" s="6">
        <v>5.09</v>
      </c>
    </row>
    <row r="58" spans="1:17" customFormat="1">
      <c r="A58" s="72">
        <v>45312.520833333336</v>
      </c>
      <c r="B58" s="6">
        <v>20.059999999999999</v>
      </c>
      <c r="C58" s="6">
        <v>25.55</v>
      </c>
      <c r="D58" s="6">
        <v>30.79</v>
      </c>
      <c r="E58" s="6">
        <v>7.35</v>
      </c>
      <c r="F58" s="6">
        <v>3.41</v>
      </c>
      <c r="G58" s="6">
        <v>66.650000000000006</v>
      </c>
      <c r="H58" s="6">
        <v>39.520000000000003</v>
      </c>
      <c r="I58" s="6">
        <v>8.69</v>
      </c>
      <c r="J58" s="6">
        <v>0.18</v>
      </c>
      <c r="K58" s="6">
        <v>70.55</v>
      </c>
      <c r="L58" s="6">
        <v>23.52</v>
      </c>
      <c r="M58" s="6">
        <v>69.819999999999993</v>
      </c>
      <c r="N58" s="6">
        <v>438.1</v>
      </c>
      <c r="O58" s="6">
        <v>0</v>
      </c>
      <c r="P58" s="6">
        <v>0.87</v>
      </c>
      <c r="Q58" s="6">
        <v>5.07</v>
      </c>
    </row>
    <row r="59" spans="1:17" customFormat="1">
      <c r="A59" s="72">
        <v>45312.53125</v>
      </c>
      <c r="B59" s="6">
        <v>18.71</v>
      </c>
      <c r="C59" s="6">
        <v>26.2</v>
      </c>
      <c r="D59" s="6">
        <v>30.04</v>
      </c>
      <c r="E59" s="6">
        <v>7.38</v>
      </c>
      <c r="F59" s="6">
        <v>3.54</v>
      </c>
      <c r="G59" s="6">
        <v>66.260000000000005</v>
      </c>
      <c r="H59" s="6">
        <v>39.520000000000003</v>
      </c>
      <c r="I59" s="6">
        <v>8.57</v>
      </c>
      <c r="J59" s="6">
        <v>0.81</v>
      </c>
      <c r="K59" s="6">
        <v>58.19</v>
      </c>
      <c r="L59" s="6">
        <v>23.29</v>
      </c>
      <c r="M59" s="6">
        <v>71.05</v>
      </c>
      <c r="N59" s="6">
        <v>394.3</v>
      </c>
      <c r="O59" s="6">
        <v>0</v>
      </c>
      <c r="P59" s="6">
        <v>0.86</v>
      </c>
      <c r="Q59" s="6">
        <v>5.03</v>
      </c>
    </row>
    <row r="60" spans="1:17" customFormat="1">
      <c r="A60" s="72">
        <v>45312.541666666664</v>
      </c>
      <c r="B60" s="6">
        <v>17.61</v>
      </c>
      <c r="C60" s="6">
        <v>26.71</v>
      </c>
      <c r="D60" s="6">
        <v>29.43</v>
      </c>
      <c r="E60" s="6">
        <v>7.22</v>
      </c>
      <c r="F60" s="6">
        <v>3.43</v>
      </c>
      <c r="G60" s="6">
        <v>66.260000000000005</v>
      </c>
      <c r="H60" s="6">
        <v>39.520000000000003</v>
      </c>
      <c r="I60" s="6">
        <v>8.4600000000000009</v>
      </c>
      <c r="J60" s="6">
        <v>0.17</v>
      </c>
      <c r="K60" s="6">
        <v>350.43</v>
      </c>
      <c r="L60" s="6">
        <v>23.32</v>
      </c>
      <c r="M60" s="6">
        <v>70.25</v>
      </c>
      <c r="N60" s="6">
        <v>315.39999999999998</v>
      </c>
      <c r="O60" s="6">
        <v>0</v>
      </c>
      <c r="P60" s="6">
        <v>0.86</v>
      </c>
      <c r="Q60" s="6">
        <v>5.01</v>
      </c>
    </row>
    <row r="61" spans="1:17" customFormat="1">
      <c r="A61" s="72">
        <v>45312.552083333336</v>
      </c>
      <c r="B61" s="6">
        <v>16.43</v>
      </c>
      <c r="C61" s="6">
        <v>26.99</v>
      </c>
      <c r="D61" s="6">
        <v>28.63</v>
      </c>
      <c r="E61" s="6">
        <v>7.37</v>
      </c>
      <c r="F61" s="6">
        <v>3.32</v>
      </c>
      <c r="G61" s="6">
        <v>66.260000000000005</v>
      </c>
      <c r="H61" s="6">
        <v>39.520000000000003</v>
      </c>
      <c r="I61" s="6">
        <v>8.3800000000000008</v>
      </c>
      <c r="J61" s="6">
        <v>0.2</v>
      </c>
      <c r="K61" s="6">
        <v>60.63</v>
      </c>
      <c r="L61" s="6">
        <v>24.31</v>
      </c>
      <c r="M61" s="6">
        <v>67.7</v>
      </c>
      <c r="N61" s="6">
        <v>434.3</v>
      </c>
      <c r="O61" s="6">
        <v>0</v>
      </c>
      <c r="P61" s="6">
        <v>0.85</v>
      </c>
      <c r="Q61" s="6">
        <v>5</v>
      </c>
    </row>
    <row r="62" spans="1:17" customFormat="1">
      <c r="A62" s="72">
        <v>45312.5625</v>
      </c>
      <c r="B62" s="6">
        <v>15.33</v>
      </c>
      <c r="C62" s="6">
        <v>27.14</v>
      </c>
      <c r="D62" s="6">
        <v>27.83</v>
      </c>
      <c r="E62" s="6">
        <v>7.52</v>
      </c>
      <c r="F62" s="6">
        <v>3.45</v>
      </c>
      <c r="G62" s="6">
        <v>65.760000000000005</v>
      </c>
      <c r="H62" s="6">
        <v>36.409999999999997</v>
      </c>
      <c r="I62" s="6">
        <v>8.31</v>
      </c>
      <c r="J62" s="6">
        <v>0.56999999999999995</v>
      </c>
      <c r="K62" s="6">
        <v>17.45</v>
      </c>
      <c r="L62" s="6">
        <v>24.26</v>
      </c>
      <c r="M62" s="6">
        <v>67.16</v>
      </c>
      <c r="N62" s="6">
        <v>395.3</v>
      </c>
      <c r="O62" s="6">
        <v>0</v>
      </c>
      <c r="P62" s="6">
        <v>0.85</v>
      </c>
      <c r="Q62" s="6">
        <v>4.96</v>
      </c>
    </row>
    <row r="63" spans="1:17" customFormat="1">
      <c r="A63" s="72">
        <v>45312.572916666664</v>
      </c>
      <c r="B63" s="6">
        <v>14.29</v>
      </c>
      <c r="C63" s="6">
        <v>27.33</v>
      </c>
      <c r="D63" s="6">
        <v>27.09</v>
      </c>
      <c r="E63" s="6">
        <v>7.35</v>
      </c>
      <c r="F63" s="6">
        <v>3.55</v>
      </c>
      <c r="G63" s="6">
        <v>65.7</v>
      </c>
      <c r="H63" s="6">
        <v>36.409999999999997</v>
      </c>
      <c r="I63" s="6">
        <v>8.24</v>
      </c>
      <c r="J63" s="6">
        <v>0.39</v>
      </c>
      <c r="K63" s="6">
        <v>32.49</v>
      </c>
      <c r="L63" s="6">
        <v>24.42</v>
      </c>
      <c r="M63" s="6">
        <v>66.34</v>
      </c>
      <c r="N63" s="6">
        <v>325.89999999999998</v>
      </c>
      <c r="O63" s="6">
        <v>0</v>
      </c>
      <c r="P63" s="6">
        <v>0.84</v>
      </c>
      <c r="Q63" s="6">
        <v>4.95</v>
      </c>
    </row>
    <row r="64" spans="1:17" customFormat="1">
      <c r="A64" s="72">
        <v>45312.583333333336</v>
      </c>
      <c r="B64" s="6">
        <v>13.47</v>
      </c>
      <c r="C64" s="6">
        <v>27.57</v>
      </c>
      <c r="D64" s="6">
        <v>26.55</v>
      </c>
      <c r="E64" s="6">
        <v>7.65</v>
      </c>
      <c r="F64" s="6">
        <v>3.7</v>
      </c>
      <c r="G64" s="6">
        <v>65.7</v>
      </c>
      <c r="H64" s="6">
        <v>36.409999999999997</v>
      </c>
      <c r="I64" s="6">
        <v>8.18</v>
      </c>
      <c r="J64" s="6">
        <v>0.32</v>
      </c>
      <c r="K64" s="6">
        <v>54.33</v>
      </c>
      <c r="L64" s="6">
        <v>24.52</v>
      </c>
      <c r="M64" s="6">
        <v>66.84</v>
      </c>
      <c r="N64" s="6">
        <v>334.7</v>
      </c>
      <c r="O64" s="6">
        <v>0</v>
      </c>
      <c r="P64" s="6">
        <v>0.84</v>
      </c>
      <c r="Q64" s="6">
        <v>4.93</v>
      </c>
    </row>
    <row r="65" spans="1:17" customFormat="1">
      <c r="A65" s="72">
        <v>45312.59375</v>
      </c>
      <c r="B65" s="6">
        <v>12.57</v>
      </c>
      <c r="C65" s="6">
        <v>27.68</v>
      </c>
      <c r="D65" s="6">
        <v>25.89</v>
      </c>
      <c r="E65" s="6">
        <v>7.57</v>
      </c>
      <c r="F65" s="6">
        <v>3.55</v>
      </c>
      <c r="G65" s="6">
        <v>65.7</v>
      </c>
      <c r="H65" s="6">
        <v>36.409999999999997</v>
      </c>
      <c r="I65" s="6">
        <v>8.1199999999999992</v>
      </c>
      <c r="J65" s="6">
        <v>0.34</v>
      </c>
      <c r="K65" s="6">
        <v>57.29</v>
      </c>
      <c r="L65" s="6">
        <v>24.98</v>
      </c>
      <c r="M65" s="6">
        <v>65.27</v>
      </c>
      <c r="N65" s="6">
        <v>327.5</v>
      </c>
      <c r="O65" s="6">
        <v>0</v>
      </c>
      <c r="P65" s="6">
        <v>0.81</v>
      </c>
      <c r="Q65" s="6">
        <v>4.91</v>
      </c>
    </row>
    <row r="66" spans="1:17" customFormat="1">
      <c r="A66" s="72">
        <v>45312.604166666664</v>
      </c>
      <c r="B66" s="6">
        <v>11.77</v>
      </c>
      <c r="C66" s="6">
        <v>27.63</v>
      </c>
      <c r="D66" s="6">
        <v>25.22</v>
      </c>
      <c r="E66" s="6">
        <v>7.66</v>
      </c>
      <c r="F66" s="6">
        <v>3.6</v>
      </c>
      <c r="G66" s="6">
        <v>66.400000000000006</v>
      </c>
      <c r="H66" s="6">
        <v>37.270000000000003</v>
      </c>
      <c r="I66" s="6">
        <v>8.0399999999999991</v>
      </c>
      <c r="J66" s="6">
        <v>0.47</v>
      </c>
      <c r="K66" s="6">
        <v>29.74</v>
      </c>
      <c r="L66" s="6">
        <v>24.96</v>
      </c>
      <c r="M66" s="6">
        <v>65.27</v>
      </c>
      <c r="N66" s="6">
        <v>252</v>
      </c>
      <c r="O66" s="6">
        <v>0</v>
      </c>
      <c r="P66" s="6">
        <v>0.83</v>
      </c>
      <c r="Q66" s="6">
        <v>4.9000000000000004</v>
      </c>
    </row>
    <row r="67" spans="1:17" customFormat="1">
      <c r="A67" s="72">
        <v>45312.614583333336</v>
      </c>
      <c r="B67" s="6">
        <v>11.26</v>
      </c>
      <c r="C67" s="6">
        <v>27.92</v>
      </c>
      <c r="D67" s="6">
        <v>24.97</v>
      </c>
      <c r="E67" s="6">
        <v>8.17</v>
      </c>
      <c r="F67" s="6">
        <v>3.63</v>
      </c>
      <c r="G67" s="6">
        <v>66.489999999999995</v>
      </c>
      <c r="H67" s="6">
        <v>37.270000000000003</v>
      </c>
      <c r="I67" s="6">
        <v>7.96</v>
      </c>
      <c r="J67" s="6">
        <v>0.4</v>
      </c>
      <c r="K67" s="6">
        <v>14.91</v>
      </c>
      <c r="L67" s="6">
        <v>24.82</v>
      </c>
      <c r="M67" s="6">
        <v>65.69</v>
      </c>
      <c r="N67" s="6">
        <v>208.6</v>
      </c>
      <c r="O67" s="6">
        <v>0</v>
      </c>
      <c r="P67" s="6">
        <v>0.83</v>
      </c>
      <c r="Q67" s="6">
        <v>4.9000000000000004</v>
      </c>
    </row>
    <row r="68" spans="1:17" customFormat="1">
      <c r="A68" s="72">
        <v>45312.625</v>
      </c>
      <c r="B68" s="6">
        <v>11.14</v>
      </c>
      <c r="C68" s="6">
        <v>28.27</v>
      </c>
      <c r="D68" s="6">
        <v>25.06</v>
      </c>
      <c r="E68" s="6">
        <v>7.55</v>
      </c>
      <c r="F68" s="6">
        <v>3.72</v>
      </c>
      <c r="G68" s="6">
        <v>66.489999999999995</v>
      </c>
      <c r="H68" s="6">
        <v>37.270000000000003</v>
      </c>
      <c r="I68" s="6">
        <v>7.94</v>
      </c>
      <c r="J68" s="6">
        <v>0.47</v>
      </c>
      <c r="K68" s="6">
        <v>328.37</v>
      </c>
      <c r="L68" s="6">
        <v>24.73</v>
      </c>
      <c r="M68" s="6">
        <v>65.53</v>
      </c>
      <c r="N68" s="6">
        <v>170.6</v>
      </c>
      <c r="O68" s="6">
        <v>0</v>
      </c>
      <c r="P68" s="6">
        <v>0.84</v>
      </c>
      <c r="Q68" s="6">
        <v>4.88</v>
      </c>
    </row>
    <row r="69" spans="1:17" customFormat="1">
      <c r="A69" s="72">
        <v>45312.635416666664</v>
      </c>
      <c r="B69" s="6">
        <v>11.16</v>
      </c>
      <c r="C69" s="6">
        <v>28.74</v>
      </c>
      <c r="D69" s="6">
        <v>25.32</v>
      </c>
      <c r="E69" s="6">
        <v>7.77</v>
      </c>
      <c r="F69" s="6">
        <v>3.52</v>
      </c>
      <c r="G69" s="6">
        <v>66.489999999999995</v>
      </c>
      <c r="H69" s="6">
        <v>37.270000000000003</v>
      </c>
      <c r="I69" s="6">
        <v>7.97</v>
      </c>
      <c r="J69" s="6">
        <v>0.42</v>
      </c>
      <c r="K69" s="6">
        <v>281.01</v>
      </c>
      <c r="L69" s="6">
        <v>24.5</v>
      </c>
      <c r="M69" s="6">
        <v>66.430000000000007</v>
      </c>
      <c r="N69" s="6">
        <v>126</v>
      </c>
      <c r="O69" s="6">
        <v>0</v>
      </c>
      <c r="P69" s="6">
        <v>0.84</v>
      </c>
      <c r="Q69" s="6">
        <v>4.87</v>
      </c>
    </row>
    <row r="70" spans="1:17" customFormat="1">
      <c r="A70" s="72">
        <v>45312.645833333336</v>
      </c>
      <c r="B70" s="6">
        <v>11.06</v>
      </c>
      <c r="C70" s="6">
        <v>29.18</v>
      </c>
      <c r="D70" s="6">
        <v>25.47</v>
      </c>
      <c r="E70" s="6">
        <v>7.49</v>
      </c>
      <c r="F70" s="6">
        <v>3.46</v>
      </c>
      <c r="G70" s="6">
        <v>71.989999999999995</v>
      </c>
      <c r="H70" s="6">
        <v>39.630000000000003</v>
      </c>
      <c r="I70" s="6">
        <v>7.96</v>
      </c>
      <c r="J70" s="6">
        <v>0.27</v>
      </c>
      <c r="K70" s="6">
        <v>229.95</v>
      </c>
      <c r="L70" s="6">
        <v>24.55</v>
      </c>
      <c r="M70" s="6">
        <v>67.61</v>
      </c>
      <c r="N70" s="6">
        <v>83.4</v>
      </c>
      <c r="O70" s="6">
        <v>0</v>
      </c>
      <c r="P70" s="6">
        <v>0.85</v>
      </c>
      <c r="Q70" s="6">
        <v>4.88</v>
      </c>
    </row>
    <row r="71" spans="1:17" customFormat="1">
      <c r="A71" s="72">
        <v>45312.65625</v>
      </c>
      <c r="B71" s="6">
        <v>10.89</v>
      </c>
      <c r="C71" s="6">
        <v>28.78</v>
      </c>
      <c r="D71" s="6">
        <v>25.12</v>
      </c>
      <c r="E71" s="6">
        <v>7.9</v>
      </c>
      <c r="F71" s="6">
        <v>3.57</v>
      </c>
      <c r="G71" s="6">
        <v>72.680000000000007</v>
      </c>
      <c r="H71" s="6">
        <v>39.630000000000003</v>
      </c>
      <c r="I71" s="6">
        <v>7.95</v>
      </c>
      <c r="J71" s="6">
        <v>0.28000000000000003</v>
      </c>
      <c r="K71" s="6">
        <v>270.77</v>
      </c>
      <c r="L71" s="6">
        <v>24.43</v>
      </c>
      <c r="M71" s="6">
        <v>67.510000000000005</v>
      </c>
      <c r="N71" s="6">
        <v>88.9</v>
      </c>
      <c r="O71" s="6">
        <v>0</v>
      </c>
      <c r="P71" s="6">
        <v>0.85</v>
      </c>
      <c r="Q71" s="6">
        <v>4.8499999999999996</v>
      </c>
    </row>
    <row r="72" spans="1:17" customFormat="1">
      <c r="A72" s="72">
        <v>45312.666666666664</v>
      </c>
      <c r="B72" s="6">
        <v>10.67</v>
      </c>
      <c r="C72" s="6">
        <v>28.86</v>
      </c>
      <c r="D72" s="6">
        <v>24.98</v>
      </c>
      <c r="E72" s="6">
        <v>8.2100000000000009</v>
      </c>
      <c r="F72" s="6">
        <v>3.47</v>
      </c>
      <c r="G72" s="6">
        <v>72.680000000000007</v>
      </c>
      <c r="H72" s="6">
        <v>39.630000000000003</v>
      </c>
      <c r="I72" s="6">
        <v>7.97</v>
      </c>
      <c r="J72" s="6">
        <v>0.18</v>
      </c>
      <c r="K72" s="6">
        <v>169.16</v>
      </c>
      <c r="L72" s="6">
        <v>24.53</v>
      </c>
      <c r="M72" s="6">
        <v>68.11</v>
      </c>
      <c r="N72" s="6">
        <v>57.2</v>
      </c>
      <c r="O72" s="6">
        <v>0</v>
      </c>
      <c r="P72" s="6">
        <v>0.85</v>
      </c>
      <c r="Q72" s="6">
        <v>4.87</v>
      </c>
    </row>
    <row r="73" spans="1:17" customFormat="1">
      <c r="A73" s="72">
        <v>45312.677083333336</v>
      </c>
      <c r="B73" s="6">
        <v>10.5</v>
      </c>
      <c r="C73" s="6">
        <v>28.84</v>
      </c>
      <c r="D73" s="6">
        <v>24.84</v>
      </c>
      <c r="E73" s="6">
        <v>8.4600000000000009</v>
      </c>
      <c r="F73" s="6">
        <v>3.65</v>
      </c>
      <c r="G73" s="6">
        <v>72.680000000000007</v>
      </c>
      <c r="H73" s="6">
        <v>39.630000000000003</v>
      </c>
      <c r="I73" s="6">
        <v>7.97</v>
      </c>
      <c r="J73" s="6">
        <v>0.16</v>
      </c>
      <c r="K73" s="6">
        <v>203.58</v>
      </c>
      <c r="L73" s="6">
        <v>24.05</v>
      </c>
      <c r="M73" s="6">
        <v>70.52</v>
      </c>
      <c r="N73" s="6">
        <v>28.2</v>
      </c>
      <c r="O73" s="6">
        <v>0</v>
      </c>
      <c r="P73" s="6">
        <v>0.86</v>
      </c>
      <c r="Q73" s="6">
        <v>4.8499999999999996</v>
      </c>
    </row>
    <row r="74" spans="1:17" customFormat="1">
      <c r="A74" s="72">
        <v>45312.6875</v>
      </c>
      <c r="B74" s="6">
        <v>10.4</v>
      </c>
      <c r="C74" s="6">
        <v>29.35</v>
      </c>
      <c r="D74" s="6">
        <v>25.03</v>
      </c>
      <c r="E74" s="6">
        <v>7.75</v>
      </c>
      <c r="F74" s="6">
        <v>3.51</v>
      </c>
      <c r="G74" s="6">
        <v>82.15</v>
      </c>
      <c r="H74" s="6">
        <v>42.96</v>
      </c>
      <c r="I74" s="6">
        <v>7.97</v>
      </c>
      <c r="J74" s="6">
        <v>0.17</v>
      </c>
      <c r="K74" s="6">
        <v>169.19</v>
      </c>
      <c r="L74" s="6">
        <v>23.76</v>
      </c>
      <c r="M74" s="6">
        <v>71.23</v>
      </c>
      <c r="N74" s="6">
        <v>21.4</v>
      </c>
      <c r="O74" s="6">
        <v>0</v>
      </c>
      <c r="P74" s="6">
        <v>0.87</v>
      </c>
      <c r="Q74" s="6">
        <v>4.83</v>
      </c>
    </row>
    <row r="75" spans="1:17" customFormat="1">
      <c r="A75" s="72">
        <v>45312.697916666664</v>
      </c>
      <c r="B75" s="6">
        <v>10.56</v>
      </c>
      <c r="C75" s="6">
        <v>28.01</v>
      </c>
      <c r="D75" s="6">
        <v>24.45</v>
      </c>
      <c r="E75" s="6">
        <v>7.66</v>
      </c>
      <c r="F75" s="6">
        <v>3.6</v>
      </c>
      <c r="G75" s="6">
        <v>83.33</v>
      </c>
      <c r="H75" s="6">
        <v>42.96</v>
      </c>
      <c r="I75" s="6">
        <v>7.96</v>
      </c>
      <c r="J75" s="6">
        <v>0.09</v>
      </c>
      <c r="K75" s="6">
        <v>207.55</v>
      </c>
      <c r="L75" s="6">
        <v>23.53</v>
      </c>
      <c r="M75" s="6">
        <v>73.349999999999994</v>
      </c>
      <c r="N75" s="6">
        <v>19.3</v>
      </c>
      <c r="O75" s="6">
        <v>0</v>
      </c>
      <c r="P75" s="6">
        <v>0.87</v>
      </c>
      <c r="Q75" s="6">
        <v>4.8099999999999996</v>
      </c>
    </row>
    <row r="76" spans="1:17" customFormat="1">
      <c r="A76" s="72">
        <v>45312.708333333336</v>
      </c>
      <c r="B76" s="6">
        <v>10.91</v>
      </c>
      <c r="C76" s="6">
        <v>24.88</v>
      </c>
      <c r="D76" s="6">
        <v>23.1</v>
      </c>
      <c r="E76" s="6">
        <v>7.33</v>
      </c>
      <c r="F76" s="6">
        <v>3.7</v>
      </c>
      <c r="G76" s="6">
        <v>83.33</v>
      </c>
      <c r="H76" s="6">
        <v>42.96</v>
      </c>
      <c r="I76" s="6">
        <v>8</v>
      </c>
      <c r="J76" s="6">
        <v>0.39</v>
      </c>
      <c r="K76" s="6">
        <v>48.19</v>
      </c>
      <c r="L76" s="6">
        <v>23.5</v>
      </c>
      <c r="M76" s="6">
        <v>72.37</v>
      </c>
      <c r="N76" s="6">
        <v>16.100000000000001</v>
      </c>
      <c r="O76" s="6">
        <v>0</v>
      </c>
      <c r="P76" s="6">
        <v>0.86</v>
      </c>
      <c r="Q76" s="6">
        <v>4.8099999999999996</v>
      </c>
    </row>
    <row r="77" spans="1:17" customFormat="1">
      <c r="A77" s="72">
        <v>45312.71875</v>
      </c>
      <c r="B77" s="6">
        <v>11.7</v>
      </c>
      <c r="C77" s="6">
        <v>22.76</v>
      </c>
      <c r="D77" s="6">
        <v>22.62</v>
      </c>
      <c r="E77" s="6">
        <v>6.87</v>
      </c>
      <c r="F77" s="6">
        <v>3.71</v>
      </c>
      <c r="G77" s="6">
        <v>83.33</v>
      </c>
      <c r="H77" s="6">
        <v>42.96</v>
      </c>
      <c r="I77" s="6">
        <v>8.02</v>
      </c>
      <c r="J77" s="6">
        <v>0.38</v>
      </c>
      <c r="K77" s="6">
        <v>41.19</v>
      </c>
      <c r="L77" s="6">
        <v>23.56</v>
      </c>
      <c r="M77" s="6">
        <v>71.38</v>
      </c>
      <c r="N77" s="6">
        <v>7.4</v>
      </c>
      <c r="O77" s="6">
        <v>0</v>
      </c>
      <c r="P77" s="6">
        <v>0.87</v>
      </c>
      <c r="Q77" s="6">
        <v>4.82</v>
      </c>
    </row>
    <row r="78" spans="1:17" customFormat="1">
      <c r="A78" s="72">
        <v>45312.729166666664</v>
      </c>
      <c r="B78" s="6">
        <v>12.53</v>
      </c>
      <c r="C78" s="6">
        <v>21.81</v>
      </c>
      <c r="D78" s="6">
        <v>22.79</v>
      </c>
      <c r="E78" s="6">
        <v>6.63</v>
      </c>
      <c r="F78" s="6">
        <v>3.61</v>
      </c>
      <c r="G78" s="6">
        <v>85.23</v>
      </c>
      <c r="H78" s="6">
        <v>48.3</v>
      </c>
      <c r="I78" s="6">
        <v>8.07</v>
      </c>
      <c r="J78" s="6">
        <v>0.28999999999999998</v>
      </c>
      <c r="K78" s="6">
        <v>52.89</v>
      </c>
      <c r="L78" s="6">
        <v>23.17</v>
      </c>
      <c r="M78" s="6">
        <v>73.84</v>
      </c>
      <c r="N78" s="6">
        <v>0.3</v>
      </c>
      <c r="O78" s="6">
        <v>0</v>
      </c>
      <c r="P78" s="6">
        <v>0.88</v>
      </c>
      <c r="Q78" s="6">
        <v>4.8099999999999996</v>
      </c>
    </row>
    <row r="79" spans="1:17" customFormat="1">
      <c r="A79" s="72">
        <v>45312.739583333336</v>
      </c>
      <c r="B79" s="6">
        <v>13.31</v>
      </c>
      <c r="C79" s="6">
        <v>21</v>
      </c>
      <c r="D79" s="6">
        <v>23</v>
      </c>
      <c r="E79" s="6">
        <v>6.45</v>
      </c>
      <c r="F79" s="6">
        <v>3.37</v>
      </c>
      <c r="G79" s="6">
        <v>85.47</v>
      </c>
      <c r="H79" s="6">
        <v>48.3</v>
      </c>
      <c r="I79" s="6">
        <v>8.14</v>
      </c>
      <c r="J79" s="6">
        <v>0.71</v>
      </c>
      <c r="K79" s="6">
        <v>55.33</v>
      </c>
      <c r="L79" s="6">
        <v>22.9</v>
      </c>
      <c r="M79" s="6">
        <v>74.75</v>
      </c>
      <c r="N79" s="6">
        <v>0</v>
      </c>
      <c r="O79" s="6">
        <v>0</v>
      </c>
      <c r="P79" s="6">
        <v>0.88</v>
      </c>
      <c r="Q79" s="6">
        <v>4.84</v>
      </c>
    </row>
    <row r="80" spans="1:17" customFormat="1">
      <c r="A80" s="72">
        <v>45312.75</v>
      </c>
      <c r="B80" s="6">
        <v>14.18</v>
      </c>
      <c r="C80" s="6">
        <v>21.31</v>
      </c>
      <c r="D80" s="6">
        <v>23.86</v>
      </c>
      <c r="E80" s="6">
        <v>7.05</v>
      </c>
      <c r="F80" s="6">
        <v>3.56</v>
      </c>
      <c r="G80" s="6">
        <v>85.47</v>
      </c>
      <c r="H80" s="6">
        <v>48.3</v>
      </c>
      <c r="I80" s="6">
        <v>8.1999999999999993</v>
      </c>
      <c r="J80" s="6">
        <v>1</v>
      </c>
      <c r="K80" s="6">
        <v>54.71</v>
      </c>
      <c r="L80" s="6">
        <v>22.53</v>
      </c>
      <c r="M80" s="6">
        <v>76.010000000000005</v>
      </c>
      <c r="N80" s="6">
        <v>0</v>
      </c>
      <c r="O80" s="6">
        <v>0</v>
      </c>
      <c r="P80" s="6">
        <v>0.9</v>
      </c>
      <c r="Q80" s="6">
        <v>4.8499999999999996</v>
      </c>
    </row>
    <row r="81" spans="1:17" customFormat="1">
      <c r="A81" s="72">
        <v>45312.760416666664</v>
      </c>
      <c r="B81" s="6">
        <v>14.89</v>
      </c>
      <c r="C81" s="6">
        <v>22.56</v>
      </c>
      <c r="D81" s="6">
        <v>25.08</v>
      </c>
      <c r="E81" s="6">
        <v>6.29</v>
      </c>
      <c r="F81" s="6">
        <v>3.43</v>
      </c>
      <c r="G81" s="6">
        <v>85.47</v>
      </c>
      <c r="H81" s="6">
        <v>48.3</v>
      </c>
      <c r="I81" s="6">
        <v>8.3000000000000007</v>
      </c>
      <c r="J81" s="6">
        <v>1.08</v>
      </c>
      <c r="K81" s="6">
        <v>40.81</v>
      </c>
      <c r="L81" s="6">
        <v>22.2</v>
      </c>
      <c r="M81" s="6">
        <v>75.28</v>
      </c>
      <c r="N81" s="6">
        <v>0</v>
      </c>
      <c r="O81" s="6">
        <v>0</v>
      </c>
      <c r="P81" s="6">
        <v>0.91</v>
      </c>
      <c r="Q81" s="6">
        <v>4.8600000000000003</v>
      </c>
    </row>
    <row r="82" spans="1:17" customFormat="1">
      <c r="A82" s="72">
        <v>45312.770833333336</v>
      </c>
      <c r="B82" s="6">
        <v>15.44</v>
      </c>
      <c r="C82" s="6">
        <v>23.02</v>
      </c>
      <c r="D82" s="6">
        <v>25.76</v>
      </c>
      <c r="E82" s="6">
        <v>7.4</v>
      </c>
      <c r="F82" s="6">
        <v>3.44</v>
      </c>
      <c r="G82" s="6">
        <v>89.32</v>
      </c>
      <c r="H82" s="6">
        <v>48.87</v>
      </c>
      <c r="I82" s="6">
        <v>8.4</v>
      </c>
      <c r="J82" s="6">
        <v>0.76</v>
      </c>
      <c r="K82" s="6">
        <v>38.950000000000003</v>
      </c>
      <c r="L82" s="6">
        <v>21.85</v>
      </c>
      <c r="M82" s="6">
        <v>74.790000000000006</v>
      </c>
      <c r="N82" s="6">
        <v>0</v>
      </c>
      <c r="O82" s="6">
        <v>0</v>
      </c>
      <c r="P82" s="6">
        <v>0.92</v>
      </c>
      <c r="Q82" s="6">
        <v>4.88</v>
      </c>
    </row>
    <row r="83" spans="1:17" customFormat="1">
      <c r="A83" s="72">
        <v>45312.78125</v>
      </c>
      <c r="B83" s="6">
        <v>15.92</v>
      </c>
      <c r="C83" s="6">
        <v>23.28</v>
      </c>
      <c r="D83" s="6">
        <v>26.28</v>
      </c>
      <c r="E83" s="6">
        <v>7.12</v>
      </c>
      <c r="F83" s="6">
        <v>3.55</v>
      </c>
      <c r="G83" s="6">
        <v>89.8</v>
      </c>
      <c r="H83" s="6">
        <v>48.87</v>
      </c>
      <c r="I83" s="6">
        <v>8.4600000000000009</v>
      </c>
      <c r="J83" s="6">
        <v>0.86</v>
      </c>
      <c r="K83" s="6">
        <v>50.69</v>
      </c>
      <c r="L83" s="6">
        <v>21.56</v>
      </c>
      <c r="M83" s="6">
        <v>75.209999999999994</v>
      </c>
      <c r="N83" s="6">
        <v>0</v>
      </c>
      <c r="O83" s="6">
        <v>0</v>
      </c>
      <c r="P83" s="6">
        <v>0.92</v>
      </c>
      <c r="Q83" s="6">
        <v>4.87</v>
      </c>
    </row>
    <row r="84" spans="1:17" customFormat="1">
      <c r="A84" s="72">
        <v>45312.791666666664</v>
      </c>
      <c r="B84" s="6">
        <v>16.239999999999998</v>
      </c>
      <c r="C84" s="6">
        <v>23.39</v>
      </c>
      <c r="D84" s="6">
        <v>26.59</v>
      </c>
      <c r="E84" s="6">
        <v>7.08</v>
      </c>
      <c r="F84" s="6">
        <v>3.2</v>
      </c>
      <c r="G84" s="6">
        <v>89.8</v>
      </c>
      <c r="H84" s="6">
        <v>48.87</v>
      </c>
      <c r="I84" s="6">
        <v>8.4700000000000006</v>
      </c>
      <c r="J84" s="6">
        <v>0.67</v>
      </c>
      <c r="K84" s="6">
        <v>40.880000000000003</v>
      </c>
      <c r="L84" s="6">
        <v>21.33</v>
      </c>
      <c r="M84" s="6">
        <v>76.459999999999994</v>
      </c>
      <c r="N84" s="6">
        <v>0</v>
      </c>
      <c r="O84" s="6">
        <v>0</v>
      </c>
      <c r="P84" s="6">
        <v>0.93</v>
      </c>
      <c r="Q84" s="6">
        <v>4.8600000000000003</v>
      </c>
    </row>
    <row r="85" spans="1:17" customFormat="1">
      <c r="A85" s="72">
        <v>45312.802083333336</v>
      </c>
      <c r="B85" s="6">
        <v>16.75</v>
      </c>
      <c r="C85" s="6">
        <v>22.09</v>
      </c>
      <c r="D85" s="6">
        <v>26.33</v>
      </c>
      <c r="E85" s="6">
        <v>7.07</v>
      </c>
      <c r="F85" s="6">
        <v>3.33</v>
      </c>
      <c r="G85" s="6">
        <v>89.8</v>
      </c>
      <c r="H85" s="6">
        <v>48.87</v>
      </c>
      <c r="I85" s="6">
        <v>8.4700000000000006</v>
      </c>
      <c r="J85" s="6">
        <v>0.57999999999999996</v>
      </c>
      <c r="K85" s="6">
        <v>41.2</v>
      </c>
      <c r="L85" s="6">
        <v>21.06</v>
      </c>
      <c r="M85" s="6">
        <v>78.040000000000006</v>
      </c>
      <c r="N85" s="6">
        <v>0</v>
      </c>
      <c r="O85" s="6">
        <v>0</v>
      </c>
      <c r="P85" s="6">
        <v>0.93</v>
      </c>
      <c r="Q85" s="6">
        <v>4.8899999999999997</v>
      </c>
    </row>
    <row r="86" spans="1:17" customFormat="1">
      <c r="A86" s="72">
        <v>45312.8125</v>
      </c>
      <c r="B86" s="6">
        <v>17.440000000000001</v>
      </c>
      <c r="C86" s="6">
        <v>21.48</v>
      </c>
      <c r="D86" s="6">
        <v>26.56</v>
      </c>
      <c r="E86" s="6">
        <v>7.28</v>
      </c>
      <c r="F86" s="6">
        <v>3.41</v>
      </c>
      <c r="G86" s="6">
        <v>92.82</v>
      </c>
      <c r="H86" s="6">
        <v>49.64</v>
      </c>
      <c r="I86" s="6">
        <v>8.5</v>
      </c>
      <c r="J86" s="6">
        <v>0.97</v>
      </c>
      <c r="K86" s="6">
        <v>55.83</v>
      </c>
      <c r="L86" s="6">
        <v>20.99</v>
      </c>
      <c r="M86" s="6">
        <v>78.17</v>
      </c>
      <c r="N86" s="6">
        <v>0</v>
      </c>
      <c r="O86" s="6">
        <v>0</v>
      </c>
      <c r="P86" s="6">
        <v>0.93</v>
      </c>
      <c r="Q86" s="6">
        <v>4.91</v>
      </c>
    </row>
    <row r="87" spans="1:17" customFormat="1">
      <c r="A87" s="72">
        <v>45312.822916666664</v>
      </c>
      <c r="B87" s="6">
        <v>18.350000000000001</v>
      </c>
      <c r="C87" s="6">
        <v>22.57</v>
      </c>
      <c r="D87" s="6">
        <v>27.86</v>
      </c>
      <c r="E87" s="6">
        <v>6.17</v>
      </c>
      <c r="F87" s="6">
        <v>3.23</v>
      </c>
      <c r="G87" s="6">
        <v>93.2</v>
      </c>
      <c r="H87" s="6">
        <v>49.64</v>
      </c>
      <c r="I87" s="6">
        <v>8.5299999999999994</v>
      </c>
      <c r="J87" s="6">
        <v>0.66</v>
      </c>
      <c r="K87" s="6">
        <v>58.15</v>
      </c>
      <c r="L87" s="6">
        <v>20.85</v>
      </c>
      <c r="M87" s="6">
        <v>78.5</v>
      </c>
      <c r="N87" s="6">
        <v>0</v>
      </c>
      <c r="O87" s="6">
        <v>0</v>
      </c>
      <c r="P87" s="6">
        <v>0.94</v>
      </c>
      <c r="Q87" s="6">
        <v>4.9400000000000004</v>
      </c>
    </row>
    <row r="88" spans="1:17" customFormat="1">
      <c r="A88" s="72">
        <v>45312.833333333336</v>
      </c>
      <c r="B88" s="6">
        <v>19.100000000000001</v>
      </c>
      <c r="C88" s="6">
        <v>24.43</v>
      </c>
      <c r="D88" s="6">
        <v>29.43</v>
      </c>
      <c r="E88" s="6">
        <v>6.96</v>
      </c>
      <c r="F88" s="6">
        <v>3.29</v>
      </c>
      <c r="G88" s="6">
        <v>93.2</v>
      </c>
      <c r="H88" s="6">
        <v>49.64</v>
      </c>
      <c r="I88" s="6">
        <v>8.6</v>
      </c>
      <c r="J88" s="6">
        <v>0.37</v>
      </c>
      <c r="K88" s="6">
        <v>74.069999999999993</v>
      </c>
      <c r="L88" s="6">
        <v>20.65</v>
      </c>
      <c r="M88" s="6">
        <v>79.88</v>
      </c>
      <c r="N88" s="6">
        <v>0</v>
      </c>
      <c r="O88" s="6">
        <v>0</v>
      </c>
      <c r="P88" s="6">
        <v>0.95</v>
      </c>
      <c r="Q88" s="6">
        <v>4.95</v>
      </c>
    </row>
    <row r="89" spans="1:17" customFormat="1">
      <c r="A89" s="72">
        <v>45312.84375</v>
      </c>
      <c r="B89" s="6">
        <v>19.47</v>
      </c>
      <c r="C89" s="6">
        <v>25.24</v>
      </c>
      <c r="D89" s="6">
        <v>30.15</v>
      </c>
      <c r="E89" s="6">
        <v>7.48</v>
      </c>
      <c r="F89" s="6">
        <v>3.16</v>
      </c>
      <c r="G89" s="6">
        <v>93.2</v>
      </c>
      <c r="H89" s="6">
        <v>49.64</v>
      </c>
      <c r="I89" s="6">
        <v>8.69</v>
      </c>
      <c r="J89" s="6">
        <v>0.21</v>
      </c>
      <c r="K89" s="6">
        <v>88.62</v>
      </c>
      <c r="L89" s="6">
        <v>20.350000000000001</v>
      </c>
      <c r="M89" s="6">
        <v>82.26</v>
      </c>
      <c r="N89" s="6">
        <v>0</v>
      </c>
      <c r="O89" s="6">
        <v>0</v>
      </c>
      <c r="P89" s="6">
        <v>0.96</v>
      </c>
      <c r="Q89" s="6">
        <v>4.97</v>
      </c>
    </row>
    <row r="90" spans="1:17" customFormat="1">
      <c r="A90" s="72">
        <v>45312.854166666664</v>
      </c>
      <c r="B90" s="6">
        <v>19.690000000000001</v>
      </c>
      <c r="C90" s="6">
        <v>24.29</v>
      </c>
      <c r="D90" s="6">
        <v>29.83</v>
      </c>
      <c r="E90" s="6">
        <v>7</v>
      </c>
      <c r="F90" s="6">
        <v>3.38</v>
      </c>
      <c r="G90" s="6">
        <v>94.33</v>
      </c>
      <c r="H90" s="6">
        <v>48.85</v>
      </c>
      <c r="I90" s="6">
        <v>8.74</v>
      </c>
      <c r="J90" s="6">
        <v>0.35</v>
      </c>
      <c r="K90" s="6">
        <v>67.98</v>
      </c>
      <c r="L90" s="6">
        <v>20.14</v>
      </c>
      <c r="M90" s="6">
        <v>83.52</v>
      </c>
      <c r="N90" s="6">
        <v>0</v>
      </c>
      <c r="O90" s="6">
        <v>0</v>
      </c>
      <c r="P90" s="6">
        <v>0.95</v>
      </c>
      <c r="Q90" s="6">
        <v>4.96</v>
      </c>
    </row>
    <row r="91" spans="1:17" customFormat="1">
      <c r="A91" s="72">
        <v>45312.864583333336</v>
      </c>
      <c r="B91" s="6">
        <v>20.12</v>
      </c>
      <c r="C91" s="6">
        <v>23.38</v>
      </c>
      <c r="D91" s="6">
        <v>29.7</v>
      </c>
      <c r="E91" s="6">
        <v>7.03</v>
      </c>
      <c r="F91" s="6">
        <v>3.4</v>
      </c>
      <c r="G91" s="6">
        <v>94.46</v>
      </c>
      <c r="H91" s="6">
        <v>48.85</v>
      </c>
      <c r="I91" s="6">
        <v>8.7799999999999994</v>
      </c>
      <c r="J91" s="6">
        <v>0.69</v>
      </c>
      <c r="K91" s="6">
        <v>60.91</v>
      </c>
      <c r="L91" s="6">
        <v>20.21</v>
      </c>
      <c r="M91" s="6">
        <v>82.89</v>
      </c>
      <c r="N91" s="6">
        <v>0</v>
      </c>
      <c r="O91" s="6">
        <v>0</v>
      </c>
      <c r="P91" s="6">
        <v>0.95</v>
      </c>
      <c r="Q91" s="6">
        <v>4.9800000000000004</v>
      </c>
    </row>
    <row r="92" spans="1:17" customFormat="1">
      <c r="A92" s="72">
        <v>45312.875</v>
      </c>
      <c r="B92" s="6">
        <v>20.72</v>
      </c>
      <c r="C92" s="6">
        <v>24.09</v>
      </c>
      <c r="D92" s="6">
        <v>30.56</v>
      </c>
      <c r="E92" s="6">
        <v>7.26</v>
      </c>
      <c r="F92" s="6">
        <v>3.36</v>
      </c>
      <c r="G92" s="6">
        <v>94.46</v>
      </c>
      <c r="H92" s="6">
        <v>48.85</v>
      </c>
      <c r="I92" s="6">
        <v>8.8000000000000007</v>
      </c>
      <c r="J92" s="6">
        <v>0.21</v>
      </c>
      <c r="K92" s="6">
        <v>94.85</v>
      </c>
      <c r="L92" s="6">
        <v>20.079999999999998</v>
      </c>
      <c r="M92" s="6">
        <v>84.08</v>
      </c>
      <c r="N92" s="6">
        <v>0</v>
      </c>
      <c r="O92" s="6">
        <v>0</v>
      </c>
      <c r="P92" s="6">
        <v>0.96</v>
      </c>
      <c r="Q92" s="6">
        <v>5.01</v>
      </c>
    </row>
    <row r="93" spans="1:17" customFormat="1">
      <c r="A93" s="72">
        <v>45312.885416666664</v>
      </c>
      <c r="B93" s="6">
        <v>21.02</v>
      </c>
      <c r="C93" s="6">
        <v>23.04</v>
      </c>
      <c r="D93" s="6">
        <v>30.24</v>
      </c>
      <c r="E93" s="6">
        <v>6.94</v>
      </c>
      <c r="F93" s="6">
        <v>3.46</v>
      </c>
      <c r="G93" s="6">
        <v>94.46</v>
      </c>
      <c r="H93" s="6">
        <v>48.85</v>
      </c>
      <c r="I93" s="6">
        <v>8.84</v>
      </c>
      <c r="J93" s="6">
        <v>0.51</v>
      </c>
      <c r="K93" s="6">
        <v>64.66</v>
      </c>
      <c r="L93" s="6">
        <v>19.899999999999999</v>
      </c>
      <c r="M93" s="6">
        <v>85.43</v>
      </c>
      <c r="N93" s="6">
        <v>0</v>
      </c>
      <c r="O93" s="6">
        <v>0</v>
      </c>
      <c r="P93" s="6">
        <v>0.95</v>
      </c>
      <c r="Q93" s="6">
        <v>5.0199999999999996</v>
      </c>
    </row>
    <row r="94" spans="1:17" customFormat="1">
      <c r="A94" s="72">
        <v>45312.895833333336</v>
      </c>
      <c r="B94" s="6">
        <v>21.57</v>
      </c>
      <c r="C94" s="6">
        <v>23.61</v>
      </c>
      <c r="D94" s="6">
        <v>30.98</v>
      </c>
      <c r="E94" s="6">
        <v>7.34</v>
      </c>
      <c r="F94" s="6">
        <v>3.44</v>
      </c>
      <c r="G94" s="6">
        <v>95.12</v>
      </c>
      <c r="H94" s="6">
        <v>50.05</v>
      </c>
      <c r="I94" s="6">
        <v>8.8699999999999992</v>
      </c>
      <c r="J94" s="6">
        <v>0.51</v>
      </c>
      <c r="K94" s="6">
        <v>70.19</v>
      </c>
      <c r="L94" s="6">
        <v>20.02</v>
      </c>
      <c r="M94" s="6">
        <v>84.72</v>
      </c>
      <c r="N94" s="6">
        <v>0</v>
      </c>
      <c r="O94" s="6">
        <v>0</v>
      </c>
      <c r="P94" s="6">
        <v>0.95</v>
      </c>
      <c r="Q94" s="6">
        <v>5.04</v>
      </c>
    </row>
    <row r="95" spans="1:17" customFormat="1">
      <c r="A95" s="72">
        <v>45312.90625</v>
      </c>
      <c r="B95" s="6">
        <v>21.79</v>
      </c>
      <c r="C95" s="6">
        <v>24.75</v>
      </c>
      <c r="D95" s="6">
        <v>31.75</v>
      </c>
      <c r="E95" s="6">
        <v>7.38</v>
      </c>
      <c r="F95" s="6">
        <v>3.46</v>
      </c>
      <c r="G95" s="6">
        <v>95.21</v>
      </c>
      <c r="H95" s="6">
        <v>50.05</v>
      </c>
      <c r="I95" s="6">
        <v>8.89</v>
      </c>
      <c r="J95" s="6">
        <v>0.77</v>
      </c>
      <c r="K95" s="6">
        <v>58.89</v>
      </c>
      <c r="L95" s="6">
        <v>20.149999999999999</v>
      </c>
      <c r="M95" s="6">
        <v>83.98</v>
      </c>
      <c r="N95" s="6">
        <v>0</v>
      </c>
      <c r="O95" s="6">
        <v>0</v>
      </c>
      <c r="P95" s="6">
        <v>0.95</v>
      </c>
      <c r="Q95" s="6">
        <v>5.05</v>
      </c>
    </row>
    <row r="96" spans="1:17" customFormat="1">
      <c r="A96" s="72">
        <v>45312.916666666664</v>
      </c>
      <c r="B96" s="6">
        <v>21.71</v>
      </c>
      <c r="C96" s="6">
        <v>25.73</v>
      </c>
      <c r="D96" s="6">
        <v>32.21</v>
      </c>
      <c r="E96" s="6">
        <v>7.14</v>
      </c>
      <c r="F96" s="6">
        <v>3.41</v>
      </c>
      <c r="G96" s="6">
        <v>95.21</v>
      </c>
      <c r="H96" s="6">
        <v>50.05</v>
      </c>
      <c r="I96" s="6">
        <v>8.89</v>
      </c>
      <c r="J96" s="6">
        <v>0.28999999999999998</v>
      </c>
      <c r="K96" s="6">
        <v>95.75</v>
      </c>
      <c r="L96" s="6">
        <v>20.239999999999998</v>
      </c>
      <c r="M96" s="6">
        <v>84.29</v>
      </c>
      <c r="N96" s="6">
        <v>0</v>
      </c>
      <c r="O96" s="6">
        <v>0</v>
      </c>
      <c r="P96" s="6">
        <v>0.96</v>
      </c>
      <c r="Q96" s="6">
        <v>5.07</v>
      </c>
    </row>
    <row r="97" spans="1:22" customFormat="1">
      <c r="A97" s="72">
        <v>45312.927083333336</v>
      </c>
      <c r="B97" s="6">
        <v>21.13</v>
      </c>
      <c r="C97" s="6">
        <v>25.92</v>
      </c>
      <c r="D97" s="6">
        <v>31.84</v>
      </c>
      <c r="E97" s="6">
        <v>7.34</v>
      </c>
      <c r="F97" s="6">
        <v>3.65</v>
      </c>
      <c r="G97" s="6">
        <v>95.21</v>
      </c>
      <c r="H97" s="6">
        <v>50.05</v>
      </c>
      <c r="I97" s="6">
        <v>8.91</v>
      </c>
      <c r="J97" s="6">
        <v>0.46</v>
      </c>
      <c r="K97" s="6">
        <v>74.33</v>
      </c>
      <c r="L97" s="6">
        <v>20.09</v>
      </c>
      <c r="M97" s="6">
        <v>85.11</v>
      </c>
      <c r="N97" s="6">
        <v>0</v>
      </c>
      <c r="O97" s="6">
        <v>0</v>
      </c>
      <c r="P97" s="6">
        <v>0.96</v>
      </c>
      <c r="Q97" s="6">
        <v>5.0599999999999996</v>
      </c>
    </row>
    <row r="98" spans="1:22" customFormat="1">
      <c r="A98" s="72">
        <v>45312.9375</v>
      </c>
      <c r="B98" s="6">
        <v>20.86</v>
      </c>
      <c r="C98" s="6">
        <v>26.46</v>
      </c>
      <c r="D98" s="6">
        <v>31.91</v>
      </c>
      <c r="E98" s="6">
        <v>7.49</v>
      </c>
      <c r="F98" s="6">
        <v>3.46</v>
      </c>
      <c r="G98" s="6">
        <v>92.11</v>
      </c>
      <c r="H98" s="6">
        <v>48.18</v>
      </c>
      <c r="I98" s="6">
        <v>8.9</v>
      </c>
      <c r="J98" s="6">
        <v>0.56000000000000005</v>
      </c>
      <c r="K98" s="6">
        <v>58.83</v>
      </c>
      <c r="L98" s="6">
        <v>19.95</v>
      </c>
      <c r="M98" s="6">
        <v>85.67</v>
      </c>
      <c r="N98" s="6">
        <v>0</v>
      </c>
      <c r="O98" s="6">
        <v>0</v>
      </c>
      <c r="P98" s="6">
        <v>0.96</v>
      </c>
      <c r="Q98" s="6">
        <v>5.0599999999999996</v>
      </c>
    </row>
    <row r="99" spans="1:22" customFormat="1">
      <c r="A99" s="72">
        <v>45312.947916666664</v>
      </c>
      <c r="B99" s="6">
        <v>21.07</v>
      </c>
      <c r="C99" s="6">
        <v>26.93</v>
      </c>
      <c r="D99" s="6">
        <v>32.32</v>
      </c>
      <c r="E99" s="6">
        <v>7.1</v>
      </c>
      <c r="F99" s="6">
        <v>3.52</v>
      </c>
      <c r="G99" s="6">
        <v>91.72</v>
      </c>
      <c r="H99" s="6">
        <v>48.18</v>
      </c>
      <c r="I99" s="6">
        <v>8.89</v>
      </c>
      <c r="J99" s="6">
        <v>0.1</v>
      </c>
      <c r="K99" s="6">
        <v>120.04</v>
      </c>
      <c r="L99" s="6">
        <v>19.78</v>
      </c>
      <c r="M99" s="6">
        <v>87.1</v>
      </c>
      <c r="N99" s="6">
        <v>0</v>
      </c>
      <c r="O99" s="6">
        <v>0</v>
      </c>
      <c r="P99" s="6">
        <v>0.95</v>
      </c>
      <c r="Q99" s="6">
        <v>5.04</v>
      </c>
    </row>
    <row r="100" spans="1:22" customFormat="1">
      <c r="A100" s="72">
        <v>45312.958333333336</v>
      </c>
      <c r="B100" s="6">
        <v>20.66</v>
      </c>
      <c r="C100" s="6">
        <v>27.12</v>
      </c>
      <c r="D100" s="6">
        <v>32.090000000000003</v>
      </c>
      <c r="E100" s="6">
        <v>7.18</v>
      </c>
      <c r="F100" s="6">
        <v>3.43</v>
      </c>
      <c r="G100" s="6">
        <v>91.72</v>
      </c>
      <c r="H100" s="6">
        <v>48.18</v>
      </c>
      <c r="I100" s="6">
        <v>8.8699999999999992</v>
      </c>
      <c r="J100" s="6">
        <v>0.55000000000000004</v>
      </c>
      <c r="K100" s="6">
        <v>63.86</v>
      </c>
      <c r="L100" s="6">
        <v>19.66</v>
      </c>
      <c r="M100" s="6">
        <v>86.87</v>
      </c>
      <c r="N100" s="6">
        <v>0</v>
      </c>
      <c r="O100" s="6">
        <v>0</v>
      </c>
      <c r="P100" s="6">
        <v>0.94</v>
      </c>
      <c r="Q100" s="6">
        <v>5.04</v>
      </c>
    </row>
    <row r="101" spans="1:22" customFormat="1">
      <c r="A101" s="72">
        <v>45312.96875</v>
      </c>
      <c r="B101" s="6">
        <v>20.7</v>
      </c>
      <c r="C101" s="6">
        <v>27.49</v>
      </c>
      <c r="D101" s="6">
        <v>32.31</v>
      </c>
      <c r="E101" s="6">
        <v>7.15</v>
      </c>
      <c r="F101" s="6">
        <v>3.2</v>
      </c>
      <c r="G101" s="6">
        <v>91.72</v>
      </c>
      <c r="H101" s="6">
        <v>48.18</v>
      </c>
      <c r="I101" s="6">
        <v>8.85</v>
      </c>
      <c r="J101" s="6">
        <v>0.46</v>
      </c>
      <c r="K101" s="6">
        <v>60.61</v>
      </c>
      <c r="L101" s="6">
        <v>19.649999999999999</v>
      </c>
      <c r="M101" s="6">
        <v>86.83</v>
      </c>
      <c r="N101" s="6">
        <v>0</v>
      </c>
      <c r="O101" s="6">
        <v>0</v>
      </c>
      <c r="P101" s="6">
        <v>0.93</v>
      </c>
      <c r="Q101" s="6">
        <v>5.05</v>
      </c>
    </row>
    <row r="102" spans="1:22" customFormat="1">
      <c r="A102" s="72">
        <v>45312.979166666664</v>
      </c>
      <c r="B102" s="6">
        <v>20.82</v>
      </c>
      <c r="C102" s="6">
        <v>28.12</v>
      </c>
      <c r="D102" s="6">
        <v>32.74</v>
      </c>
      <c r="E102" s="6">
        <v>7.68</v>
      </c>
      <c r="F102" s="6">
        <v>3.38</v>
      </c>
      <c r="G102" s="6">
        <v>87.78</v>
      </c>
      <c r="H102" s="6">
        <v>47.6</v>
      </c>
      <c r="I102" s="6">
        <v>8.82</v>
      </c>
      <c r="J102" s="6">
        <v>0.74</v>
      </c>
      <c r="K102" s="6">
        <v>62.73</v>
      </c>
      <c r="L102" s="6">
        <v>19.420000000000002</v>
      </c>
      <c r="M102" s="6">
        <v>87.56</v>
      </c>
      <c r="N102" s="6">
        <v>0</v>
      </c>
      <c r="O102" s="6">
        <v>0</v>
      </c>
      <c r="P102" s="6">
        <v>0.94</v>
      </c>
      <c r="Q102" s="6">
        <v>5.0599999999999996</v>
      </c>
    </row>
    <row r="103" spans="1:22" customFormat="1">
      <c r="A103" s="72">
        <v>45312.989583333336</v>
      </c>
      <c r="B103" s="6">
        <v>20.54</v>
      </c>
      <c r="C103" s="6">
        <v>28.54</v>
      </c>
      <c r="D103" s="6">
        <v>32.74</v>
      </c>
      <c r="E103" s="6">
        <v>7.73</v>
      </c>
      <c r="F103" s="6">
        <v>3.42</v>
      </c>
      <c r="G103" s="6">
        <v>87.35</v>
      </c>
      <c r="H103" s="6">
        <v>47.6</v>
      </c>
      <c r="I103" s="6">
        <v>8.77</v>
      </c>
      <c r="J103" s="6">
        <v>0.22</v>
      </c>
      <c r="K103" s="6">
        <v>72.709999999999994</v>
      </c>
      <c r="L103" s="6">
        <v>19.29</v>
      </c>
      <c r="M103" s="6">
        <v>88.4</v>
      </c>
      <c r="N103" s="6">
        <v>0</v>
      </c>
      <c r="O103" s="6">
        <v>0</v>
      </c>
      <c r="P103" s="6">
        <v>0.92</v>
      </c>
      <c r="Q103" s="6">
        <v>5.05</v>
      </c>
    </row>
    <row r="104" spans="1:22" customFormat="1">
      <c r="A104" s="72">
        <v>45313</v>
      </c>
      <c r="B104" s="6">
        <v>20.39</v>
      </c>
      <c r="C104" s="6">
        <v>28.78</v>
      </c>
      <c r="D104" s="6">
        <v>32.729999999999997</v>
      </c>
      <c r="E104" s="6">
        <v>7.48</v>
      </c>
      <c r="F104" s="6">
        <v>3.55</v>
      </c>
      <c r="G104" s="6">
        <v>87.35</v>
      </c>
      <c r="H104" s="6">
        <v>47.6</v>
      </c>
      <c r="I104" s="6">
        <v>8.7100000000000009</v>
      </c>
      <c r="J104" s="6">
        <v>0.14000000000000001</v>
      </c>
      <c r="K104" s="6">
        <v>208.8</v>
      </c>
      <c r="L104" s="6">
        <v>19.13</v>
      </c>
      <c r="M104" s="6">
        <v>90.3</v>
      </c>
      <c r="N104" s="6">
        <v>0</v>
      </c>
      <c r="O104" s="6">
        <v>0</v>
      </c>
      <c r="P104" s="6">
        <v>0.92</v>
      </c>
      <c r="Q104" s="6">
        <v>5.0199999999999996</v>
      </c>
    </row>
    <row r="106" spans="1:22">
      <c r="A106" s="156" t="s">
        <v>48</v>
      </c>
      <c r="B106" s="157">
        <f>MIN(B9:B104)</f>
        <v>10.4</v>
      </c>
      <c r="C106" s="157">
        <f>MIN(C9:C104)</f>
        <v>21</v>
      </c>
      <c r="D106" s="157">
        <f t="shared" ref="D106:Q106" si="0">MIN(D9:D104)</f>
        <v>22.62</v>
      </c>
      <c r="E106" s="157">
        <f t="shared" si="0"/>
        <v>5.82</v>
      </c>
      <c r="F106" s="157">
        <f t="shared" si="0"/>
        <v>3</v>
      </c>
      <c r="G106" s="157">
        <f t="shared" si="0"/>
        <v>65.7</v>
      </c>
      <c r="H106" s="157">
        <f t="shared" si="0"/>
        <v>36.409999999999997</v>
      </c>
      <c r="I106" s="157">
        <f t="shared" si="0"/>
        <v>7.94</v>
      </c>
      <c r="J106" s="157">
        <f t="shared" si="0"/>
        <v>0.08</v>
      </c>
      <c r="K106" s="157">
        <f t="shared" si="0"/>
        <v>1.56</v>
      </c>
      <c r="L106" s="157">
        <f t="shared" si="0"/>
        <v>16.13</v>
      </c>
      <c r="M106" s="157">
        <f t="shared" si="0"/>
        <v>65.27</v>
      </c>
      <c r="N106" s="157">
        <f t="shared" si="0"/>
        <v>0</v>
      </c>
      <c r="O106" s="157">
        <f t="shared" si="0"/>
        <v>0</v>
      </c>
      <c r="P106" s="157">
        <f t="shared" si="0"/>
        <v>0.81</v>
      </c>
      <c r="Q106" s="157">
        <f t="shared" si="0"/>
        <v>4.8099999999999996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28.41</v>
      </c>
      <c r="C107" s="156">
        <f t="shared" ref="C107:Q107" si="1">MAX(C9:C104)</f>
        <v>29.35</v>
      </c>
      <c r="D107" s="156">
        <f t="shared" si="1"/>
        <v>38.08</v>
      </c>
      <c r="E107" s="156">
        <f t="shared" si="1"/>
        <v>9.89</v>
      </c>
      <c r="F107" s="156">
        <f t="shared" si="1"/>
        <v>3.72</v>
      </c>
      <c r="G107" s="156">
        <f t="shared" si="1"/>
        <v>105.32</v>
      </c>
      <c r="H107" s="156">
        <f t="shared" si="1"/>
        <v>50.05</v>
      </c>
      <c r="I107" s="156">
        <f t="shared" si="1"/>
        <v>12.01</v>
      </c>
      <c r="J107" s="156">
        <f t="shared" si="1"/>
        <v>1.22</v>
      </c>
      <c r="K107" s="156">
        <f t="shared" si="1"/>
        <v>358.6</v>
      </c>
      <c r="L107" s="156">
        <f t="shared" si="1"/>
        <v>24.98</v>
      </c>
      <c r="M107" s="156">
        <f t="shared" si="1"/>
        <v>99.53</v>
      </c>
      <c r="N107" s="156">
        <f t="shared" si="1"/>
        <v>438.1</v>
      </c>
      <c r="O107" s="156">
        <f t="shared" si="1"/>
        <v>2.6</v>
      </c>
      <c r="P107" s="156">
        <f t="shared" si="1"/>
        <v>1.2</v>
      </c>
      <c r="Q107" s="156">
        <f t="shared" si="1"/>
        <v>5.13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20.884479166666672</v>
      </c>
      <c r="C108" s="157">
        <f t="shared" ref="C108:Q108" si="2">AVERAGE(C9:C104)</f>
        <v>25.697812499999998</v>
      </c>
      <c r="D108" s="157">
        <f t="shared" si="2"/>
        <v>31.525208333333328</v>
      </c>
      <c r="E108" s="157">
        <f t="shared" si="2"/>
        <v>7.8706250000000013</v>
      </c>
      <c r="F108" s="157">
        <f t="shared" si="2"/>
        <v>3.3785416666666666</v>
      </c>
      <c r="G108" s="157">
        <f t="shared" si="2"/>
        <v>84.286145833333308</v>
      </c>
      <c r="H108" s="157">
        <f t="shared" si="2"/>
        <v>44.258541666666666</v>
      </c>
      <c r="I108" s="157">
        <f t="shared" si="2"/>
        <v>9.5321875000000027</v>
      </c>
      <c r="J108" s="157">
        <f t="shared" si="2"/>
        <v>0.50781249999999989</v>
      </c>
      <c r="K108" s="157">
        <f t="shared" si="2"/>
        <v>89.494166666666615</v>
      </c>
      <c r="L108" s="157">
        <f t="shared" si="2"/>
        <v>20.027812500000003</v>
      </c>
      <c r="M108" s="157">
        <f t="shared" si="2"/>
        <v>83.683854166666691</v>
      </c>
      <c r="N108" s="157">
        <f t="shared" si="2"/>
        <v>79.638541666666654</v>
      </c>
      <c r="O108" s="157">
        <f t="shared" si="2"/>
        <v>5.4166666666666669E-2</v>
      </c>
      <c r="P108" s="157">
        <f t="shared" si="2"/>
        <v>0.97531250000000025</v>
      </c>
      <c r="Q108" s="157">
        <f t="shared" si="2"/>
        <v>5.0010416666666684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5.5778407196959439</v>
      </c>
      <c r="C109" s="157">
        <f t="shared" ref="C109:Q109" si="3">STDEV(C9:C104)</f>
        <v>2.2123705805145568</v>
      </c>
      <c r="D109" s="157">
        <f t="shared" si="3"/>
        <v>4.4748760592461663</v>
      </c>
      <c r="E109" s="157">
        <f t="shared" si="3"/>
        <v>0.97339861743328615</v>
      </c>
      <c r="F109" s="157">
        <f t="shared" si="3"/>
        <v>0.16350747072368327</v>
      </c>
      <c r="G109" s="157">
        <f t="shared" si="3"/>
        <v>12.369292654736238</v>
      </c>
      <c r="H109" s="157">
        <f t="shared" si="3"/>
        <v>4.3195538217850986</v>
      </c>
      <c r="I109" s="157">
        <f t="shared" si="3"/>
        <v>1.3575823736760078</v>
      </c>
      <c r="J109" s="157">
        <f t="shared" si="3"/>
        <v>0.26507676395616775</v>
      </c>
      <c r="K109" s="157">
        <f t="shared" si="3"/>
        <v>81.291378602455254</v>
      </c>
      <c r="L109" s="157">
        <f t="shared" si="3"/>
        <v>2.7388384795575345</v>
      </c>
      <c r="M109" s="157">
        <f t="shared" si="3"/>
        <v>10.172378945462306</v>
      </c>
      <c r="N109" s="157">
        <f t="shared" si="3"/>
        <v>135.37226752438249</v>
      </c>
      <c r="O109" s="157">
        <f t="shared" si="3"/>
        <v>0.35950746033300579</v>
      </c>
      <c r="P109" s="157">
        <f t="shared" si="3"/>
        <v>0.11158148426857792</v>
      </c>
      <c r="Q109" s="157">
        <f t="shared" si="3"/>
        <v>9.021003756341632E-2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45313.010416666664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45313.010416666664</v>
      </c>
      <c r="B9" s="6">
        <v>18.260000000000002</v>
      </c>
      <c r="C9" s="6">
        <v>28.79</v>
      </c>
      <c r="D9" s="6">
        <v>31.03</v>
      </c>
      <c r="E9" s="6">
        <v>7.51</v>
      </c>
      <c r="F9" s="6">
        <v>3.23</v>
      </c>
      <c r="G9" s="6">
        <v>87.35</v>
      </c>
      <c r="H9" s="6">
        <v>47.6</v>
      </c>
      <c r="I9" s="6">
        <v>8.66</v>
      </c>
      <c r="J9" s="6">
        <v>0.2</v>
      </c>
      <c r="K9" s="6">
        <v>72.5</v>
      </c>
      <c r="L9" s="6">
        <v>18.989999999999998</v>
      </c>
      <c r="M9" s="6">
        <v>91.14</v>
      </c>
      <c r="N9" s="6">
        <v>0</v>
      </c>
      <c r="O9" s="6">
        <v>0</v>
      </c>
      <c r="P9" s="6">
        <v>0.9</v>
      </c>
      <c r="Q9" s="6">
        <v>5.01</v>
      </c>
    </row>
    <row r="10" spans="1:21" customFormat="1">
      <c r="A10" s="72">
        <v>45313.020833333336</v>
      </c>
      <c r="B10" s="6">
        <v>17.91</v>
      </c>
      <c r="C10" s="6">
        <v>28.82</v>
      </c>
      <c r="D10" s="6">
        <v>30.77</v>
      </c>
      <c r="E10" s="6">
        <v>7.56</v>
      </c>
      <c r="F10" s="6">
        <v>3.15</v>
      </c>
      <c r="G10" s="6">
        <v>84.21</v>
      </c>
      <c r="H10" s="6">
        <v>45.11</v>
      </c>
      <c r="I10" s="6">
        <v>8.61</v>
      </c>
      <c r="J10" s="6">
        <v>0.3</v>
      </c>
      <c r="K10" s="6">
        <v>79.900000000000006</v>
      </c>
      <c r="L10" s="6">
        <v>18.940000000000001</v>
      </c>
      <c r="M10" s="6">
        <v>90.36</v>
      </c>
      <c r="N10" s="6">
        <v>0</v>
      </c>
      <c r="O10" s="6">
        <v>0</v>
      </c>
      <c r="P10" s="6">
        <v>0.9</v>
      </c>
      <c r="Q10" s="6">
        <v>5.01</v>
      </c>
    </row>
    <row r="11" spans="1:21" customFormat="1">
      <c r="A11" s="72">
        <v>45313.03125</v>
      </c>
      <c r="B11" s="6">
        <v>17.72</v>
      </c>
      <c r="C11" s="6">
        <v>28.33</v>
      </c>
      <c r="D11" s="6">
        <v>30.36</v>
      </c>
      <c r="E11" s="6">
        <v>7.04</v>
      </c>
      <c r="F11" s="6">
        <v>3.12</v>
      </c>
      <c r="G11" s="6">
        <v>83.82</v>
      </c>
      <c r="H11" s="6">
        <v>45.11</v>
      </c>
      <c r="I11" s="6">
        <v>8.57</v>
      </c>
      <c r="J11" s="6">
        <v>0.35</v>
      </c>
      <c r="K11" s="6">
        <v>59.36</v>
      </c>
      <c r="L11" s="6">
        <v>18.7</v>
      </c>
      <c r="M11" s="6">
        <v>91.57</v>
      </c>
      <c r="N11" s="6">
        <v>0</v>
      </c>
      <c r="O11" s="6">
        <v>0</v>
      </c>
      <c r="P11" s="6">
        <v>0.88</v>
      </c>
      <c r="Q11" s="6">
        <v>5.01</v>
      </c>
    </row>
    <row r="12" spans="1:21" customFormat="1">
      <c r="A12" s="72">
        <v>45313.041666666664</v>
      </c>
      <c r="B12" s="6">
        <v>17.329999999999998</v>
      </c>
      <c r="C12" s="6">
        <v>28.63</v>
      </c>
      <c r="D12" s="6">
        <v>30.21</v>
      </c>
      <c r="E12" s="6">
        <v>6.9</v>
      </c>
      <c r="F12" s="6">
        <v>3.15</v>
      </c>
      <c r="G12" s="6">
        <v>83.82</v>
      </c>
      <c r="H12" s="6">
        <v>45.11</v>
      </c>
      <c r="I12" s="6">
        <v>8.5299999999999994</v>
      </c>
      <c r="J12" s="6">
        <v>0.7</v>
      </c>
      <c r="K12" s="6">
        <v>54.19</v>
      </c>
      <c r="L12" s="6">
        <v>18.73</v>
      </c>
      <c r="M12" s="6">
        <v>91.17</v>
      </c>
      <c r="N12" s="6">
        <v>0</v>
      </c>
      <c r="O12" s="6">
        <v>0</v>
      </c>
      <c r="P12" s="6">
        <v>0.88</v>
      </c>
      <c r="Q12" s="6">
        <v>5</v>
      </c>
    </row>
    <row r="13" spans="1:21" customFormat="1">
      <c r="A13" s="72">
        <v>45313.052083333336</v>
      </c>
      <c r="B13" s="6">
        <v>16.96</v>
      </c>
      <c r="C13" s="6">
        <v>28.31</v>
      </c>
      <c r="D13" s="6">
        <v>29.74</v>
      </c>
      <c r="E13" s="6">
        <v>7.52</v>
      </c>
      <c r="F13" s="6">
        <v>3.17</v>
      </c>
      <c r="G13" s="6">
        <v>83.82</v>
      </c>
      <c r="H13" s="6">
        <v>45.11</v>
      </c>
      <c r="I13" s="6">
        <v>8.4600000000000009</v>
      </c>
      <c r="J13" s="6">
        <v>0.55000000000000004</v>
      </c>
      <c r="K13" s="6">
        <v>33.26</v>
      </c>
      <c r="L13" s="6">
        <v>18.489999999999998</v>
      </c>
      <c r="M13" s="6">
        <v>91.63</v>
      </c>
      <c r="N13" s="6">
        <v>0</v>
      </c>
      <c r="O13" s="6">
        <v>0</v>
      </c>
      <c r="P13" s="6">
        <v>0.87</v>
      </c>
      <c r="Q13" s="6">
        <v>4.99</v>
      </c>
    </row>
    <row r="14" spans="1:21" customFormat="1">
      <c r="A14" s="72">
        <v>45313.0625</v>
      </c>
      <c r="B14" s="6">
        <v>16.899999999999999</v>
      </c>
      <c r="C14" s="6">
        <v>28.34</v>
      </c>
      <c r="D14" s="6">
        <v>29.71</v>
      </c>
      <c r="E14" s="6">
        <v>7.28</v>
      </c>
      <c r="F14" s="6">
        <v>3.13</v>
      </c>
      <c r="G14" s="6">
        <v>80.349999999999994</v>
      </c>
      <c r="H14" s="6">
        <v>45.16</v>
      </c>
      <c r="I14" s="6">
        <v>8.4</v>
      </c>
      <c r="J14" s="6">
        <v>0.24</v>
      </c>
      <c r="K14" s="6">
        <v>48.18</v>
      </c>
      <c r="L14" s="6">
        <v>18.3</v>
      </c>
      <c r="M14" s="6">
        <v>92.69</v>
      </c>
      <c r="N14" s="6">
        <v>0</v>
      </c>
      <c r="O14" s="6">
        <v>0</v>
      </c>
      <c r="P14" s="6">
        <v>0.86</v>
      </c>
      <c r="Q14" s="6">
        <v>5</v>
      </c>
    </row>
    <row r="15" spans="1:21" customFormat="1">
      <c r="A15" s="72">
        <v>45313.072916666664</v>
      </c>
      <c r="B15" s="6">
        <v>17.12</v>
      </c>
      <c r="C15" s="6">
        <v>28.66</v>
      </c>
      <c r="D15" s="6">
        <v>30.06</v>
      </c>
      <c r="E15" s="6">
        <v>8.06</v>
      </c>
      <c r="F15" s="6">
        <v>3.29</v>
      </c>
      <c r="G15" s="6">
        <v>79.92</v>
      </c>
      <c r="H15" s="6">
        <v>45.16</v>
      </c>
      <c r="I15" s="6">
        <v>8.31</v>
      </c>
      <c r="J15" s="6">
        <v>0.53</v>
      </c>
      <c r="K15" s="6">
        <v>61.89</v>
      </c>
      <c r="L15" s="6">
        <v>18.21</v>
      </c>
      <c r="M15" s="6">
        <v>93.16</v>
      </c>
      <c r="N15" s="6">
        <v>0</v>
      </c>
      <c r="O15" s="6">
        <v>0</v>
      </c>
      <c r="P15" s="6">
        <v>0.86</v>
      </c>
      <c r="Q15" s="6">
        <v>4.9800000000000004</v>
      </c>
    </row>
    <row r="16" spans="1:21" customFormat="1">
      <c r="A16" s="72">
        <v>45313.083333333336</v>
      </c>
      <c r="B16" s="6">
        <v>17.05</v>
      </c>
      <c r="C16" s="6">
        <v>28.39</v>
      </c>
      <c r="D16" s="6">
        <v>29.86</v>
      </c>
      <c r="E16" s="6">
        <v>7.27</v>
      </c>
      <c r="F16" s="6">
        <v>3.26</v>
      </c>
      <c r="G16" s="6">
        <v>79.92</v>
      </c>
      <c r="H16" s="6">
        <v>45.16</v>
      </c>
      <c r="I16" s="6">
        <v>8.2200000000000006</v>
      </c>
      <c r="J16" s="6">
        <v>1.04</v>
      </c>
      <c r="K16" s="6">
        <v>55.2</v>
      </c>
      <c r="L16" s="6">
        <v>17.97</v>
      </c>
      <c r="M16" s="6">
        <v>93.78</v>
      </c>
      <c r="N16" s="6">
        <v>0</v>
      </c>
      <c r="O16" s="6">
        <v>0</v>
      </c>
      <c r="P16" s="6">
        <v>0.84</v>
      </c>
      <c r="Q16" s="6">
        <v>4.97</v>
      </c>
    </row>
    <row r="17" spans="1:17" customFormat="1">
      <c r="A17" s="72">
        <v>45313.09375</v>
      </c>
      <c r="B17" s="6">
        <v>16.78</v>
      </c>
      <c r="C17" s="6">
        <v>28.48</v>
      </c>
      <c r="D17" s="6">
        <v>29.69</v>
      </c>
      <c r="E17" s="6">
        <v>6.69</v>
      </c>
      <c r="F17" s="6">
        <v>3.22</v>
      </c>
      <c r="G17" s="6">
        <v>79.92</v>
      </c>
      <c r="H17" s="6">
        <v>45.16</v>
      </c>
      <c r="I17" s="6">
        <v>8.14</v>
      </c>
      <c r="J17" s="6">
        <v>1.1200000000000001</v>
      </c>
      <c r="K17" s="6">
        <v>49.18</v>
      </c>
      <c r="L17" s="6">
        <v>17.809999999999999</v>
      </c>
      <c r="M17" s="6">
        <v>91.86</v>
      </c>
      <c r="N17" s="6">
        <v>0</v>
      </c>
      <c r="O17" s="6">
        <v>0</v>
      </c>
      <c r="P17" s="6">
        <v>0.85</v>
      </c>
      <c r="Q17" s="6">
        <v>4.97</v>
      </c>
    </row>
    <row r="18" spans="1:17" customFormat="1">
      <c r="A18" s="72">
        <v>45313.104166666664</v>
      </c>
      <c r="B18" s="6">
        <v>16.52</v>
      </c>
      <c r="C18" s="6">
        <v>29.18</v>
      </c>
      <c r="D18" s="6">
        <v>29.84</v>
      </c>
      <c r="E18" s="6">
        <v>7.77</v>
      </c>
      <c r="F18" s="6">
        <v>3.18</v>
      </c>
      <c r="G18" s="6">
        <v>80.27</v>
      </c>
      <c r="H18" s="6">
        <v>41.61</v>
      </c>
      <c r="I18" s="6">
        <v>8.08</v>
      </c>
      <c r="J18" s="6">
        <v>0.78</v>
      </c>
      <c r="K18" s="6">
        <v>52.89</v>
      </c>
      <c r="L18" s="6">
        <v>17.649999999999999</v>
      </c>
      <c r="M18" s="6">
        <v>88.56</v>
      </c>
      <c r="N18" s="6">
        <v>0</v>
      </c>
      <c r="O18" s="6">
        <v>0</v>
      </c>
      <c r="P18" s="6">
        <v>0.84</v>
      </c>
      <c r="Q18" s="6">
        <v>4.95</v>
      </c>
    </row>
    <row r="19" spans="1:17" customFormat="1">
      <c r="A19" s="72">
        <v>45313.114583333336</v>
      </c>
      <c r="B19" s="6">
        <v>16.66</v>
      </c>
      <c r="C19" s="6">
        <v>26.1</v>
      </c>
      <c r="D19" s="6">
        <v>28.35</v>
      </c>
      <c r="E19" s="6">
        <v>6.69</v>
      </c>
      <c r="F19" s="6">
        <v>3.59</v>
      </c>
      <c r="G19" s="6">
        <v>80.319999999999993</v>
      </c>
      <c r="H19" s="6">
        <v>41.61</v>
      </c>
      <c r="I19" s="6">
        <v>7.99</v>
      </c>
      <c r="J19" s="6">
        <v>0.57999999999999996</v>
      </c>
      <c r="K19" s="6">
        <v>31.05</v>
      </c>
      <c r="L19" s="6">
        <v>17.399999999999999</v>
      </c>
      <c r="M19" s="6">
        <v>87.07</v>
      </c>
      <c r="N19" s="6">
        <v>0</v>
      </c>
      <c r="O19" s="6">
        <v>0</v>
      </c>
      <c r="P19" s="6">
        <v>0.83</v>
      </c>
      <c r="Q19" s="6">
        <v>4.95</v>
      </c>
    </row>
    <row r="20" spans="1:17" customFormat="1">
      <c r="A20" s="72">
        <v>45313.125</v>
      </c>
      <c r="B20" s="6">
        <v>16.77</v>
      </c>
      <c r="C20" s="6">
        <v>22.98</v>
      </c>
      <c r="D20" s="6">
        <v>26.81</v>
      </c>
      <c r="E20" s="6">
        <v>6.71</v>
      </c>
      <c r="F20" s="6">
        <v>3.67</v>
      </c>
      <c r="G20" s="6">
        <v>80.319999999999993</v>
      </c>
      <c r="H20" s="6">
        <v>41.61</v>
      </c>
      <c r="I20" s="6">
        <v>7.92</v>
      </c>
      <c r="J20" s="6">
        <v>0.37</v>
      </c>
      <c r="K20" s="6">
        <v>50.48</v>
      </c>
      <c r="L20" s="6">
        <v>17.21</v>
      </c>
      <c r="M20" s="6">
        <v>83.19</v>
      </c>
      <c r="N20" s="6">
        <v>0</v>
      </c>
      <c r="O20" s="6">
        <v>0</v>
      </c>
      <c r="P20" s="6">
        <v>0.8</v>
      </c>
      <c r="Q20" s="6">
        <v>4.93</v>
      </c>
    </row>
    <row r="21" spans="1:17" customFormat="1">
      <c r="A21" s="72">
        <v>45313.135416666664</v>
      </c>
      <c r="B21" s="6">
        <v>17.12</v>
      </c>
      <c r="C21" s="6">
        <v>21.69</v>
      </c>
      <c r="D21" s="6">
        <v>26.41</v>
      </c>
      <c r="E21" s="6">
        <v>6.66</v>
      </c>
      <c r="F21" s="6">
        <v>3.51</v>
      </c>
      <c r="G21" s="6">
        <v>80.319999999999993</v>
      </c>
      <c r="H21" s="6">
        <v>41.61</v>
      </c>
      <c r="I21" s="6">
        <v>7.87</v>
      </c>
      <c r="J21" s="6">
        <v>0.19</v>
      </c>
      <c r="K21" s="6">
        <v>46.19</v>
      </c>
      <c r="L21" s="6">
        <v>17.04</v>
      </c>
      <c r="M21" s="6">
        <v>81.400000000000006</v>
      </c>
      <c r="N21" s="6">
        <v>0</v>
      </c>
      <c r="O21" s="6">
        <v>0</v>
      </c>
      <c r="P21" s="6">
        <v>0.8</v>
      </c>
      <c r="Q21" s="6">
        <v>4.9400000000000004</v>
      </c>
    </row>
    <row r="22" spans="1:17" customFormat="1">
      <c r="A22" s="72">
        <v>45313.145833333336</v>
      </c>
      <c r="B22" s="6">
        <v>17.52</v>
      </c>
      <c r="C22" s="6">
        <v>22.22</v>
      </c>
      <c r="D22" s="6">
        <v>27.01</v>
      </c>
      <c r="E22" s="6">
        <v>6.72</v>
      </c>
      <c r="F22" s="6">
        <v>3.29</v>
      </c>
      <c r="G22" s="6">
        <v>75.64</v>
      </c>
      <c r="H22" s="6">
        <v>41.15</v>
      </c>
      <c r="I22" s="6">
        <v>7.8</v>
      </c>
      <c r="J22" s="6">
        <v>0.44</v>
      </c>
      <c r="K22" s="6">
        <v>41.09</v>
      </c>
      <c r="L22" s="6">
        <v>16.899999999999999</v>
      </c>
      <c r="M22" s="6">
        <v>80.44</v>
      </c>
      <c r="N22" s="6">
        <v>0</v>
      </c>
      <c r="O22" s="6">
        <v>0</v>
      </c>
      <c r="P22" s="6">
        <v>0.79</v>
      </c>
      <c r="Q22" s="6">
        <v>4.9400000000000004</v>
      </c>
    </row>
    <row r="23" spans="1:17" customFormat="1">
      <c r="A23" s="72">
        <v>45313.15625</v>
      </c>
      <c r="B23" s="6">
        <v>17.64</v>
      </c>
      <c r="C23" s="6">
        <v>23.03</v>
      </c>
      <c r="D23" s="6">
        <v>27.53</v>
      </c>
      <c r="E23" s="6">
        <v>6.62</v>
      </c>
      <c r="F23" s="6">
        <v>3.22</v>
      </c>
      <c r="G23" s="6">
        <v>75.06</v>
      </c>
      <c r="H23" s="6">
        <v>41.15</v>
      </c>
      <c r="I23" s="6">
        <v>7.72</v>
      </c>
      <c r="J23" s="6">
        <v>0.41</v>
      </c>
      <c r="K23" s="6">
        <v>45.43</v>
      </c>
      <c r="L23" s="6">
        <v>16.739999999999998</v>
      </c>
      <c r="M23" s="6">
        <v>79.19</v>
      </c>
      <c r="N23" s="6">
        <v>0</v>
      </c>
      <c r="O23" s="6">
        <v>0</v>
      </c>
      <c r="P23" s="6">
        <v>0.79</v>
      </c>
      <c r="Q23" s="6">
        <v>4.95</v>
      </c>
    </row>
    <row r="24" spans="1:17" customFormat="1">
      <c r="A24" s="72">
        <v>45313.166666666664</v>
      </c>
      <c r="B24" s="6">
        <v>17.84</v>
      </c>
      <c r="C24" s="6">
        <v>23.3</v>
      </c>
      <c r="D24" s="6">
        <v>27.83</v>
      </c>
      <c r="E24" s="6">
        <v>6.62</v>
      </c>
      <c r="F24" s="6">
        <v>3.34</v>
      </c>
      <c r="G24" s="6">
        <v>75.06</v>
      </c>
      <c r="H24" s="6">
        <v>41.15</v>
      </c>
      <c r="I24" s="6">
        <v>7.66</v>
      </c>
      <c r="J24" s="6">
        <v>0.86</v>
      </c>
      <c r="K24" s="6">
        <v>40.590000000000003</v>
      </c>
      <c r="L24" s="6">
        <v>16.510000000000002</v>
      </c>
      <c r="M24" s="6">
        <v>74.349999999999994</v>
      </c>
      <c r="N24" s="6">
        <v>0</v>
      </c>
      <c r="O24" s="6">
        <v>0</v>
      </c>
      <c r="P24" s="6">
        <v>0.78</v>
      </c>
      <c r="Q24" s="6">
        <v>4.92</v>
      </c>
    </row>
    <row r="25" spans="1:17" customFormat="1">
      <c r="A25" s="72">
        <v>45313.177083333336</v>
      </c>
      <c r="B25" s="6">
        <v>17.850000000000001</v>
      </c>
      <c r="C25" s="6">
        <v>23.3</v>
      </c>
      <c r="D25" s="6">
        <v>27.84</v>
      </c>
      <c r="E25" s="6">
        <v>6.53</v>
      </c>
      <c r="F25" s="6">
        <v>3.35</v>
      </c>
      <c r="G25" s="6">
        <v>75.06</v>
      </c>
      <c r="H25" s="6">
        <v>41.15</v>
      </c>
      <c r="I25" s="6">
        <v>7.61</v>
      </c>
      <c r="J25" s="6">
        <v>1.06</v>
      </c>
      <c r="K25" s="6">
        <v>47.41</v>
      </c>
      <c r="L25" s="6">
        <v>16.28</v>
      </c>
      <c r="M25" s="6">
        <v>70.8</v>
      </c>
      <c r="N25" s="6">
        <v>0</v>
      </c>
      <c r="O25" s="6">
        <v>0</v>
      </c>
      <c r="P25" s="6">
        <v>0.77</v>
      </c>
      <c r="Q25" s="6">
        <v>4.93</v>
      </c>
    </row>
    <row r="26" spans="1:17" customFormat="1">
      <c r="A26" s="72">
        <v>45313.1875</v>
      </c>
      <c r="B26" s="6">
        <v>17.66</v>
      </c>
      <c r="C26" s="6">
        <v>23.06</v>
      </c>
      <c r="D26" s="6">
        <v>27.57</v>
      </c>
      <c r="E26" s="6">
        <v>6.33</v>
      </c>
      <c r="F26" s="6">
        <v>3.47</v>
      </c>
      <c r="G26" s="6">
        <v>71.84</v>
      </c>
      <c r="H26" s="6">
        <v>37.71</v>
      </c>
      <c r="I26" s="6">
        <v>7.53</v>
      </c>
      <c r="J26" s="6">
        <v>0.96</v>
      </c>
      <c r="K26" s="6">
        <v>51.06</v>
      </c>
      <c r="L26" s="6">
        <v>16.100000000000001</v>
      </c>
      <c r="M26" s="6">
        <v>67.91</v>
      </c>
      <c r="N26" s="6">
        <v>0</v>
      </c>
      <c r="O26" s="6">
        <v>0</v>
      </c>
      <c r="P26" s="6">
        <v>0.76</v>
      </c>
      <c r="Q26" s="6">
        <v>4.9400000000000004</v>
      </c>
    </row>
    <row r="27" spans="1:17" customFormat="1">
      <c r="A27" s="72">
        <v>45313.197916666664</v>
      </c>
      <c r="B27" s="6">
        <v>17.53</v>
      </c>
      <c r="C27" s="6">
        <v>23.05</v>
      </c>
      <c r="D27" s="6">
        <v>27.45</v>
      </c>
      <c r="E27" s="6">
        <v>6.69</v>
      </c>
      <c r="F27" s="6">
        <v>3.38</v>
      </c>
      <c r="G27" s="6">
        <v>71.44</v>
      </c>
      <c r="H27" s="6">
        <v>37.71</v>
      </c>
      <c r="I27" s="6">
        <v>7.43</v>
      </c>
      <c r="J27" s="6">
        <v>0.95</v>
      </c>
      <c r="K27" s="6">
        <v>44.16</v>
      </c>
      <c r="L27" s="6">
        <v>15.93</v>
      </c>
      <c r="M27" s="6">
        <v>67.17</v>
      </c>
      <c r="N27" s="6">
        <v>0</v>
      </c>
      <c r="O27" s="6">
        <v>0</v>
      </c>
      <c r="P27" s="6">
        <v>0.74</v>
      </c>
      <c r="Q27" s="6">
        <v>4.95</v>
      </c>
    </row>
    <row r="28" spans="1:17" customFormat="1">
      <c r="A28" s="72">
        <v>45313.208333333336</v>
      </c>
      <c r="B28" s="6">
        <v>17.45</v>
      </c>
      <c r="C28" s="6">
        <v>23.01</v>
      </c>
      <c r="D28" s="6">
        <v>27.37</v>
      </c>
      <c r="E28" s="6">
        <v>6.49</v>
      </c>
      <c r="F28" s="6">
        <v>3.08</v>
      </c>
      <c r="G28" s="6">
        <v>71.44</v>
      </c>
      <c r="H28" s="6">
        <v>37.71</v>
      </c>
      <c r="I28" s="6">
        <v>7.36</v>
      </c>
      <c r="J28" s="6">
        <v>0.92</v>
      </c>
      <c r="K28" s="6">
        <v>44.55</v>
      </c>
      <c r="L28" s="6">
        <v>15.78</v>
      </c>
      <c r="M28" s="6">
        <v>64.84</v>
      </c>
      <c r="N28" s="6">
        <v>0</v>
      </c>
      <c r="O28" s="6">
        <v>0</v>
      </c>
      <c r="P28" s="6">
        <v>0.74</v>
      </c>
      <c r="Q28" s="6">
        <v>4.96</v>
      </c>
    </row>
    <row r="29" spans="1:17" customFormat="1">
      <c r="A29" s="72">
        <v>45313.21875</v>
      </c>
      <c r="B29" s="6">
        <v>17.170000000000002</v>
      </c>
      <c r="C29" s="6">
        <v>23.09</v>
      </c>
      <c r="D29" s="6">
        <v>27.18</v>
      </c>
      <c r="E29" s="6">
        <v>6.33</v>
      </c>
      <c r="F29" s="6">
        <v>3.33</v>
      </c>
      <c r="G29" s="6">
        <v>71.44</v>
      </c>
      <c r="H29" s="6">
        <v>37.71</v>
      </c>
      <c r="I29" s="6">
        <v>7.32</v>
      </c>
      <c r="J29" s="6">
        <v>0.83</v>
      </c>
      <c r="K29" s="6">
        <v>44.01</v>
      </c>
      <c r="L29" s="6">
        <v>15.43</v>
      </c>
      <c r="M29" s="6">
        <v>66.3</v>
      </c>
      <c r="N29" s="6">
        <v>0</v>
      </c>
      <c r="O29" s="6">
        <v>0</v>
      </c>
      <c r="P29" s="6">
        <v>0.72</v>
      </c>
      <c r="Q29" s="6">
        <v>4.95</v>
      </c>
    </row>
    <row r="30" spans="1:17" customFormat="1">
      <c r="A30" s="72">
        <v>45313.229166666664</v>
      </c>
      <c r="B30" s="6">
        <v>16.88</v>
      </c>
      <c r="C30" s="6">
        <v>23.02</v>
      </c>
      <c r="D30" s="6">
        <v>26.92</v>
      </c>
      <c r="E30" s="6">
        <v>6.39</v>
      </c>
      <c r="F30" s="6">
        <v>3.34</v>
      </c>
      <c r="G30" s="6">
        <v>69.239999999999995</v>
      </c>
      <c r="H30" s="6">
        <v>32.799999999999997</v>
      </c>
      <c r="I30" s="6">
        <v>7.2</v>
      </c>
      <c r="J30" s="6">
        <v>1.05</v>
      </c>
      <c r="K30" s="6">
        <v>46.33</v>
      </c>
      <c r="L30" s="6">
        <v>15.09</v>
      </c>
      <c r="M30" s="6">
        <v>65.819999999999993</v>
      </c>
      <c r="N30" s="6">
        <v>0</v>
      </c>
      <c r="O30" s="6">
        <v>0</v>
      </c>
      <c r="P30" s="6">
        <v>0.71</v>
      </c>
      <c r="Q30" s="6">
        <v>4.9400000000000004</v>
      </c>
    </row>
    <row r="31" spans="1:17" customFormat="1">
      <c r="A31" s="72">
        <v>45313.239583333336</v>
      </c>
      <c r="B31" s="6">
        <v>16.690000000000001</v>
      </c>
      <c r="C31" s="6">
        <v>23.1</v>
      </c>
      <c r="D31" s="6">
        <v>26.81</v>
      </c>
      <c r="E31" s="6">
        <v>6.43</v>
      </c>
      <c r="F31" s="6">
        <v>3.27</v>
      </c>
      <c r="G31" s="6">
        <v>68.959999999999994</v>
      </c>
      <c r="H31" s="6">
        <v>32.799999999999997</v>
      </c>
      <c r="I31" s="6">
        <v>7.06</v>
      </c>
      <c r="J31" s="6">
        <v>0.59</v>
      </c>
      <c r="K31" s="6">
        <v>60.05</v>
      </c>
      <c r="L31" s="6">
        <v>15.21</v>
      </c>
      <c r="M31" s="6">
        <v>64.819999999999993</v>
      </c>
      <c r="N31" s="6">
        <v>0</v>
      </c>
      <c r="O31" s="6">
        <v>0</v>
      </c>
      <c r="P31" s="6">
        <v>0.68</v>
      </c>
      <c r="Q31" s="6">
        <v>4.9400000000000004</v>
      </c>
    </row>
    <row r="32" spans="1:17" customFormat="1">
      <c r="A32" s="72">
        <v>45313.25</v>
      </c>
      <c r="B32" s="6">
        <v>16.96</v>
      </c>
      <c r="C32" s="6">
        <v>23.37</v>
      </c>
      <c r="D32" s="6">
        <v>27.16</v>
      </c>
      <c r="E32" s="6">
        <v>6.26</v>
      </c>
      <c r="F32" s="6">
        <v>3.23</v>
      </c>
      <c r="G32" s="6">
        <v>68.959999999999994</v>
      </c>
      <c r="H32" s="6">
        <v>32.799999999999997</v>
      </c>
      <c r="I32" s="6">
        <v>6.97</v>
      </c>
      <c r="J32" s="6">
        <v>0.36</v>
      </c>
      <c r="K32" s="6">
        <v>62.66</v>
      </c>
      <c r="L32" s="6">
        <v>15.17</v>
      </c>
      <c r="M32" s="6">
        <v>65.59</v>
      </c>
      <c r="N32" s="6">
        <v>0</v>
      </c>
      <c r="O32" s="6">
        <v>0</v>
      </c>
      <c r="P32" s="6">
        <v>0.67</v>
      </c>
      <c r="Q32" s="6">
        <v>4.96</v>
      </c>
    </row>
    <row r="33" spans="1:17" customFormat="1">
      <c r="A33" s="72">
        <v>45313.260416666664</v>
      </c>
      <c r="B33" s="6">
        <v>17.29</v>
      </c>
      <c r="C33" s="6">
        <v>23.54</v>
      </c>
      <c r="D33" s="6">
        <v>27.51</v>
      </c>
      <c r="E33" s="6">
        <v>5.93</v>
      </c>
      <c r="F33" s="6">
        <v>3.34</v>
      </c>
      <c r="G33" s="6">
        <v>68.959999999999994</v>
      </c>
      <c r="H33" s="6">
        <v>32.799999999999997</v>
      </c>
      <c r="I33" s="6">
        <v>6.88</v>
      </c>
      <c r="J33" s="6">
        <v>0.23</v>
      </c>
      <c r="K33" s="6">
        <v>23.29</v>
      </c>
      <c r="L33" s="6">
        <v>15.08</v>
      </c>
      <c r="M33" s="6">
        <v>67.819999999999993</v>
      </c>
      <c r="N33" s="6">
        <v>0</v>
      </c>
      <c r="O33" s="6">
        <v>0</v>
      </c>
      <c r="P33" s="6">
        <v>0.66</v>
      </c>
      <c r="Q33" s="6">
        <v>4.9800000000000004</v>
      </c>
    </row>
    <row r="34" spans="1:17" customFormat="1">
      <c r="A34" s="72">
        <v>45313.270833333336</v>
      </c>
      <c r="B34" s="6">
        <v>18.38</v>
      </c>
      <c r="C34" s="6">
        <v>23.83</v>
      </c>
      <c r="D34" s="6">
        <v>28.54</v>
      </c>
      <c r="E34" s="6">
        <v>6.06</v>
      </c>
      <c r="F34" s="6">
        <v>3.46</v>
      </c>
      <c r="G34" s="6">
        <v>58.42</v>
      </c>
      <c r="H34" s="6">
        <v>26.33</v>
      </c>
      <c r="I34" s="6">
        <v>6.82</v>
      </c>
      <c r="J34" s="6">
        <v>0.45</v>
      </c>
      <c r="K34" s="6">
        <v>38.18</v>
      </c>
      <c r="L34" s="6">
        <v>14.89</v>
      </c>
      <c r="M34" s="6">
        <v>68.36</v>
      </c>
      <c r="N34" s="6">
        <v>0</v>
      </c>
      <c r="O34" s="6">
        <v>0</v>
      </c>
      <c r="P34" s="6">
        <v>0.65</v>
      </c>
      <c r="Q34" s="6">
        <v>4.99</v>
      </c>
    </row>
    <row r="35" spans="1:17" customFormat="1">
      <c r="A35" s="72">
        <v>45313.28125</v>
      </c>
      <c r="B35" s="6">
        <v>19.25</v>
      </c>
      <c r="C35" s="6">
        <v>24.16</v>
      </c>
      <c r="D35" s="6">
        <v>29.41</v>
      </c>
      <c r="E35" s="6">
        <v>6.11</v>
      </c>
      <c r="F35" s="6">
        <v>3.2</v>
      </c>
      <c r="G35" s="6">
        <v>57.11</v>
      </c>
      <c r="H35" s="6">
        <v>26.33</v>
      </c>
      <c r="I35" s="6">
        <v>6.78</v>
      </c>
      <c r="J35" s="6">
        <v>0.48</v>
      </c>
      <c r="K35" s="6">
        <v>50.91</v>
      </c>
      <c r="L35" s="6">
        <v>14.97</v>
      </c>
      <c r="M35" s="6">
        <v>66.83</v>
      </c>
      <c r="N35" s="6">
        <v>0</v>
      </c>
      <c r="O35" s="6">
        <v>0</v>
      </c>
      <c r="P35" s="6">
        <v>0.65</v>
      </c>
      <c r="Q35" s="6">
        <v>5</v>
      </c>
    </row>
    <row r="36" spans="1:17" customFormat="1">
      <c r="A36" s="72">
        <v>45313.291666666664</v>
      </c>
      <c r="B36" s="6">
        <v>19.850000000000001</v>
      </c>
      <c r="C36" s="6">
        <v>24.22</v>
      </c>
      <c r="D36" s="6">
        <v>29.92</v>
      </c>
      <c r="E36" s="6">
        <v>6.62</v>
      </c>
      <c r="F36" s="6">
        <v>3.27</v>
      </c>
      <c r="G36" s="6">
        <v>57.11</v>
      </c>
      <c r="H36" s="6">
        <v>26.33</v>
      </c>
      <c r="I36" s="6">
        <v>6.74</v>
      </c>
      <c r="J36" s="6">
        <v>0.81</v>
      </c>
      <c r="K36" s="6">
        <v>50.96</v>
      </c>
      <c r="L36" s="6">
        <v>15.04</v>
      </c>
      <c r="M36" s="6">
        <v>65.599999999999994</v>
      </c>
      <c r="N36" s="6">
        <v>5.3</v>
      </c>
      <c r="O36" s="6">
        <v>0</v>
      </c>
      <c r="P36" s="6">
        <v>0.64</v>
      </c>
      <c r="Q36" s="6">
        <v>5.03</v>
      </c>
    </row>
    <row r="37" spans="1:17" customFormat="1">
      <c r="A37" s="72">
        <v>45313.302083333336</v>
      </c>
      <c r="B37" s="6">
        <v>20.18</v>
      </c>
      <c r="C37" s="6">
        <v>24.46</v>
      </c>
      <c r="D37" s="6">
        <v>30.32</v>
      </c>
      <c r="E37" s="6">
        <v>6.21</v>
      </c>
      <c r="F37" s="6">
        <v>3.29</v>
      </c>
      <c r="G37" s="6">
        <v>57.11</v>
      </c>
      <c r="H37" s="6">
        <v>26.33</v>
      </c>
      <c r="I37" s="6">
        <v>6.69</v>
      </c>
      <c r="J37" s="6">
        <v>0.75</v>
      </c>
      <c r="K37" s="6">
        <v>54.99</v>
      </c>
      <c r="L37" s="6">
        <v>15.07</v>
      </c>
      <c r="M37" s="6">
        <v>65.83</v>
      </c>
      <c r="N37" s="6">
        <v>20.8</v>
      </c>
      <c r="O37" s="6">
        <v>0</v>
      </c>
      <c r="P37" s="6">
        <v>0.62</v>
      </c>
      <c r="Q37" s="6">
        <v>5.07</v>
      </c>
    </row>
    <row r="38" spans="1:17" customFormat="1">
      <c r="A38" s="72">
        <v>45313.3125</v>
      </c>
      <c r="B38" s="6">
        <v>20.45</v>
      </c>
      <c r="C38" s="6">
        <v>24.98</v>
      </c>
      <c r="D38" s="6">
        <v>30.8</v>
      </c>
      <c r="E38" s="6">
        <v>6.55</v>
      </c>
      <c r="F38" s="6">
        <v>3.21</v>
      </c>
      <c r="G38" s="6">
        <v>61.12</v>
      </c>
      <c r="H38" s="6">
        <v>25.01</v>
      </c>
      <c r="I38" s="6">
        <v>6.64</v>
      </c>
      <c r="J38" s="6">
        <v>0.98</v>
      </c>
      <c r="K38" s="6">
        <v>47.52</v>
      </c>
      <c r="L38" s="6">
        <v>15.26</v>
      </c>
      <c r="M38" s="6">
        <v>66.42</v>
      </c>
      <c r="N38" s="6">
        <v>33.5</v>
      </c>
      <c r="O38" s="6">
        <v>0</v>
      </c>
      <c r="P38" s="6">
        <v>0.62</v>
      </c>
      <c r="Q38" s="6">
        <v>5.05</v>
      </c>
    </row>
    <row r="39" spans="1:17" customFormat="1">
      <c r="A39" s="72">
        <v>45313.322916666664</v>
      </c>
      <c r="B39" s="6">
        <v>20.47</v>
      </c>
      <c r="C39" s="6">
        <v>25.45</v>
      </c>
      <c r="D39" s="6">
        <v>31.06</v>
      </c>
      <c r="E39" s="6">
        <v>6.32</v>
      </c>
      <c r="F39" s="6">
        <v>3.32</v>
      </c>
      <c r="G39" s="6">
        <v>61.63</v>
      </c>
      <c r="H39" s="6">
        <v>25.01</v>
      </c>
      <c r="I39" s="6">
        <v>6.67</v>
      </c>
      <c r="J39" s="6">
        <v>0.87</v>
      </c>
      <c r="K39" s="6">
        <v>59.25</v>
      </c>
      <c r="L39" s="6">
        <v>15.36</v>
      </c>
      <c r="M39" s="6">
        <v>67.64</v>
      </c>
      <c r="N39" s="6">
        <v>47.5</v>
      </c>
      <c r="O39" s="6">
        <v>0</v>
      </c>
      <c r="P39" s="6">
        <v>0.63</v>
      </c>
      <c r="Q39" s="6">
        <v>5.0599999999999996</v>
      </c>
    </row>
    <row r="40" spans="1:17" customFormat="1">
      <c r="A40" s="72">
        <v>45313.333333333336</v>
      </c>
      <c r="B40" s="6">
        <v>20.41</v>
      </c>
      <c r="C40" s="6">
        <v>25.72</v>
      </c>
      <c r="D40" s="6">
        <v>31.16</v>
      </c>
      <c r="E40" s="6">
        <v>6.69</v>
      </c>
      <c r="F40" s="6">
        <v>3.43</v>
      </c>
      <c r="G40" s="6">
        <v>61.63</v>
      </c>
      <c r="H40" s="6">
        <v>25.01</v>
      </c>
      <c r="I40" s="6">
        <v>6.74</v>
      </c>
      <c r="J40" s="6">
        <v>0.8</v>
      </c>
      <c r="K40" s="6">
        <v>70.400000000000006</v>
      </c>
      <c r="L40" s="6">
        <v>15.73</v>
      </c>
      <c r="M40" s="6">
        <v>66.81</v>
      </c>
      <c r="N40" s="6">
        <v>67.5</v>
      </c>
      <c r="O40" s="6">
        <v>0</v>
      </c>
      <c r="P40" s="6">
        <v>0.64</v>
      </c>
      <c r="Q40" s="6">
        <v>5.0599999999999996</v>
      </c>
    </row>
    <row r="41" spans="1:17" customFormat="1">
      <c r="A41" s="72">
        <v>45313.34375</v>
      </c>
      <c r="B41" s="6">
        <v>20.18</v>
      </c>
      <c r="C41" s="6">
        <v>25.82</v>
      </c>
      <c r="D41" s="6">
        <v>31.03</v>
      </c>
      <c r="E41" s="6">
        <v>6.65</v>
      </c>
      <c r="F41" s="6">
        <v>3.42</v>
      </c>
      <c r="G41" s="6">
        <v>61.63</v>
      </c>
      <c r="H41" s="6">
        <v>25.01</v>
      </c>
      <c r="I41" s="6">
        <v>6.83</v>
      </c>
      <c r="J41" s="6">
        <v>0.82</v>
      </c>
      <c r="K41" s="6">
        <v>64.77</v>
      </c>
      <c r="L41" s="6">
        <v>16.04</v>
      </c>
      <c r="M41" s="6">
        <v>67.3</v>
      </c>
      <c r="N41" s="6">
        <v>69.099999999999994</v>
      </c>
      <c r="O41" s="6">
        <v>0</v>
      </c>
      <c r="P41" s="6">
        <v>0.64</v>
      </c>
      <c r="Q41" s="6">
        <v>5.0599999999999996</v>
      </c>
    </row>
    <row r="42" spans="1:17" customFormat="1">
      <c r="A42" s="72">
        <v>45313.354166666664</v>
      </c>
      <c r="B42" s="6">
        <v>19.79</v>
      </c>
      <c r="C42" s="6">
        <v>26.17</v>
      </c>
      <c r="D42" s="6">
        <v>30.89</v>
      </c>
      <c r="E42" s="6">
        <v>6.26</v>
      </c>
      <c r="F42" s="6">
        <v>3.39</v>
      </c>
      <c r="G42" s="6">
        <v>63.66</v>
      </c>
      <c r="H42" s="6">
        <v>27.62</v>
      </c>
      <c r="I42" s="6">
        <v>6.91</v>
      </c>
      <c r="J42" s="6">
        <v>0.92</v>
      </c>
      <c r="K42" s="6">
        <v>64.27</v>
      </c>
      <c r="L42" s="6">
        <v>16.489999999999998</v>
      </c>
      <c r="M42" s="6">
        <v>67.959999999999994</v>
      </c>
      <c r="N42" s="6">
        <v>96.9</v>
      </c>
      <c r="O42" s="6">
        <v>0</v>
      </c>
      <c r="P42" s="6">
        <v>0.65</v>
      </c>
      <c r="Q42" s="6">
        <v>5.0599999999999996</v>
      </c>
    </row>
    <row r="43" spans="1:17" customFormat="1">
      <c r="A43" s="72">
        <v>45313.364583333336</v>
      </c>
      <c r="B43" s="6">
        <v>19.18</v>
      </c>
      <c r="C43" s="6">
        <v>25.85</v>
      </c>
      <c r="D43" s="6">
        <v>30.23</v>
      </c>
      <c r="E43" s="6">
        <v>6.44</v>
      </c>
      <c r="F43" s="6">
        <v>3.25</v>
      </c>
      <c r="G43" s="6">
        <v>63.91</v>
      </c>
      <c r="H43" s="6">
        <v>27.62</v>
      </c>
      <c r="I43" s="6">
        <v>6.96</v>
      </c>
      <c r="J43" s="6">
        <v>0.55000000000000004</v>
      </c>
      <c r="K43" s="6">
        <v>81.11</v>
      </c>
      <c r="L43" s="6">
        <v>16.96</v>
      </c>
      <c r="M43" s="6">
        <v>70.7</v>
      </c>
      <c r="N43" s="6">
        <v>102.9</v>
      </c>
      <c r="O43" s="6">
        <v>0</v>
      </c>
      <c r="P43" s="6">
        <v>0.66</v>
      </c>
      <c r="Q43" s="6">
        <v>5.07</v>
      </c>
    </row>
    <row r="44" spans="1:17" customFormat="1">
      <c r="A44" s="72">
        <v>45313.375</v>
      </c>
      <c r="B44" s="6">
        <v>18.75</v>
      </c>
      <c r="C44" s="6">
        <v>25.84</v>
      </c>
      <c r="D44" s="6">
        <v>29.89</v>
      </c>
      <c r="E44" s="6">
        <v>6.51</v>
      </c>
      <c r="F44" s="6">
        <v>3.32</v>
      </c>
      <c r="G44" s="6">
        <v>63.91</v>
      </c>
      <c r="H44" s="6">
        <v>27.62</v>
      </c>
      <c r="I44" s="6">
        <v>6.99</v>
      </c>
      <c r="J44" s="6">
        <v>0.95</v>
      </c>
      <c r="K44" s="6">
        <v>65.760000000000005</v>
      </c>
      <c r="L44" s="6">
        <v>17.32</v>
      </c>
      <c r="M44" s="6">
        <v>73.540000000000006</v>
      </c>
      <c r="N44" s="6">
        <v>144.69999999999999</v>
      </c>
      <c r="O44" s="6">
        <v>0</v>
      </c>
      <c r="P44" s="6">
        <v>0.66</v>
      </c>
      <c r="Q44" s="6">
        <v>5.07</v>
      </c>
    </row>
    <row r="45" spans="1:17" customFormat="1">
      <c r="A45" s="72">
        <v>45313.385416666664</v>
      </c>
      <c r="B45" s="6">
        <v>18.72</v>
      </c>
      <c r="C45" s="6">
        <v>25.82</v>
      </c>
      <c r="D45" s="6">
        <v>29.86</v>
      </c>
      <c r="E45" s="6">
        <v>7.6</v>
      </c>
      <c r="F45" s="6">
        <v>3.45</v>
      </c>
      <c r="G45" s="6">
        <v>63.91</v>
      </c>
      <c r="H45" s="6">
        <v>27.62</v>
      </c>
      <c r="I45" s="6">
        <v>7.04</v>
      </c>
      <c r="J45" s="6">
        <v>0.92</v>
      </c>
      <c r="K45" s="6">
        <v>66.69</v>
      </c>
      <c r="L45" s="6">
        <v>17.75</v>
      </c>
      <c r="M45" s="6">
        <v>75.22</v>
      </c>
      <c r="N45" s="6">
        <v>165.4</v>
      </c>
      <c r="O45" s="6">
        <v>0</v>
      </c>
      <c r="P45" s="6">
        <v>0.66</v>
      </c>
      <c r="Q45" s="6">
        <v>5.07</v>
      </c>
    </row>
    <row r="46" spans="1:17" customFormat="1">
      <c r="A46" s="72">
        <v>45313.395833333336</v>
      </c>
      <c r="B46" s="6">
        <v>18.57</v>
      </c>
      <c r="C46" s="6">
        <v>26.13</v>
      </c>
      <c r="D46" s="6">
        <v>29.89</v>
      </c>
      <c r="E46" s="6">
        <v>7.32</v>
      </c>
      <c r="F46" s="6">
        <v>3.29</v>
      </c>
      <c r="G46" s="6">
        <v>83.48</v>
      </c>
      <c r="H46" s="6">
        <v>30.92</v>
      </c>
      <c r="I46" s="6">
        <v>7.08</v>
      </c>
      <c r="J46" s="6">
        <v>0.42</v>
      </c>
      <c r="K46" s="6">
        <v>95.99</v>
      </c>
      <c r="L46" s="6">
        <v>18.77</v>
      </c>
      <c r="M46" s="6">
        <v>74.87</v>
      </c>
      <c r="N46" s="6">
        <v>194.8</v>
      </c>
      <c r="O46" s="6">
        <v>0</v>
      </c>
      <c r="P46" s="6">
        <v>0.69</v>
      </c>
      <c r="Q46" s="6">
        <v>5.0599999999999996</v>
      </c>
    </row>
    <row r="47" spans="1:17" customFormat="1">
      <c r="A47" s="72">
        <v>45313.40625</v>
      </c>
      <c r="B47" s="6">
        <v>18.13</v>
      </c>
      <c r="C47" s="6">
        <v>26.19</v>
      </c>
      <c r="D47" s="6">
        <v>29.57</v>
      </c>
      <c r="E47" s="6">
        <v>7.81</v>
      </c>
      <c r="F47" s="6">
        <v>3.3</v>
      </c>
      <c r="G47" s="6">
        <v>85.93</v>
      </c>
      <c r="H47" s="6">
        <v>30.92</v>
      </c>
      <c r="I47" s="6">
        <v>7.11</v>
      </c>
      <c r="J47" s="6">
        <v>0.67</v>
      </c>
      <c r="K47" s="6">
        <v>78.459999999999994</v>
      </c>
      <c r="L47" s="6">
        <v>19.63</v>
      </c>
      <c r="M47" s="6">
        <v>72.95</v>
      </c>
      <c r="N47" s="6">
        <v>227.2</v>
      </c>
      <c r="O47" s="6">
        <v>0</v>
      </c>
      <c r="P47" s="6">
        <v>0.69</v>
      </c>
      <c r="Q47" s="6">
        <v>5.05</v>
      </c>
    </row>
    <row r="48" spans="1:17" customFormat="1">
      <c r="A48" s="72">
        <v>45313.416666666664</v>
      </c>
      <c r="B48" s="6">
        <v>17.579999999999998</v>
      </c>
      <c r="C48" s="6">
        <v>25.96</v>
      </c>
      <c r="D48" s="6">
        <v>29.01</v>
      </c>
      <c r="E48" s="6">
        <v>7.01</v>
      </c>
      <c r="F48" s="6">
        <v>3.44</v>
      </c>
      <c r="G48" s="6">
        <v>85.93</v>
      </c>
      <c r="H48" s="6">
        <v>30.92</v>
      </c>
      <c r="I48" s="6">
        <v>7.16</v>
      </c>
      <c r="J48" s="6">
        <v>0.8</v>
      </c>
      <c r="K48" s="6">
        <v>71.06</v>
      </c>
      <c r="L48" s="6">
        <v>19.98</v>
      </c>
      <c r="M48" s="6">
        <v>73.64</v>
      </c>
      <c r="N48" s="6">
        <v>230.9</v>
      </c>
      <c r="O48" s="6">
        <v>0</v>
      </c>
      <c r="P48" s="6">
        <v>0.7</v>
      </c>
      <c r="Q48" s="6">
        <v>5.04</v>
      </c>
    </row>
    <row r="49" spans="1:17" customFormat="1">
      <c r="A49" s="72">
        <v>45313.427083333336</v>
      </c>
      <c r="B49" s="6">
        <v>16.91</v>
      </c>
      <c r="C49" s="6">
        <v>26.04</v>
      </c>
      <c r="D49" s="6">
        <v>28.52</v>
      </c>
      <c r="E49" s="6">
        <v>7.05</v>
      </c>
      <c r="F49" s="6">
        <v>3.57</v>
      </c>
      <c r="G49" s="6">
        <v>85.93</v>
      </c>
      <c r="H49" s="6">
        <v>30.92</v>
      </c>
      <c r="I49" s="6">
        <v>7.19</v>
      </c>
      <c r="J49" s="6">
        <v>0.76</v>
      </c>
      <c r="K49" s="6">
        <v>67.819999999999993</v>
      </c>
      <c r="L49" s="6">
        <v>20.55</v>
      </c>
      <c r="M49" s="6">
        <v>72.739999999999995</v>
      </c>
      <c r="N49" s="6">
        <v>301.7</v>
      </c>
      <c r="O49" s="6">
        <v>0</v>
      </c>
      <c r="P49" s="6">
        <v>0.71</v>
      </c>
      <c r="Q49" s="6">
        <v>5.04</v>
      </c>
    </row>
    <row r="50" spans="1:17" customFormat="1">
      <c r="A50" s="72">
        <v>45313.4375</v>
      </c>
      <c r="B50" s="6">
        <v>16.23</v>
      </c>
      <c r="C50" s="6">
        <v>26.28</v>
      </c>
      <c r="D50" s="6">
        <v>28.1</v>
      </c>
      <c r="E50" s="6">
        <v>8.26</v>
      </c>
      <c r="F50" s="6">
        <v>3.68</v>
      </c>
      <c r="G50" s="6">
        <v>83.2</v>
      </c>
      <c r="H50" s="6">
        <v>32.69</v>
      </c>
      <c r="I50" s="6">
        <v>7.22</v>
      </c>
      <c r="J50" s="6">
        <v>0.59</v>
      </c>
      <c r="K50" s="6">
        <v>84.04</v>
      </c>
      <c r="L50" s="6">
        <v>21.07</v>
      </c>
      <c r="M50" s="6">
        <v>72.099999999999994</v>
      </c>
      <c r="N50" s="6">
        <v>269.89999999999998</v>
      </c>
      <c r="O50" s="6">
        <v>0</v>
      </c>
      <c r="P50" s="6">
        <v>0.71</v>
      </c>
      <c r="Q50" s="6">
        <v>5.0199999999999996</v>
      </c>
    </row>
    <row r="51" spans="1:17" customFormat="1">
      <c r="A51" s="72">
        <v>45313.447916666664</v>
      </c>
      <c r="B51" s="6">
        <v>15.21</v>
      </c>
      <c r="C51" s="6">
        <v>26.34</v>
      </c>
      <c r="D51" s="6">
        <v>27.31</v>
      </c>
      <c r="E51" s="6">
        <v>8.31</v>
      </c>
      <c r="F51" s="6">
        <v>3.5</v>
      </c>
      <c r="G51" s="6">
        <v>82.85</v>
      </c>
      <c r="H51" s="6">
        <v>32.69</v>
      </c>
      <c r="I51" s="6">
        <v>7.26</v>
      </c>
      <c r="J51" s="6">
        <v>0.79</v>
      </c>
      <c r="K51" s="6">
        <v>80.069999999999993</v>
      </c>
      <c r="L51" s="6">
        <v>21.45</v>
      </c>
      <c r="M51" s="6">
        <v>71.33</v>
      </c>
      <c r="N51" s="6">
        <v>330.5</v>
      </c>
      <c r="O51" s="6">
        <v>0</v>
      </c>
      <c r="P51" s="6">
        <v>0.73</v>
      </c>
      <c r="Q51" s="6">
        <v>5.01</v>
      </c>
    </row>
    <row r="52" spans="1:17" customFormat="1">
      <c r="A52" s="72">
        <v>45313.458333333336</v>
      </c>
      <c r="B52" s="6">
        <v>14</v>
      </c>
      <c r="C52" s="6">
        <v>26.42</v>
      </c>
      <c r="D52" s="6">
        <v>26.38</v>
      </c>
      <c r="E52" s="6">
        <v>8.64</v>
      </c>
      <c r="F52" s="6">
        <v>3.36</v>
      </c>
      <c r="G52" s="6">
        <v>82.85</v>
      </c>
      <c r="H52" s="6">
        <v>32.69</v>
      </c>
      <c r="I52" s="6">
        <v>7.26</v>
      </c>
      <c r="J52" s="6">
        <v>0.99</v>
      </c>
      <c r="K52" s="6">
        <v>67.25</v>
      </c>
      <c r="L52" s="6">
        <v>22.09</v>
      </c>
      <c r="M52" s="6">
        <v>69.180000000000007</v>
      </c>
      <c r="N52" s="6">
        <v>414.6</v>
      </c>
      <c r="O52" s="6">
        <v>0</v>
      </c>
      <c r="P52" s="6">
        <v>0.73</v>
      </c>
      <c r="Q52" s="6">
        <v>5</v>
      </c>
    </row>
    <row r="53" spans="1:17" customFormat="1">
      <c r="A53" s="72">
        <v>45313.46875</v>
      </c>
      <c r="B53" s="6">
        <v>12.79</v>
      </c>
      <c r="C53" s="6">
        <v>26.3</v>
      </c>
      <c r="D53" s="6">
        <v>25.35</v>
      </c>
      <c r="E53" s="6">
        <v>8.68</v>
      </c>
      <c r="F53" s="6">
        <v>3.49</v>
      </c>
      <c r="G53" s="6">
        <v>82.85</v>
      </c>
      <c r="H53" s="6">
        <v>32.69</v>
      </c>
      <c r="I53" s="6">
        <v>7.27</v>
      </c>
      <c r="J53" s="6">
        <v>1.1000000000000001</v>
      </c>
      <c r="K53" s="6">
        <v>54.76</v>
      </c>
      <c r="L53" s="6">
        <v>21.91</v>
      </c>
      <c r="M53" s="6">
        <v>70.040000000000006</v>
      </c>
      <c r="N53" s="6">
        <v>368.6</v>
      </c>
      <c r="O53" s="6">
        <v>0</v>
      </c>
      <c r="P53" s="6">
        <v>0.73</v>
      </c>
      <c r="Q53" s="6">
        <v>4.9800000000000004</v>
      </c>
    </row>
    <row r="54" spans="1:17" customFormat="1">
      <c r="A54" s="72">
        <v>45313.479166666664</v>
      </c>
      <c r="B54" s="6">
        <v>11.77</v>
      </c>
      <c r="C54" s="6">
        <v>26.67</v>
      </c>
      <c r="D54" s="6">
        <v>24.73</v>
      </c>
      <c r="E54" s="6">
        <v>8.3000000000000007</v>
      </c>
      <c r="F54" s="6">
        <v>3.71</v>
      </c>
      <c r="G54" s="6">
        <v>72.81</v>
      </c>
      <c r="H54" s="6">
        <v>33.47</v>
      </c>
      <c r="I54" s="6">
        <v>7.27</v>
      </c>
      <c r="J54" s="6">
        <v>0.54</v>
      </c>
      <c r="K54" s="6">
        <v>55.75</v>
      </c>
      <c r="L54" s="6">
        <v>22.48</v>
      </c>
      <c r="M54" s="6">
        <v>68.8</v>
      </c>
      <c r="N54" s="6">
        <v>292.10000000000002</v>
      </c>
      <c r="O54" s="6">
        <v>0</v>
      </c>
      <c r="P54" s="6">
        <v>0.75</v>
      </c>
      <c r="Q54" s="6">
        <v>4.9800000000000004</v>
      </c>
    </row>
    <row r="55" spans="1:17" customFormat="1">
      <c r="A55" s="72">
        <v>45313.489583333336</v>
      </c>
      <c r="B55" s="6">
        <v>10.91</v>
      </c>
      <c r="C55" s="6">
        <v>26.65</v>
      </c>
      <c r="D55" s="6">
        <v>24.03</v>
      </c>
      <c r="E55" s="6">
        <v>8.1999999999999993</v>
      </c>
      <c r="F55" s="6">
        <v>3.69</v>
      </c>
      <c r="G55" s="6">
        <v>71.55</v>
      </c>
      <c r="H55" s="6">
        <v>33.47</v>
      </c>
      <c r="I55" s="6">
        <v>7.24</v>
      </c>
      <c r="J55" s="6">
        <v>0.62</v>
      </c>
      <c r="K55" s="6">
        <v>75.319999999999993</v>
      </c>
      <c r="L55" s="6">
        <v>22.93</v>
      </c>
      <c r="M55" s="6">
        <v>67.97</v>
      </c>
      <c r="N55" s="6">
        <v>375.6</v>
      </c>
      <c r="O55" s="6">
        <v>0</v>
      </c>
      <c r="P55" s="6">
        <v>0.75</v>
      </c>
      <c r="Q55" s="6">
        <v>4.96</v>
      </c>
    </row>
    <row r="56" spans="1:17" customFormat="1">
      <c r="A56" s="72">
        <v>45313.5</v>
      </c>
      <c r="B56" s="6">
        <v>9.9</v>
      </c>
      <c r="C56" s="6">
        <v>26.36</v>
      </c>
      <c r="D56" s="6">
        <v>23.06</v>
      </c>
      <c r="E56" s="6">
        <v>8.65</v>
      </c>
      <c r="F56" s="6">
        <v>3.46</v>
      </c>
      <c r="G56" s="6">
        <v>71.55</v>
      </c>
      <c r="H56" s="6">
        <v>33.47</v>
      </c>
      <c r="I56" s="6">
        <v>7.23</v>
      </c>
      <c r="J56" s="6">
        <v>0.4</v>
      </c>
      <c r="K56" s="6">
        <v>78.28</v>
      </c>
      <c r="L56" s="6">
        <v>23.67</v>
      </c>
      <c r="M56" s="6">
        <v>66.819999999999993</v>
      </c>
      <c r="N56" s="6">
        <v>402.7</v>
      </c>
      <c r="O56" s="6">
        <v>0</v>
      </c>
      <c r="P56" s="6">
        <v>0.75</v>
      </c>
      <c r="Q56" s="6">
        <v>4.93</v>
      </c>
    </row>
    <row r="57" spans="1:17" customFormat="1">
      <c r="A57" s="72">
        <v>45313.510416666664</v>
      </c>
      <c r="B57" s="6">
        <v>9.1</v>
      </c>
      <c r="C57" s="6">
        <v>26.12</v>
      </c>
      <c r="D57" s="6">
        <v>22.3</v>
      </c>
      <c r="E57" s="6">
        <v>8.64</v>
      </c>
      <c r="F57" s="6">
        <v>3.68</v>
      </c>
      <c r="G57" s="6">
        <v>71.55</v>
      </c>
      <c r="H57" s="6">
        <v>33.47</v>
      </c>
      <c r="I57" s="6">
        <v>7.22</v>
      </c>
      <c r="J57" s="6">
        <v>1.07</v>
      </c>
      <c r="K57" s="6">
        <v>61.17</v>
      </c>
      <c r="L57" s="6">
        <v>23.8</v>
      </c>
      <c r="M57" s="6">
        <v>66.37</v>
      </c>
      <c r="N57" s="6">
        <v>406.4</v>
      </c>
      <c r="O57" s="6">
        <v>0</v>
      </c>
      <c r="P57" s="6">
        <v>0.77</v>
      </c>
      <c r="Q57" s="6">
        <v>4.93</v>
      </c>
    </row>
    <row r="58" spans="1:17" customFormat="1">
      <c r="A58" s="72">
        <v>45313.520833333336</v>
      </c>
      <c r="B58" s="6">
        <v>8.58</v>
      </c>
      <c r="C58" s="6">
        <v>25.12</v>
      </c>
      <c r="D58" s="6">
        <v>21.36</v>
      </c>
      <c r="E58" s="6">
        <v>7.81</v>
      </c>
      <c r="F58" s="6">
        <v>3.84</v>
      </c>
      <c r="G58" s="6">
        <v>70.180000000000007</v>
      </c>
      <c r="H58" s="6">
        <v>32.6</v>
      </c>
      <c r="I58" s="6">
        <v>7.19</v>
      </c>
      <c r="J58" s="6">
        <v>0.56000000000000005</v>
      </c>
      <c r="K58" s="6">
        <v>72.14</v>
      </c>
      <c r="L58" s="6">
        <v>23.86</v>
      </c>
      <c r="M58" s="6">
        <v>66.61</v>
      </c>
      <c r="N58" s="6">
        <v>430.4</v>
      </c>
      <c r="O58" s="6">
        <v>0</v>
      </c>
      <c r="P58" s="6">
        <v>0.77</v>
      </c>
      <c r="Q58" s="6">
        <v>4.87</v>
      </c>
    </row>
    <row r="59" spans="1:17" customFormat="1">
      <c r="A59" s="72">
        <v>45313.53125</v>
      </c>
      <c r="B59" s="6">
        <v>8.15</v>
      </c>
      <c r="C59" s="6">
        <v>23.02</v>
      </c>
      <c r="D59" s="6">
        <v>19.91</v>
      </c>
      <c r="E59" s="6">
        <v>7.64</v>
      </c>
      <c r="F59" s="6">
        <v>3.95</v>
      </c>
      <c r="G59" s="6">
        <v>70.010000000000005</v>
      </c>
      <c r="H59" s="6">
        <v>32.6</v>
      </c>
      <c r="I59" s="6">
        <v>7.22</v>
      </c>
      <c r="J59" s="6">
        <v>0.32</v>
      </c>
      <c r="K59" s="6">
        <v>88.44</v>
      </c>
      <c r="L59" s="6">
        <v>24.55</v>
      </c>
      <c r="M59" s="6">
        <v>64.069999999999993</v>
      </c>
      <c r="N59" s="6">
        <v>369.8</v>
      </c>
      <c r="O59" s="6">
        <v>0</v>
      </c>
      <c r="P59" s="6">
        <v>0.77</v>
      </c>
      <c r="Q59" s="6">
        <v>4.83</v>
      </c>
    </row>
    <row r="60" spans="1:17" customFormat="1">
      <c r="A60" s="72">
        <v>45313.541666666664</v>
      </c>
      <c r="B60" s="6">
        <v>7.69</v>
      </c>
      <c r="C60" s="6">
        <v>21.24</v>
      </c>
      <c r="D60" s="6">
        <v>18.62</v>
      </c>
      <c r="E60" s="6">
        <v>7.16</v>
      </c>
      <c r="F60" s="6">
        <v>3.98</v>
      </c>
      <c r="G60" s="6">
        <v>70.010000000000005</v>
      </c>
      <c r="H60" s="6">
        <v>32.6</v>
      </c>
      <c r="I60" s="6">
        <v>7.25</v>
      </c>
      <c r="J60" s="6">
        <v>0.57999999999999996</v>
      </c>
      <c r="K60" s="6">
        <v>71.98</v>
      </c>
      <c r="L60" s="6">
        <v>24.64</v>
      </c>
      <c r="M60" s="6">
        <v>63.93</v>
      </c>
      <c r="N60" s="6">
        <v>376.2</v>
      </c>
      <c r="O60" s="6">
        <v>0</v>
      </c>
      <c r="P60" s="6">
        <v>0.76</v>
      </c>
      <c r="Q60" s="6">
        <v>4.84</v>
      </c>
    </row>
    <row r="61" spans="1:17" customFormat="1">
      <c r="A61" s="72">
        <v>45313.552083333336</v>
      </c>
      <c r="B61" s="6">
        <v>7.36</v>
      </c>
      <c r="C61" s="6">
        <v>20.16</v>
      </c>
      <c r="D61" s="6">
        <v>17.79</v>
      </c>
      <c r="E61" s="6">
        <v>7.5</v>
      </c>
      <c r="F61" s="6">
        <v>3.99</v>
      </c>
      <c r="G61" s="6">
        <v>70.010000000000005</v>
      </c>
      <c r="H61" s="6">
        <v>32.6</v>
      </c>
      <c r="I61" s="6">
        <v>7.2</v>
      </c>
      <c r="J61" s="6">
        <v>0.7</v>
      </c>
      <c r="K61" s="6">
        <v>72.48</v>
      </c>
      <c r="L61" s="6">
        <v>24.8</v>
      </c>
      <c r="M61" s="6">
        <v>62.83</v>
      </c>
      <c r="N61" s="6">
        <v>413.5</v>
      </c>
      <c r="O61" s="6">
        <v>0</v>
      </c>
      <c r="P61" s="6">
        <v>0.76</v>
      </c>
      <c r="Q61" s="6">
        <v>4.8499999999999996</v>
      </c>
    </row>
    <row r="62" spans="1:17" customFormat="1">
      <c r="A62" s="72">
        <v>45313.5625</v>
      </c>
      <c r="B62" s="6">
        <v>7.04</v>
      </c>
      <c r="C62" s="6">
        <v>19.2</v>
      </c>
      <c r="D62" s="6">
        <v>17.03</v>
      </c>
      <c r="E62" s="6">
        <v>7.23</v>
      </c>
      <c r="F62" s="6">
        <v>3.87</v>
      </c>
      <c r="G62" s="6">
        <v>60.44</v>
      </c>
      <c r="H62" s="6">
        <v>32.090000000000003</v>
      </c>
      <c r="I62" s="6">
        <v>7.18</v>
      </c>
      <c r="J62" s="6">
        <v>0.71</v>
      </c>
      <c r="K62" s="6">
        <v>51.56</v>
      </c>
      <c r="L62" s="6">
        <v>24.71</v>
      </c>
      <c r="M62" s="6">
        <v>62.9</v>
      </c>
      <c r="N62" s="6">
        <v>368.8</v>
      </c>
      <c r="O62" s="6">
        <v>0</v>
      </c>
      <c r="P62" s="6">
        <v>0.75</v>
      </c>
      <c r="Q62" s="6">
        <v>4.88</v>
      </c>
    </row>
    <row r="63" spans="1:17" customFormat="1">
      <c r="A63" s="72">
        <v>45313.572916666664</v>
      </c>
      <c r="B63" s="6">
        <v>6.83</v>
      </c>
      <c r="C63" s="6">
        <v>18.36</v>
      </c>
      <c r="D63" s="6">
        <v>16.420000000000002</v>
      </c>
      <c r="E63" s="6">
        <v>6.87</v>
      </c>
      <c r="F63" s="6">
        <v>3.84</v>
      </c>
      <c r="G63" s="6">
        <v>59.25</v>
      </c>
      <c r="H63" s="6">
        <v>32.090000000000003</v>
      </c>
      <c r="I63" s="6">
        <v>7.19</v>
      </c>
      <c r="J63" s="6">
        <v>0.67</v>
      </c>
      <c r="K63" s="6">
        <v>52.9</v>
      </c>
      <c r="L63" s="6">
        <v>24.59</v>
      </c>
      <c r="M63" s="6">
        <v>62.23</v>
      </c>
      <c r="N63" s="6">
        <v>295</v>
      </c>
      <c r="O63" s="6">
        <v>0</v>
      </c>
      <c r="P63" s="6">
        <v>0.75</v>
      </c>
      <c r="Q63" s="6">
        <v>4.8499999999999996</v>
      </c>
    </row>
    <row r="64" spans="1:17" customFormat="1">
      <c r="A64" s="72">
        <v>45313.583333333336</v>
      </c>
      <c r="B64" s="6">
        <v>6.64</v>
      </c>
      <c r="C64" s="6">
        <v>17.93</v>
      </c>
      <c r="D64" s="6">
        <v>16.04</v>
      </c>
      <c r="E64" s="6">
        <v>6.77</v>
      </c>
      <c r="F64" s="6">
        <v>3.91</v>
      </c>
      <c r="G64" s="6">
        <v>59.25</v>
      </c>
      <c r="H64" s="6">
        <v>32.090000000000003</v>
      </c>
      <c r="I64" s="6">
        <v>7.15</v>
      </c>
      <c r="J64" s="6">
        <v>0.36</v>
      </c>
      <c r="K64" s="6">
        <v>83.08</v>
      </c>
      <c r="L64" s="6">
        <v>25.2</v>
      </c>
      <c r="M64" s="6">
        <v>59.77</v>
      </c>
      <c r="N64" s="6">
        <v>297.89999999999998</v>
      </c>
      <c r="O64" s="6">
        <v>0</v>
      </c>
      <c r="P64" s="6">
        <v>0.75</v>
      </c>
      <c r="Q64" s="6">
        <v>4.84</v>
      </c>
    </row>
    <row r="65" spans="1:17" customFormat="1">
      <c r="A65" s="72">
        <v>45313.59375</v>
      </c>
      <c r="B65" s="6">
        <v>6.5</v>
      </c>
      <c r="C65" s="6">
        <v>17.53</v>
      </c>
      <c r="D65" s="6">
        <v>15.72</v>
      </c>
      <c r="E65" s="6">
        <v>7.44</v>
      </c>
      <c r="F65" s="6">
        <v>4</v>
      </c>
      <c r="G65" s="6">
        <v>59.25</v>
      </c>
      <c r="H65" s="6">
        <v>32.090000000000003</v>
      </c>
      <c r="I65" s="6">
        <v>7.1</v>
      </c>
      <c r="J65" s="6">
        <v>0.62</v>
      </c>
      <c r="K65" s="6">
        <v>68.650000000000006</v>
      </c>
      <c r="L65" s="6">
        <v>25.27</v>
      </c>
      <c r="M65" s="6">
        <v>59.57</v>
      </c>
      <c r="N65" s="6">
        <v>289.2</v>
      </c>
      <c r="O65" s="6">
        <v>0</v>
      </c>
      <c r="P65" s="6">
        <v>0.73</v>
      </c>
      <c r="Q65" s="6">
        <v>4.84</v>
      </c>
    </row>
    <row r="66" spans="1:17" customFormat="1">
      <c r="A66" s="72">
        <v>45313.604166666664</v>
      </c>
      <c r="B66" s="6">
        <v>6.21</v>
      </c>
      <c r="C66" s="6">
        <v>17.190000000000001</v>
      </c>
      <c r="D66" s="6">
        <v>15.31</v>
      </c>
      <c r="E66" s="6">
        <v>7.23</v>
      </c>
      <c r="F66" s="6">
        <v>3.76</v>
      </c>
      <c r="G66" s="6">
        <v>62.75</v>
      </c>
      <c r="H66" s="6">
        <v>35.11</v>
      </c>
      <c r="I66" s="6">
        <v>7.06</v>
      </c>
      <c r="J66" s="6">
        <v>0.3</v>
      </c>
      <c r="K66" s="6">
        <v>122.47</v>
      </c>
      <c r="L66" s="6">
        <v>25.44</v>
      </c>
      <c r="M66" s="6">
        <v>58.62</v>
      </c>
      <c r="N66" s="6">
        <v>219.5</v>
      </c>
      <c r="O66" s="6">
        <v>0</v>
      </c>
      <c r="P66" s="6">
        <v>0.74</v>
      </c>
      <c r="Q66" s="6">
        <v>4.8499999999999996</v>
      </c>
    </row>
    <row r="67" spans="1:17" customFormat="1">
      <c r="A67" s="72">
        <v>45313.614583333336</v>
      </c>
      <c r="B67" s="6">
        <v>5.9</v>
      </c>
      <c r="C67" s="6">
        <v>16.86</v>
      </c>
      <c r="D67" s="6">
        <v>14.89</v>
      </c>
      <c r="E67" s="6">
        <v>7.14</v>
      </c>
      <c r="F67" s="6">
        <v>3.8</v>
      </c>
      <c r="G67" s="6">
        <v>63.19</v>
      </c>
      <c r="H67" s="6">
        <v>35.11</v>
      </c>
      <c r="I67" s="6">
        <v>7.03</v>
      </c>
      <c r="J67" s="6">
        <v>0.53</v>
      </c>
      <c r="K67" s="6">
        <v>60.17</v>
      </c>
      <c r="L67" s="6">
        <v>25.47</v>
      </c>
      <c r="M67" s="6">
        <v>58.01</v>
      </c>
      <c r="N67" s="6">
        <v>159.69999999999999</v>
      </c>
      <c r="O67" s="6">
        <v>0</v>
      </c>
      <c r="P67" s="6">
        <v>0.74</v>
      </c>
      <c r="Q67" s="6">
        <v>4.8600000000000003</v>
      </c>
    </row>
    <row r="68" spans="1:17" customFormat="1">
      <c r="A68" s="72">
        <v>45313.625</v>
      </c>
      <c r="B68" s="6">
        <v>5.73</v>
      </c>
      <c r="C68" s="6">
        <v>16.54</v>
      </c>
      <c r="D68" s="6">
        <v>14.59</v>
      </c>
      <c r="E68" s="6">
        <v>7.02</v>
      </c>
      <c r="F68" s="6">
        <v>3.98</v>
      </c>
      <c r="G68" s="6">
        <v>63.19</v>
      </c>
      <c r="H68" s="6">
        <v>35.11</v>
      </c>
      <c r="I68" s="6">
        <v>6.98</v>
      </c>
      <c r="J68" s="6">
        <v>0.28000000000000003</v>
      </c>
      <c r="K68" s="6">
        <v>113.7</v>
      </c>
      <c r="L68" s="6">
        <v>25.31</v>
      </c>
      <c r="M68" s="6">
        <v>58.67</v>
      </c>
      <c r="N68" s="6">
        <v>148.6</v>
      </c>
      <c r="O68" s="6">
        <v>0</v>
      </c>
      <c r="P68" s="6">
        <v>0.73</v>
      </c>
      <c r="Q68" s="6">
        <v>4.87</v>
      </c>
    </row>
    <row r="69" spans="1:17" customFormat="1">
      <c r="A69" s="72">
        <v>45313.635416666664</v>
      </c>
      <c r="B69" s="6">
        <v>5.61</v>
      </c>
      <c r="C69" s="6">
        <v>16.11</v>
      </c>
      <c r="D69" s="6">
        <v>14.27</v>
      </c>
      <c r="E69" s="6">
        <v>6.82</v>
      </c>
      <c r="F69" s="6">
        <v>4.08</v>
      </c>
      <c r="G69" s="6">
        <v>63.19</v>
      </c>
      <c r="H69" s="6">
        <v>35.11</v>
      </c>
      <c r="I69" s="6">
        <v>6.96</v>
      </c>
      <c r="J69" s="6">
        <v>0.1</v>
      </c>
      <c r="K69" s="6">
        <v>149.05000000000001</v>
      </c>
      <c r="L69" s="6">
        <v>25.42</v>
      </c>
      <c r="M69" s="6">
        <v>58.63</v>
      </c>
      <c r="N69" s="6">
        <v>159.19999999999999</v>
      </c>
      <c r="O69" s="6">
        <v>0</v>
      </c>
      <c r="P69" s="6">
        <v>0.73</v>
      </c>
      <c r="Q69" s="6">
        <v>4.9000000000000004</v>
      </c>
    </row>
    <row r="70" spans="1:17" customFormat="1">
      <c r="A70" s="72">
        <v>45313.645833333336</v>
      </c>
      <c r="B70" s="6">
        <v>5.61</v>
      </c>
      <c r="C70" s="6">
        <v>16.63</v>
      </c>
      <c r="D70" s="6">
        <v>14.54</v>
      </c>
      <c r="E70" s="6">
        <v>6.4</v>
      </c>
      <c r="F70" s="6">
        <v>3.86</v>
      </c>
      <c r="G70" s="6">
        <v>58.59</v>
      </c>
      <c r="H70" s="6">
        <v>33.520000000000003</v>
      </c>
      <c r="I70" s="6">
        <v>6.92</v>
      </c>
      <c r="J70" s="6">
        <v>0.13</v>
      </c>
      <c r="K70" s="6">
        <v>146.61000000000001</v>
      </c>
      <c r="L70" s="6">
        <v>25.35</v>
      </c>
      <c r="M70" s="6">
        <v>59.22</v>
      </c>
      <c r="N70" s="6">
        <v>132</v>
      </c>
      <c r="O70" s="6">
        <v>0</v>
      </c>
      <c r="P70" s="6">
        <v>0.73</v>
      </c>
      <c r="Q70" s="6">
        <v>4.91</v>
      </c>
    </row>
    <row r="71" spans="1:17" customFormat="1">
      <c r="A71" s="72">
        <v>45313.65625</v>
      </c>
      <c r="B71" s="6">
        <v>5.49</v>
      </c>
      <c r="C71" s="6">
        <v>16.739999999999998</v>
      </c>
      <c r="D71" s="6">
        <v>14.5</v>
      </c>
      <c r="E71" s="6">
        <v>6.98</v>
      </c>
      <c r="F71" s="6">
        <v>3.72</v>
      </c>
      <c r="G71" s="6">
        <v>58.02</v>
      </c>
      <c r="H71" s="6">
        <v>33.520000000000003</v>
      </c>
      <c r="I71" s="6">
        <v>6.89</v>
      </c>
      <c r="J71" s="6">
        <v>0.34</v>
      </c>
      <c r="K71" s="6">
        <v>80.260000000000005</v>
      </c>
      <c r="L71" s="6">
        <v>25.35</v>
      </c>
      <c r="M71" s="6">
        <v>59.57</v>
      </c>
      <c r="N71" s="6">
        <v>124.9</v>
      </c>
      <c r="O71" s="6">
        <v>0</v>
      </c>
      <c r="P71" s="6">
        <v>0.73</v>
      </c>
      <c r="Q71" s="6">
        <v>4.93</v>
      </c>
    </row>
    <row r="72" spans="1:17" customFormat="1">
      <c r="A72" s="72">
        <v>45313.666666666664</v>
      </c>
      <c r="B72" s="6">
        <v>5.48</v>
      </c>
      <c r="C72" s="6">
        <v>15.95</v>
      </c>
      <c r="D72" s="6">
        <v>14.08</v>
      </c>
      <c r="E72" s="6">
        <v>7.09</v>
      </c>
      <c r="F72" s="6">
        <v>3.74</v>
      </c>
      <c r="G72" s="6">
        <v>58.02</v>
      </c>
      <c r="H72" s="6">
        <v>33.520000000000003</v>
      </c>
      <c r="I72" s="6">
        <v>6.88</v>
      </c>
      <c r="J72" s="6">
        <v>0.38</v>
      </c>
      <c r="K72" s="6">
        <v>67.02</v>
      </c>
      <c r="L72" s="6">
        <v>25.16</v>
      </c>
      <c r="M72" s="6">
        <v>59.33</v>
      </c>
      <c r="N72" s="6">
        <v>99.8</v>
      </c>
      <c r="O72" s="6">
        <v>0</v>
      </c>
      <c r="P72" s="6">
        <v>0.73</v>
      </c>
      <c r="Q72" s="6">
        <v>4.87</v>
      </c>
    </row>
    <row r="73" spans="1:17" customFormat="1">
      <c r="A73" s="72">
        <v>45313.677083333336</v>
      </c>
      <c r="B73" s="6">
        <v>5.52</v>
      </c>
      <c r="C73" s="6">
        <v>15.91</v>
      </c>
      <c r="D73" s="6">
        <v>14.09</v>
      </c>
      <c r="E73" s="6">
        <v>6.94</v>
      </c>
      <c r="F73" s="6">
        <v>3.77</v>
      </c>
      <c r="G73" s="6">
        <v>58.02</v>
      </c>
      <c r="H73" s="6">
        <v>33.520000000000003</v>
      </c>
      <c r="I73" s="6">
        <v>6.89</v>
      </c>
      <c r="J73" s="6">
        <v>0.53</v>
      </c>
      <c r="K73" s="6">
        <v>77.77</v>
      </c>
      <c r="L73" s="6">
        <v>24.93</v>
      </c>
      <c r="M73" s="6">
        <v>60.69</v>
      </c>
      <c r="N73" s="6">
        <v>75.599999999999994</v>
      </c>
      <c r="O73" s="6">
        <v>0</v>
      </c>
      <c r="P73" s="6">
        <v>0.74</v>
      </c>
      <c r="Q73" s="6">
        <v>4.8499999999999996</v>
      </c>
    </row>
    <row r="74" spans="1:17" customFormat="1">
      <c r="A74" s="72">
        <v>45313.6875</v>
      </c>
      <c r="B74" s="6">
        <v>5.56</v>
      </c>
      <c r="C74" s="6">
        <v>16.329999999999998</v>
      </c>
      <c r="D74" s="6">
        <v>14.34</v>
      </c>
      <c r="E74" s="6">
        <v>6.71</v>
      </c>
      <c r="F74" s="6">
        <v>3.45</v>
      </c>
      <c r="G74" s="6">
        <v>60.99</v>
      </c>
      <c r="H74" s="6">
        <v>33.79</v>
      </c>
      <c r="I74" s="6">
        <v>6.85</v>
      </c>
      <c r="J74" s="6">
        <v>0.45</v>
      </c>
      <c r="K74" s="6">
        <v>77.78</v>
      </c>
      <c r="L74" s="6">
        <v>24.76</v>
      </c>
      <c r="M74" s="6">
        <v>60.79</v>
      </c>
      <c r="N74" s="6">
        <v>57.9</v>
      </c>
      <c r="O74" s="6">
        <v>0</v>
      </c>
      <c r="P74" s="6">
        <v>0.74</v>
      </c>
      <c r="Q74" s="6">
        <v>4.87</v>
      </c>
    </row>
    <row r="75" spans="1:17" customFormat="1">
      <c r="A75" s="72">
        <v>45313.697916666664</v>
      </c>
      <c r="B75" s="6">
        <v>5.7</v>
      </c>
      <c r="C75" s="6">
        <v>16.600000000000001</v>
      </c>
      <c r="D75" s="6">
        <v>14.59</v>
      </c>
      <c r="E75" s="6">
        <v>6.53</v>
      </c>
      <c r="F75" s="6">
        <v>3.54</v>
      </c>
      <c r="G75" s="6">
        <v>61.36</v>
      </c>
      <c r="H75" s="6">
        <v>33.79</v>
      </c>
      <c r="I75" s="6">
        <v>6.82</v>
      </c>
      <c r="J75" s="6">
        <v>0.44</v>
      </c>
      <c r="K75" s="6">
        <v>70.709999999999994</v>
      </c>
      <c r="L75" s="6">
        <v>24.63</v>
      </c>
      <c r="M75" s="6">
        <v>61.58</v>
      </c>
      <c r="N75" s="6">
        <v>44.6</v>
      </c>
      <c r="O75" s="6">
        <v>0</v>
      </c>
      <c r="P75" s="6">
        <v>0.74</v>
      </c>
      <c r="Q75" s="6">
        <v>4.87</v>
      </c>
    </row>
    <row r="76" spans="1:17" customFormat="1">
      <c r="A76" s="72">
        <v>45313.708333333336</v>
      </c>
      <c r="B76" s="6">
        <v>5.83</v>
      </c>
      <c r="C76" s="6">
        <v>16.82</v>
      </c>
      <c r="D76" s="6">
        <v>14.81</v>
      </c>
      <c r="E76" s="6">
        <v>7.19</v>
      </c>
      <c r="F76" s="6">
        <v>3.84</v>
      </c>
      <c r="G76" s="6">
        <v>61.36</v>
      </c>
      <c r="H76" s="6">
        <v>33.79</v>
      </c>
      <c r="I76" s="6">
        <v>6.8</v>
      </c>
      <c r="J76" s="6">
        <v>0.39</v>
      </c>
      <c r="K76" s="6">
        <v>81.31</v>
      </c>
      <c r="L76" s="6">
        <v>24.32</v>
      </c>
      <c r="M76" s="6">
        <v>62.1</v>
      </c>
      <c r="N76" s="6">
        <v>22.2</v>
      </c>
      <c r="O76" s="6">
        <v>0</v>
      </c>
      <c r="P76" s="6">
        <v>0.75</v>
      </c>
      <c r="Q76" s="6">
        <v>4.87</v>
      </c>
    </row>
    <row r="77" spans="1:17" customFormat="1">
      <c r="A77" s="72">
        <v>45313.71875</v>
      </c>
      <c r="B77" s="6">
        <v>5.66</v>
      </c>
      <c r="C77" s="6">
        <v>17.43</v>
      </c>
      <c r="D77" s="6">
        <v>15</v>
      </c>
      <c r="E77" s="6">
        <v>7.47</v>
      </c>
      <c r="F77" s="6">
        <v>3.88</v>
      </c>
      <c r="G77" s="6">
        <v>61.36</v>
      </c>
      <c r="H77" s="6">
        <v>33.79</v>
      </c>
      <c r="I77" s="6">
        <v>6.81</v>
      </c>
      <c r="J77" s="6">
        <v>0.38</v>
      </c>
      <c r="K77" s="6">
        <v>87.5</v>
      </c>
      <c r="L77" s="6">
        <v>24.19</v>
      </c>
      <c r="M77" s="6">
        <v>63.27</v>
      </c>
      <c r="N77" s="6">
        <v>9.4</v>
      </c>
      <c r="O77" s="6">
        <v>0</v>
      </c>
      <c r="P77" s="6">
        <v>0.74</v>
      </c>
      <c r="Q77" s="6">
        <v>4.87</v>
      </c>
    </row>
    <row r="78" spans="1:17" customFormat="1">
      <c r="A78" s="72">
        <v>45313.729166666664</v>
      </c>
      <c r="B78" s="6">
        <v>5.27</v>
      </c>
      <c r="C78" s="6">
        <v>18.47</v>
      </c>
      <c r="D78" s="6">
        <v>15.23</v>
      </c>
      <c r="E78" s="6">
        <v>7.46</v>
      </c>
      <c r="F78" s="6">
        <v>4.03</v>
      </c>
      <c r="G78" s="6">
        <v>60.6</v>
      </c>
      <c r="H78" s="6">
        <v>34.14</v>
      </c>
      <c r="I78" s="6">
        <v>6.78</v>
      </c>
      <c r="J78" s="6">
        <v>0.28000000000000003</v>
      </c>
      <c r="K78" s="6">
        <v>80.959999999999994</v>
      </c>
      <c r="L78" s="6">
        <v>23.79</v>
      </c>
      <c r="M78" s="6">
        <v>65.34</v>
      </c>
      <c r="N78" s="6">
        <v>0</v>
      </c>
      <c r="O78" s="6">
        <v>0</v>
      </c>
      <c r="P78" s="6">
        <v>0.75</v>
      </c>
      <c r="Q78" s="6">
        <v>4.8600000000000003</v>
      </c>
    </row>
    <row r="79" spans="1:17" customFormat="1">
      <c r="A79" s="72">
        <v>45313.739583333336</v>
      </c>
      <c r="B79" s="6">
        <v>5.28</v>
      </c>
      <c r="C79" s="6">
        <v>19.07</v>
      </c>
      <c r="D79" s="6">
        <v>15.54</v>
      </c>
      <c r="E79" s="6">
        <v>7.62</v>
      </c>
      <c r="F79" s="6">
        <v>3.83</v>
      </c>
      <c r="G79" s="6">
        <v>60.51</v>
      </c>
      <c r="H79" s="6">
        <v>34.14</v>
      </c>
      <c r="I79" s="6">
        <v>6.74</v>
      </c>
      <c r="J79" s="6">
        <v>0.56000000000000005</v>
      </c>
      <c r="K79" s="6">
        <v>66.260000000000005</v>
      </c>
      <c r="L79" s="6">
        <v>23.45</v>
      </c>
      <c r="M79" s="6">
        <v>66.48</v>
      </c>
      <c r="N79" s="6">
        <v>0</v>
      </c>
      <c r="O79" s="6">
        <v>0</v>
      </c>
      <c r="P79" s="6">
        <v>0.76</v>
      </c>
      <c r="Q79" s="6">
        <v>4.8600000000000003</v>
      </c>
    </row>
    <row r="80" spans="1:17" customFormat="1">
      <c r="A80" s="72">
        <v>45313.75</v>
      </c>
      <c r="B80" s="6">
        <v>5.54</v>
      </c>
      <c r="C80" s="6">
        <v>20.100000000000001</v>
      </c>
      <c r="D80" s="6">
        <v>16.3</v>
      </c>
      <c r="E80" s="6">
        <v>7.89</v>
      </c>
      <c r="F80" s="6">
        <v>3.89</v>
      </c>
      <c r="G80" s="6">
        <v>60.51</v>
      </c>
      <c r="H80" s="6">
        <v>34.14</v>
      </c>
      <c r="I80" s="6">
        <v>6.76</v>
      </c>
      <c r="J80" s="6">
        <v>0.26</v>
      </c>
      <c r="K80" s="6">
        <v>75.19</v>
      </c>
      <c r="L80" s="6">
        <v>23.2</v>
      </c>
      <c r="M80" s="6">
        <v>67.92</v>
      </c>
      <c r="N80" s="6">
        <v>0</v>
      </c>
      <c r="O80" s="6">
        <v>0</v>
      </c>
      <c r="P80" s="6">
        <v>0.77</v>
      </c>
      <c r="Q80" s="6">
        <v>4.8600000000000003</v>
      </c>
    </row>
    <row r="81" spans="1:17" customFormat="1">
      <c r="A81" s="72">
        <v>45313.760416666664</v>
      </c>
      <c r="B81" s="6">
        <v>5.81</v>
      </c>
      <c r="C81" s="6">
        <v>20.94</v>
      </c>
      <c r="D81" s="6">
        <v>16.95</v>
      </c>
      <c r="E81" s="6">
        <v>6.4</v>
      </c>
      <c r="F81" s="6">
        <v>3.59</v>
      </c>
      <c r="G81" s="6">
        <v>60.51</v>
      </c>
      <c r="H81" s="6">
        <v>34.14</v>
      </c>
      <c r="I81" s="6">
        <v>6.81</v>
      </c>
      <c r="J81" s="6">
        <v>0.25</v>
      </c>
      <c r="K81" s="6">
        <v>172.64</v>
      </c>
      <c r="L81" s="6">
        <v>22.66</v>
      </c>
      <c r="M81" s="6">
        <v>73.88</v>
      </c>
      <c r="N81" s="6">
        <v>0</v>
      </c>
      <c r="O81" s="6">
        <v>0</v>
      </c>
      <c r="P81" s="6">
        <v>0.78</v>
      </c>
      <c r="Q81" s="6">
        <v>4.88</v>
      </c>
    </row>
    <row r="82" spans="1:17" customFormat="1">
      <c r="A82" s="72">
        <v>45313.770833333336</v>
      </c>
      <c r="B82" s="6">
        <v>5.9</v>
      </c>
      <c r="C82" s="6">
        <v>21.51</v>
      </c>
      <c r="D82" s="6">
        <v>17.329999999999998</v>
      </c>
      <c r="E82" s="6">
        <v>7</v>
      </c>
      <c r="F82" s="6">
        <v>3.19</v>
      </c>
      <c r="G82" s="6">
        <v>69.709999999999994</v>
      </c>
      <c r="H82" s="6">
        <v>38.08</v>
      </c>
      <c r="I82" s="6">
        <v>6.9</v>
      </c>
      <c r="J82" s="6">
        <v>0.23</v>
      </c>
      <c r="K82" s="6">
        <v>91.42</v>
      </c>
      <c r="L82" s="6">
        <v>22.16</v>
      </c>
      <c r="M82" s="6">
        <v>74.569999999999993</v>
      </c>
      <c r="N82" s="6">
        <v>0</v>
      </c>
      <c r="O82" s="6">
        <v>0</v>
      </c>
      <c r="P82" s="6">
        <v>0.8</v>
      </c>
      <c r="Q82" s="6">
        <v>4.88</v>
      </c>
    </row>
    <row r="83" spans="1:17" customFormat="1">
      <c r="A83" s="72">
        <v>45313.78125</v>
      </c>
      <c r="B83" s="6">
        <v>6.27</v>
      </c>
      <c r="C83" s="6">
        <v>22.38</v>
      </c>
      <c r="D83" s="6">
        <v>18.07</v>
      </c>
      <c r="E83" s="6">
        <v>7.18</v>
      </c>
      <c r="F83" s="6">
        <v>3.21</v>
      </c>
      <c r="G83" s="6">
        <v>70.86</v>
      </c>
      <c r="H83" s="6">
        <v>38.08</v>
      </c>
      <c r="I83" s="6">
        <v>7</v>
      </c>
      <c r="J83" s="6">
        <v>0.71</v>
      </c>
      <c r="K83" s="6">
        <v>57.68</v>
      </c>
      <c r="L83" s="6">
        <v>22.45</v>
      </c>
      <c r="M83" s="6">
        <v>67.180000000000007</v>
      </c>
      <c r="N83" s="6">
        <v>0</v>
      </c>
      <c r="O83" s="6">
        <v>0</v>
      </c>
      <c r="P83" s="6">
        <v>0.82</v>
      </c>
      <c r="Q83" s="6">
        <v>4.87</v>
      </c>
    </row>
    <row r="84" spans="1:17" customFormat="1">
      <c r="A84" s="72">
        <v>45313.791666666664</v>
      </c>
      <c r="B84" s="6">
        <v>6.8</v>
      </c>
      <c r="C84" s="6">
        <v>23.73</v>
      </c>
      <c r="D84" s="6">
        <v>19.21</v>
      </c>
      <c r="E84" s="6">
        <v>7.39</v>
      </c>
      <c r="F84" s="6">
        <v>3.37</v>
      </c>
      <c r="G84" s="6">
        <v>70.86</v>
      </c>
      <c r="H84" s="6">
        <v>38.08</v>
      </c>
      <c r="I84" s="6">
        <v>7.15</v>
      </c>
      <c r="J84" s="6">
        <v>0.52</v>
      </c>
      <c r="K84" s="6">
        <v>50.82</v>
      </c>
      <c r="L84" s="6">
        <v>22.41</v>
      </c>
      <c r="M84" s="6">
        <v>67.08</v>
      </c>
      <c r="N84" s="6">
        <v>0</v>
      </c>
      <c r="O84" s="6">
        <v>0</v>
      </c>
      <c r="P84" s="6">
        <v>0.85</v>
      </c>
      <c r="Q84" s="6">
        <v>4.8600000000000003</v>
      </c>
    </row>
    <row r="85" spans="1:17" customFormat="1">
      <c r="A85" s="72">
        <v>45313.802083333336</v>
      </c>
      <c r="B85" s="6">
        <v>7.6</v>
      </c>
      <c r="C85" s="6">
        <v>24.75</v>
      </c>
      <c r="D85" s="6">
        <v>20.38</v>
      </c>
      <c r="E85" s="6">
        <v>7.29</v>
      </c>
      <c r="F85" s="6">
        <v>3.39</v>
      </c>
      <c r="G85" s="6">
        <v>70.86</v>
      </c>
      <c r="H85" s="6">
        <v>38.08</v>
      </c>
      <c r="I85" s="6">
        <v>7.34</v>
      </c>
      <c r="J85" s="6">
        <v>0.48</v>
      </c>
      <c r="K85" s="6">
        <v>69.69</v>
      </c>
      <c r="L85" s="6">
        <v>22.24</v>
      </c>
      <c r="M85" s="6">
        <v>68.23</v>
      </c>
      <c r="N85" s="6">
        <v>0</v>
      </c>
      <c r="O85" s="6">
        <v>0</v>
      </c>
      <c r="P85" s="6">
        <v>0.87</v>
      </c>
      <c r="Q85" s="6">
        <v>4.8600000000000003</v>
      </c>
    </row>
    <row r="86" spans="1:17" customFormat="1">
      <c r="A86" s="72">
        <v>45313.8125</v>
      </c>
      <c r="B86" s="6">
        <v>7.92</v>
      </c>
      <c r="C86" s="6">
        <v>25.27</v>
      </c>
      <c r="D86" s="6">
        <v>20.9</v>
      </c>
      <c r="E86" s="6">
        <v>7.2</v>
      </c>
      <c r="F86" s="6">
        <v>3.22</v>
      </c>
      <c r="G86" s="6">
        <v>82.1</v>
      </c>
      <c r="H86" s="6">
        <v>41.76</v>
      </c>
      <c r="I86" s="6">
        <v>7.51</v>
      </c>
      <c r="J86" s="6">
        <v>0.57999999999999996</v>
      </c>
      <c r="K86" s="6">
        <v>69</v>
      </c>
      <c r="L86" s="6">
        <v>21.94</v>
      </c>
      <c r="M86" s="6">
        <v>68.3</v>
      </c>
      <c r="N86" s="6">
        <v>0</v>
      </c>
      <c r="O86" s="6">
        <v>0</v>
      </c>
      <c r="P86" s="6">
        <v>0.88</v>
      </c>
      <c r="Q86" s="6">
        <v>4.87</v>
      </c>
    </row>
    <row r="87" spans="1:17" customFormat="1">
      <c r="A87" s="72">
        <v>45313.822916666664</v>
      </c>
      <c r="B87" s="6">
        <v>7.79</v>
      </c>
      <c r="C87" s="6">
        <v>25.62</v>
      </c>
      <c r="D87" s="6">
        <v>20.99</v>
      </c>
      <c r="E87" s="6">
        <v>7.4</v>
      </c>
      <c r="F87" s="6">
        <v>3.23</v>
      </c>
      <c r="G87" s="6">
        <v>83.51</v>
      </c>
      <c r="H87" s="6">
        <v>41.76</v>
      </c>
      <c r="I87" s="6">
        <v>7.64</v>
      </c>
      <c r="J87" s="6">
        <v>0.6</v>
      </c>
      <c r="K87" s="6">
        <v>66.180000000000007</v>
      </c>
      <c r="L87" s="6">
        <v>22.05</v>
      </c>
      <c r="M87" s="6">
        <v>68.37</v>
      </c>
      <c r="N87" s="6">
        <v>0</v>
      </c>
      <c r="O87" s="6">
        <v>0</v>
      </c>
      <c r="P87" s="6">
        <v>0.89</v>
      </c>
      <c r="Q87" s="6">
        <v>4.8600000000000003</v>
      </c>
    </row>
    <row r="88" spans="1:17" customFormat="1">
      <c r="A88" s="72">
        <v>45313.833333333336</v>
      </c>
      <c r="B88" s="6">
        <v>8.01</v>
      </c>
      <c r="C88" s="6">
        <v>26.26</v>
      </c>
      <c r="D88" s="6">
        <v>21.49</v>
      </c>
      <c r="E88" s="6">
        <v>7.19</v>
      </c>
      <c r="F88" s="6">
        <v>3.24</v>
      </c>
      <c r="G88" s="6">
        <v>83.51</v>
      </c>
      <c r="H88" s="6">
        <v>41.76</v>
      </c>
      <c r="I88" s="6">
        <v>7.72</v>
      </c>
      <c r="J88" s="6">
        <v>0.39</v>
      </c>
      <c r="K88" s="6">
        <v>73.95</v>
      </c>
      <c r="L88" s="6">
        <v>21.93</v>
      </c>
      <c r="M88" s="6">
        <v>69.87</v>
      </c>
      <c r="N88" s="6">
        <v>0</v>
      </c>
      <c r="O88" s="6">
        <v>0</v>
      </c>
      <c r="P88" s="6">
        <v>0.9</v>
      </c>
      <c r="Q88" s="6">
        <v>4.8600000000000003</v>
      </c>
    </row>
    <row r="89" spans="1:17" customFormat="1">
      <c r="A89" s="72">
        <v>45313.84375</v>
      </c>
      <c r="B89" s="6">
        <v>8.67</v>
      </c>
      <c r="C89" s="6">
        <v>26.78</v>
      </c>
      <c r="D89" s="6">
        <v>22.3</v>
      </c>
      <c r="E89" s="6">
        <v>7.24</v>
      </c>
      <c r="F89" s="6">
        <v>3.2</v>
      </c>
      <c r="G89" s="6">
        <v>83.51</v>
      </c>
      <c r="H89" s="6">
        <v>41.76</v>
      </c>
      <c r="I89" s="6">
        <v>7.81</v>
      </c>
      <c r="J89" s="6">
        <v>0.68</v>
      </c>
      <c r="K89" s="6">
        <v>64.430000000000007</v>
      </c>
      <c r="L89" s="6">
        <v>21.79</v>
      </c>
      <c r="M89" s="6">
        <v>69.239999999999995</v>
      </c>
      <c r="N89" s="6">
        <v>0</v>
      </c>
      <c r="O89" s="6">
        <v>0</v>
      </c>
      <c r="P89" s="6">
        <v>0.92</v>
      </c>
      <c r="Q89" s="6">
        <v>4.8499999999999996</v>
      </c>
    </row>
    <row r="90" spans="1:17" customFormat="1">
      <c r="A90" s="72">
        <v>45313.854166666664</v>
      </c>
      <c r="B90" s="6">
        <v>9.14</v>
      </c>
      <c r="C90" s="6">
        <v>27.64</v>
      </c>
      <c r="D90" s="6">
        <v>23.12</v>
      </c>
      <c r="E90" s="6">
        <v>7.32</v>
      </c>
      <c r="F90" s="6">
        <v>3.35</v>
      </c>
      <c r="G90" s="6">
        <v>103.75</v>
      </c>
      <c r="H90" s="6">
        <v>51.16</v>
      </c>
      <c r="I90" s="6">
        <v>7.93</v>
      </c>
      <c r="J90" s="6">
        <v>0.81</v>
      </c>
      <c r="K90" s="6">
        <v>68.67</v>
      </c>
      <c r="L90" s="6">
        <v>21.71</v>
      </c>
      <c r="M90" s="6">
        <v>68.53</v>
      </c>
      <c r="N90" s="6">
        <v>0</v>
      </c>
      <c r="O90" s="6">
        <v>0</v>
      </c>
      <c r="P90" s="6">
        <v>0.94</v>
      </c>
      <c r="Q90" s="6">
        <v>4.88</v>
      </c>
    </row>
    <row r="91" spans="1:17" customFormat="1">
      <c r="A91" s="72">
        <v>45313.864583333336</v>
      </c>
      <c r="B91" s="6">
        <v>9.0399999999999991</v>
      </c>
      <c r="C91" s="6">
        <v>27.52</v>
      </c>
      <c r="D91" s="6">
        <v>22.98</v>
      </c>
      <c r="E91" s="6">
        <v>7.12</v>
      </c>
      <c r="F91" s="6">
        <v>3.47</v>
      </c>
      <c r="G91" s="6">
        <v>106.28</v>
      </c>
      <c r="H91" s="6">
        <v>51.16</v>
      </c>
      <c r="I91" s="6">
        <v>8.11</v>
      </c>
      <c r="J91" s="6">
        <v>0.44</v>
      </c>
      <c r="K91" s="6">
        <v>78.3</v>
      </c>
      <c r="L91" s="6">
        <v>21.61</v>
      </c>
      <c r="M91" s="6">
        <v>68.84</v>
      </c>
      <c r="N91" s="6">
        <v>0</v>
      </c>
      <c r="O91" s="6">
        <v>0</v>
      </c>
      <c r="P91" s="6">
        <v>0.94</v>
      </c>
      <c r="Q91" s="6">
        <v>4.87</v>
      </c>
    </row>
    <row r="92" spans="1:17" customFormat="1">
      <c r="A92" s="72">
        <v>45313.875</v>
      </c>
      <c r="B92" s="6">
        <v>8.61</v>
      </c>
      <c r="C92" s="6">
        <v>27.36</v>
      </c>
      <c r="D92" s="6">
        <v>22.55</v>
      </c>
      <c r="E92" s="6">
        <v>7.37</v>
      </c>
      <c r="F92" s="6">
        <v>3.53</v>
      </c>
      <c r="G92" s="6">
        <v>106.28</v>
      </c>
      <c r="H92" s="6">
        <v>51.16</v>
      </c>
      <c r="I92" s="6">
        <v>8.25</v>
      </c>
      <c r="J92" s="6">
        <v>0.4</v>
      </c>
      <c r="K92" s="6">
        <v>76.930000000000007</v>
      </c>
      <c r="L92" s="6">
        <v>21.51</v>
      </c>
      <c r="M92" s="6">
        <v>69.430000000000007</v>
      </c>
      <c r="N92" s="6">
        <v>0</v>
      </c>
      <c r="O92" s="6">
        <v>0</v>
      </c>
      <c r="P92" s="6">
        <v>0.94</v>
      </c>
      <c r="Q92" s="6">
        <v>4.83</v>
      </c>
    </row>
    <row r="93" spans="1:17" customFormat="1">
      <c r="A93" s="72">
        <v>45313.885416666664</v>
      </c>
      <c r="B93" s="6">
        <v>8.3000000000000007</v>
      </c>
      <c r="C93" s="6">
        <v>27.19</v>
      </c>
      <c r="D93" s="6">
        <v>22.22</v>
      </c>
      <c r="E93" s="6">
        <v>7.47</v>
      </c>
      <c r="F93" s="6">
        <v>3.63</v>
      </c>
      <c r="G93" s="6">
        <v>106.28</v>
      </c>
      <c r="H93" s="6">
        <v>51.16</v>
      </c>
      <c r="I93" s="6">
        <v>8.31</v>
      </c>
      <c r="J93" s="6">
        <v>0.55000000000000004</v>
      </c>
      <c r="K93" s="6">
        <v>71.42</v>
      </c>
      <c r="L93" s="6">
        <v>21.42</v>
      </c>
      <c r="M93" s="6">
        <v>69.209999999999994</v>
      </c>
      <c r="N93" s="6">
        <v>0</v>
      </c>
      <c r="O93" s="6">
        <v>0</v>
      </c>
      <c r="P93" s="6">
        <v>0.94</v>
      </c>
      <c r="Q93" s="6">
        <v>4.8099999999999996</v>
      </c>
    </row>
    <row r="94" spans="1:17" customFormat="1">
      <c r="A94" s="72">
        <v>45313.895833333336</v>
      </c>
      <c r="B94" s="6">
        <v>8.01</v>
      </c>
      <c r="C94" s="6">
        <v>27.75</v>
      </c>
      <c r="D94" s="6">
        <v>22.28</v>
      </c>
      <c r="E94" s="6">
        <v>7.63</v>
      </c>
      <c r="F94" s="6">
        <v>3.56</v>
      </c>
      <c r="G94" s="6">
        <v>95.2</v>
      </c>
      <c r="H94" s="6">
        <v>49.79</v>
      </c>
      <c r="I94" s="6">
        <v>8.35</v>
      </c>
      <c r="J94" s="6">
        <v>0.43</v>
      </c>
      <c r="K94" s="6">
        <v>75.45</v>
      </c>
      <c r="L94" s="6">
        <v>21.33</v>
      </c>
      <c r="M94" s="6">
        <v>69.39</v>
      </c>
      <c r="N94" s="6">
        <v>0</v>
      </c>
      <c r="O94" s="6">
        <v>0</v>
      </c>
      <c r="P94" s="6">
        <v>0.94</v>
      </c>
      <c r="Q94" s="6">
        <v>4.8099999999999996</v>
      </c>
    </row>
    <row r="95" spans="1:17" customFormat="1">
      <c r="A95" s="72">
        <v>45313.90625</v>
      </c>
      <c r="B95" s="6">
        <v>7.75</v>
      </c>
      <c r="C95" s="6">
        <v>27.4</v>
      </c>
      <c r="D95" s="6">
        <v>21.88</v>
      </c>
      <c r="E95" s="6">
        <v>7.79</v>
      </c>
      <c r="F95" s="6">
        <v>3.62</v>
      </c>
      <c r="G95" s="6">
        <v>93.96</v>
      </c>
      <c r="H95" s="6">
        <v>49.79</v>
      </c>
      <c r="I95" s="6">
        <v>8.3699999999999992</v>
      </c>
      <c r="J95" s="6">
        <v>0.71</v>
      </c>
      <c r="K95" s="6">
        <v>65.5</v>
      </c>
      <c r="L95" s="6">
        <v>21.2</v>
      </c>
      <c r="M95" s="6">
        <v>69.42</v>
      </c>
      <c r="N95" s="6">
        <v>0</v>
      </c>
      <c r="O95" s="6">
        <v>0</v>
      </c>
      <c r="P95" s="6">
        <v>0.94</v>
      </c>
      <c r="Q95" s="6">
        <v>4.8099999999999996</v>
      </c>
    </row>
    <row r="96" spans="1:17" customFormat="1">
      <c r="A96" s="72">
        <v>45313.916666666664</v>
      </c>
      <c r="B96" s="6">
        <v>7.45</v>
      </c>
      <c r="C96" s="6">
        <v>27.23</v>
      </c>
      <c r="D96" s="6">
        <v>21.55</v>
      </c>
      <c r="E96" s="6">
        <v>7.88</v>
      </c>
      <c r="F96" s="6">
        <v>3.6</v>
      </c>
      <c r="G96" s="6">
        <v>93.96</v>
      </c>
      <c r="H96" s="6">
        <v>49.79</v>
      </c>
      <c r="I96" s="6">
        <v>8.3699999999999992</v>
      </c>
      <c r="J96" s="6">
        <v>0.47</v>
      </c>
      <c r="K96" s="6">
        <v>71.92</v>
      </c>
      <c r="L96" s="6">
        <v>21.18</v>
      </c>
      <c r="M96" s="6">
        <v>69.05</v>
      </c>
      <c r="N96" s="6">
        <v>0</v>
      </c>
      <c r="O96" s="6">
        <v>0</v>
      </c>
      <c r="P96" s="6">
        <v>0.94</v>
      </c>
      <c r="Q96" s="6">
        <v>4.8099999999999996</v>
      </c>
    </row>
    <row r="97" spans="1:22" customFormat="1">
      <c r="A97" s="72">
        <v>45313.927083333336</v>
      </c>
      <c r="B97" s="6">
        <v>7.24</v>
      </c>
      <c r="C97" s="6">
        <v>27.16</v>
      </c>
      <c r="D97" s="6">
        <v>21.34</v>
      </c>
      <c r="E97" s="6">
        <v>7.28</v>
      </c>
      <c r="F97" s="6">
        <v>3.76</v>
      </c>
      <c r="G97" s="6">
        <v>93.96</v>
      </c>
      <c r="H97" s="6">
        <v>49.79</v>
      </c>
      <c r="I97" s="6">
        <v>8.42</v>
      </c>
      <c r="J97" s="6">
        <v>0.56000000000000005</v>
      </c>
      <c r="K97" s="6">
        <v>55.09</v>
      </c>
      <c r="L97" s="6">
        <v>21.17</v>
      </c>
      <c r="M97" s="6">
        <v>69.02</v>
      </c>
      <c r="N97" s="6">
        <v>0</v>
      </c>
      <c r="O97" s="6">
        <v>0</v>
      </c>
      <c r="P97" s="6">
        <v>0.94</v>
      </c>
      <c r="Q97" s="6">
        <v>4.79</v>
      </c>
    </row>
    <row r="98" spans="1:22" customFormat="1">
      <c r="A98" s="72">
        <v>45313.9375</v>
      </c>
      <c r="B98" s="6">
        <v>7.26</v>
      </c>
      <c r="C98" s="6">
        <v>24.82</v>
      </c>
      <c r="D98" s="6">
        <v>20.149999999999999</v>
      </c>
      <c r="E98" s="6">
        <v>7.24</v>
      </c>
      <c r="F98" s="6">
        <v>3.77</v>
      </c>
      <c r="G98" s="6">
        <v>86.38</v>
      </c>
      <c r="H98" s="6">
        <v>49.17</v>
      </c>
      <c r="I98" s="6">
        <v>8.4499999999999993</v>
      </c>
      <c r="J98" s="6">
        <v>0.57999999999999996</v>
      </c>
      <c r="K98" s="6">
        <v>54.15</v>
      </c>
      <c r="L98" s="6">
        <v>21.07</v>
      </c>
      <c r="M98" s="6">
        <v>69.77</v>
      </c>
      <c r="N98" s="6">
        <v>0</v>
      </c>
      <c r="O98" s="6">
        <v>0</v>
      </c>
      <c r="P98" s="6">
        <v>0.93</v>
      </c>
      <c r="Q98" s="6">
        <v>4.8099999999999996</v>
      </c>
    </row>
    <row r="99" spans="1:22" customFormat="1">
      <c r="A99" s="72">
        <v>45313.947916666664</v>
      </c>
      <c r="B99" s="6">
        <v>7.43</v>
      </c>
      <c r="C99" s="6">
        <v>22.52</v>
      </c>
      <c r="D99" s="6">
        <v>19.079999999999998</v>
      </c>
      <c r="E99" s="6">
        <v>6.6</v>
      </c>
      <c r="F99" s="6">
        <v>3.81</v>
      </c>
      <c r="G99" s="6">
        <v>85.54</v>
      </c>
      <c r="H99" s="6">
        <v>49.17</v>
      </c>
      <c r="I99" s="6">
        <v>8.42</v>
      </c>
      <c r="J99" s="6">
        <v>0.92</v>
      </c>
      <c r="K99" s="6">
        <v>65.73</v>
      </c>
      <c r="L99" s="6">
        <v>20.94</v>
      </c>
      <c r="M99" s="6">
        <v>70.319999999999993</v>
      </c>
      <c r="N99" s="6">
        <v>0</v>
      </c>
      <c r="O99" s="6">
        <v>0</v>
      </c>
      <c r="P99" s="6">
        <v>0.91</v>
      </c>
      <c r="Q99" s="6">
        <v>4.79</v>
      </c>
    </row>
    <row r="100" spans="1:22" customFormat="1">
      <c r="A100" s="72">
        <v>45313.958333333336</v>
      </c>
      <c r="B100" s="6">
        <v>7.72</v>
      </c>
      <c r="C100" s="6">
        <v>21.25</v>
      </c>
      <c r="D100" s="6">
        <v>18.64</v>
      </c>
      <c r="E100" s="6">
        <v>6.79</v>
      </c>
      <c r="F100" s="6">
        <v>3.48</v>
      </c>
      <c r="G100" s="6">
        <v>85.54</v>
      </c>
      <c r="H100" s="6">
        <v>49.17</v>
      </c>
      <c r="I100" s="6">
        <v>8.36</v>
      </c>
      <c r="J100" s="6">
        <v>0.4</v>
      </c>
      <c r="K100" s="6">
        <v>47.42</v>
      </c>
      <c r="L100" s="6">
        <v>20.91</v>
      </c>
      <c r="M100" s="6">
        <v>70.73</v>
      </c>
      <c r="N100" s="6">
        <v>0</v>
      </c>
      <c r="O100" s="6">
        <v>0</v>
      </c>
      <c r="P100" s="6">
        <v>0.9</v>
      </c>
      <c r="Q100" s="6">
        <v>4.78</v>
      </c>
    </row>
    <row r="101" spans="1:22" customFormat="1">
      <c r="A101" s="72">
        <v>45313.96875</v>
      </c>
      <c r="B101" s="6">
        <v>8.2799999999999994</v>
      </c>
      <c r="C101" s="6">
        <v>21.97</v>
      </c>
      <c r="D101" s="6">
        <v>19.47</v>
      </c>
      <c r="E101" s="6">
        <v>6.55</v>
      </c>
      <c r="F101" s="6">
        <v>3.4</v>
      </c>
      <c r="G101" s="6">
        <v>85.54</v>
      </c>
      <c r="H101" s="6">
        <v>49.17</v>
      </c>
      <c r="I101" s="6">
        <v>8.32</v>
      </c>
      <c r="J101" s="6">
        <v>0.54</v>
      </c>
      <c r="K101" s="6">
        <v>36.61</v>
      </c>
      <c r="L101" s="6">
        <v>20.86</v>
      </c>
      <c r="M101" s="6">
        <v>71.53</v>
      </c>
      <c r="N101" s="6">
        <v>0</v>
      </c>
      <c r="O101" s="6">
        <v>0</v>
      </c>
      <c r="P101" s="6">
        <v>0.9</v>
      </c>
      <c r="Q101" s="6">
        <v>4.78</v>
      </c>
    </row>
    <row r="102" spans="1:22" customFormat="1">
      <c r="A102" s="72">
        <v>45313.979166666664</v>
      </c>
      <c r="B102" s="6">
        <v>8.7100000000000009</v>
      </c>
      <c r="C102" s="6">
        <v>23.35</v>
      </c>
      <c r="D102" s="6">
        <v>20.53</v>
      </c>
      <c r="E102" s="6">
        <v>6.35</v>
      </c>
      <c r="F102" s="6">
        <v>3.37</v>
      </c>
      <c r="G102" s="6">
        <v>76.23</v>
      </c>
      <c r="H102" s="6">
        <v>47.47</v>
      </c>
      <c r="I102" s="6">
        <v>8.27</v>
      </c>
      <c r="J102" s="6">
        <v>0.27</v>
      </c>
      <c r="K102" s="6">
        <v>104.91</v>
      </c>
      <c r="L102" s="6">
        <v>20.53</v>
      </c>
      <c r="M102" s="6">
        <v>73.069999999999993</v>
      </c>
      <c r="N102" s="6">
        <v>0</v>
      </c>
      <c r="O102" s="6">
        <v>0</v>
      </c>
      <c r="P102" s="6">
        <v>0.9</v>
      </c>
      <c r="Q102" s="6">
        <v>4.8099999999999996</v>
      </c>
    </row>
    <row r="103" spans="1:22" customFormat="1">
      <c r="A103" s="72">
        <v>45313.989583333336</v>
      </c>
      <c r="B103" s="6">
        <v>8.7200000000000006</v>
      </c>
      <c r="C103" s="6">
        <v>24.03</v>
      </c>
      <c r="D103" s="6">
        <v>20.9</v>
      </c>
      <c r="E103" s="6">
        <v>6.34</v>
      </c>
      <c r="F103" s="6">
        <v>3.33</v>
      </c>
      <c r="G103" s="6">
        <v>75.19</v>
      </c>
      <c r="H103" s="6">
        <v>47.47</v>
      </c>
      <c r="I103" s="6">
        <v>8.2200000000000006</v>
      </c>
      <c r="J103" s="6">
        <v>0.33</v>
      </c>
      <c r="K103" s="6">
        <v>151.78</v>
      </c>
      <c r="L103" s="6">
        <v>20.309999999999999</v>
      </c>
      <c r="M103" s="6">
        <v>74.930000000000007</v>
      </c>
      <c r="N103" s="6">
        <v>0</v>
      </c>
      <c r="O103" s="6">
        <v>0</v>
      </c>
      <c r="P103" s="6">
        <v>0.89</v>
      </c>
      <c r="Q103" s="6">
        <v>4.82</v>
      </c>
    </row>
    <row r="104" spans="1:22" customFormat="1">
      <c r="A104" s="72">
        <v>45314</v>
      </c>
      <c r="B104" s="6">
        <v>8.4</v>
      </c>
      <c r="C104" s="6">
        <v>23.54</v>
      </c>
      <c r="D104" s="6">
        <v>20.38</v>
      </c>
      <c r="E104" s="6">
        <v>6.74</v>
      </c>
      <c r="F104" s="6">
        <v>3.54</v>
      </c>
      <c r="G104" s="6">
        <v>75.19</v>
      </c>
      <c r="H104" s="6">
        <v>47.47</v>
      </c>
      <c r="I104" s="6">
        <v>8.19</v>
      </c>
      <c r="J104" s="6">
        <v>0.14000000000000001</v>
      </c>
      <c r="K104" s="6">
        <v>170.5</v>
      </c>
      <c r="L104" s="6">
        <v>20.2</v>
      </c>
      <c r="M104" s="6">
        <v>76.36</v>
      </c>
      <c r="N104" s="6">
        <v>0</v>
      </c>
      <c r="O104" s="6">
        <v>0</v>
      </c>
      <c r="P104" s="6">
        <v>0.89</v>
      </c>
      <c r="Q104" s="6">
        <v>4.8</v>
      </c>
    </row>
    <row r="106" spans="1:22">
      <c r="A106" s="156" t="s">
        <v>48</v>
      </c>
      <c r="B106" s="157">
        <f>MIN(B9:B104)</f>
        <v>5.27</v>
      </c>
      <c r="C106" s="157">
        <f>MIN(C9:C104)</f>
        <v>15.91</v>
      </c>
      <c r="D106" s="157">
        <f t="shared" ref="D106:Q106" si="0">MIN(D9:D104)</f>
        <v>14.08</v>
      </c>
      <c r="E106" s="157">
        <f t="shared" si="0"/>
        <v>5.93</v>
      </c>
      <c r="F106" s="157">
        <f t="shared" si="0"/>
        <v>3.08</v>
      </c>
      <c r="G106" s="157">
        <f t="shared" si="0"/>
        <v>57.11</v>
      </c>
      <c r="H106" s="157">
        <f t="shared" si="0"/>
        <v>25.01</v>
      </c>
      <c r="I106" s="157">
        <f t="shared" si="0"/>
        <v>6.64</v>
      </c>
      <c r="J106" s="157">
        <f t="shared" si="0"/>
        <v>0.1</v>
      </c>
      <c r="K106" s="157">
        <f t="shared" si="0"/>
        <v>23.29</v>
      </c>
      <c r="L106" s="157">
        <f t="shared" si="0"/>
        <v>14.89</v>
      </c>
      <c r="M106" s="157">
        <f t="shared" si="0"/>
        <v>58.01</v>
      </c>
      <c r="N106" s="157">
        <f t="shared" si="0"/>
        <v>0</v>
      </c>
      <c r="O106" s="157">
        <f t="shared" si="0"/>
        <v>0</v>
      </c>
      <c r="P106" s="157">
        <f t="shared" si="0"/>
        <v>0.62</v>
      </c>
      <c r="Q106" s="157">
        <f t="shared" si="0"/>
        <v>4.78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20.47</v>
      </c>
      <c r="C107" s="156">
        <f t="shared" ref="C107:Q107" si="1">MAX(C9:C104)</f>
        <v>29.18</v>
      </c>
      <c r="D107" s="156">
        <f t="shared" si="1"/>
        <v>31.16</v>
      </c>
      <c r="E107" s="156">
        <f t="shared" si="1"/>
        <v>8.68</v>
      </c>
      <c r="F107" s="156">
        <f t="shared" si="1"/>
        <v>4.08</v>
      </c>
      <c r="G107" s="156">
        <f t="shared" si="1"/>
        <v>106.28</v>
      </c>
      <c r="H107" s="156">
        <f t="shared" si="1"/>
        <v>51.16</v>
      </c>
      <c r="I107" s="156">
        <f t="shared" si="1"/>
        <v>8.66</v>
      </c>
      <c r="J107" s="156">
        <f t="shared" si="1"/>
        <v>1.1200000000000001</v>
      </c>
      <c r="K107" s="156">
        <f t="shared" si="1"/>
        <v>172.64</v>
      </c>
      <c r="L107" s="156">
        <f t="shared" si="1"/>
        <v>25.47</v>
      </c>
      <c r="M107" s="156">
        <f t="shared" si="1"/>
        <v>93.78</v>
      </c>
      <c r="N107" s="156">
        <f t="shared" si="1"/>
        <v>430.4</v>
      </c>
      <c r="O107" s="156">
        <f t="shared" si="1"/>
        <v>0</v>
      </c>
      <c r="P107" s="156">
        <f t="shared" si="1"/>
        <v>0.94</v>
      </c>
      <c r="Q107" s="156">
        <f t="shared" si="1"/>
        <v>5.07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12.169791666666669</v>
      </c>
      <c r="C108" s="157">
        <f t="shared" ref="C108:Q108" si="2">AVERAGE(C9:C104)</f>
        <v>23.633854166666666</v>
      </c>
      <c r="D108" s="157">
        <f t="shared" si="2"/>
        <v>23.458749999999995</v>
      </c>
      <c r="E108" s="157">
        <f t="shared" si="2"/>
        <v>7.0995833333333325</v>
      </c>
      <c r="F108" s="157">
        <f t="shared" si="2"/>
        <v>3.4989583333333343</v>
      </c>
      <c r="G108" s="157">
        <f t="shared" si="2"/>
        <v>73.894374999999982</v>
      </c>
      <c r="H108" s="157">
        <f t="shared" si="2"/>
        <v>37.428854166666646</v>
      </c>
      <c r="I108" s="157">
        <f t="shared" si="2"/>
        <v>7.4530208333333325</v>
      </c>
      <c r="J108" s="157">
        <f t="shared" si="2"/>
        <v>0.57833333333333359</v>
      </c>
      <c r="K108" s="157">
        <f t="shared" si="2"/>
        <v>69.352708333333354</v>
      </c>
      <c r="L108" s="157">
        <f t="shared" si="2"/>
        <v>20.404583333333338</v>
      </c>
      <c r="M108" s="157">
        <f t="shared" si="2"/>
        <v>70.626041666666652</v>
      </c>
      <c r="N108" s="157">
        <f t="shared" si="2"/>
        <v>90.237499999999969</v>
      </c>
      <c r="O108" s="157">
        <f t="shared" si="2"/>
        <v>0</v>
      </c>
      <c r="P108" s="157">
        <f t="shared" si="2"/>
        <v>0.78187499999999999</v>
      </c>
      <c r="Q108" s="157">
        <f t="shared" si="2"/>
        <v>4.9223958333333355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5.4444789957430917</v>
      </c>
      <c r="C109" s="157">
        <f t="shared" ref="C109:Q109" si="3">STDEV(C9:C104)</f>
        <v>3.7582018011955025</v>
      </c>
      <c r="D109" s="157">
        <f t="shared" si="3"/>
        <v>5.704726064736537</v>
      </c>
      <c r="E109" s="157">
        <f t="shared" si="3"/>
        <v>0.63285970286373294</v>
      </c>
      <c r="F109" s="157">
        <f t="shared" si="3"/>
        <v>0.26093951372791618</v>
      </c>
      <c r="G109" s="157">
        <f t="shared" si="3"/>
        <v>12.290827029901262</v>
      </c>
      <c r="H109" s="157">
        <f t="shared" si="3"/>
        <v>7.4611182835864618</v>
      </c>
      <c r="I109" s="157">
        <f t="shared" si="3"/>
        <v>0.6030486055153722</v>
      </c>
      <c r="J109" s="157">
        <f t="shared" si="3"/>
        <v>0.25530442784486235</v>
      </c>
      <c r="K109" s="157">
        <f t="shared" si="3"/>
        <v>26.949825484413633</v>
      </c>
      <c r="L109" s="157">
        <f t="shared" si="3"/>
        <v>3.4006834968302955</v>
      </c>
      <c r="M109" s="157">
        <f t="shared" si="3"/>
        <v>8.9769668396598039</v>
      </c>
      <c r="N109" s="157">
        <f t="shared" si="3"/>
        <v>136.99241719314634</v>
      </c>
      <c r="O109" s="157">
        <f t="shared" si="3"/>
        <v>0</v>
      </c>
      <c r="P109" s="157">
        <f t="shared" si="3"/>
        <v>9.2682962722108089E-2</v>
      </c>
      <c r="Q109" s="157">
        <f t="shared" si="3"/>
        <v>8.3461239559282446E-2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45314.010416666664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45314.010416666664</v>
      </c>
      <c r="B9" s="6">
        <v>8.86</v>
      </c>
      <c r="C9" s="6">
        <v>20.76</v>
      </c>
      <c r="D9" s="6">
        <v>19.3</v>
      </c>
      <c r="E9" s="6">
        <v>6.38</v>
      </c>
      <c r="F9" s="6">
        <v>3.82</v>
      </c>
      <c r="G9" s="6">
        <v>75.19</v>
      </c>
      <c r="H9" s="6">
        <v>47.47</v>
      </c>
      <c r="I9" s="6">
        <v>8.1199999999999992</v>
      </c>
      <c r="J9" s="6">
        <v>0.21</v>
      </c>
      <c r="K9" s="6">
        <v>170.63</v>
      </c>
      <c r="L9" s="6">
        <v>20.13</v>
      </c>
      <c r="M9" s="6">
        <v>78.75</v>
      </c>
      <c r="N9" s="6">
        <v>0</v>
      </c>
      <c r="O9" s="6">
        <v>0</v>
      </c>
      <c r="P9" s="6">
        <v>0.87</v>
      </c>
      <c r="Q9" s="6">
        <v>4.8099999999999996</v>
      </c>
    </row>
    <row r="10" spans="1:21" customFormat="1">
      <c r="A10" s="72">
        <v>45314.020833333336</v>
      </c>
      <c r="B10" s="6">
        <v>8.8000000000000007</v>
      </c>
      <c r="C10" s="6">
        <v>19.73</v>
      </c>
      <c r="D10" s="6">
        <v>18.72</v>
      </c>
      <c r="E10" s="6">
        <v>6.21</v>
      </c>
      <c r="F10" s="6">
        <v>3.91</v>
      </c>
      <c r="G10" s="6">
        <v>67.430000000000007</v>
      </c>
      <c r="H10" s="6">
        <v>44.61</v>
      </c>
      <c r="I10" s="6">
        <v>8.0399999999999991</v>
      </c>
      <c r="J10" s="6">
        <v>0.1</v>
      </c>
      <c r="K10" s="6">
        <v>152.91999999999999</v>
      </c>
      <c r="L10" s="6">
        <v>19.91</v>
      </c>
      <c r="M10" s="6">
        <v>80.790000000000006</v>
      </c>
      <c r="N10" s="6">
        <v>0</v>
      </c>
      <c r="O10" s="6">
        <v>0</v>
      </c>
      <c r="P10" s="6">
        <v>0.85</v>
      </c>
      <c r="Q10" s="6">
        <v>4.83</v>
      </c>
    </row>
    <row r="11" spans="1:21" customFormat="1">
      <c r="A11" s="72">
        <v>45314.03125</v>
      </c>
      <c r="B11" s="6">
        <v>8.64</v>
      </c>
      <c r="C11" s="6">
        <v>19.7</v>
      </c>
      <c r="D11" s="6">
        <v>18.57</v>
      </c>
      <c r="E11" s="6">
        <v>6.18</v>
      </c>
      <c r="F11" s="6">
        <v>3.46</v>
      </c>
      <c r="G11" s="6">
        <v>66.569999999999993</v>
      </c>
      <c r="H11" s="6">
        <v>44.61</v>
      </c>
      <c r="I11" s="6">
        <v>7.95</v>
      </c>
      <c r="J11" s="6">
        <v>0.16</v>
      </c>
      <c r="K11" s="6">
        <v>258.55</v>
      </c>
      <c r="L11" s="6">
        <v>19.420000000000002</v>
      </c>
      <c r="M11" s="6">
        <v>83.73</v>
      </c>
      <c r="N11" s="6">
        <v>0</v>
      </c>
      <c r="O11" s="6">
        <v>0</v>
      </c>
      <c r="P11" s="6">
        <v>0.84</v>
      </c>
      <c r="Q11" s="6">
        <v>4.83</v>
      </c>
    </row>
    <row r="12" spans="1:21" customFormat="1">
      <c r="A12" s="72">
        <v>45314.041666666664</v>
      </c>
      <c r="B12" s="6">
        <v>8.6</v>
      </c>
      <c r="C12" s="6">
        <v>21.02</v>
      </c>
      <c r="D12" s="6">
        <v>19.23</v>
      </c>
      <c r="E12" s="6">
        <v>6.27</v>
      </c>
      <c r="F12" s="6">
        <v>3.33</v>
      </c>
      <c r="G12" s="6">
        <v>66.569999999999993</v>
      </c>
      <c r="H12" s="6">
        <v>44.61</v>
      </c>
      <c r="I12" s="6">
        <v>7.87</v>
      </c>
      <c r="J12" s="6">
        <v>0.14000000000000001</v>
      </c>
      <c r="K12" s="6">
        <v>32.97</v>
      </c>
      <c r="L12" s="6">
        <v>19.670000000000002</v>
      </c>
      <c r="M12" s="6">
        <v>82.27</v>
      </c>
      <c r="N12" s="6">
        <v>0</v>
      </c>
      <c r="O12" s="6">
        <v>0</v>
      </c>
      <c r="P12" s="6">
        <v>0.84</v>
      </c>
      <c r="Q12" s="6">
        <v>4.8099999999999996</v>
      </c>
    </row>
    <row r="13" spans="1:21" customFormat="1">
      <c r="A13" s="72">
        <v>45314.052083333336</v>
      </c>
      <c r="B13" s="6">
        <v>8.85</v>
      </c>
      <c r="C13" s="6">
        <v>21.65</v>
      </c>
      <c r="D13" s="6">
        <v>19.760000000000002</v>
      </c>
      <c r="E13" s="6">
        <v>6.1</v>
      </c>
      <c r="F13" s="6">
        <v>3.25</v>
      </c>
      <c r="G13" s="6">
        <v>66.569999999999993</v>
      </c>
      <c r="H13" s="6">
        <v>44.61</v>
      </c>
      <c r="I13" s="6">
        <v>7.8</v>
      </c>
      <c r="J13" s="6">
        <v>0.14000000000000001</v>
      </c>
      <c r="K13" s="6">
        <v>178.94</v>
      </c>
      <c r="L13" s="6">
        <v>19.72</v>
      </c>
      <c r="M13" s="6">
        <v>83.74</v>
      </c>
      <c r="N13" s="6">
        <v>0</v>
      </c>
      <c r="O13" s="6">
        <v>0</v>
      </c>
      <c r="P13" s="6">
        <v>0.84</v>
      </c>
      <c r="Q13" s="6">
        <v>4.83</v>
      </c>
    </row>
    <row r="14" spans="1:21" customFormat="1">
      <c r="A14" s="72">
        <v>45314.0625</v>
      </c>
      <c r="B14" s="6">
        <v>8.9700000000000006</v>
      </c>
      <c r="C14" s="6">
        <v>22.04</v>
      </c>
      <c r="D14" s="6">
        <v>20.059999999999999</v>
      </c>
      <c r="E14" s="6">
        <v>6.49</v>
      </c>
      <c r="F14" s="6">
        <v>3.36</v>
      </c>
      <c r="G14" s="6">
        <v>64.27</v>
      </c>
      <c r="H14" s="6">
        <v>42.61</v>
      </c>
      <c r="I14" s="6">
        <v>7.77</v>
      </c>
      <c r="J14" s="6">
        <v>0.1</v>
      </c>
      <c r="K14" s="6">
        <v>146.09</v>
      </c>
      <c r="L14" s="6">
        <v>19.61</v>
      </c>
      <c r="M14" s="6">
        <v>85.46</v>
      </c>
      <c r="N14" s="6">
        <v>0</v>
      </c>
      <c r="O14" s="6">
        <v>0</v>
      </c>
      <c r="P14" s="6">
        <v>0.84</v>
      </c>
      <c r="Q14" s="6">
        <v>4.87</v>
      </c>
    </row>
    <row r="15" spans="1:21" customFormat="1">
      <c r="A15" s="72">
        <v>45314.072916666664</v>
      </c>
      <c r="B15" s="6">
        <v>9.2200000000000006</v>
      </c>
      <c r="C15" s="6">
        <v>20.67</v>
      </c>
      <c r="D15" s="6">
        <v>19.54</v>
      </c>
      <c r="E15" s="6">
        <v>6.33</v>
      </c>
      <c r="F15" s="6">
        <v>3.49</v>
      </c>
      <c r="G15" s="6">
        <v>63.99</v>
      </c>
      <c r="H15" s="6">
        <v>42.61</v>
      </c>
      <c r="I15" s="6">
        <v>7.73</v>
      </c>
      <c r="J15" s="6">
        <v>0.42</v>
      </c>
      <c r="K15" s="6">
        <v>64.13</v>
      </c>
      <c r="L15" s="6">
        <v>19.489999999999998</v>
      </c>
      <c r="M15" s="6">
        <v>85.33</v>
      </c>
      <c r="N15" s="6">
        <v>0</v>
      </c>
      <c r="O15" s="6">
        <v>0</v>
      </c>
      <c r="P15" s="6">
        <v>0.83</v>
      </c>
      <c r="Q15" s="6">
        <v>4.87</v>
      </c>
    </row>
    <row r="16" spans="1:21" customFormat="1">
      <c r="A16" s="72">
        <v>45314.083333333336</v>
      </c>
      <c r="B16" s="6">
        <v>9.6300000000000008</v>
      </c>
      <c r="C16" s="6">
        <v>19</v>
      </c>
      <c r="D16" s="6">
        <v>19</v>
      </c>
      <c r="E16" s="6">
        <v>6.57</v>
      </c>
      <c r="F16" s="6">
        <v>3.5</v>
      </c>
      <c r="G16" s="6">
        <v>63.99</v>
      </c>
      <c r="H16" s="6">
        <v>42.61</v>
      </c>
      <c r="I16" s="6">
        <v>7.64</v>
      </c>
      <c r="J16" s="6">
        <v>1.22</v>
      </c>
      <c r="K16" s="6">
        <v>57.42</v>
      </c>
      <c r="L16" s="6">
        <v>19.38</v>
      </c>
      <c r="M16" s="6">
        <v>85.1</v>
      </c>
      <c r="N16" s="6">
        <v>0</v>
      </c>
      <c r="O16" s="6">
        <v>0</v>
      </c>
      <c r="P16" s="6">
        <v>0.81</v>
      </c>
      <c r="Q16" s="6">
        <v>4.87</v>
      </c>
    </row>
    <row r="17" spans="1:17" customFormat="1">
      <c r="A17" s="72">
        <v>45314.09375</v>
      </c>
      <c r="B17" s="6">
        <v>9.58</v>
      </c>
      <c r="C17" s="6">
        <v>18.8</v>
      </c>
      <c r="D17" s="6">
        <v>18.86</v>
      </c>
      <c r="E17" s="6">
        <v>5.12</v>
      </c>
      <c r="F17" s="6">
        <v>3.46</v>
      </c>
      <c r="G17" s="6">
        <v>63.99</v>
      </c>
      <c r="H17" s="6">
        <v>42.61</v>
      </c>
      <c r="I17" s="6">
        <v>7.59</v>
      </c>
      <c r="J17" s="6">
        <v>0.96</v>
      </c>
      <c r="K17" s="6">
        <v>68.739999999999995</v>
      </c>
      <c r="L17" s="6">
        <v>19.149999999999999</v>
      </c>
      <c r="M17" s="6">
        <v>86.91</v>
      </c>
      <c r="N17" s="6">
        <v>0</v>
      </c>
      <c r="O17" s="6">
        <v>0</v>
      </c>
      <c r="P17" s="6">
        <v>0.81</v>
      </c>
      <c r="Q17" s="6">
        <v>4.8600000000000003</v>
      </c>
    </row>
    <row r="18" spans="1:17" customFormat="1">
      <c r="A18" s="72">
        <v>45314.104166666664</v>
      </c>
      <c r="B18" s="6">
        <v>9.51</v>
      </c>
      <c r="C18" s="6">
        <v>19.920000000000002</v>
      </c>
      <c r="D18" s="6">
        <v>19.38</v>
      </c>
      <c r="E18" s="6">
        <v>5.77</v>
      </c>
      <c r="F18" s="6">
        <v>3.51</v>
      </c>
      <c r="G18" s="6">
        <v>63.94</v>
      </c>
      <c r="H18" s="6">
        <v>40.840000000000003</v>
      </c>
      <c r="I18" s="6">
        <v>7.54</v>
      </c>
      <c r="J18" s="6">
        <v>0.51</v>
      </c>
      <c r="K18" s="6">
        <v>62.72</v>
      </c>
      <c r="L18" s="6">
        <v>19.14</v>
      </c>
      <c r="M18" s="6">
        <v>87.61</v>
      </c>
      <c r="N18" s="6">
        <v>0</v>
      </c>
      <c r="O18" s="6">
        <v>0</v>
      </c>
      <c r="P18" s="6">
        <v>0.8</v>
      </c>
      <c r="Q18" s="6">
        <v>4.88</v>
      </c>
    </row>
    <row r="19" spans="1:17" customFormat="1">
      <c r="A19" s="72">
        <v>45314.114583333336</v>
      </c>
      <c r="B19" s="6">
        <v>9.57</v>
      </c>
      <c r="C19" s="6">
        <v>20.54</v>
      </c>
      <c r="D19" s="6">
        <v>19.760000000000002</v>
      </c>
      <c r="E19" s="6">
        <v>5.83</v>
      </c>
      <c r="F19" s="6">
        <v>3.22</v>
      </c>
      <c r="G19" s="6">
        <v>63.94</v>
      </c>
      <c r="H19" s="6">
        <v>40.840000000000003</v>
      </c>
      <c r="I19" s="6">
        <v>7.53</v>
      </c>
      <c r="J19" s="6">
        <v>0.04</v>
      </c>
      <c r="K19" s="6">
        <v>155.30000000000001</v>
      </c>
      <c r="L19" s="6">
        <v>18.96</v>
      </c>
      <c r="M19" s="6">
        <v>89.15</v>
      </c>
      <c r="N19" s="6">
        <v>0</v>
      </c>
      <c r="O19" s="6">
        <v>0</v>
      </c>
      <c r="P19" s="6">
        <v>0.8</v>
      </c>
      <c r="Q19" s="6">
        <v>4.8899999999999997</v>
      </c>
    </row>
    <row r="20" spans="1:17" customFormat="1">
      <c r="A20" s="72">
        <v>45314.125</v>
      </c>
      <c r="B20" s="6">
        <v>9.58</v>
      </c>
      <c r="C20" s="6">
        <v>20.83</v>
      </c>
      <c r="D20" s="6">
        <v>19.920000000000002</v>
      </c>
      <c r="E20" s="6">
        <v>5.97</v>
      </c>
      <c r="F20" s="6">
        <v>3.23</v>
      </c>
      <c r="G20" s="6">
        <v>63.94</v>
      </c>
      <c r="H20" s="6">
        <v>40.840000000000003</v>
      </c>
      <c r="I20" s="6">
        <v>7.5</v>
      </c>
      <c r="J20" s="6">
        <v>0.15</v>
      </c>
      <c r="K20" s="6">
        <v>195.04</v>
      </c>
      <c r="L20" s="6">
        <v>18.71</v>
      </c>
      <c r="M20" s="6">
        <v>91.11</v>
      </c>
      <c r="N20" s="6">
        <v>0</v>
      </c>
      <c r="O20" s="6">
        <v>0</v>
      </c>
      <c r="P20" s="6">
        <v>0.79</v>
      </c>
      <c r="Q20" s="6">
        <v>4.91</v>
      </c>
    </row>
    <row r="21" spans="1:17" customFormat="1">
      <c r="A21" s="72">
        <v>45314.135416666664</v>
      </c>
      <c r="B21" s="6">
        <v>9.4499999999999993</v>
      </c>
      <c r="C21" s="6">
        <v>20.87</v>
      </c>
      <c r="D21" s="6">
        <v>19.84</v>
      </c>
      <c r="E21" s="6">
        <v>6.23</v>
      </c>
      <c r="F21" s="6">
        <v>3.31</v>
      </c>
      <c r="G21" s="6">
        <v>63.94</v>
      </c>
      <c r="H21" s="6">
        <v>40.840000000000003</v>
      </c>
      <c r="I21" s="6">
        <v>7.47</v>
      </c>
      <c r="J21" s="6">
        <v>0.42</v>
      </c>
      <c r="K21" s="6">
        <v>73.98</v>
      </c>
      <c r="L21" s="6">
        <v>18.54</v>
      </c>
      <c r="M21" s="6">
        <v>92.13</v>
      </c>
      <c r="N21" s="6">
        <v>0</v>
      </c>
      <c r="O21" s="6">
        <v>0</v>
      </c>
      <c r="P21" s="6">
        <v>0.79</v>
      </c>
      <c r="Q21" s="6">
        <v>4.91</v>
      </c>
    </row>
    <row r="22" spans="1:17" customFormat="1">
      <c r="A22" s="72">
        <v>45314.145833333336</v>
      </c>
      <c r="B22" s="6">
        <v>9.32</v>
      </c>
      <c r="C22" s="6">
        <v>21.52</v>
      </c>
      <c r="D22" s="6">
        <v>20.07</v>
      </c>
      <c r="E22" s="6">
        <v>6.03</v>
      </c>
      <c r="F22" s="6">
        <v>3.31</v>
      </c>
      <c r="G22" s="6">
        <v>60.9</v>
      </c>
      <c r="H22" s="6">
        <v>41.19</v>
      </c>
      <c r="I22" s="6">
        <v>7.45</v>
      </c>
      <c r="J22" s="6">
        <v>0.36</v>
      </c>
      <c r="K22" s="6">
        <v>49.33</v>
      </c>
      <c r="L22" s="6">
        <v>18.66</v>
      </c>
      <c r="M22" s="6">
        <v>91.55</v>
      </c>
      <c r="N22" s="6">
        <v>0</v>
      </c>
      <c r="O22" s="6">
        <v>0</v>
      </c>
      <c r="P22" s="6">
        <v>0.79</v>
      </c>
      <c r="Q22" s="6">
        <v>4.9000000000000004</v>
      </c>
    </row>
    <row r="23" spans="1:17" customFormat="1">
      <c r="A23" s="72">
        <v>45314.15625</v>
      </c>
      <c r="B23" s="6">
        <v>9.64</v>
      </c>
      <c r="C23" s="6">
        <v>21.78</v>
      </c>
      <c r="D23" s="6">
        <v>20.47</v>
      </c>
      <c r="E23" s="6">
        <v>6.53</v>
      </c>
      <c r="F23" s="6">
        <v>3.21</v>
      </c>
      <c r="G23" s="6">
        <v>60.52</v>
      </c>
      <c r="H23" s="6">
        <v>41.19</v>
      </c>
      <c r="I23" s="6">
        <v>7.42</v>
      </c>
      <c r="J23" s="6">
        <v>0.57999999999999996</v>
      </c>
      <c r="K23" s="6">
        <v>53.86</v>
      </c>
      <c r="L23" s="6">
        <v>18.579999999999998</v>
      </c>
      <c r="M23" s="6">
        <v>91.57</v>
      </c>
      <c r="N23" s="6">
        <v>0</v>
      </c>
      <c r="O23" s="6">
        <v>0</v>
      </c>
      <c r="P23" s="6">
        <v>0.79</v>
      </c>
      <c r="Q23" s="6">
        <v>4.8899999999999997</v>
      </c>
    </row>
    <row r="24" spans="1:17" customFormat="1">
      <c r="A24" s="72">
        <v>45314.166666666664</v>
      </c>
      <c r="B24" s="6">
        <v>9.74</v>
      </c>
      <c r="C24" s="6">
        <v>22.07</v>
      </c>
      <c r="D24" s="6">
        <v>20.69</v>
      </c>
      <c r="E24" s="6">
        <v>5.91</v>
      </c>
      <c r="F24" s="6">
        <v>3.35</v>
      </c>
      <c r="G24" s="6">
        <v>60.52</v>
      </c>
      <c r="H24" s="6">
        <v>41.19</v>
      </c>
      <c r="I24" s="6">
        <v>7.4</v>
      </c>
      <c r="J24" s="6">
        <v>0.4</v>
      </c>
      <c r="K24" s="6">
        <v>77.680000000000007</v>
      </c>
      <c r="L24" s="6">
        <v>18.43</v>
      </c>
      <c r="M24" s="6">
        <v>92.18</v>
      </c>
      <c r="N24" s="6">
        <v>0</v>
      </c>
      <c r="O24" s="6">
        <v>0</v>
      </c>
      <c r="P24" s="6">
        <v>0.79</v>
      </c>
      <c r="Q24" s="6">
        <v>4.88</v>
      </c>
    </row>
    <row r="25" spans="1:17" customFormat="1">
      <c r="A25" s="72">
        <v>45314.177083333336</v>
      </c>
      <c r="B25" s="6">
        <v>9.6199999999999992</v>
      </c>
      <c r="C25" s="6">
        <v>22.4</v>
      </c>
      <c r="D25" s="6">
        <v>20.77</v>
      </c>
      <c r="E25" s="6">
        <v>5.99</v>
      </c>
      <c r="F25" s="6">
        <v>3.25</v>
      </c>
      <c r="G25" s="6">
        <v>60.52</v>
      </c>
      <c r="H25" s="6">
        <v>41.19</v>
      </c>
      <c r="I25" s="6">
        <v>7.35</v>
      </c>
      <c r="J25" s="6">
        <v>0.15</v>
      </c>
      <c r="K25" s="6">
        <v>188.39</v>
      </c>
      <c r="L25" s="6">
        <v>18.489999999999998</v>
      </c>
      <c r="M25" s="6">
        <v>92.27</v>
      </c>
      <c r="N25" s="6">
        <v>0</v>
      </c>
      <c r="O25" s="6">
        <v>0</v>
      </c>
      <c r="P25" s="6">
        <v>0.77</v>
      </c>
      <c r="Q25" s="6">
        <v>4.88</v>
      </c>
    </row>
    <row r="26" spans="1:17" customFormat="1">
      <c r="A26" s="72">
        <v>45314.1875</v>
      </c>
      <c r="B26" s="6">
        <v>9.44</v>
      </c>
      <c r="C26" s="6">
        <v>22.44</v>
      </c>
      <c r="D26" s="6">
        <v>20.65</v>
      </c>
      <c r="E26" s="6">
        <v>6.67</v>
      </c>
      <c r="F26" s="6">
        <v>3.51</v>
      </c>
      <c r="G26" s="6">
        <v>60.69</v>
      </c>
      <c r="H26" s="6">
        <v>37.04</v>
      </c>
      <c r="I26" s="6">
        <v>7.32</v>
      </c>
      <c r="J26" s="6">
        <v>0.2</v>
      </c>
      <c r="K26" s="6">
        <v>56.05</v>
      </c>
      <c r="L26" s="6">
        <v>18.32</v>
      </c>
      <c r="M26" s="6">
        <v>93.7</v>
      </c>
      <c r="N26" s="6">
        <v>0</v>
      </c>
      <c r="O26" s="6">
        <v>0</v>
      </c>
      <c r="P26" s="6">
        <v>0.79</v>
      </c>
      <c r="Q26" s="6">
        <v>4.8600000000000003</v>
      </c>
    </row>
    <row r="27" spans="1:17" customFormat="1">
      <c r="A27" s="72">
        <v>45314.197916666664</v>
      </c>
      <c r="B27" s="6">
        <v>9.67</v>
      </c>
      <c r="C27" s="6">
        <v>22.48</v>
      </c>
      <c r="D27" s="6">
        <v>20.85</v>
      </c>
      <c r="E27" s="6">
        <v>6.01</v>
      </c>
      <c r="F27" s="6">
        <v>3.17</v>
      </c>
      <c r="G27" s="6">
        <v>60.71</v>
      </c>
      <c r="H27" s="6">
        <v>37.04</v>
      </c>
      <c r="I27" s="6">
        <v>7.31</v>
      </c>
      <c r="J27" s="6">
        <v>0.53</v>
      </c>
      <c r="K27" s="6">
        <v>58.19</v>
      </c>
      <c r="L27" s="6">
        <v>18.52</v>
      </c>
      <c r="M27" s="6">
        <v>93.31</v>
      </c>
      <c r="N27" s="6">
        <v>0</v>
      </c>
      <c r="O27" s="6">
        <v>0</v>
      </c>
      <c r="P27" s="6">
        <v>0.78</v>
      </c>
      <c r="Q27" s="6">
        <v>4.87</v>
      </c>
    </row>
    <row r="28" spans="1:17" customFormat="1">
      <c r="A28" s="72">
        <v>45314.208333333336</v>
      </c>
      <c r="B28" s="6">
        <v>9.81</v>
      </c>
      <c r="C28" s="6">
        <v>22.63</v>
      </c>
      <c r="D28" s="6">
        <v>21.04</v>
      </c>
      <c r="E28" s="6">
        <v>5.94</v>
      </c>
      <c r="F28" s="6">
        <v>3.53</v>
      </c>
      <c r="G28" s="6">
        <v>60.71</v>
      </c>
      <c r="H28" s="6">
        <v>37.04</v>
      </c>
      <c r="I28" s="6">
        <v>7.34</v>
      </c>
      <c r="J28" s="6">
        <v>0.32</v>
      </c>
      <c r="K28" s="6">
        <v>51.87</v>
      </c>
      <c r="L28" s="6">
        <v>18.600000000000001</v>
      </c>
      <c r="M28" s="6">
        <v>92.87</v>
      </c>
      <c r="N28" s="6">
        <v>0</v>
      </c>
      <c r="O28" s="6">
        <v>0</v>
      </c>
      <c r="P28" s="6">
        <v>0.77</v>
      </c>
      <c r="Q28" s="6">
        <v>4.8499999999999996</v>
      </c>
    </row>
    <row r="29" spans="1:17" customFormat="1">
      <c r="A29" s="72">
        <v>45314.21875</v>
      </c>
      <c r="B29" s="6">
        <v>9.86</v>
      </c>
      <c r="C29" s="6">
        <v>22.94</v>
      </c>
      <c r="D29" s="6">
        <v>21.25</v>
      </c>
      <c r="E29" s="6">
        <v>6.29</v>
      </c>
      <c r="F29" s="6">
        <v>3.39</v>
      </c>
      <c r="G29" s="6">
        <v>60.71</v>
      </c>
      <c r="H29" s="6">
        <v>37.04</v>
      </c>
      <c r="I29" s="6">
        <v>7.32</v>
      </c>
      <c r="J29" s="6">
        <v>0.16</v>
      </c>
      <c r="K29" s="6">
        <v>86.89</v>
      </c>
      <c r="L29" s="6">
        <v>18.809999999999999</v>
      </c>
      <c r="M29" s="6">
        <v>92.5</v>
      </c>
      <c r="N29" s="6">
        <v>0</v>
      </c>
      <c r="O29" s="6">
        <v>0</v>
      </c>
      <c r="P29" s="6">
        <v>0.78</v>
      </c>
      <c r="Q29" s="6">
        <v>4.84</v>
      </c>
    </row>
    <row r="30" spans="1:17" customFormat="1">
      <c r="A30" s="72">
        <v>45314.229166666664</v>
      </c>
      <c r="B30" s="6">
        <v>9.83</v>
      </c>
      <c r="C30" s="6">
        <v>23.15</v>
      </c>
      <c r="D30" s="6">
        <v>21.33</v>
      </c>
      <c r="E30" s="6">
        <v>6.67</v>
      </c>
      <c r="F30" s="6">
        <v>3.38</v>
      </c>
      <c r="G30" s="6">
        <v>58.14</v>
      </c>
      <c r="H30" s="6">
        <v>35.270000000000003</v>
      </c>
      <c r="I30" s="6">
        <v>7.3</v>
      </c>
      <c r="J30" s="6">
        <v>0.12</v>
      </c>
      <c r="K30" s="6">
        <v>115.55</v>
      </c>
      <c r="L30" s="6">
        <v>18.97</v>
      </c>
      <c r="M30" s="6">
        <v>91.78</v>
      </c>
      <c r="N30" s="6">
        <v>0</v>
      </c>
      <c r="O30" s="6">
        <v>0</v>
      </c>
      <c r="P30" s="6">
        <v>0.77</v>
      </c>
      <c r="Q30" s="6">
        <v>4.84</v>
      </c>
    </row>
    <row r="31" spans="1:17" customFormat="1">
      <c r="A31" s="72">
        <v>45314.239583333336</v>
      </c>
      <c r="B31" s="6">
        <v>9.76</v>
      </c>
      <c r="C31" s="6">
        <v>23.05</v>
      </c>
      <c r="D31" s="6">
        <v>21.22</v>
      </c>
      <c r="E31" s="6">
        <v>6.66</v>
      </c>
      <c r="F31" s="6">
        <v>3.31</v>
      </c>
      <c r="G31" s="6">
        <v>57.81</v>
      </c>
      <c r="H31" s="6">
        <v>35.270000000000003</v>
      </c>
      <c r="I31" s="6">
        <v>7.31</v>
      </c>
      <c r="J31" s="6">
        <v>0.12</v>
      </c>
      <c r="K31" s="6">
        <v>34.22</v>
      </c>
      <c r="L31" s="6">
        <v>18.84</v>
      </c>
      <c r="M31" s="6">
        <v>93.07</v>
      </c>
      <c r="N31" s="6">
        <v>0</v>
      </c>
      <c r="O31" s="6">
        <v>0</v>
      </c>
      <c r="P31" s="6">
        <v>0.77</v>
      </c>
      <c r="Q31" s="6">
        <v>4.84</v>
      </c>
    </row>
    <row r="32" spans="1:17" customFormat="1">
      <c r="A32" s="72">
        <v>45314.25</v>
      </c>
      <c r="B32" s="6">
        <v>10.02</v>
      </c>
      <c r="C32" s="6">
        <v>23.11</v>
      </c>
      <c r="D32" s="6">
        <v>21.46</v>
      </c>
      <c r="E32" s="6">
        <v>6.91</v>
      </c>
      <c r="F32" s="6">
        <v>3.3</v>
      </c>
      <c r="G32" s="6">
        <v>57.81</v>
      </c>
      <c r="H32" s="6">
        <v>35.270000000000003</v>
      </c>
      <c r="I32" s="6">
        <v>7.3</v>
      </c>
      <c r="J32" s="6">
        <v>0.25</v>
      </c>
      <c r="K32" s="6">
        <v>42.58</v>
      </c>
      <c r="L32" s="6">
        <v>18.95</v>
      </c>
      <c r="M32" s="6">
        <v>93.11</v>
      </c>
      <c r="N32" s="6">
        <v>0</v>
      </c>
      <c r="O32" s="6">
        <v>0</v>
      </c>
      <c r="P32" s="6">
        <v>0.77</v>
      </c>
      <c r="Q32" s="6">
        <v>4.83</v>
      </c>
    </row>
    <row r="33" spans="1:17" customFormat="1">
      <c r="A33" s="72">
        <v>45314.260416666664</v>
      </c>
      <c r="B33" s="6">
        <v>10.41</v>
      </c>
      <c r="C33" s="6">
        <v>23.34</v>
      </c>
      <c r="D33" s="6">
        <v>21.9</v>
      </c>
      <c r="E33" s="6">
        <v>6.78</v>
      </c>
      <c r="F33" s="6">
        <v>3.28</v>
      </c>
      <c r="G33" s="6">
        <v>57.81</v>
      </c>
      <c r="H33" s="6">
        <v>35.270000000000003</v>
      </c>
      <c r="I33" s="6">
        <v>7.31</v>
      </c>
      <c r="J33" s="6">
        <v>0.73</v>
      </c>
      <c r="K33" s="6">
        <v>45.01</v>
      </c>
      <c r="L33" s="6">
        <v>18.82</v>
      </c>
      <c r="M33" s="6">
        <v>93.23</v>
      </c>
      <c r="N33" s="6">
        <v>0</v>
      </c>
      <c r="O33" s="6">
        <v>0</v>
      </c>
      <c r="P33" s="6">
        <v>0.77</v>
      </c>
      <c r="Q33" s="6">
        <v>4.82</v>
      </c>
    </row>
    <row r="34" spans="1:17" customFormat="1">
      <c r="A34" s="72">
        <v>45314.270833333336</v>
      </c>
      <c r="B34" s="6">
        <v>10.72</v>
      </c>
      <c r="C34" s="6">
        <v>23.99</v>
      </c>
      <c r="D34" s="6">
        <v>22.49</v>
      </c>
      <c r="E34" s="6">
        <v>6.66</v>
      </c>
      <c r="F34" s="6">
        <v>3.43</v>
      </c>
      <c r="G34" s="6">
        <v>55.1</v>
      </c>
      <c r="H34" s="6">
        <v>33.6</v>
      </c>
      <c r="I34" s="6">
        <v>7.35</v>
      </c>
      <c r="J34" s="6">
        <v>0.68</v>
      </c>
      <c r="K34" s="6">
        <v>36.909999999999997</v>
      </c>
      <c r="L34" s="6">
        <v>18.82</v>
      </c>
      <c r="M34" s="6">
        <v>93.31</v>
      </c>
      <c r="N34" s="6">
        <v>0</v>
      </c>
      <c r="O34" s="6">
        <v>0</v>
      </c>
      <c r="P34" s="6">
        <v>0.78</v>
      </c>
      <c r="Q34" s="6">
        <v>4.8099999999999996</v>
      </c>
    </row>
    <row r="35" spans="1:17" customFormat="1">
      <c r="A35" s="72">
        <v>45314.28125</v>
      </c>
      <c r="B35" s="6">
        <v>11.31</v>
      </c>
      <c r="C35" s="6">
        <v>23.97</v>
      </c>
      <c r="D35" s="6">
        <v>22.94</v>
      </c>
      <c r="E35" s="6">
        <v>6.65</v>
      </c>
      <c r="F35" s="6">
        <v>3.18</v>
      </c>
      <c r="G35" s="6">
        <v>54.76</v>
      </c>
      <c r="H35" s="6">
        <v>33.6</v>
      </c>
      <c r="I35" s="6">
        <v>7.42</v>
      </c>
      <c r="J35" s="6">
        <v>0.95</v>
      </c>
      <c r="K35" s="6">
        <v>45.52</v>
      </c>
      <c r="L35" s="6">
        <v>18.670000000000002</v>
      </c>
      <c r="M35" s="6">
        <v>93.57</v>
      </c>
      <c r="N35" s="6">
        <v>0</v>
      </c>
      <c r="O35" s="6">
        <v>0</v>
      </c>
      <c r="P35" s="6">
        <v>0.78</v>
      </c>
      <c r="Q35" s="6">
        <v>4.84</v>
      </c>
    </row>
    <row r="36" spans="1:17" customFormat="1">
      <c r="A36" s="72">
        <v>45314.291666666664</v>
      </c>
      <c r="B36" s="6">
        <v>11.97</v>
      </c>
      <c r="C36" s="6">
        <v>24.22</v>
      </c>
      <c r="D36" s="6">
        <v>23.61</v>
      </c>
      <c r="E36" s="6">
        <v>6.61</v>
      </c>
      <c r="F36" s="6">
        <v>3.2</v>
      </c>
      <c r="G36" s="6">
        <v>54.76</v>
      </c>
      <c r="H36" s="6">
        <v>33.6</v>
      </c>
      <c r="I36" s="6">
        <v>7.48</v>
      </c>
      <c r="J36" s="6">
        <v>0.73</v>
      </c>
      <c r="K36" s="6">
        <v>45.27</v>
      </c>
      <c r="L36" s="6">
        <v>18.59</v>
      </c>
      <c r="M36" s="6">
        <v>93.02</v>
      </c>
      <c r="N36" s="6">
        <v>0</v>
      </c>
      <c r="O36" s="6">
        <v>0</v>
      </c>
      <c r="P36" s="6">
        <v>0.79</v>
      </c>
      <c r="Q36" s="6">
        <v>4.8499999999999996</v>
      </c>
    </row>
    <row r="37" spans="1:17" customFormat="1">
      <c r="A37" s="72">
        <v>45314.302083333336</v>
      </c>
      <c r="B37" s="6">
        <v>12.67</v>
      </c>
      <c r="C37" s="6">
        <v>24.55</v>
      </c>
      <c r="D37" s="6">
        <v>24.34</v>
      </c>
      <c r="E37" s="6">
        <v>6.69</v>
      </c>
      <c r="F37" s="6">
        <v>3.27</v>
      </c>
      <c r="G37" s="6">
        <v>54.76</v>
      </c>
      <c r="H37" s="6">
        <v>33.6</v>
      </c>
      <c r="I37" s="6">
        <v>7.58</v>
      </c>
      <c r="J37" s="6">
        <v>0.95</v>
      </c>
      <c r="K37" s="6">
        <v>51.91</v>
      </c>
      <c r="L37" s="6">
        <v>18.53</v>
      </c>
      <c r="M37" s="6">
        <v>92.45</v>
      </c>
      <c r="N37" s="6">
        <v>6.4</v>
      </c>
      <c r="O37" s="6">
        <v>0</v>
      </c>
      <c r="P37" s="6">
        <v>0.8</v>
      </c>
      <c r="Q37" s="6">
        <v>4.87</v>
      </c>
    </row>
    <row r="38" spans="1:17" customFormat="1">
      <c r="A38" s="72">
        <v>45314.3125</v>
      </c>
      <c r="B38" s="6">
        <v>13.22</v>
      </c>
      <c r="C38" s="6">
        <v>25.03</v>
      </c>
      <c r="D38" s="6">
        <v>25.03</v>
      </c>
      <c r="E38" s="6">
        <v>6.8</v>
      </c>
      <c r="F38" s="6">
        <v>3.38</v>
      </c>
      <c r="G38" s="6">
        <v>62.68</v>
      </c>
      <c r="H38" s="6">
        <v>35.65</v>
      </c>
      <c r="I38" s="6">
        <v>7.7</v>
      </c>
      <c r="J38" s="6">
        <v>0.83</v>
      </c>
      <c r="K38" s="6">
        <v>53.29</v>
      </c>
      <c r="L38" s="6">
        <v>18.559999999999999</v>
      </c>
      <c r="M38" s="6">
        <v>92</v>
      </c>
      <c r="N38" s="6">
        <v>22.6</v>
      </c>
      <c r="O38" s="6">
        <v>0</v>
      </c>
      <c r="P38" s="6">
        <v>0.82</v>
      </c>
      <c r="Q38" s="6">
        <v>4.87</v>
      </c>
    </row>
    <row r="39" spans="1:17" customFormat="1">
      <c r="A39" s="72">
        <v>45314.322916666664</v>
      </c>
      <c r="B39" s="6">
        <v>13.75</v>
      </c>
      <c r="C39" s="6">
        <v>25.64</v>
      </c>
      <c r="D39" s="6">
        <v>25.78</v>
      </c>
      <c r="E39" s="6">
        <v>6.87</v>
      </c>
      <c r="F39" s="6">
        <v>3.19</v>
      </c>
      <c r="G39" s="6">
        <v>63.68</v>
      </c>
      <c r="H39" s="6">
        <v>35.65</v>
      </c>
      <c r="I39" s="6">
        <v>7.81</v>
      </c>
      <c r="J39" s="6">
        <v>0.64</v>
      </c>
      <c r="K39" s="6">
        <v>14.31</v>
      </c>
      <c r="L39" s="6">
        <v>18.559999999999999</v>
      </c>
      <c r="M39" s="6">
        <v>92.08</v>
      </c>
      <c r="N39" s="6">
        <v>20.100000000000001</v>
      </c>
      <c r="O39" s="6">
        <v>0</v>
      </c>
      <c r="P39" s="6">
        <v>0.84</v>
      </c>
      <c r="Q39" s="6">
        <v>4.8600000000000003</v>
      </c>
    </row>
    <row r="40" spans="1:17" customFormat="1">
      <c r="A40" s="72">
        <v>45314.333333333336</v>
      </c>
      <c r="B40" s="6">
        <v>14.32</v>
      </c>
      <c r="C40" s="6">
        <v>25.9</v>
      </c>
      <c r="D40" s="6">
        <v>26.37</v>
      </c>
      <c r="E40" s="6">
        <v>6.98</v>
      </c>
      <c r="F40" s="6">
        <v>3.23</v>
      </c>
      <c r="G40" s="6">
        <v>63.68</v>
      </c>
      <c r="H40" s="6">
        <v>35.65</v>
      </c>
      <c r="I40" s="6">
        <v>7.93</v>
      </c>
      <c r="J40" s="6">
        <v>1.1200000000000001</v>
      </c>
      <c r="K40" s="6">
        <v>54.33</v>
      </c>
      <c r="L40" s="6">
        <v>18.47</v>
      </c>
      <c r="M40" s="6">
        <v>91.31</v>
      </c>
      <c r="N40" s="6">
        <v>51</v>
      </c>
      <c r="O40" s="6">
        <v>0</v>
      </c>
      <c r="P40" s="6">
        <v>0.86</v>
      </c>
      <c r="Q40" s="6">
        <v>4.8600000000000003</v>
      </c>
    </row>
    <row r="41" spans="1:17" customFormat="1">
      <c r="A41" s="72">
        <v>45314.34375</v>
      </c>
      <c r="B41" s="6">
        <v>14.73</v>
      </c>
      <c r="C41" s="6">
        <v>25.01</v>
      </c>
      <c r="D41" s="6">
        <v>26.23</v>
      </c>
      <c r="E41" s="6">
        <v>7.16</v>
      </c>
      <c r="F41" s="6">
        <v>3.45</v>
      </c>
      <c r="G41" s="6">
        <v>63.68</v>
      </c>
      <c r="H41" s="6">
        <v>35.65</v>
      </c>
      <c r="I41" s="6">
        <v>8.08</v>
      </c>
      <c r="J41" s="6">
        <v>0.36</v>
      </c>
      <c r="K41" s="6">
        <v>91.89</v>
      </c>
      <c r="L41" s="6">
        <v>18.91</v>
      </c>
      <c r="M41" s="6">
        <v>89.21</v>
      </c>
      <c r="N41" s="6">
        <v>67.2</v>
      </c>
      <c r="O41" s="6">
        <v>0</v>
      </c>
      <c r="P41" s="6">
        <v>0.87</v>
      </c>
      <c r="Q41" s="6">
        <v>4.87</v>
      </c>
    </row>
    <row r="42" spans="1:17" customFormat="1">
      <c r="A42" s="72">
        <v>45314.354166666664</v>
      </c>
      <c r="B42" s="6">
        <v>14.75</v>
      </c>
      <c r="C42" s="6">
        <v>21.79</v>
      </c>
      <c r="D42" s="6">
        <v>24.56</v>
      </c>
      <c r="E42" s="6">
        <v>6.51</v>
      </c>
      <c r="F42" s="6">
        <v>3.63</v>
      </c>
      <c r="G42" s="6">
        <v>69.650000000000006</v>
      </c>
      <c r="H42" s="6">
        <v>38.11</v>
      </c>
      <c r="I42" s="6">
        <v>8.23</v>
      </c>
      <c r="J42" s="6">
        <v>0.59</v>
      </c>
      <c r="K42" s="6">
        <v>73.97</v>
      </c>
      <c r="L42" s="6">
        <v>19.39</v>
      </c>
      <c r="M42" s="6">
        <v>86.49</v>
      </c>
      <c r="N42" s="6">
        <v>74.400000000000006</v>
      </c>
      <c r="O42" s="6">
        <v>0</v>
      </c>
      <c r="P42" s="6">
        <v>0.86</v>
      </c>
      <c r="Q42" s="6">
        <v>4.8499999999999996</v>
      </c>
    </row>
    <row r="43" spans="1:17" customFormat="1">
      <c r="A43" s="72">
        <v>45314.364583333336</v>
      </c>
      <c r="B43" s="6">
        <v>14.81</v>
      </c>
      <c r="C43" s="6">
        <v>20.29</v>
      </c>
      <c r="D43" s="6">
        <v>23.82</v>
      </c>
      <c r="E43" s="6">
        <v>6.33</v>
      </c>
      <c r="F43" s="6">
        <v>3.51</v>
      </c>
      <c r="G43" s="6">
        <v>70.39</v>
      </c>
      <c r="H43" s="6">
        <v>38.11</v>
      </c>
      <c r="I43" s="6">
        <v>8.31</v>
      </c>
      <c r="J43" s="6">
        <v>0.99</v>
      </c>
      <c r="K43" s="6">
        <v>52.56</v>
      </c>
      <c r="L43" s="6">
        <v>19.46</v>
      </c>
      <c r="M43" s="6">
        <v>86.06</v>
      </c>
      <c r="N43" s="6">
        <v>57.9</v>
      </c>
      <c r="O43" s="6">
        <v>0</v>
      </c>
      <c r="P43" s="6">
        <v>0.85</v>
      </c>
      <c r="Q43" s="6">
        <v>4.8600000000000003</v>
      </c>
    </row>
    <row r="44" spans="1:17" customFormat="1">
      <c r="A44" s="72">
        <v>45314.375</v>
      </c>
      <c r="B44" s="6">
        <v>15.12</v>
      </c>
      <c r="C44" s="6">
        <v>21.12</v>
      </c>
      <c r="D44" s="6">
        <v>24.51</v>
      </c>
      <c r="E44" s="6">
        <v>5.86</v>
      </c>
      <c r="F44" s="6">
        <v>3.44</v>
      </c>
      <c r="G44" s="6">
        <v>70.39</v>
      </c>
      <c r="H44" s="6">
        <v>38.11</v>
      </c>
      <c r="I44" s="6">
        <v>8.36</v>
      </c>
      <c r="J44" s="6">
        <v>1.25</v>
      </c>
      <c r="K44" s="6">
        <v>51.34</v>
      </c>
      <c r="L44" s="6">
        <v>19.420000000000002</v>
      </c>
      <c r="M44" s="6">
        <v>86.16</v>
      </c>
      <c r="N44" s="6">
        <v>76.2</v>
      </c>
      <c r="O44" s="6">
        <v>0</v>
      </c>
      <c r="P44" s="6">
        <v>0.86</v>
      </c>
      <c r="Q44" s="6">
        <v>4.88</v>
      </c>
    </row>
    <row r="45" spans="1:17" customFormat="1">
      <c r="A45" s="72">
        <v>45314.385416666664</v>
      </c>
      <c r="B45" s="6">
        <v>15.58</v>
      </c>
      <c r="C45" s="6">
        <v>20.83</v>
      </c>
      <c r="D45" s="6">
        <v>24.73</v>
      </c>
      <c r="E45" s="6">
        <v>5.83</v>
      </c>
      <c r="F45" s="6">
        <v>3.6</v>
      </c>
      <c r="G45" s="6">
        <v>70.39</v>
      </c>
      <c r="H45" s="6">
        <v>38.11</v>
      </c>
      <c r="I45" s="6">
        <v>8.4499999999999993</v>
      </c>
      <c r="J45" s="6">
        <v>1.43</v>
      </c>
      <c r="K45" s="6">
        <v>50.2</v>
      </c>
      <c r="L45" s="6">
        <v>19.46</v>
      </c>
      <c r="M45" s="6">
        <v>86.44</v>
      </c>
      <c r="N45" s="6">
        <v>112.1</v>
      </c>
      <c r="O45" s="6">
        <v>0</v>
      </c>
      <c r="P45" s="6">
        <v>0.88</v>
      </c>
      <c r="Q45" s="6">
        <v>4.87</v>
      </c>
    </row>
    <row r="46" spans="1:17" customFormat="1">
      <c r="A46" s="72">
        <v>45314.395833333336</v>
      </c>
      <c r="B46" s="6">
        <v>15.91</v>
      </c>
      <c r="C46" s="6">
        <v>21.38</v>
      </c>
      <c r="D46" s="6">
        <v>25.28</v>
      </c>
      <c r="E46" s="6">
        <v>6.28</v>
      </c>
      <c r="F46" s="6">
        <v>3.32</v>
      </c>
      <c r="G46" s="6">
        <v>74.59</v>
      </c>
      <c r="H46" s="6">
        <v>38.479999999999997</v>
      </c>
      <c r="I46" s="6">
        <v>8.52</v>
      </c>
      <c r="J46" s="6">
        <v>1.02</v>
      </c>
      <c r="K46" s="6">
        <v>52.67</v>
      </c>
      <c r="L46" s="6">
        <v>19.739999999999998</v>
      </c>
      <c r="M46" s="6">
        <v>85.48</v>
      </c>
      <c r="N46" s="6">
        <v>73.400000000000006</v>
      </c>
      <c r="O46" s="6">
        <v>0</v>
      </c>
      <c r="P46" s="6">
        <v>0.89</v>
      </c>
      <c r="Q46" s="6">
        <v>4.87</v>
      </c>
    </row>
    <row r="47" spans="1:17" customFormat="1">
      <c r="A47" s="72">
        <v>45314.40625</v>
      </c>
      <c r="B47" s="6">
        <v>16.239999999999998</v>
      </c>
      <c r="C47" s="6">
        <v>21.41</v>
      </c>
      <c r="D47" s="6">
        <v>25.56</v>
      </c>
      <c r="E47" s="6">
        <v>6.25</v>
      </c>
      <c r="F47" s="6">
        <v>3.39</v>
      </c>
      <c r="G47" s="6">
        <v>75.11</v>
      </c>
      <c r="H47" s="6">
        <v>38.479999999999997</v>
      </c>
      <c r="I47" s="6">
        <v>8.59</v>
      </c>
      <c r="J47" s="6">
        <v>1.45</v>
      </c>
      <c r="K47" s="6">
        <v>55.02</v>
      </c>
      <c r="L47" s="6">
        <v>19.79</v>
      </c>
      <c r="M47" s="6">
        <v>84.63</v>
      </c>
      <c r="N47" s="6">
        <v>116.5</v>
      </c>
      <c r="O47" s="6">
        <v>0</v>
      </c>
      <c r="P47" s="6">
        <v>0.91</v>
      </c>
      <c r="Q47" s="6">
        <v>4.87</v>
      </c>
    </row>
    <row r="48" spans="1:17" customFormat="1">
      <c r="A48" s="72">
        <v>45314.416666666664</v>
      </c>
      <c r="B48" s="6">
        <v>16.73</v>
      </c>
      <c r="C48" s="6">
        <v>21.24</v>
      </c>
      <c r="D48" s="6">
        <v>25.87</v>
      </c>
      <c r="E48" s="6">
        <v>6.22</v>
      </c>
      <c r="F48" s="6">
        <v>3.3</v>
      </c>
      <c r="G48" s="6">
        <v>75.11</v>
      </c>
      <c r="H48" s="6">
        <v>38.479999999999997</v>
      </c>
      <c r="I48" s="6">
        <v>8.65</v>
      </c>
      <c r="J48" s="6">
        <v>1.1499999999999999</v>
      </c>
      <c r="K48" s="6">
        <v>47.28</v>
      </c>
      <c r="L48" s="6">
        <v>20.02</v>
      </c>
      <c r="M48" s="6">
        <v>83.66</v>
      </c>
      <c r="N48" s="6">
        <v>105.4</v>
      </c>
      <c r="O48" s="6">
        <v>0</v>
      </c>
      <c r="P48" s="6">
        <v>0.92</v>
      </c>
      <c r="Q48" s="6">
        <v>4.8899999999999997</v>
      </c>
    </row>
    <row r="49" spans="1:17" customFormat="1">
      <c r="A49" s="72">
        <v>45314.427083333336</v>
      </c>
      <c r="B49" s="6">
        <v>17.18</v>
      </c>
      <c r="C49" s="6">
        <v>21.06</v>
      </c>
      <c r="D49" s="6">
        <v>26.13</v>
      </c>
      <c r="E49" s="6">
        <v>5.88</v>
      </c>
      <c r="F49" s="6">
        <v>3.38</v>
      </c>
      <c r="G49" s="6">
        <v>75.11</v>
      </c>
      <c r="H49" s="6">
        <v>38.479999999999997</v>
      </c>
      <c r="I49" s="6">
        <v>8.77</v>
      </c>
      <c r="J49" s="6">
        <v>1.21</v>
      </c>
      <c r="K49" s="6">
        <v>55.64</v>
      </c>
      <c r="L49" s="6">
        <v>20.14</v>
      </c>
      <c r="M49" s="6">
        <v>83.03</v>
      </c>
      <c r="N49" s="6">
        <v>107.9</v>
      </c>
      <c r="O49" s="6">
        <v>0</v>
      </c>
      <c r="P49" s="6">
        <v>0.92</v>
      </c>
      <c r="Q49" s="6">
        <v>4.91</v>
      </c>
    </row>
    <row r="50" spans="1:17" customFormat="1">
      <c r="A50" s="72">
        <v>45314.4375</v>
      </c>
      <c r="B50" s="6">
        <v>17.37</v>
      </c>
      <c r="C50" s="6">
        <v>21.16</v>
      </c>
      <c r="D50" s="6">
        <v>26.34</v>
      </c>
      <c r="E50" s="6">
        <v>6.05</v>
      </c>
      <c r="F50" s="6">
        <v>3.33</v>
      </c>
      <c r="G50" s="6">
        <v>77.61</v>
      </c>
      <c r="H50" s="6">
        <v>41.37</v>
      </c>
      <c r="I50" s="6">
        <v>8.86</v>
      </c>
      <c r="J50" s="6">
        <v>1.59</v>
      </c>
      <c r="K50" s="6">
        <v>54.4</v>
      </c>
      <c r="L50" s="6">
        <v>20.149999999999999</v>
      </c>
      <c r="M50" s="6">
        <v>82.54</v>
      </c>
      <c r="N50" s="6">
        <v>148.9</v>
      </c>
      <c r="O50" s="6">
        <v>0</v>
      </c>
      <c r="P50" s="6">
        <v>0.93</v>
      </c>
      <c r="Q50" s="6">
        <v>4.92</v>
      </c>
    </row>
    <row r="51" spans="1:17" customFormat="1">
      <c r="A51" s="72">
        <v>45314.447916666664</v>
      </c>
      <c r="B51" s="6">
        <v>17.350000000000001</v>
      </c>
      <c r="C51" s="6">
        <v>21.48</v>
      </c>
      <c r="D51" s="6">
        <v>26.49</v>
      </c>
      <c r="E51" s="6">
        <v>6.88</v>
      </c>
      <c r="F51" s="6">
        <v>3.4</v>
      </c>
      <c r="G51" s="6">
        <v>77.930000000000007</v>
      </c>
      <c r="H51" s="6">
        <v>41.37</v>
      </c>
      <c r="I51" s="6">
        <v>8.9</v>
      </c>
      <c r="J51" s="6">
        <v>1.58</v>
      </c>
      <c r="K51" s="6">
        <v>52.09</v>
      </c>
      <c r="L51" s="6">
        <v>20.66</v>
      </c>
      <c r="M51" s="6">
        <v>79.52</v>
      </c>
      <c r="N51" s="6">
        <v>214</v>
      </c>
      <c r="O51" s="6">
        <v>0</v>
      </c>
      <c r="P51" s="6">
        <v>0.93</v>
      </c>
      <c r="Q51" s="6">
        <v>4.9000000000000004</v>
      </c>
    </row>
    <row r="52" spans="1:17" customFormat="1">
      <c r="A52" s="72">
        <v>45314.458333333336</v>
      </c>
      <c r="B52" s="6">
        <v>17.25</v>
      </c>
      <c r="C52" s="6">
        <v>21.45</v>
      </c>
      <c r="D52" s="6">
        <v>26.39</v>
      </c>
      <c r="E52" s="6">
        <v>6.92</v>
      </c>
      <c r="F52" s="6">
        <v>3.54</v>
      </c>
      <c r="G52" s="6">
        <v>77.930000000000007</v>
      </c>
      <c r="H52" s="6">
        <v>41.37</v>
      </c>
      <c r="I52" s="6">
        <v>8.8699999999999992</v>
      </c>
      <c r="J52" s="6">
        <v>1.24</v>
      </c>
      <c r="K52" s="6">
        <v>59.37</v>
      </c>
      <c r="L52" s="6">
        <v>20.65</v>
      </c>
      <c r="M52" s="6">
        <v>80.37</v>
      </c>
      <c r="N52" s="6">
        <v>117.8</v>
      </c>
      <c r="O52" s="6">
        <v>0</v>
      </c>
      <c r="P52" s="6">
        <v>0.93</v>
      </c>
      <c r="Q52" s="6">
        <v>4.93</v>
      </c>
    </row>
    <row r="53" spans="1:17" customFormat="1">
      <c r="A53" s="72">
        <v>45314.46875</v>
      </c>
      <c r="B53" s="6">
        <v>17.18</v>
      </c>
      <c r="C53" s="6">
        <v>20.87</v>
      </c>
      <c r="D53" s="6">
        <v>26.03</v>
      </c>
      <c r="E53" s="6">
        <v>6.95</v>
      </c>
      <c r="F53" s="6">
        <v>3.6</v>
      </c>
      <c r="G53" s="6">
        <v>77.930000000000007</v>
      </c>
      <c r="H53" s="6">
        <v>41.37</v>
      </c>
      <c r="I53" s="6">
        <v>8.85</v>
      </c>
      <c r="J53" s="6">
        <v>1.2</v>
      </c>
      <c r="K53" s="6">
        <v>42.37</v>
      </c>
      <c r="L53" s="6">
        <v>20.28</v>
      </c>
      <c r="M53" s="6">
        <v>82.9</v>
      </c>
      <c r="N53" s="6">
        <v>58.7</v>
      </c>
      <c r="O53" s="6">
        <v>0</v>
      </c>
      <c r="P53" s="6">
        <v>0.93</v>
      </c>
      <c r="Q53" s="6">
        <v>4.91</v>
      </c>
    </row>
    <row r="54" spans="1:17" customFormat="1">
      <c r="A54" s="72">
        <v>45314.479166666664</v>
      </c>
      <c r="B54" s="6">
        <v>17.13</v>
      </c>
      <c r="C54" s="6">
        <v>21.22</v>
      </c>
      <c r="D54" s="6">
        <v>26.17</v>
      </c>
      <c r="E54" s="6">
        <v>6.75</v>
      </c>
      <c r="F54" s="6">
        <v>3.49</v>
      </c>
      <c r="G54" s="6">
        <v>73.22</v>
      </c>
      <c r="H54" s="6">
        <v>38.520000000000003</v>
      </c>
      <c r="I54" s="6">
        <v>8.85</v>
      </c>
      <c r="J54" s="6">
        <v>1.31</v>
      </c>
      <c r="K54" s="6">
        <v>37.1</v>
      </c>
      <c r="L54" s="6">
        <v>19.84</v>
      </c>
      <c r="M54" s="6">
        <v>84.55</v>
      </c>
      <c r="N54" s="6">
        <v>50.8</v>
      </c>
      <c r="O54" s="6">
        <v>0</v>
      </c>
      <c r="P54" s="6">
        <v>0.94</v>
      </c>
      <c r="Q54" s="6">
        <v>4.92</v>
      </c>
    </row>
    <row r="55" spans="1:17" customFormat="1">
      <c r="A55" s="72">
        <v>45314.489583333336</v>
      </c>
      <c r="B55" s="6">
        <v>17.23</v>
      </c>
      <c r="C55" s="6">
        <v>22.11</v>
      </c>
      <c r="D55" s="6">
        <v>26.72</v>
      </c>
      <c r="E55" s="6">
        <v>6.76</v>
      </c>
      <c r="F55" s="6">
        <v>3.29</v>
      </c>
      <c r="G55" s="6">
        <v>72.64</v>
      </c>
      <c r="H55" s="6">
        <v>38.520000000000003</v>
      </c>
      <c r="I55" s="6">
        <v>8.85</v>
      </c>
      <c r="J55" s="6">
        <v>1.74</v>
      </c>
      <c r="K55" s="6">
        <v>51.07</v>
      </c>
      <c r="L55" s="6">
        <v>19.510000000000002</v>
      </c>
      <c r="M55" s="6">
        <v>84.96</v>
      </c>
      <c r="N55" s="6">
        <v>107.9</v>
      </c>
      <c r="O55" s="6">
        <v>0</v>
      </c>
      <c r="P55" s="6">
        <v>0.94</v>
      </c>
      <c r="Q55" s="6">
        <v>4.92</v>
      </c>
    </row>
    <row r="56" spans="1:17" customFormat="1">
      <c r="A56" s="72">
        <v>45314.5</v>
      </c>
      <c r="B56" s="6">
        <v>17.21</v>
      </c>
      <c r="C56" s="6">
        <v>21.11</v>
      </c>
      <c r="D56" s="6">
        <v>26.18</v>
      </c>
      <c r="E56" s="6">
        <v>6.66</v>
      </c>
      <c r="F56" s="6">
        <v>3.44</v>
      </c>
      <c r="G56" s="6">
        <v>72.64</v>
      </c>
      <c r="H56" s="6">
        <v>38.520000000000003</v>
      </c>
      <c r="I56" s="6">
        <v>8.8699999999999992</v>
      </c>
      <c r="J56" s="6">
        <v>1.72</v>
      </c>
      <c r="K56" s="6">
        <v>52.3</v>
      </c>
      <c r="L56" s="6">
        <v>19.690000000000001</v>
      </c>
      <c r="M56" s="6">
        <v>82.99</v>
      </c>
      <c r="N56" s="6">
        <v>99.4</v>
      </c>
      <c r="O56" s="6">
        <v>0</v>
      </c>
      <c r="P56" s="6">
        <v>0.94</v>
      </c>
      <c r="Q56" s="6">
        <v>4.9400000000000004</v>
      </c>
    </row>
    <row r="57" spans="1:17" customFormat="1">
      <c r="A57" s="72">
        <v>45314.510416666664</v>
      </c>
      <c r="B57" s="6">
        <v>17.079999999999998</v>
      </c>
      <c r="C57" s="6">
        <v>21.69</v>
      </c>
      <c r="D57" s="6">
        <v>26.38</v>
      </c>
      <c r="E57" s="6">
        <v>6.43</v>
      </c>
      <c r="F57" s="6">
        <v>3.45</v>
      </c>
      <c r="G57" s="6">
        <v>72.64</v>
      </c>
      <c r="H57" s="6">
        <v>38.520000000000003</v>
      </c>
      <c r="I57" s="6">
        <v>8.89</v>
      </c>
      <c r="J57" s="6">
        <v>1.54</v>
      </c>
      <c r="K57" s="6">
        <v>59.34</v>
      </c>
      <c r="L57" s="6">
        <v>19.86</v>
      </c>
      <c r="M57" s="6">
        <v>83.19</v>
      </c>
      <c r="N57" s="6">
        <v>104.4</v>
      </c>
      <c r="O57" s="6">
        <v>0</v>
      </c>
      <c r="P57" s="6">
        <v>0.93</v>
      </c>
      <c r="Q57" s="6">
        <v>4.93</v>
      </c>
    </row>
    <row r="58" spans="1:17" customFormat="1">
      <c r="A58" s="72">
        <v>45314.520833333336</v>
      </c>
      <c r="B58" s="6">
        <v>17.23</v>
      </c>
      <c r="C58" s="6">
        <v>21.83</v>
      </c>
      <c r="D58" s="6">
        <v>26.58</v>
      </c>
      <c r="E58" s="6">
        <v>7.05</v>
      </c>
      <c r="F58" s="6">
        <v>3.5</v>
      </c>
      <c r="G58" s="6">
        <v>69.69</v>
      </c>
      <c r="H58" s="6">
        <v>40.14</v>
      </c>
      <c r="I58" s="6">
        <v>8.9</v>
      </c>
      <c r="J58" s="6">
        <v>1.53</v>
      </c>
      <c r="K58" s="6">
        <v>48.73</v>
      </c>
      <c r="L58" s="6">
        <v>19.760000000000002</v>
      </c>
      <c r="M58" s="6">
        <v>83.99</v>
      </c>
      <c r="N58" s="6">
        <v>137.5</v>
      </c>
      <c r="O58" s="6">
        <v>0</v>
      </c>
      <c r="P58" s="6">
        <v>0.94</v>
      </c>
      <c r="Q58" s="6">
        <v>4.93</v>
      </c>
    </row>
    <row r="59" spans="1:17" customFormat="1">
      <c r="A59" s="72">
        <v>45314.53125</v>
      </c>
      <c r="B59" s="6">
        <v>17.73</v>
      </c>
      <c r="C59" s="6">
        <v>22.06</v>
      </c>
      <c r="D59" s="6">
        <v>27.1</v>
      </c>
      <c r="E59" s="6">
        <v>6.16</v>
      </c>
      <c r="F59" s="6">
        <v>3.51</v>
      </c>
      <c r="G59" s="6">
        <v>69.33</v>
      </c>
      <c r="H59" s="6">
        <v>40.14</v>
      </c>
      <c r="I59" s="6">
        <v>8.86</v>
      </c>
      <c r="J59" s="6">
        <v>1.4</v>
      </c>
      <c r="K59" s="6">
        <v>37.36</v>
      </c>
      <c r="L59" s="6">
        <v>19.600000000000001</v>
      </c>
      <c r="M59" s="6">
        <v>84.29</v>
      </c>
      <c r="N59" s="6">
        <v>44.9</v>
      </c>
      <c r="O59" s="6">
        <v>0</v>
      </c>
      <c r="P59" s="6">
        <v>0.94</v>
      </c>
      <c r="Q59" s="6">
        <v>4.97</v>
      </c>
    </row>
    <row r="60" spans="1:17" customFormat="1">
      <c r="A60" s="72">
        <v>45314.541666666664</v>
      </c>
      <c r="B60" s="6">
        <v>18.16</v>
      </c>
      <c r="C60" s="6">
        <v>22.42</v>
      </c>
      <c r="D60" s="6">
        <v>27.63</v>
      </c>
      <c r="E60" s="6">
        <v>6.55</v>
      </c>
      <c r="F60" s="6">
        <v>3.32</v>
      </c>
      <c r="G60" s="6">
        <v>69.33</v>
      </c>
      <c r="H60" s="6">
        <v>40.14</v>
      </c>
      <c r="I60" s="6">
        <v>8.8699999999999992</v>
      </c>
      <c r="J60" s="6">
        <v>1.27</v>
      </c>
      <c r="K60" s="6">
        <v>41.78</v>
      </c>
      <c r="L60" s="6">
        <v>19.28</v>
      </c>
      <c r="M60" s="6">
        <v>85.76</v>
      </c>
      <c r="N60" s="6">
        <v>14.2</v>
      </c>
      <c r="O60" s="6">
        <v>0</v>
      </c>
      <c r="P60" s="6">
        <v>0.94</v>
      </c>
      <c r="Q60" s="6">
        <v>4.97</v>
      </c>
    </row>
    <row r="61" spans="1:17" customFormat="1">
      <c r="A61" s="72">
        <v>45314.552083333336</v>
      </c>
      <c r="B61" s="6">
        <v>18.21</v>
      </c>
      <c r="C61" s="6">
        <v>23.5</v>
      </c>
      <c r="D61" s="6">
        <v>28.23</v>
      </c>
      <c r="E61" s="6">
        <v>6.61</v>
      </c>
      <c r="F61" s="6">
        <v>3.46</v>
      </c>
      <c r="G61" s="6">
        <v>69.33</v>
      </c>
      <c r="H61" s="6">
        <v>40.14</v>
      </c>
      <c r="I61" s="6">
        <v>8.93</v>
      </c>
      <c r="J61" s="6">
        <v>1.19</v>
      </c>
      <c r="K61" s="6">
        <v>38.869999999999997</v>
      </c>
      <c r="L61" s="6">
        <v>18.55</v>
      </c>
      <c r="M61" s="6">
        <v>92.2</v>
      </c>
      <c r="N61" s="6">
        <v>1.9</v>
      </c>
      <c r="O61" s="6">
        <v>0.4</v>
      </c>
      <c r="P61" s="6">
        <v>0.95</v>
      </c>
      <c r="Q61" s="6">
        <v>4.99</v>
      </c>
    </row>
    <row r="62" spans="1:17" customFormat="1">
      <c r="A62" s="72">
        <v>45314.5625</v>
      </c>
      <c r="B62" s="6">
        <v>18.45</v>
      </c>
      <c r="C62" s="6">
        <v>24.13</v>
      </c>
      <c r="D62" s="6">
        <v>28.75</v>
      </c>
      <c r="E62" s="6">
        <v>6.61</v>
      </c>
      <c r="F62" s="6">
        <v>3.39</v>
      </c>
      <c r="G62" s="6">
        <v>66.959999999999994</v>
      </c>
      <c r="H62" s="6">
        <v>36.96</v>
      </c>
      <c r="I62" s="6">
        <v>8.98</v>
      </c>
      <c r="J62" s="6">
        <v>1.33</v>
      </c>
      <c r="K62" s="6">
        <v>50.74</v>
      </c>
      <c r="L62" s="6">
        <v>17.940000000000001</v>
      </c>
      <c r="M62" s="6">
        <v>95.6</v>
      </c>
      <c r="N62" s="6">
        <v>18.8</v>
      </c>
      <c r="O62" s="6">
        <v>0</v>
      </c>
      <c r="P62" s="6">
        <v>0.94</v>
      </c>
      <c r="Q62" s="6">
        <v>5</v>
      </c>
    </row>
    <row r="63" spans="1:17" customFormat="1">
      <c r="A63" s="72">
        <v>45314.572916666664</v>
      </c>
      <c r="B63" s="6">
        <v>19.14</v>
      </c>
      <c r="C63" s="6">
        <v>24.84</v>
      </c>
      <c r="D63" s="6">
        <v>29.67</v>
      </c>
      <c r="E63" s="6">
        <v>6.78</v>
      </c>
      <c r="F63" s="6">
        <v>3.37</v>
      </c>
      <c r="G63" s="6">
        <v>66.66</v>
      </c>
      <c r="H63" s="6">
        <v>36.96</v>
      </c>
      <c r="I63" s="6">
        <v>9.01</v>
      </c>
      <c r="J63" s="6">
        <v>1.33</v>
      </c>
      <c r="K63" s="6">
        <v>41.12</v>
      </c>
      <c r="L63" s="6">
        <v>17.75</v>
      </c>
      <c r="M63" s="6">
        <v>96.57</v>
      </c>
      <c r="N63" s="6">
        <v>14.4</v>
      </c>
      <c r="O63" s="6">
        <v>0</v>
      </c>
      <c r="P63" s="6">
        <v>0.95</v>
      </c>
      <c r="Q63" s="6">
        <v>5.01</v>
      </c>
    </row>
    <row r="64" spans="1:17" customFormat="1">
      <c r="A64" s="72">
        <v>45314.583333333336</v>
      </c>
      <c r="B64" s="6">
        <v>19.71</v>
      </c>
      <c r="C64" s="6">
        <v>25.6</v>
      </c>
      <c r="D64" s="6">
        <v>30.53</v>
      </c>
      <c r="E64" s="6">
        <v>7.34</v>
      </c>
      <c r="F64" s="6">
        <v>3.37</v>
      </c>
      <c r="G64" s="6">
        <v>66.66</v>
      </c>
      <c r="H64" s="6">
        <v>36.96</v>
      </c>
      <c r="I64" s="6">
        <v>9.08</v>
      </c>
      <c r="J64" s="6">
        <v>1.46</v>
      </c>
      <c r="K64" s="6">
        <v>45.29</v>
      </c>
      <c r="L64" s="6">
        <v>17.670000000000002</v>
      </c>
      <c r="M64" s="6">
        <v>96.61</v>
      </c>
      <c r="N64" s="6">
        <v>20.6</v>
      </c>
      <c r="O64" s="6">
        <v>0</v>
      </c>
      <c r="P64" s="6">
        <v>0.96</v>
      </c>
      <c r="Q64" s="6">
        <v>5.0199999999999996</v>
      </c>
    </row>
    <row r="65" spans="1:17" customFormat="1">
      <c r="A65" s="72">
        <v>45314.59375</v>
      </c>
      <c r="B65" s="6">
        <v>20.91</v>
      </c>
      <c r="C65" s="6">
        <v>26.12</v>
      </c>
      <c r="D65" s="6">
        <v>31.77</v>
      </c>
      <c r="E65" s="6">
        <v>7.79</v>
      </c>
      <c r="F65" s="6">
        <v>3.31</v>
      </c>
      <c r="G65" s="6">
        <v>66.66</v>
      </c>
      <c r="H65" s="6">
        <v>36.96</v>
      </c>
      <c r="I65" s="6">
        <v>9.18</v>
      </c>
      <c r="J65" s="6">
        <v>1.36</v>
      </c>
      <c r="K65" s="6">
        <v>48.79</v>
      </c>
      <c r="L65" s="6">
        <v>17.73</v>
      </c>
      <c r="M65" s="6">
        <v>96.36</v>
      </c>
      <c r="N65" s="6">
        <v>22.5</v>
      </c>
      <c r="O65" s="6">
        <v>0</v>
      </c>
      <c r="P65" s="6">
        <v>0.95</v>
      </c>
      <c r="Q65" s="6">
        <v>5.05</v>
      </c>
    </row>
    <row r="66" spans="1:17" customFormat="1">
      <c r="A66" s="72">
        <v>45314.604166666664</v>
      </c>
      <c r="B66" s="6">
        <v>22.2</v>
      </c>
      <c r="C66" s="6">
        <v>26.87</v>
      </c>
      <c r="D66" s="6">
        <v>33.19</v>
      </c>
      <c r="E66" s="6">
        <v>7.28</v>
      </c>
      <c r="F66" s="6">
        <v>3.2</v>
      </c>
      <c r="G66" s="6">
        <v>64.180000000000007</v>
      </c>
      <c r="H66" s="6">
        <v>34.22</v>
      </c>
      <c r="I66" s="6">
        <v>9.31</v>
      </c>
      <c r="J66" s="6">
        <v>1.63</v>
      </c>
      <c r="K66" s="6">
        <v>43.96</v>
      </c>
      <c r="L66" s="6">
        <v>17.45</v>
      </c>
      <c r="M66" s="6">
        <v>95.8</v>
      </c>
      <c r="N66" s="6">
        <v>12.7</v>
      </c>
      <c r="O66" s="6">
        <v>0</v>
      </c>
      <c r="P66" s="6">
        <v>0.99</v>
      </c>
      <c r="Q66" s="6">
        <v>5.0599999999999996</v>
      </c>
    </row>
    <row r="67" spans="1:17" customFormat="1">
      <c r="A67" s="72">
        <v>45314.614583333336</v>
      </c>
      <c r="B67" s="6">
        <v>22.83</v>
      </c>
      <c r="C67" s="6">
        <v>27.25</v>
      </c>
      <c r="D67" s="6">
        <v>33.9</v>
      </c>
      <c r="E67" s="6">
        <v>6.85</v>
      </c>
      <c r="F67" s="6">
        <v>3.24</v>
      </c>
      <c r="G67" s="6">
        <v>63.87</v>
      </c>
      <c r="H67" s="6">
        <v>34.22</v>
      </c>
      <c r="I67" s="6">
        <v>9.43</v>
      </c>
      <c r="J67" s="6">
        <v>1.5</v>
      </c>
      <c r="K67" s="6">
        <v>43.39</v>
      </c>
      <c r="L67" s="6">
        <v>17.309999999999999</v>
      </c>
      <c r="M67" s="6">
        <v>95.47</v>
      </c>
      <c r="N67" s="6">
        <v>15</v>
      </c>
      <c r="O67" s="6">
        <v>0</v>
      </c>
      <c r="P67" s="6">
        <v>1</v>
      </c>
      <c r="Q67" s="6">
        <v>5.05</v>
      </c>
    </row>
    <row r="68" spans="1:17" customFormat="1">
      <c r="A68" s="72">
        <v>45314.625</v>
      </c>
      <c r="B68" s="6">
        <v>23.19</v>
      </c>
      <c r="C68" s="6">
        <v>27.54</v>
      </c>
      <c r="D68" s="6">
        <v>34.340000000000003</v>
      </c>
      <c r="E68" s="6">
        <v>7.01</v>
      </c>
      <c r="F68" s="6">
        <v>3.41</v>
      </c>
      <c r="G68" s="6">
        <v>63.87</v>
      </c>
      <c r="H68" s="6">
        <v>34.22</v>
      </c>
      <c r="I68" s="6">
        <v>9.59</v>
      </c>
      <c r="J68" s="6">
        <v>1.55</v>
      </c>
      <c r="K68" s="6">
        <v>39.93</v>
      </c>
      <c r="L68" s="6">
        <v>17.3</v>
      </c>
      <c r="M68" s="6">
        <v>94.7</v>
      </c>
      <c r="N68" s="6">
        <v>43.9</v>
      </c>
      <c r="O68" s="6">
        <v>0</v>
      </c>
      <c r="P68" s="6">
        <v>1.02</v>
      </c>
      <c r="Q68" s="6">
        <v>5.04</v>
      </c>
    </row>
    <row r="69" spans="1:17" customFormat="1">
      <c r="A69" s="72">
        <v>45314.635416666664</v>
      </c>
      <c r="B69" s="6">
        <v>23.49</v>
      </c>
      <c r="C69" s="6">
        <v>27.91</v>
      </c>
      <c r="D69" s="6">
        <v>34.770000000000003</v>
      </c>
      <c r="E69" s="6">
        <v>6.79</v>
      </c>
      <c r="F69" s="6">
        <v>3.38</v>
      </c>
      <c r="G69" s="6">
        <v>63.87</v>
      </c>
      <c r="H69" s="6">
        <v>34.22</v>
      </c>
      <c r="I69" s="6">
        <v>9.76</v>
      </c>
      <c r="J69" s="6">
        <v>1.56</v>
      </c>
      <c r="K69" s="6">
        <v>45.79</v>
      </c>
      <c r="L69" s="6">
        <v>17.329999999999998</v>
      </c>
      <c r="M69" s="6">
        <v>94.13</v>
      </c>
      <c r="N69" s="6">
        <v>42.8</v>
      </c>
      <c r="O69" s="6">
        <v>0</v>
      </c>
      <c r="P69" s="6">
        <v>1.03</v>
      </c>
      <c r="Q69" s="6">
        <v>5.04</v>
      </c>
    </row>
    <row r="70" spans="1:17" customFormat="1">
      <c r="A70" s="72">
        <v>45314.645833333336</v>
      </c>
      <c r="B70" s="6">
        <v>24.01</v>
      </c>
      <c r="C70" s="6">
        <v>28.42</v>
      </c>
      <c r="D70" s="6">
        <v>35.450000000000003</v>
      </c>
      <c r="E70" s="6">
        <v>7.42</v>
      </c>
      <c r="F70" s="6">
        <v>3.16</v>
      </c>
      <c r="G70" s="6">
        <v>64.05</v>
      </c>
      <c r="H70" s="6">
        <v>33.39</v>
      </c>
      <c r="I70" s="6">
        <v>9.91</v>
      </c>
      <c r="J70" s="6">
        <v>1.44</v>
      </c>
      <c r="K70" s="6">
        <v>55.29</v>
      </c>
      <c r="L70" s="6">
        <v>17.36</v>
      </c>
      <c r="M70" s="6">
        <v>93.74</v>
      </c>
      <c r="N70" s="6">
        <v>22.9</v>
      </c>
      <c r="O70" s="6">
        <v>0</v>
      </c>
      <c r="P70" s="6">
        <v>1.05</v>
      </c>
      <c r="Q70" s="6">
        <v>5.03</v>
      </c>
    </row>
    <row r="71" spans="1:17" customFormat="1">
      <c r="A71" s="72">
        <v>45314.65625</v>
      </c>
      <c r="B71" s="6">
        <v>24.49</v>
      </c>
      <c r="C71" s="6">
        <v>29.07</v>
      </c>
      <c r="D71" s="6">
        <v>36.18</v>
      </c>
      <c r="E71" s="6">
        <v>7.3</v>
      </c>
      <c r="F71" s="6">
        <v>3.08</v>
      </c>
      <c r="G71" s="6">
        <v>64.069999999999993</v>
      </c>
      <c r="H71" s="6">
        <v>33.39</v>
      </c>
      <c r="I71" s="6">
        <v>10.050000000000001</v>
      </c>
      <c r="J71" s="6">
        <v>1.33</v>
      </c>
      <c r="K71" s="6">
        <v>59.74</v>
      </c>
      <c r="L71" s="6">
        <v>17.440000000000001</v>
      </c>
      <c r="M71" s="6">
        <v>93.78</v>
      </c>
      <c r="N71" s="6">
        <v>32.299999999999997</v>
      </c>
      <c r="O71" s="6">
        <v>0</v>
      </c>
      <c r="P71" s="6">
        <v>1.06</v>
      </c>
      <c r="Q71" s="6">
        <v>5.05</v>
      </c>
    </row>
    <row r="72" spans="1:17" customFormat="1">
      <c r="A72" s="72">
        <v>45314.666666666664</v>
      </c>
      <c r="B72" s="6">
        <v>25.12</v>
      </c>
      <c r="C72" s="6">
        <v>29.32</v>
      </c>
      <c r="D72" s="6">
        <v>36.81</v>
      </c>
      <c r="E72" s="6">
        <v>7.4</v>
      </c>
      <c r="F72" s="6">
        <v>3.47</v>
      </c>
      <c r="G72" s="6">
        <v>64.069999999999993</v>
      </c>
      <c r="H72" s="6">
        <v>33.39</v>
      </c>
      <c r="I72" s="6">
        <v>10.220000000000001</v>
      </c>
      <c r="J72" s="6">
        <v>1.31</v>
      </c>
      <c r="K72" s="6">
        <v>56.02</v>
      </c>
      <c r="L72" s="6">
        <v>17.55</v>
      </c>
      <c r="M72" s="6">
        <v>92.47</v>
      </c>
      <c r="N72" s="6">
        <v>31.3</v>
      </c>
      <c r="O72" s="6">
        <v>0</v>
      </c>
      <c r="P72" s="6">
        <v>1.07</v>
      </c>
      <c r="Q72" s="6">
        <v>5.07</v>
      </c>
    </row>
    <row r="73" spans="1:17" customFormat="1">
      <c r="A73" s="72">
        <v>45314.677083333336</v>
      </c>
      <c r="B73" s="6">
        <v>25.12</v>
      </c>
      <c r="C73" s="6">
        <v>29.87</v>
      </c>
      <c r="D73" s="6">
        <v>37.1</v>
      </c>
      <c r="E73" s="6">
        <v>7.59</v>
      </c>
      <c r="F73" s="6">
        <v>3.37</v>
      </c>
      <c r="G73" s="6">
        <v>64.069999999999993</v>
      </c>
      <c r="H73" s="6">
        <v>33.39</v>
      </c>
      <c r="I73" s="6">
        <v>10.33</v>
      </c>
      <c r="J73" s="6">
        <v>1.35</v>
      </c>
      <c r="K73" s="6">
        <v>60.43</v>
      </c>
      <c r="L73" s="6">
        <v>17.61</v>
      </c>
      <c r="M73" s="6">
        <v>91.79</v>
      </c>
      <c r="N73" s="6">
        <v>30.4</v>
      </c>
      <c r="O73" s="6">
        <v>0</v>
      </c>
      <c r="P73" s="6">
        <v>1.07</v>
      </c>
      <c r="Q73" s="6">
        <v>5.0599999999999996</v>
      </c>
    </row>
    <row r="74" spans="1:17" customFormat="1">
      <c r="A74" s="72">
        <v>45314.6875</v>
      </c>
      <c r="B74" s="6">
        <v>25.22</v>
      </c>
      <c r="C74" s="6">
        <v>30.77</v>
      </c>
      <c r="D74" s="6">
        <v>37.65</v>
      </c>
      <c r="E74" s="6">
        <v>7.61</v>
      </c>
      <c r="F74" s="6">
        <v>3.14</v>
      </c>
      <c r="G74" s="6">
        <v>66.31</v>
      </c>
      <c r="H74" s="6">
        <v>30.92</v>
      </c>
      <c r="I74" s="6">
        <v>10.38</v>
      </c>
      <c r="J74" s="6">
        <v>1.49</v>
      </c>
      <c r="K74" s="6">
        <v>52.57</v>
      </c>
      <c r="L74" s="6">
        <v>17.690000000000001</v>
      </c>
      <c r="M74" s="6">
        <v>91.23</v>
      </c>
      <c r="N74" s="6">
        <v>38.700000000000003</v>
      </c>
      <c r="O74" s="6">
        <v>0</v>
      </c>
      <c r="P74" s="6">
        <v>1.07</v>
      </c>
      <c r="Q74" s="6">
        <v>5.07</v>
      </c>
    </row>
    <row r="75" spans="1:17" customFormat="1">
      <c r="A75" s="72">
        <v>45314.697916666664</v>
      </c>
      <c r="B75" s="6">
        <v>25.33</v>
      </c>
      <c r="C75" s="6">
        <v>31.01</v>
      </c>
      <c r="D75" s="6">
        <v>37.869999999999997</v>
      </c>
      <c r="E75" s="6">
        <v>7.6</v>
      </c>
      <c r="F75" s="6">
        <v>3.04</v>
      </c>
      <c r="G75" s="6">
        <v>66.59</v>
      </c>
      <c r="H75" s="6">
        <v>30.92</v>
      </c>
      <c r="I75" s="6">
        <v>10.4</v>
      </c>
      <c r="J75" s="6">
        <v>1.53</v>
      </c>
      <c r="K75" s="6">
        <v>54.08</v>
      </c>
      <c r="L75" s="6">
        <v>17.559999999999999</v>
      </c>
      <c r="M75" s="6">
        <v>91</v>
      </c>
      <c r="N75" s="6">
        <v>9.3000000000000007</v>
      </c>
      <c r="O75" s="6">
        <v>0</v>
      </c>
      <c r="P75" s="6">
        <v>1.07</v>
      </c>
      <c r="Q75" s="6">
        <v>5.08</v>
      </c>
    </row>
    <row r="76" spans="1:17" customFormat="1">
      <c r="A76" s="72">
        <v>45314.708333333336</v>
      </c>
      <c r="B76" s="6">
        <v>25.5</v>
      </c>
      <c r="C76" s="6">
        <v>31.38</v>
      </c>
      <c r="D76" s="6">
        <v>38.200000000000003</v>
      </c>
      <c r="E76" s="6">
        <v>7.17</v>
      </c>
      <c r="F76" s="6">
        <v>3.16</v>
      </c>
      <c r="G76" s="6">
        <v>66.59</v>
      </c>
      <c r="H76" s="6">
        <v>30.92</v>
      </c>
      <c r="I76" s="6">
        <v>10.35</v>
      </c>
      <c r="J76" s="6">
        <v>1.23</v>
      </c>
      <c r="K76" s="6">
        <v>59.87</v>
      </c>
      <c r="L76" s="6">
        <v>17.59</v>
      </c>
      <c r="M76" s="6">
        <v>91.25</v>
      </c>
      <c r="N76" s="6">
        <v>2</v>
      </c>
      <c r="O76" s="6">
        <v>0</v>
      </c>
      <c r="P76" s="6">
        <v>1.06</v>
      </c>
      <c r="Q76" s="6">
        <v>5.07</v>
      </c>
    </row>
    <row r="77" spans="1:17" customFormat="1">
      <c r="A77" s="72">
        <v>45314.71875</v>
      </c>
      <c r="B77" s="6">
        <v>25.67</v>
      </c>
      <c r="C77" s="6">
        <v>31.92</v>
      </c>
      <c r="D77" s="6">
        <v>38.619999999999997</v>
      </c>
      <c r="E77" s="6">
        <v>7.59</v>
      </c>
      <c r="F77" s="6">
        <v>3.3</v>
      </c>
      <c r="G77" s="6">
        <v>66.59</v>
      </c>
      <c r="H77" s="6">
        <v>30.92</v>
      </c>
      <c r="I77" s="6">
        <v>10.27</v>
      </c>
      <c r="J77" s="6">
        <v>1.66</v>
      </c>
      <c r="K77" s="6">
        <v>62.57</v>
      </c>
      <c r="L77" s="6">
        <v>17.46</v>
      </c>
      <c r="M77" s="6">
        <v>91.09</v>
      </c>
      <c r="N77" s="6">
        <v>0.8</v>
      </c>
      <c r="O77" s="6">
        <v>0</v>
      </c>
      <c r="P77" s="6">
        <v>1.06</v>
      </c>
      <c r="Q77" s="6">
        <v>5.07</v>
      </c>
    </row>
    <row r="78" spans="1:17" customFormat="1">
      <c r="A78" s="72">
        <v>45314.729166666664</v>
      </c>
      <c r="B78" s="6">
        <v>25.14</v>
      </c>
      <c r="C78" s="6">
        <v>32.340000000000003</v>
      </c>
      <c r="D78" s="6">
        <v>38.409999999999997</v>
      </c>
      <c r="E78" s="6">
        <v>7.36</v>
      </c>
      <c r="F78" s="6">
        <v>3.19</v>
      </c>
      <c r="G78" s="6">
        <v>64.77</v>
      </c>
      <c r="H78" s="6">
        <v>33.479999999999997</v>
      </c>
      <c r="I78" s="6">
        <v>10.23</v>
      </c>
      <c r="J78" s="6">
        <v>1.39</v>
      </c>
      <c r="K78" s="6">
        <v>62.67</v>
      </c>
      <c r="L78" s="6">
        <v>17.399999999999999</v>
      </c>
      <c r="M78" s="6">
        <v>91.53</v>
      </c>
      <c r="N78" s="6">
        <v>0</v>
      </c>
      <c r="O78" s="6">
        <v>0</v>
      </c>
      <c r="P78" s="6">
        <v>1.05</v>
      </c>
      <c r="Q78" s="6">
        <v>5.07</v>
      </c>
    </row>
    <row r="79" spans="1:17" customFormat="1">
      <c r="A79" s="72">
        <v>45314.739583333336</v>
      </c>
      <c r="B79" s="6">
        <v>24.73</v>
      </c>
      <c r="C79" s="6">
        <v>32.28</v>
      </c>
      <c r="D79" s="6">
        <v>38.049999999999997</v>
      </c>
      <c r="E79" s="6">
        <v>7.67</v>
      </c>
      <c r="F79" s="6">
        <v>3.26</v>
      </c>
      <c r="G79" s="6">
        <v>64.540000000000006</v>
      </c>
      <c r="H79" s="6">
        <v>33.479999999999997</v>
      </c>
      <c r="I79" s="6">
        <v>10.130000000000001</v>
      </c>
      <c r="J79" s="6">
        <v>1.31</v>
      </c>
      <c r="K79" s="6">
        <v>63.79</v>
      </c>
      <c r="L79" s="6">
        <v>17.29</v>
      </c>
      <c r="M79" s="6">
        <v>92.41</v>
      </c>
      <c r="N79" s="6">
        <v>0</v>
      </c>
      <c r="O79" s="6">
        <v>0</v>
      </c>
      <c r="P79" s="6">
        <v>1.04</v>
      </c>
      <c r="Q79" s="6">
        <v>5.09</v>
      </c>
    </row>
    <row r="80" spans="1:17" customFormat="1">
      <c r="A80" s="72">
        <v>45314.75</v>
      </c>
      <c r="B80" s="6">
        <v>24.88</v>
      </c>
      <c r="C80" s="6">
        <v>31.7</v>
      </c>
      <c r="D80" s="6">
        <v>37.86</v>
      </c>
      <c r="E80" s="6">
        <v>7.47</v>
      </c>
      <c r="F80" s="6">
        <v>3.47</v>
      </c>
      <c r="G80" s="6">
        <v>64.540000000000006</v>
      </c>
      <c r="H80" s="6">
        <v>33.479999999999997</v>
      </c>
      <c r="I80" s="6">
        <v>10.02</v>
      </c>
      <c r="J80" s="6">
        <v>1.41</v>
      </c>
      <c r="K80" s="6">
        <v>56.53</v>
      </c>
      <c r="L80" s="6">
        <v>17.239999999999998</v>
      </c>
      <c r="M80" s="6">
        <v>93.05</v>
      </c>
      <c r="N80" s="6">
        <v>0</v>
      </c>
      <c r="O80" s="6">
        <v>0</v>
      </c>
      <c r="P80" s="6">
        <v>1.05</v>
      </c>
      <c r="Q80" s="6">
        <v>5.05</v>
      </c>
    </row>
    <row r="81" spans="1:17" customFormat="1">
      <c r="A81" s="72">
        <v>45314.760416666664</v>
      </c>
      <c r="B81" s="6">
        <v>25.52</v>
      </c>
      <c r="C81" s="6">
        <v>29.29</v>
      </c>
      <c r="D81" s="6">
        <v>37.119999999999997</v>
      </c>
      <c r="E81" s="6">
        <v>4.74</v>
      </c>
      <c r="F81" s="6">
        <v>3.64</v>
      </c>
      <c r="G81" s="6">
        <v>64.540000000000006</v>
      </c>
      <c r="H81" s="6">
        <v>33.479999999999997</v>
      </c>
      <c r="I81" s="6">
        <v>9.9700000000000006</v>
      </c>
      <c r="J81" s="6">
        <v>1.38</v>
      </c>
      <c r="K81" s="6">
        <v>55.98</v>
      </c>
      <c r="L81" s="6">
        <v>17.21</v>
      </c>
      <c r="M81" s="6">
        <v>93.47</v>
      </c>
      <c r="N81" s="6">
        <v>0</v>
      </c>
      <c r="O81" s="6">
        <v>0</v>
      </c>
      <c r="P81" s="6">
        <v>1.05</v>
      </c>
      <c r="Q81" s="6">
        <v>5.04</v>
      </c>
    </row>
    <row r="82" spans="1:17" customFormat="1">
      <c r="A82" s="72">
        <v>45314.770833333336</v>
      </c>
      <c r="B82" s="6">
        <v>25.97</v>
      </c>
      <c r="C82" s="6">
        <v>27.21</v>
      </c>
      <c r="D82" s="6">
        <v>36.39</v>
      </c>
      <c r="E82" s="6">
        <v>4.79</v>
      </c>
      <c r="F82" s="6">
        <v>3.58</v>
      </c>
      <c r="G82" s="6">
        <v>60.18</v>
      </c>
      <c r="H82" s="6">
        <v>34.56</v>
      </c>
      <c r="I82" s="6">
        <v>9.92</v>
      </c>
      <c r="J82" s="6">
        <v>1.04</v>
      </c>
      <c r="K82" s="6">
        <v>61.43</v>
      </c>
      <c r="L82" s="6">
        <v>17.16</v>
      </c>
      <c r="M82" s="6">
        <v>93.65</v>
      </c>
      <c r="N82" s="6">
        <v>0</v>
      </c>
      <c r="O82" s="6">
        <v>0</v>
      </c>
      <c r="P82" s="6">
        <v>1.04</v>
      </c>
      <c r="Q82" s="6">
        <v>5.04</v>
      </c>
    </row>
    <row r="83" spans="1:17" customFormat="1">
      <c r="A83" s="72">
        <v>45314.78125</v>
      </c>
      <c r="B83" s="6">
        <v>26.16</v>
      </c>
      <c r="C83" s="6">
        <v>26.12</v>
      </c>
      <c r="D83" s="6">
        <v>35.97</v>
      </c>
      <c r="E83" s="6">
        <v>4.7300000000000004</v>
      </c>
      <c r="F83" s="6">
        <v>3.31</v>
      </c>
      <c r="G83" s="6">
        <v>59.64</v>
      </c>
      <c r="H83" s="6">
        <v>34.56</v>
      </c>
      <c r="I83" s="6">
        <v>9.89</v>
      </c>
      <c r="J83" s="6">
        <v>1.1299999999999999</v>
      </c>
      <c r="K83" s="6">
        <v>50.53</v>
      </c>
      <c r="L83" s="6">
        <v>17.079999999999998</v>
      </c>
      <c r="M83" s="6">
        <v>93.81</v>
      </c>
      <c r="N83" s="6">
        <v>0</v>
      </c>
      <c r="O83" s="6">
        <v>0</v>
      </c>
      <c r="P83" s="6">
        <v>1.03</v>
      </c>
      <c r="Q83" s="6">
        <v>5.07</v>
      </c>
    </row>
    <row r="84" spans="1:17" customFormat="1">
      <c r="A84" s="72">
        <v>45314.791666666664</v>
      </c>
      <c r="B84" s="6">
        <v>25.95</v>
      </c>
      <c r="C84" s="6">
        <v>26.64</v>
      </c>
      <c r="D84" s="6">
        <v>36.08</v>
      </c>
      <c r="E84" s="6">
        <v>4.79</v>
      </c>
      <c r="F84" s="6">
        <v>3.38</v>
      </c>
      <c r="G84" s="6">
        <v>59.64</v>
      </c>
      <c r="H84" s="6">
        <v>34.56</v>
      </c>
      <c r="I84" s="6">
        <v>9.9</v>
      </c>
      <c r="J84" s="6">
        <v>1.5</v>
      </c>
      <c r="K84" s="6">
        <v>53.66</v>
      </c>
      <c r="L84" s="6">
        <v>16.87</v>
      </c>
      <c r="M84" s="6">
        <v>94.19</v>
      </c>
      <c r="N84" s="6">
        <v>0</v>
      </c>
      <c r="O84" s="6">
        <v>0</v>
      </c>
      <c r="P84" s="6">
        <v>1.04</v>
      </c>
      <c r="Q84" s="6">
        <v>5.04</v>
      </c>
    </row>
    <row r="85" spans="1:17" customFormat="1">
      <c r="A85" s="72">
        <v>45314.802083333336</v>
      </c>
      <c r="B85" s="6">
        <v>25.69</v>
      </c>
      <c r="C85" s="6">
        <v>27.04</v>
      </c>
      <c r="D85" s="6">
        <v>36.08</v>
      </c>
      <c r="E85" s="6">
        <v>5.15</v>
      </c>
      <c r="F85" s="6">
        <v>3.34</v>
      </c>
      <c r="G85" s="6">
        <v>59.64</v>
      </c>
      <c r="H85" s="6">
        <v>34.56</v>
      </c>
      <c r="I85" s="6">
        <v>9.91</v>
      </c>
      <c r="J85" s="6">
        <v>1.42</v>
      </c>
      <c r="K85" s="6">
        <v>55.89</v>
      </c>
      <c r="L85" s="6">
        <v>16.7</v>
      </c>
      <c r="M85" s="6">
        <v>94.84</v>
      </c>
      <c r="N85" s="6">
        <v>0</v>
      </c>
      <c r="O85" s="6">
        <v>0</v>
      </c>
      <c r="P85" s="6">
        <v>1.04</v>
      </c>
      <c r="Q85" s="6">
        <v>5.05</v>
      </c>
    </row>
    <row r="86" spans="1:17" customFormat="1">
      <c r="A86" s="72">
        <v>45314.8125</v>
      </c>
      <c r="B86" s="6">
        <v>25.53</v>
      </c>
      <c r="C86" s="6">
        <v>27.15</v>
      </c>
      <c r="D86" s="6">
        <v>36.01</v>
      </c>
      <c r="E86" s="6">
        <v>4.96</v>
      </c>
      <c r="F86" s="6">
        <v>3.24</v>
      </c>
      <c r="G86" s="6">
        <v>64.83</v>
      </c>
      <c r="H86" s="6">
        <v>33.82</v>
      </c>
      <c r="I86" s="6">
        <v>9.94</v>
      </c>
      <c r="J86" s="6">
        <v>1.31</v>
      </c>
      <c r="K86" s="6">
        <v>53.28</v>
      </c>
      <c r="L86" s="6">
        <v>16.61</v>
      </c>
      <c r="M86" s="6">
        <v>95.61</v>
      </c>
      <c r="N86" s="6">
        <v>0</v>
      </c>
      <c r="O86" s="6">
        <v>0</v>
      </c>
      <c r="P86" s="6">
        <v>1.05</v>
      </c>
      <c r="Q86" s="6">
        <v>5.05</v>
      </c>
    </row>
    <row r="87" spans="1:17" customFormat="1">
      <c r="A87" s="72">
        <v>45314.822916666664</v>
      </c>
      <c r="B87" s="6">
        <v>25.21</v>
      </c>
      <c r="C87" s="6">
        <v>27.07</v>
      </c>
      <c r="D87" s="6">
        <v>35.71</v>
      </c>
      <c r="E87" s="6">
        <v>4.83</v>
      </c>
      <c r="F87" s="6">
        <v>3.08</v>
      </c>
      <c r="G87" s="6">
        <v>65.48</v>
      </c>
      <c r="H87" s="6">
        <v>33.82</v>
      </c>
      <c r="I87" s="6">
        <v>9.94</v>
      </c>
      <c r="J87" s="6">
        <v>1.3</v>
      </c>
      <c r="K87" s="6">
        <v>49.83</v>
      </c>
      <c r="L87" s="6">
        <v>16.54</v>
      </c>
      <c r="M87" s="6">
        <v>95.43</v>
      </c>
      <c r="N87" s="6">
        <v>0</v>
      </c>
      <c r="O87" s="6">
        <v>0</v>
      </c>
      <c r="P87" s="6">
        <v>1.06</v>
      </c>
      <c r="Q87" s="6">
        <v>5.04</v>
      </c>
    </row>
    <row r="88" spans="1:17" customFormat="1">
      <c r="A88" s="72">
        <v>45314.833333333336</v>
      </c>
      <c r="B88" s="6">
        <v>24.63</v>
      </c>
      <c r="C88" s="6">
        <v>26.77</v>
      </c>
      <c r="D88" s="6">
        <v>35.090000000000003</v>
      </c>
      <c r="E88" s="6">
        <v>4.82</v>
      </c>
      <c r="F88" s="6">
        <v>3.27</v>
      </c>
      <c r="G88" s="6">
        <v>65.48</v>
      </c>
      <c r="H88" s="6">
        <v>33.82</v>
      </c>
      <c r="I88" s="6">
        <v>9.92</v>
      </c>
      <c r="J88" s="6">
        <v>1.23</v>
      </c>
      <c r="K88" s="6">
        <v>56.57</v>
      </c>
      <c r="L88" s="6">
        <v>16.45</v>
      </c>
      <c r="M88" s="6">
        <v>95.9</v>
      </c>
      <c r="N88" s="6">
        <v>0</v>
      </c>
      <c r="O88" s="6">
        <v>0</v>
      </c>
      <c r="P88" s="6">
        <v>1.06</v>
      </c>
      <c r="Q88" s="6">
        <v>5.04</v>
      </c>
    </row>
    <row r="89" spans="1:17" customFormat="1">
      <c r="A89" s="72">
        <v>45314.84375</v>
      </c>
      <c r="B89" s="6">
        <v>24.02</v>
      </c>
      <c r="C89" s="6">
        <v>26.27</v>
      </c>
      <c r="D89" s="6">
        <v>34.340000000000003</v>
      </c>
      <c r="E89" s="6">
        <v>4.5</v>
      </c>
      <c r="F89" s="6">
        <v>3.47</v>
      </c>
      <c r="G89" s="6">
        <v>65.48</v>
      </c>
      <c r="H89" s="6">
        <v>33.82</v>
      </c>
      <c r="I89" s="6">
        <v>9.94</v>
      </c>
      <c r="J89" s="6">
        <v>1.08</v>
      </c>
      <c r="K89" s="6">
        <v>55.58</v>
      </c>
      <c r="L89" s="6">
        <v>16.39</v>
      </c>
      <c r="M89" s="6">
        <v>95.74</v>
      </c>
      <c r="N89" s="6">
        <v>0</v>
      </c>
      <c r="O89" s="6">
        <v>0</v>
      </c>
      <c r="P89" s="6">
        <v>1.07</v>
      </c>
      <c r="Q89" s="6">
        <v>5.03</v>
      </c>
    </row>
    <row r="90" spans="1:17" customFormat="1">
      <c r="A90" s="72">
        <v>45314.854166666664</v>
      </c>
      <c r="B90" s="6">
        <v>23.53</v>
      </c>
      <c r="C90" s="6">
        <v>24.7</v>
      </c>
      <c r="D90" s="6">
        <v>33.130000000000003</v>
      </c>
      <c r="E90" s="6">
        <v>4.5599999999999996</v>
      </c>
      <c r="F90" s="6">
        <v>3.72</v>
      </c>
      <c r="G90" s="6">
        <v>63.44</v>
      </c>
      <c r="H90" s="6">
        <v>35.700000000000003</v>
      </c>
      <c r="I90" s="6">
        <v>9.9700000000000006</v>
      </c>
      <c r="J90" s="6">
        <v>1</v>
      </c>
      <c r="K90" s="6">
        <v>54.75</v>
      </c>
      <c r="L90" s="6">
        <v>16.38</v>
      </c>
      <c r="M90" s="6">
        <v>95.92</v>
      </c>
      <c r="N90" s="6">
        <v>0</v>
      </c>
      <c r="O90" s="6">
        <v>0</v>
      </c>
      <c r="P90" s="6">
        <v>1.04</v>
      </c>
      <c r="Q90" s="6">
        <v>5.0199999999999996</v>
      </c>
    </row>
    <row r="91" spans="1:17" customFormat="1">
      <c r="A91" s="72">
        <v>45314.864583333336</v>
      </c>
      <c r="B91" s="6">
        <v>23.05</v>
      </c>
      <c r="C91" s="6">
        <v>24.62</v>
      </c>
      <c r="D91" s="6">
        <v>32.700000000000003</v>
      </c>
      <c r="E91" s="6">
        <v>4.88</v>
      </c>
      <c r="F91" s="6">
        <v>3.4</v>
      </c>
      <c r="G91" s="6">
        <v>63.18</v>
      </c>
      <c r="H91" s="6">
        <v>35.700000000000003</v>
      </c>
      <c r="I91" s="6">
        <v>9.98</v>
      </c>
      <c r="J91" s="6">
        <v>0.95</v>
      </c>
      <c r="K91" s="6">
        <v>45.37</v>
      </c>
      <c r="L91" s="6">
        <v>16.309999999999999</v>
      </c>
      <c r="M91" s="6">
        <v>96.23</v>
      </c>
      <c r="N91" s="6">
        <v>0</v>
      </c>
      <c r="O91" s="6">
        <v>0</v>
      </c>
      <c r="P91" s="6">
        <v>1.04</v>
      </c>
      <c r="Q91" s="6">
        <v>5.0199999999999996</v>
      </c>
    </row>
    <row r="92" spans="1:17" customFormat="1">
      <c r="A92" s="72">
        <v>45314.875</v>
      </c>
      <c r="B92" s="6">
        <v>22.68</v>
      </c>
      <c r="C92" s="6">
        <v>24.51</v>
      </c>
      <c r="D92" s="6">
        <v>32.35</v>
      </c>
      <c r="E92" s="6">
        <v>3.88</v>
      </c>
      <c r="F92" s="6">
        <v>3.52</v>
      </c>
      <c r="G92" s="6">
        <v>63.18</v>
      </c>
      <c r="H92" s="6">
        <v>35.700000000000003</v>
      </c>
      <c r="I92" s="6">
        <v>9.9600000000000009</v>
      </c>
      <c r="J92" s="6">
        <v>0.65</v>
      </c>
      <c r="K92" s="6">
        <v>62.42</v>
      </c>
      <c r="L92" s="6">
        <v>16.29</v>
      </c>
      <c r="M92" s="6">
        <v>96.2</v>
      </c>
      <c r="N92" s="6">
        <v>0</v>
      </c>
      <c r="O92" s="6">
        <v>0</v>
      </c>
      <c r="P92" s="6">
        <v>1.04</v>
      </c>
      <c r="Q92" s="6">
        <v>5.0199999999999996</v>
      </c>
    </row>
    <row r="93" spans="1:17" customFormat="1">
      <c r="A93" s="72">
        <v>45314.885416666664</v>
      </c>
      <c r="B93" s="6">
        <v>22.16</v>
      </c>
      <c r="C93" s="6">
        <v>24.85</v>
      </c>
      <c r="D93" s="6">
        <v>32.1</v>
      </c>
      <c r="E93" s="6">
        <v>3.59</v>
      </c>
      <c r="F93" s="6">
        <v>3.38</v>
      </c>
      <c r="G93" s="6">
        <v>63.18</v>
      </c>
      <c r="H93" s="6">
        <v>35.700000000000003</v>
      </c>
      <c r="I93" s="6">
        <v>9.9600000000000009</v>
      </c>
      <c r="J93" s="6">
        <v>1.26</v>
      </c>
      <c r="K93" s="6">
        <v>57.59</v>
      </c>
      <c r="L93" s="6">
        <v>16.22</v>
      </c>
      <c r="M93" s="6">
        <v>95.61</v>
      </c>
      <c r="N93" s="6">
        <v>0</v>
      </c>
      <c r="O93" s="6">
        <v>0</v>
      </c>
      <c r="P93" s="6">
        <v>1.04</v>
      </c>
      <c r="Q93" s="6">
        <v>5.01</v>
      </c>
    </row>
    <row r="94" spans="1:17" customFormat="1">
      <c r="A94" s="72">
        <v>45314.895833333336</v>
      </c>
      <c r="B94" s="6">
        <v>21.84</v>
      </c>
      <c r="C94" s="6">
        <v>24.57</v>
      </c>
      <c r="D94" s="6">
        <v>31.71</v>
      </c>
      <c r="E94" s="6">
        <v>4.4400000000000004</v>
      </c>
      <c r="F94" s="6">
        <v>3.42</v>
      </c>
      <c r="G94" s="6">
        <v>67</v>
      </c>
      <c r="H94" s="6">
        <v>34.25</v>
      </c>
      <c r="I94" s="6">
        <v>9.9499999999999993</v>
      </c>
      <c r="J94" s="6">
        <v>0.61</v>
      </c>
      <c r="K94" s="6">
        <v>65.11</v>
      </c>
      <c r="L94" s="6">
        <v>16.22</v>
      </c>
      <c r="M94" s="6">
        <v>95.77</v>
      </c>
      <c r="N94" s="6">
        <v>0</v>
      </c>
      <c r="O94" s="6">
        <v>0</v>
      </c>
      <c r="P94" s="6">
        <v>1.04</v>
      </c>
      <c r="Q94" s="6">
        <v>5.0199999999999996</v>
      </c>
    </row>
    <row r="95" spans="1:17" customFormat="1">
      <c r="A95" s="72">
        <v>45314.90625</v>
      </c>
      <c r="B95" s="6">
        <v>21.45</v>
      </c>
      <c r="C95" s="6">
        <v>24.4</v>
      </c>
      <c r="D95" s="6">
        <v>31.3</v>
      </c>
      <c r="E95" s="6">
        <v>4.4400000000000004</v>
      </c>
      <c r="F95" s="6">
        <v>3.56</v>
      </c>
      <c r="G95" s="6">
        <v>67.48</v>
      </c>
      <c r="H95" s="6">
        <v>34.25</v>
      </c>
      <c r="I95" s="6">
        <v>9.9</v>
      </c>
      <c r="J95" s="6">
        <v>1.05</v>
      </c>
      <c r="K95" s="6">
        <v>57.08</v>
      </c>
      <c r="L95" s="6">
        <v>16.100000000000001</v>
      </c>
      <c r="M95" s="6">
        <v>96.1</v>
      </c>
      <c r="N95" s="6">
        <v>0</v>
      </c>
      <c r="O95" s="6">
        <v>0</v>
      </c>
      <c r="P95" s="6">
        <v>1.03</v>
      </c>
      <c r="Q95" s="6">
        <v>5.01</v>
      </c>
    </row>
    <row r="96" spans="1:17" customFormat="1">
      <c r="A96" s="72">
        <v>45314.916666666664</v>
      </c>
      <c r="B96" s="6">
        <v>21.15</v>
      </c>
      <c r="C96" s="6">
        <v>24.7</v>
      </c>
      <c r="D96" s="6">
        <v>31.22</v>
      </c>
      <c r="E96" s="6">
        <v>4.46</v>
      </c>
      <c r="F96" s="6">
        <v>3.43</v>
      </c>
      <c r="G96" s="6">
        <v>67.48</v>
      </c>
      <c r="H96" s="6">
        <v>34.25</v>
      </c>
      <c r="I96" s="6">
        <v>9.8699999999999992</v>
      </c>
      <c r="J96" s="6">
        <v>0.54</v>
      </c>
      <c r="K96" s="6">
        <v>35.770000000000003</v>
      </c>
      <c r="L96" s="6">
        <v>16.03</v>
      </c>
      <c r="M96" s="6">
        <v>96.32</v>
      </c>
      <c r="N96" s="6">
        <v>0</v>
      </c>
      <c r="O96" s="6">
        <v>0</v>
      </c>
      <c r="P96" s="6">
        <v>1.04</v>
      </c>
      <c r="Q96" s="6">
        <v>5</v>
      </c>
    </row>
    <row r="97" spans="1:22" customFormat="1">
      <c r="A97" s="72">
        <v>45314.927083333336</v>
      </c>
      <c r="B97" s="6">
        <v>21.08</v>
      </c>
      <c r="C97" s="6">
        <v>23.89</v>
      </c>
      <c r="D97" s="6">
        <v>30.74</v>
      </c>
      <c r="E97" s="6">
        <v>3.78</v>
      </c>
      <c r="F97" s="6">
        <v>3.42</v>
      </c>
      <c r="G97" s="6">
        <v>67.48</v>
      </c>
      <c r="H97" s="6">
        <v>34.25</v>
      </c>
      <c r="I97" s="6">
        <v>9.84</v>
      </c>
      <c r="J97" s="6">
        <v>0.65</v>
      </c>
      <c r="K97" s="6">
        <v>48.37</v>
      </c>
      <c r="L97" s="6">
        <v>16.03</v>
      </c>
      <c r="M97" s="6">
        <v>96.12</v>
      </c>
      <c r="N97" s="6">
        <v>0</v>
      </c>
      <c r="O97" s="6">
        <v>0</v>
      </c>
      <c r="P97" s="6">
        <v>1.03</v>
      </c>
      <c r="Q97" s="6">
        <v>5.03</v>
      </c>
    </row>
    <row r="98" spans="1:22" customFormat="1">
      <c r="A98" s="72">
        <v>45314.9375</v>
      </c>
      <c r="B98" s="6">
        <v>20.93</v>
      </c>
      <c r="C98" s="6">
        <v>24.48</v>
      </c>
      <c r="D98" s="6">
        <v>30.92</v>
      </c>
      <c r="E98" s="6">
        <v>4.5999999999999996</v>
      </c>
      <c r="F98" s="6">
        <v>3.4</v>
      </c>
      <c r="G98" s="6">
        <v>67.73</v>
      </c>
      <c r="H98" s="6">
        <v>35.020000000000003</v>
      </c>
      <c r="I98" s="6">
        <v>9.7899999999999991</v>
      </c>
      <c r="J98" s="6">
        <v>0.28999999999999998</v>
      </c>
      <c r="K98" s="6">
        <v>32.159999999999997</v>
      </c>
      <c r="L98" s="6">
        <v>16.12</v>
      </c>
      <c r="M98" s="6">
        <v>96.14</v>
      </c>
      <c r="N98" s="6">
        <v>0</v>
      </c>
      <c r="O98" s="6">
        <v>0</v>
      </c>
      <c r="P98" s="6">
        <v>1.02</v>
      </c>
      <c r="Q98" s="6">
        <v>5.04</v>
      </c>
    </row>
    <row r="99" spans="1:22" customFormat="1">
      <c r="A99" s="72">
        <v>45314.947916666664</v>
      </c>
      <c r="B99" s="6">
        <v>20.83</v>
      </c>
      <c r="C99" s="6">
        <v>25.31</v>
      </c>
      <c r="D99" s="6">
        <v>31.28</v>
      </c>
      <c r="E99" s="6">
        <v>4.72</v>
      </c>
      <c r="F99" s="6">
        <v>3.41</v>
      </c>
      <c r="G99" s="6">
        <v>67.760000000000005</v>
      </c>
      <c r="H99" s="6">
        <v>35.020000000000003</v>
      </c>
      <c r="I99" s="6">
        <v>9.74</v>
      </c>
      <c r="J99" s="6">
        <v>0.62</v>
      </c>
      <c r="K99" s="6">
        <v>33.840000000000003</v>
      </c>
      <c r="L99" s="6">
        <v>16.100000000000001</v>
      </c>
      <c r="M99" s="6">
        <v>95.7</v>
      </c>
      <c r="N99" s="6">
        <v>0</v>
      </c>
      <c r="O99" s="6">
        <v>0</v>
      </c>
      <c r="P99" s="6">
        <v>1.02</v>
      </c>
      <c r="Q99" s="6">
        <v>5.07</v>
      </c>
    </row>
    <row r="100" spans="1:22" customFormat="1">
      <c r="A100" s="72">
        <v>45314.958333333336</v>
      </c>
      <c r="B100" s="6">
        <v>20.82</v>
      </c>
      <c r="C100" s="6">
        <v>25.65</v>
      </c>
      <c r="D100" s="6">
        <v>31.45</v>
      </c>
      <c r="E100" s="6">
        <v>4.7300000000000004</v>
      </c>
      <c r="F100" s="6">
        <v>3.24</v>
      </c>
      <c r="G100" s="6">
        <v>67.760000000000005</v>
      </c>
      <c r="H100" s="6">
        <v>35.020000000000003</v>
      </c>
      <c r="I100" s="6">
        <v>9.7200000000000006</v>
      </c>
      <c r="J100" s="6">
        <v>0.63</v>
      </c>
      <c r="K100" s="6">
        <v>32.380000000000003</v>
      </c>
      <c r="L100" s="6">
        <v>16.07</v>
      </c>
      <c r="M100" s="6">
        <v>94.92</v>
      </c>
      <c r="N100" s="6">
        <v>0</v>
      </c>
      <c r="O100" s="6">
        <v>0</v>
      </c>
      <c r="P100" s="6">
        <v>1.03</v>
      </c>
      <c r="Q100" s="6">
        <v>5.08</v>
      </c>
    </row>
    <row r="101" spans="1:22" customFormat="1">
      <c r="A101" s="72">
        <v>45314.96875</v>
      </c>
      <c r="B101" s="6">
        <v>20.72</v>
      </c>
      <c r="C101" s="6">
        <v>25.87</v>
      </c>
      <c r="D101" s="6">
        <v>31.49</v>
      </c>
      <c r="E101" s="6">
        <v>4.8099999999999996</v>
      </c>
      <c r="F101" s="6">
        <v>3.31</v>
      </c>
      <c r="G101" s="6">
        <v>67.760000000000005</v>
      </c>
      <c r="H101" s="6">
        <v>35.020000000000003</v>
      </c>
      <c r="I101" s="6">
        <v>9.7100000000000009</v>
      </c>
      <c r="J101" s="6">
        <v>0.77</v>
      </c>
      <c r="K101" s="6">
        <v>31.61</v>
      </c>
      <c r="L101" s="6">
        <v>16.05</v>
      </c>
      <c r="M101" s="6">
        <v>95.1</v>
      </c>
      <c r="N101" s="6">
        <v>0</v>
      </c>
      <c r="O101" s="6">
        <v>0</v>
      </c>
      <c r="P101" s="6">
        <v>1.03</v>
      </c>
      <c r="Q101" s="6">
        <v>5.08</v>
      </c>
    </row>
    <row r="102" spans="1:22" customFormat="1">
      <c r="A102" s="72">
        <v>45314.979166666664</v>
      </c>
      <c r="B102" s="6">
        <v>20.66</v>
      </c>
      <c r="C102" s="6">
        <v>26.01</v>
      </c>
      <c r="D102" s="6">
        <v>31.51</v>
      </c>
      <c r="E102" s="6">
        <v>4.5599999999999996</v>
      </c>
      <c r="F102" s="6">
        <v>3.45</v>
      </c>
      <c r="G102" s="6">
        <v>65.599999999999994</v>
      </c>
      <c r="H102" s="6">
        <v>37.01</v>
      </c>
      <c r="I102" s="6">
        <v>9.7100000000000009</v>
      </c>
      <c r="J102" s="6">
        <v>0.89</v>
      </c>
      <c r="K102" s="6">
        <v>47.27</v>
      </c>
      <c r="L102" s="6">
        <v>16</v>
      </c>
      <c r="M102" s="6">
        <v>95.06</v>
      </c>
      <c r="N102" s="6">
        <v>0</v>
      </c>
      <c r="O102" s="6">
        <v>0</v>
      </c>
      <c r="P102" s="6">
        <v>1.03</v>
      </c>
      <c r="Q102" s="6">
        <v>5.0599999999999996</v>
      </c>
    </row>
    <row r="103" spans="1:22" customFormat="1">
      <c r="A103" s="72">
        <v>45314.989583333336</v>
      </c>
      <c r="B103" s="6">
        <v>20.86</v>
      </c>
      <c r="C103" s="6">
        <v>26.43</v>
      </c>
      <c r="D103" s="6">
        <v>31.89</v>
      </c>
      <c r="E103" s="6">
        <v>4.51</v>
      </c>
      <c r="F103" s="6">
        <v>3.32</v>
      </c>
      <c r="G103" s="6">
        <v>65.34</v>
      </c>
      <c r="H103" s="6">
        <v>37.01</v>
      </c>
      <c r="I103" s="6">
        <v>9.7100000000000009</v>
      </c>
      <c r="J103" s="6">
        <v>0.99</v>
      </c>
      <c r="K103" s="6">
        <v>55.36</v>
      </c>
      <c r="L103" s="6">
        <v>15.89</v>
      </c>
      <c r="M103" s="6">
        <v>95.79</v>
      </c>
      <c r="N103" s="6">
        <v>0</v>
      </c>
      <c r="O103" s="6">
        <v>0</v>
      </c>
      <c r="P103" s="6">
        <v>1.03</v>
      </c>
      <c r="Q103" s="6">
        <v>5.07</v>
      </c>
    </row>
    <row r="104" spans="1:22" customFormat="1">
      <c r="A104" s="72">
        <v>45315</v>
      </c>
      <c r="B104" s="6">
        <v>20.81</v>
      </c>
      <c r="C104" s="6">
        <v>26.37</v>
      </c>
      <c r="D104" s="6">
        <v>31.82</v>
      </c>
      <c r="E104" s="6">
        <v>5.05</v>
      </c>
      <c r="F104" s="6">
        <v>3.32</v>
      </c>
      <c r="G104" s="6">
        <v>65.34</v>
      </c>
      <c r="H104" s="6">
        <v>37.01</v>
      </c>
      <c r="I104" s="6">
        <v>9.6999999999999993</v>
      </c>
      <c r="J104" s="6">
        <v>1.1200000000000001</v>
      </c>
      <c r="K104" s="6">
        <v>60.74</v>
      </c>
      <c r="L104" s="6">
        <v>15.87</v>
      </c>
      <c r="M104" s="6">
        <v>95.57</v>
      </c>
      <c r="N104" s="6">
        <v>0</v>
      </c>
      <c r="O104" s="6">
        <v>0</v>
      </c>
      <c r="P104" s="6">
        <v>1.02</v>
      </c>
      <c r="Q104" s="6">
        <v>5.0599999999999996</v>
      </c>
    </row>
    <row r="106" spans="1:22">
      <c r="A106" s="156" t="s">
        <v>48</v>
      </c>
      <c r="B106" s="157">
        <f>MIN(B9:B104)</f>
        <v>8.6</v>
      </c>
      <c r="C106" s="157">
        <f>MIN(C9:C104)</f>
        <v>18.8</v>
      </c>
      <c r="D106" s="157">
        <f t="shared" ref="D106:Q106" si="0">MIN(D9:D104)</f>
        <v>18.57</v>
      </c>
      <c r="E106" s="157">
        <f t="shared" si="0"/>
        <v>3.59</v>
      </c>
      <c r="F106" s="157">
        <f t="shared" si="0"/>
        <v>3.04</v>
      </c>
      <c r="G106" s="157">
        <f t="shared" si="0"/>
        <v>54.76</v>
      </c>
      <c r="H106" s="157">
        <f t="shared" si="0"/>
        <v>30.92</v>
      </c>
      <c r="I106" s="157">
        <f t="shared" si="0"/>
        <v>7.3</v>
      </c>
      <c r="J106" s="157">
        <f t="shared" si="0"/>
        <v>0.04</v>
      </c>
      <c r="K106" s="157">
        <f t="shared" si="0"/>
        <v>14.31</v>
      </c>
      <c r="L106" s="157">
        <f t="shared" si="0"/>
        <v>15.87</v>
      </c>
      <c r="M106" s="157">
        <f t="shared" si="0"/>
        <v>78.75</v>
      </c>
      <c r="N106" s="157">
        <f t="shared" si="0"/>
        <v>0</v>
      </c>
      <c r="O106" s="157">
        <f t="shared" si="0"/>
        <v>0</v>
      </c>
      <c r="P106" s="157">
        <f t="shared" si="0"/>
        <v>0.77</v>
      </c>
      <c r="Q106" s="157">
        <f t="shared" si="0"/>
        <v>4.8099999999999996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26.16</v>
      </c>
      <c r="C107" s="156">
        <f t="shared" ref="C107:Q107" si="1">MAX(C9:C104)</f>
        <v>32.340000000000003</v>
      </c>
      <c r="D107" s="156">
        <f t="shared" si="1"/>
        <v>38.619999999999997</v>
      </c>
      <c r="E107" s="156">
        <f t="shared" si="1"/>
        <v>7.79</v>
      </c>
      <c r="F107" s="156">
        <f t="shared" si="1"/>
        <v>3.91</v>
      </c>
      <c r="G107" s="156">
        <f t="shared" si="1"/>
        <v>77.930000000000007</v>
      </c>
      <c r="H107" s="156">
        <f t="shared" si="1"/>
        <v>47.47</v>
      </c>
      <c r="I107" s="156">
        <f t="shared" si="1"/>
        <v>10.4</v>
      </c>
      <c r="J107" s="156">
        <f t="shared" si="1"/>
        <v>1.74</v>
      </c>
      <c r="K107" s="156">
        <f t="shared" si="1"/>
        <v>258.55</v>
      </c>
      <c r="L107" s="156">
        <f t="shared" si="1"/>
        <v>20.66</v>
      </c>
      <c r="M107" s="156">
        <f t="shared" si="1"/>
        <v>96.61</v>
      </c>
      <c r="N107" s="156">
        <f t="shared" si="1"/>
        <v>214</v>
      </c>
      <c r="O107" s="156">
        <f t="shared" si="1"/>
        <v>0.4</v>
      </c>
      <c r="P107" s="156">
        <f t="shared" si="1"/>
        <v>1.07</v>
      </c>
      <c r="Q107" s="156">
        <f t="shared" si="1"/>
        <v>5.09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17.405208333333345</v>
      </c>
      <c r="C108" s="157">
        <f t="shared" ref="C108:Q108" si="2">AVERAGE(C9:C104)</f>
        <v>24.302395833333325</v>
      </c>
      <c r="D108" s="157">
        <f t="shared" si="2"/>
        <v>28.006770833333334</v>
      </c>
      <c r="E108" s="157">
        <f t="shared" si="2"/>
        <v>6.1264583333333356</v>
      </c>
      <c r="F108" s="157">
        <f t="shared" si="2"/>
        <v>3.374895833333333</v>
      </c>
      <c r="G108" s="157">
        <f t="shared" si="2"/>
        <v>65.61229166666665</v>
      </c>
      <c r="H108" s="157">
        <f t="shared" si="2"/>
        <v>37.057291666666657</v>
      </c>
      <c r="I108" s="157">
        <f t="shared" si="2"/>
        <v>8.8320833333333386</v>
      </c>
      <c r="J108" s="157">
        <f t="shared" si="2"/>
        <v>0.95552083333333349</v>
      </c>
      <c r="K108" s="157">
        <f t="shared" si="2"/>
        <v>63.532083333333311</v>
      </c>
      <c r="L108" s="157">
        <f t="shared" si="2"/>
        <v>18.182708333333323</v>
      </c>
      <c r="M108" s="157">
        <f t="shared" si="2"/>
        <v>90.803645833333306</v>
      </c>
      <c r="N108" s="157">
        <f t="shared" si="2"/>
        <v>24.478125000000009</v>
      </c>
      <c r="O108" s="157">
        <f t="shared" si="2"/>
        <v>4.1666666666666666E-3</v>
      </c>
      <c r="P108" s="157">
        <f t="shared" si="2"/>
        <v>0.9305208333333338</v>
      </c>
      <c r="Q108" s="157">
        <f t="shared" si="2"/>
        <v>4.9531249999999991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6.0031635483067545</v>
      </c>
      <c r="C109" s="157">
        <f t="shared" ref="C109:Q109" si="3">STDEV(C9:C104)</f>
        <v>3.2902150768898411</v>
      </c>
      <c r="D109" s="157">
        <f t="shared" si="3"/>
        <v>6.2518878824158621</v>
      </c>
      <c r="E109" s="157">
        <f t="shared" si="3"/>
        <v>1.0270724662248418</v>
      </c>
      <c r="F109" s="157">
        <f t="shared" si="3"/>
        <v>0.15019983034307238</v>
      </c>
      <c r="G109" s="157">
        <f t="shared" si="3"/>
        <v>5.1912980790563381</v>
      </c>
      <c r="H109" s="157">
        <f t="shared" si="3"/>
        <v>3.5507545466952801</v>
      </c>
      <c r="I109" s="157">
        <f t="shared" si="3"/>
        <v>1.0496544962050227</v>
      </c>
      <c r="J109" s="157">
        <f t="shared" si="3"/>
        <v>0.4932275439264513</v>
      </c>
      <c r="K109" s="157">
        <f t="shared" si="3"/>
        <v>39.078223385697271</v>
      </c>
      <c r="L109" s="157">
        <f t="shared" si="3"/>
        <v>1.3488618821780762</v>
      </c>
      <c r="M109" s="157">
        <f t="shared" si="3"/>
        <v>4.9091633159551025</v>
      </c>
      <c r="N109" s="157">
        <f t="shared" si="3"/>
        <v>42.505797011763732</v>
      </c>
      <c r="O109" s="157">
        <f t="shared" si="3"/>
        <v>4.0824829046386304E-2</v>
      </c>
      <c r="P109" s="157">
        <f t="shared" si="3"/>
        <v>0.10570435226478966</v>
      </c>
      <c r="Q109" s="157">
        <f t="shared" si="3"/>
        <v>9.0708468820664551E-2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45315.010416666664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45315.010416666664</v>
      </c>
      <c r="B9" s="6">
        <v>19.7</v>
      </c>
      <c r="C9" s="6">
        <v>25.05</v>
      </c>
      <c r="D9" s="6">
        <v>30.24</v>
      </c>
      <c r="E9" s="6">
        <v>5.04</v>
      </c>
      <c r="F9" s="6">
        <v>3.22</v>
      </c>
      <c r="G9" s="6">
        <v>65.34</v>
      </c>
      <c r="H9" s="6">
        <v>37.01</v>
      </c>
      <c r="I9" s="6">
        <v>9.65</v>
      </c>
      <c r="J9" s="6">
        <v>1.1399999999999999</v>
      </c>
      <c r="K9" s="6">
        <v>57.04</v>
      </c>
      <c r="L9" s="6">
        <v>15.98</v>
      </c>
      <c r="M9" s="6">
        <v>95.21</v>
      </c>
      <c r="N9" s="6">
        <v>0</v>
      </c>
      <c r="O9" s="6">
        <v>0</v>
      </c>
      <c r="P9" s="6">
        <v>1.02</v>
      </c>
      <c r="Q9" s="6">
        <v>5.04</v>
      </c>
    </row>
    <row r="10" spans="1:21" customFormat="1">
      <c r="A10" s="72">
        <v>45315.020833333336</v>
      </c>
      <c r="B10" s="6">
        <v>19.399999999999999</v>
      </c>
      <c r="C10" s="6">
        <v>25.93</v>
      </c>
      <c r="D10" s="6">
        <v>30.46</v>
      </c>
      <c r="E10" s="6">
        <v>4.6399999999999997</v>
      </c>
      <c r="F10" s="6">
        <v>3.33</v>
      </c>
      <c r="G10" s="6">
        <v>63.7</v>
      </c>
      <c r="H10" s="6">
        <v>36.21</v>
      </c>
      <c r="I10" s="6">
        <v>9.6199999999999992</v>
      </c>
      <c r="J10" s="6">
        <v>0.24</v>
      </c>
      <c r="K10" s="6">
        <v>315.91000000000003</v>
      </c>
      <c r="L10" s="6">
        <v>16.03</v>
      </c>
      <c r="M10" s="6">
        <v>95.47</v>
      </c>
      <c r="N10" s="6">
        <v>0</v>
      </c>
      <c r="O10" s="6">
        <v>0</v>
      </c>
      <c r="P10" s="6">
        <v>1.01</v>
      </c>
      <c r="Q10" s="6">
        <v>5.05</v>
      </c>
    </row>
    <row r="11" spans="1:21" customFormat="1">
      <c r="A11" s="72">
        <v>45315.03125</v>
      </c>
      <c r="B11" s="6">
        <v>19.100000000000001</v>
      </c>
      <c r="C11" s="6">
        <v>25.94</v>
      </c>
      <c r="D11" s="6">
        <v>30.22</v>
      </c>
      <c r="E11" s="6">
        <v>4.5599999999999996</v>
      </c>
      <c r="F11" s="6">
        <v>3.26</v>
      </c>
      <c r="G11" s="6">
        <v>63.49</v>
      </c>
      <c r="H11" s="6">
        <v>36.21</v>
      </c>
      <c r="I11" s="6">
        <v>9.59</v>
      </c>
      <c r="J11" s="6">
        <v>0.51</v>
      </c>
      <c r="K11" s="6">
        <v>56.16</v>
      </c>
      <c r="L11" s="6">
        <v>16.100000000000001</v>
      </c>
      <c r="M11" s="6">
        <v>96.35</v>
      </c>
      <c r="N11" s="6">
        <v>0</v>
      </c>
      <c r="O11" s="6">
        <v>0</v>
      </c>
      <c r="P11" s="6">
        <v>1.01</v>
      </c>
      <c r="Q11" s="6">
        <v>5.05</v>
      </c>
    </row>
    <row r="12" spans="1:21" customFormat="1">
      <c r="A12" s="72">
        <v>45315.041666666664</v>
      </c>
      <c r="B12" s="6">
        <v>18.75</v>
      </c>
      <c r="C12" s="6">
        <v>25.97</v>
      </c>
      <c r="D12" s="6">
        <v>29.95</v>
      </c>
      <c r="E12" s="6">
        <v>4.71</v>
      </c>
      <c r="F12" s="6">
        <v>3.43</v>
      </c>
      <c r="G12" s="6">
        <v>63.49</v>
      </c>
      <c r="H12" s="6">
        <v>36.21</v>
      </c>
      <c r="I12" s="6">
        <v>9.56</v>
      </c>
      <c r="J12" s="6">
        <v>1.03</v>
      </c>
      <c r="K12" s="6">
        <v>53.86</v>
      </c>
      <c r="L12" s="6">
        <v>16</v>
      </c>
      <c r="M12" s="6">
        <v>96.37</v>
      </c>
      <c r="N12" s="6">
        <v>0</v>
      </c>
      <c r="O12" s="6">
        <v>0</v>
      </c>
      <c r="P12" s="6">
        <v>1.01</v>
      </c>
      <c r="Q12" s="6">
        <v>5.0199999999999996</v>
      </c>
    </row>
    <row r="13" spans="1:21" customFormat="1">
      <c r="A13" s="72">
        <v>45315.052083333336</v>
      </c>
      <c r="B13" s="6">
        <v>18.46</v>
      </c>
      <c r="C13" s="6">
        <v>26.01</v>
      </c>
      <c r="D13" s="6">
        <v>29.75</v>
      </c>
      <c r="E13" s="6">
        <v>4.8499999999999996</v>
      </c>
      <c r="F13" s="6">
        <v>3.29</v>
      </c>
      <c r="G13" s="6">
        <v>63.49</v>
      </c>
      <c r="H13" s="6">
        <v>36.21</v>
      </c>
      <c r="I13" s="6">
        <v>9.57</v>
      </c>
      <c r="J13" s="6">
        <v>0.88</v>
      </c>
      <c r="K13" s="6">
        <v>51.21</v>
      </c>
      <c r="L13" s="6">
        <v>15.96</v>
      </c>
      <c r="M13" s="6">
        <v>97.16</v>
      </c>
      <c r="N13" s="6">
        <v>0</v>
      </c>
      <c r="O13" s="6">
        <v>0</v>
      </c>
      <c r="P13" s="6">
        <v>1.01</v>
      </c>
      <c r="Q13" s="6">
        <v>5</v>
      </c>
    </row>
    <row r="14" spans="1:21" customFormat="1">
      <c r="A14" s="72">
        <v>45315.0625</v>
      </c>
      <c r="B14" s="6">
        <v>18.440000000000001</v>
      </c>
      <c r="C14" s="6">
        <v>26.04</v>
      </c>
      <c r="D14" s="6">
        <v>29.74</v>
      </c>
      <c r="E14" s="6">
        <v>4.2699999999999996</v>
      </c>
      <c r="F14" s="6">
        <v>3.46</v>
      </c>
      <c r="G14" s="6">
        <v>64.86</v>
      </c>
      <c r="H14" s="6">
        <v>37.86</v>
      </c>
      <c r="I14" s="6">
        <v>9.6</v>
      </c>
      <c r="J14" s="6">
        <v>0.66</v>
      </c>
      <c r="K14" s="6">
        <v>28.59</v>
      </c>
      <c r="L14" s="6">
        <v>16.02</v>
      </c>
      <c r="M14" s="6">
        <v>97.43</v>
      </c>
      <c r="N14" s="6">
        <v>0</v>
      </c>
      <c r="O14" s="6">
        <v>0</v>
      </c>
      <c r="P14" s="6">
        <v>1</v>
      </c>
      <c r="Q14" s="6">
        <v>4.9800000000000004</v>
      </c>
    </row>
    <row r="15" spans="1:21" customFormat="1">
      <c r="A15" s="72">
        <v>45315.072916666664</v>
      </c>
      <c r="B15" s="6">
        <v>18.23</v>
      </c>
      <c r="C15" s="6">
        <v>25.81</v>
      </c>
      <c r="D15" s="6">
        <v>29.46</v>
      </c>
      <c r="E15" s="6">
        <v>4.32</v>
      </c>
      <c r="F15" s="6">
        <v>3.29</v>
      </c>
      <c r="G15" s="6">
        <v>65.03</v>
      </c>
      <c r="H15" s="6">
        <v>37.86</v>
      </c>
      <c r="I15" s="6">
        <v>9.57</v>
      </c>
      <c r="J15" s="6">
        <v>1.45</v>
      </c>
      <c r="K15" s="6">
        <v>53.14</v>
      </c>
      <c r="L15" s="6">
        <v>15.95</v>
      </c>
      <c r="M15" s="6">
        <v>97.26</v>
      </c>
      <c r="N15" s="6">
        <v>0</v>
      </c>
      <c r="O15" s="6">
        <v>0</v>
      </c>
      <c r="P15" s="6">
        <v>1.01</v>
      </c>
      <c r="Q15" s="6">
        <v>4.99</v>
      </c>
    </row>
    <row r="16" spans="1:21" customFormat="1">
      <c r="A16" s="72">
        <v>45315.083333333336</v>
      </c>
      <c r="B16" s="6">
        <v>17.809999999999999</v>
      </c>
      <c r="C16" s="6">
        <v>25.46</v>
      </c>
      <c r="D16" s="6">
        <v>28.94</v>
      </c>
      <c r="E16" s="6">
        <v>4.75</v>
      </c>
      <c r="F16" s="6">
        <v>3.24</v>
      </c>
      <c r="G16" s="6">
        <v>65.03</v>
      </c>
      <c r="H16" s="6">
        <v>37.86</v>
      </c>
      <c r="I16" s="6">
        <v>9.5399999999999991</v>
      </c>
      <c r="J16" s="6">
        <v>1.1100000000000001</v>
      </c>
      <c r="K16" s="6">
        <v>33.6</v>
      </c>
      <c r="L16" s="6">
        <v>15.86</v>
      </c>
      <c r="M16" s="6">
        <v>97.22</v>
      </c>
      <c r="N16" s="6">
        <v>0</v>
      </c>
      <c r="O16" s="6">
        <v>0</v>
      </c>
      <c r="P16" s="6">
        <v>1.01</v>
      </c>
      <c r="Q16" s="6">
        <v>4.97</v>
      </c>
    </row>
    <row r="17" spans="1:17" customFormat="1">
      <c r="A17" s="72">
        <v>45315.09375</v>
      </c>
      <c r="B17" s="6">
        <v>17.39</v>
      </c>
      <c r="C17" s="6">
        <v>25.35</v>
      </c>
      <c r="D17" s="6">
        <v>28.54</v>
      </c>
      <c r="E17" s="6">
        <v>6.07</v>
      </c>
      <c r="F17" s="6">
        <v>3.18</v>
      </c>
      <c r="G17" s="6">
        <v>65.03</v>
      </c>
      <c r="H17" s="6">
        <v>37.86</v>
      </c>
      <c r="I17" s="6">
        <v>9.52</v>
      </c>
      <c r="J17" s="6">
        <v>1.24</v>
      </c>
      <c r="K17" s="6">
        <v>36.869999999999997</v>
      </c>
      <c r="L17" s="6">
        <v>15.93</v>
      </c>
      <c r="M17" s="6">
        <v>97.15</v>
      </c>
      <c r="N17" s="6">
        <v>0</v>
      </c>
      <c r="O17" s="6">
        <v>0</v>
      </c>
      <c r="P17" s="6">
        <v>1</v>
      </c>
      <c r="Q17" s="6">
        <v>4.97</v>
      </c>
    </row>
    <row r="18" spans="1:17" customFormat="1">
      <c r="A18" s="72">
        <v>45315.104166666664</v>
      </c>
      <c r="B18" s="6">
        <v>17.09</v>
      </c>
      <c r="C18" s="6">
        <v>25.48</v>
      </c>
      <c r="D18" s="6">
        <v>28.37</v>
      </c>
      <c r="E18" s="6">
        <v>6.81</v>
      </c>
      <c r="F18" s="6">
        <v>3.27</v>
      </c>
      <c r="G18" s="6">
        <v>65.540000000000006</v>
      </c>
      <c r="H18" s="6">
        <v>34.880000000000003</v>
      </c>
      <c r="I18" s="6">
        <v>9.5</v>
      </c>
      <c r="J18" s="6">
        <v>1.45</v>
      </c>
      <c r="K18" s="6">
        <v>46.72</v>
      </c>
      <c r="L18" s="6">
        <v>15.86</v>
      </c>
      <c r="M18" s="6">
        <v>96.8</v>
      </c>
      <c r="N18" s="6">
        <v>0</v>
      </c>
      <c r="O18" s="6">
        <v>0</v>
      </c>
      <c r="P18" s="6">
        <v>1</v>
      </c>
      <c r="Q18" s="6">
        <v>4.96</v>
      </c>
    </row>
    <row r="19" spans="1:17" customFormat="1">
      <c r="A19" s="72">
        <v>45315.114583333336</v>
      </c>
      <c r="B19" s="6">
        <v>16.87</v>
      </c>
      <c r="C19" s="6">
        <v>25.43</v>
      </c>
      <c r="D19" s="6">
        <v>28.16</v>
      </c>
      <c r="E19" s="6">
        <v>7.02</v>
      </c>
      <c r="F19" s="6">
        <v>3.21</v>
      </c>
      <c r="G19" s="6">
        <v>65.599999999999994</v>
      </c>
      <c r="H19" s="6">
        <v>34.880000000000003</v>
      </c>
      <c r="I19" s="6">
        <v>9.51</v>
      </c>
      <c r="J19" s="6">
        <v>1.25</v>
      </c>
      <c r="K19" s="6">
        <v>48.96</v>
      </c>
      <c r="L19" s="6">
        <v>15.84</v>
      </c>
      <c r="M19" s="6">
        <v>96.81</v>
      </c>
      <c r="N19" s="6">
        <v>0</v>
      </c>
      <c r="O19" s="6">
        <v>0</v>
      </c>
      <c r="P19" s="6">
        <v>1</v>
      </c>
      <c r="Q19" s="6">
        <v>4.96</v>
      </c>
    </row>
    <row r="20" spans="1:17" customFormat="1">
      <c r="A20" s="72">
        <v>45315.125</v>
      </c>
      <c r="B20" s="6">
        <v>16.649999999999999</v>
      </c>
      <c r="C20" s="6">
        <v>25.59</v>
      </c>
      <c r="D20" s="6">
        <v>28.07</v>
      </c>
      <c r="E20" s="6">
        <v>6.57</v>
      </c>
      <c r="F20" s="6">
        <v>3.18</v>
      </c>
      <c r="G20" s="6">
        <v>65.599999999999994</v>
      </c>
      <c r="H20" s="6">
        <v>34.880000000000003</v>
      </c>
      <c r="I20" s="6">
        <v>9.5299999999999994</v>
      </c>
      <c r="J20" s="6">
        <v>0.72</v>
      </c>
      <c r="K20" s="6">
        <v>44.55</v>
      </c>
      <c r="L20" s="6">
        <v>15.89</v>
      </c>
      <c r="M20" s="6">
        <v>96.8</v>
      </c>
      <c r="N20" s="6">
        <v>0</v>
      </c>
      <c r="O20" s="6">
        <v>0.2</v>
      </c>
      <c r="P20" s="6">
        <v>1.01</v>
      </c>
      <c r="Q20" s="6">
        <v>4.9800000000000004</v>
      </c>
    </row>
    <row r="21" spans="1:17" customFormat="1">
      <c r="A21" s="72">
        <v>45315.135416666664</v>
      </c>
      <c r="B21" s="6">
        <v>16.760000000000002</v>
      </c>
      <c r="C21" s="6">
        <v>25.8</v>
      </c>
      <c r="D21" s="6">
        <v>28.27</v>
      </c>
      <c r="E21" s="6">
        <v>6.75</v>
      </c>
      <c r="F21" s="6">
        <v>3.12</v>
      </c>
      <c r="G21" s="6">
        <v>65.599999999999994</v>
      </c>
      <c r="H21" s="6">
        <v>34.880000000000003</v>
      </c>
      <c r="I21" s="6">
        <v>9.56</v>
      </c>
      <c r="J21" s="6">
        <v>0.99</v>
      </c>
      <c r="K21" s="6">
        <v>289.83</v>
      </c>
      <c r="L21" s="6">
        <v>15.79</v>
      </c>
      <c r="M21" s="6">
        <v>97.73</v>
      </c>
      <c r="N21" s="6">
        <v>0</v>
      </c>
      <c r="O21" s="6">
        <v>1</v>
      </c>
      <c r="P21" s="6">
        <v>1.01</v>
      </c>
      <c r="Q21" s="6">
        <v>4.95</v>
      </c>
    </row>
    <row r="22" spans="1:17" customFormat="1">
      <c r="A22" s="72">
        <v>45315.145833333336</v>
      </c>
      <c r="B22" s="6">
        <v>16.98</v>
      </c>
      <c r="C22" s="6">
        <v>26.2</v>
      </c>
      <c r="D22" s="6">
        <v>28.66</v>
      </c>
      <c r="E22" s="6">
        <v>6.45</v>
      </c>
      <c r="F22" s="6">
        <v>3.19</v>
      </c>
      <c r="G22" s="6">
        <v>64.42</v>
      </c>
      <c r="H22" s="6">
        <v>36.26</v>
      </c>
      <c r="I22" s="6">
        <v>9.6</v>
      </c>
      <c r="J22" s="6">
        <v>0.71</v>
      </c>
      <c r="K22" s="6">
        <v>42.36</v>
      </c>
      <c r="L22" s="6">
        <v>15.65</v>
      </c>
      <c r="M22" s="6">
        <v>98.86</v>
      </c>
      <c r="N22" s="6">
        <v>0</v>
      </c>
      <c r="O22" s="6">
        <v>0.2</v>
      </c>
      <c r="P22" s="6">
        <v>1.01</v>
      </c>
      <c r="Q22" s="6">
        <v>4.95</v>
      </c>
    </row>
    <row r="23" spans="1:17" customFormat="1">
      <c r="A23" s="72">
        <v>45315.15625</v>
      </c>
      <c r="B23" s="6">
        <v>17.91</v>
      </c>
      <c r="C23" s="6">
        <v>26.69</v>
      </c>
      <c r="D23" s="6">
        <v>29.66</v>
      </c>
      <c r="E23" s="6">
        <v>6.93</v>
      </c>
      <c r="F23" s="6">
        <v>3.25</v>
      </c>
      <c r="G23" s="6">
        <v>64.27</v>
      </c>
      <c r="H23" s="6">
        <v>36.26</v>
      </c>
      <c r="I23" s="6">
        <v>9.65</v>
      </c>
      <c r="J23" s="6">
        <v>1.24</v>
      </c>
      <c r="K23" s="6">
        <v>45.88</v>
      </c>
      <c r="L23" s="6">
        <v>15.65</v>
      </c>
      <c r="M23" s="6">
        <v>99.31</v>
      </c>
      <c r="N23" s="6">
        <v>0</v>
      </c>
      <c r="O23" s="6">
        <v>0.2</v>
      </c>
      <c r="P23" s="6">
        <v>1.01</v>
      </c>
      <c r="Q23" s="6">
        <v>4.95</v>
      </c>
    </row>
    <row r="24" spans="1:17" customFormat="1">
      <c r="A24" s="72">
        <v>45315.166666666664</v>
      </c>
      <c r="B24" s="6">
        <v>20.05</v>
      </c>
      <c r="C24" s="6">
        <v>26.47</v>
      </c>
      <c r="D24" s="6">
        <v>31.26</v>
      </c>
      <c r="E24" s="6">
        <v>6.8</v>
      </c>
      <c r="F24" s="6">
        <v>3.36</v>
      </c>
      <c r="G24" s="6">
        <v>64.27</v>
      </c>
      <c r="H24" s="6">
        <v>36.26</v>
      </c>
      <c r="I24" s="6">
        <v>9.77</v>
      </c>
      <c r="J24" s="6">
        <v>1.05</v>
      </c>
      <c r="K24" s="6">
        <v>41.02</v>
      </c>
      <c r="L24" s="6">
        <v>15.63</v>
      </c>
      <c r="M24" s="6">
        <v>99.5</v>
      </c>
      <c r="N24" s="6">
        <v>0</v>
      </c>
      <c r="O24" s="6">
        <v>0.2</v>
      </c>
      <c r="P24" s="6">
        <v>1.04</v>
      </c>
      <c r="Q24" s="6">
        <v>4.96</v>
      </c>
    </row>
    <row r="25" spans="1:17" customFormat="1">
      <c r="A25" s="72">
        <v>45315.177083333336</v>
      </c>
      <c r="B25" s="6">
        <v>22.43</v>
      </c>
      <c r="C25" s="6">
        <v>24.39</v>
      </c>
      <c r="D25" s="6">
        <v>32.090000000000003</v>
      </c>
      <c r="E25" s="6">
        <v>6.16</v>
      </c>
      <c r="F25" s="6">
        <v>3.55</v>
      </c>
      <c r="G25" s="6">
        <v>64.27</v>
      </c>
      <c r="H25" s="6">
        <v>36.26</v>
      </c>
      <c r="I25" s="6">
        <v>9.89</v>
      </c>
      <c r="J25" s="6">
        <v>1.1399999999999999</v>
      </c>
      <c r="K25" s="6">
        <v>41.45</v>
      </c>
      <c r="L25" s="6">
        <v>15.59</v>
      </c>
      <c r="M25" s="6">
        <v>99.68</v>
      </c>
      <c r="N25" s="6">
        <v>0</v>
      </c>
      <c r="O25" s="6">
        <v>0</v>
      </c>
      <c r="P25" s="6">
        <v>1.04</v>
      </c>
      <c r="Q25" s="6">
        <v>5</v>
      </c>
    </row>
    <row r="26" spans="1:17" customFormat="1">
      <c r="A26" s="72">
        <v>45315.1875</v>
      </c>
      <c r="B26" s="6">
        <v>24.5</v>
      </c>
      <c r="C26" s="6">
        <v>24.06</v>
      </c>
      <c r="D26" s="6">
        <v>33.56</v>
      </c>
      <c r="E26" s="6">
        <v>6.27</v>
      </c>
      <c r="F26" s="6">
        <v>3.5</v>
      </c>
      <c r="G26" s="6">
        <v>63.98</v>
      </c>
      <c r="H26" s="6">
        <v>33.020000000000003</v>
      </c>
      <c r="I26" s="6">
        <v>9.9600000000000009</v>
      </c>
      <c r="J26" s="6">
        <v>1.38</v>
      </c>
      <c r="K26" s="6">
        <v>47.12</v>
      </c>
      <c r="L26" s="6">
        <v>15.57</v>
      </c>
      <c r="M26" s="6">
        <v>99.75</v>
      </c>
      <c r="N26" s="6">
        <v>0</v>
      </c>
      <c r="O26" s="6">
        <v>0</v>
      </c>
      <c r="P26" s="6">
        <v>1.05</v>
      </c>
      <c r="Q26" s="6">
        <v>5.03</v>
      </c>
    </row>
    <row r="27" spans="1:17" customFormat="1">
      <c r="A27" s="72">
        <v>45315.197916666664</v>
      </c>
      <c r="B27" s="6">
        <v>25.76</v>
      </c>
      <c r="C27" s="6">
        <v>24.74</v>
      </c>
      <c r="D27" s="6">
        <v>34.93</v>
      </c>
      <c r="E27" s="6">
        <v>7.12</v>
      </c>
      <c r="F27" s="6">
        <v>3.32</v>
      </c>
      <c r="G27" s="6">
        <v>63.95</v>
      </c>
      <c r="H27" s="6">
        <v>33.020000000000003</v>
      </c>
      <c r="I27" s="6">
        <v>9.98</v>
      </c>
      <c r="J27" s="6">
        <v>1.1100000000000001</v>
      </c>
      <c r="K27" s="6">
        <v>48.72</v>
      </c>
      <c r="L27" s="6">
        <v>15.49</v>
      </c>
      <c r="M27" s="6">
        <v>99.62</v>
      </c>
      <c r="N27" s="6">
        <v>0</v>
      </c>
      <c r="O27" s="6">
        <v>0</v>
      </c>
      <c r="P27" s="6">
        <v>1.06</v>
      </c>
      <c r="Q27" s="6">
        <v>5.04</v>
      </c>
    </row>
    <row r="28" spans="1:17" customFormat="1">
      <c r="A28" s="72">
        <v>45315.208333333336</v>
      </c>
      <c r="B28" s="6">
        <v>26.07</v>
      </c>
      <c r="C28" s="6">
        <v>24.53</v>
      </c>
      <c r="D28" s="6">
        <v>35.07</v>
      </c>
      <c r="E28" s="6">
        <v>6.27</v>
      </c>
      <c r="F28" s="6">
        <v>3.45</v>
      </c>
      <c r="G28" s="6">
        <v>63.95</v>
      </c>
      <c r="H28" s="6">
        <v>33.020000000000003</v>
      </c>
      <c r="I28" s="6">
        <v>9.99</v>
      </c>
      <c r="J28" s="6">
        <v>1.1100000000000001</v>
      </c>
      <c r="K28" s="6">
        <v>53.57</v>
      </c>
      <c r="L28" s="6">
        <v>15.38</v>
      </c>
      <c r="M28" s="6">
        <v>99.61</v>
      </c>
      <c r="N28" s="6">
        <v>0</v>
      </c>
      <c r="O28" s="6">
        <v>0</v>
      </c>
      <c r="P28" s="6">
        <v>1.06</v>
      </c>
      <c r="Q28" s="6">
        <v>5.07</v>
      </c>
    </row>
    <row r="29" spans="1:17" customFormat="1">
      <c r="A29" s="72">
        <v>45315.21875</v>
      </c>
      <c r="B29" s="6">
        <v>26.22</v>
      </c>
      <c r="C29" s="6">
        <v>24.31</v>
      </c>
      <c r="D29" s="6">
        <v>35.08</v>
      </c>
      <c r="E29" s="6">
        <v>6.28</v>
      </c>
      <c r="F29" s="6">
        <v>3.46</v>
      </c>
      <c r="G29" s="6">
        <v>63.95</v>
      </c>
      <c r="H29" s="6">
        <v>33.020000000000003</v>
      </c>
      <c r="I29" s="6">
        <v>10.01</v>
      </c>
      <c r="J29" s="6">
        <v>1.05</v>
      </c>
      <c r="K29" s="6">
        <v>47.59</v>
      </c>
      <c r="L29" s="6">
        <v>15.33</v>
      </c>
      <c r="M29" s="6">
        <v>99.69</v>
      </c>
      <c r="N29" s="6">
        <v>0</v>
      </c>
      <c r="O29" s="6">
        <v>0</v>
      </c>
      <c r="P29" s="6">
        <v>1.05</v>
      </c>
      <c r="Q29" s="6">
        <v>5.08</v>
      </c>
    </row>
    <row r="30" spans="1:17" customFormat="1">
      <c r="A30" s="72">
        <v>45315.229166666664</v>
      </c>
      <c r="B30" s="6">
        <v>26.55</v>
      </c>
      <c r="C30" s="6">
        <v>25.03</v>
      </c>
      <c r="D30" s="6">
        <v>35.72</v>
      </c>
      <c r="E30" s="6">
        <v>6.07</v>
      </c>
      <c r="F30" s="6">
        <v>3.49</v>
      </c>
      <c r="G30" s="6">
        <v>63.51</v>
      </c>
      <c r="H30" s="6">
        <v>33.68</v>
      </c>
      <c r="I30" s="6">
        <v>10.06</v>
      </c>
      <c r="J30" s="6">
        <v>0.95</v>
      </c>
      <c r="K30" s="6">
        <v>38.56</v>
      </c>
      <c r="L30" s="6">
        <v>15.32</v>
      </c>
      <c r="M30" s="6">
        <v>99.64</v>
      </c>
      <c r="N30" s="6">
        <v>0</v>
      </c>
      <c r="O30" s="6">
        <v>0.2</v>
      </c>
      <c r="P30" s="6">
        <v>1.05</v>
      </c>
      <c r="Q30" s="6">
        <v>5.08</v>
      </c>
    </row>
    <row r="31" spans="1:17" customFormat="1">
      <c r="A31" s="72">
        <v>45315.239583333336</v>
      </c>
      <c r="B31" s="6">
        <v>26.78</v>
      </c>
      <c r="C31" s="6">
        <v>24.77</v>
      </c>
      <c r="D31" s="6">
        <v>35.76</v>
      </c>
      <c r="E31" s="6">
        <v>6.13</v>
      </c>
      <c r="F31" s="6">
        <v>3.42</v>
      </c>
      <c r="G31" s="6">
        <v>63.46</v>
      </c>
      <c r="H31" s="6">
        <v>33.68</v>
      </c>
      <c r="I31" s="6">
        <v>10.09</v>
      </c>
      <c r="J31" s="6">
        <v>0.81</v>
      </c>
      <c r="K31" s="6">
        <v>57.98</v>
      </c>
      <c r="L31" s="6">
        <v>15.28</v>
      </c>
      <c r="M31" s="6">
        <v>99.37</v>
      </c>
      <c r="N31" s="6">
        <v>0</v>
      </c>
      <c r="O31" s="6">
        <v>0</v>
      </c>
      <c r="P31" s="6">
        <v>1.04</v>
      </c>
      <c r="Q31" s="6">
        <v>5.0999999999999996</v>
      </c>
    </row>
    <row r="32" spans="1:17" customFormat="1">
      <c r="A32" s="72">
        <v>45315.25</v>
      </c>
      <c r="B32" s="6">
        <v>26.76</v>
      </c>
      <c r="C32" s="6">
        <v>25.27</v>
      </c>
      <c r="D32" s="6">
        <v>36.01</v>
      </c>
      <c r="E32" s="6">
        <v>6.64</v>
      </c>
      <c r="F32" s="6">
        <v>3.26</v>
      </c>
      <c r="G32" s="6">
        <v>63.46</v>
      </c>
      <c r="H32" s="6">
        <v>33.68</v>
      </c>
      <c r="I32" s="6">
        <v>10.130000000000001</v>
      </c>
      <c r="J32" s="6">
        <v>0.89</v>
      </c>
      <c r="K32" s="6">
        <v>49.96</v>
      </c>
      <c r="L32" s="6">
        <v>15.24</v>
      </c>
      <c r="M32" s="6">
        <v>98.94</v>
      </c>
      <c r="N32" s="6">
        <v>0</v>
      </c>
      <c r="O32" s="6">
        <v>0</v>
      </c>
      <c r="P32" s="6">
        <v>1.03</v>
      </c>
      <c r="Q32" s="6">
        <v>5.09</v>
      </c>
    </row>
    <row r="33" spans="1:17" customFormat="1">
      <c r="A33" s="72">
        <v>45315.260416666664</v>
      </c>
      <c r="B33" s="6">
        <v>26.71</v>
      </c>
      <c r="C33" s="6">
        <v>24.75</v>
      </c>
      <c r="D33" s="6">
        <v>35.700000000000003</v>
      </c>
      <c r="E33" s="6">
        <v>6.43</v>
      </c>
      <c r="F33" s="6">
        <v>3.26</v>
      </c>
      <c r="G33" s="6">
        <v>63.46</v>
      </c>
      <c r="H33" s="6">
        <v>33.68</v>
      </c>
      <c r="I33" s="6">
        <v>10.17</v>
      </c>
      <c r="J33" s="6">
        <v>0.73</v>
      </c>
      <c r="K33" s="6">
        <v>43.73</v>
      </c>
      <c r="L33" s="6">
        <v>15.28</v>
      </c>
      <c r="M33" s="6">
        <v>98.57</v>
      </c>
      <c r="N33" s="6">
        <v>0</v>
      </c>
      <c r="O33" s="6">
        <v>0</v>
      </c>
      <c r="P33" s="6">
        <v>1.04</v>
      </c>
      <c r="Q33" s="6">
        <v>5.0999999999999996</v>
      </c>
    </row>
    <row r="34" spans="1:17" customFormat="1">
      <c r="A34" s="72">
        <v>45315.270833333336</v>
      </c>
      <c r="B34" s="6">
        <v>27.01</v>
      </c>
      <c r="C34" s="6">
        <v>24.41</v>
      </c>
      <c r="D34" s="6">
        <v>35.76</v>
      </c>
      <c r="E34" s="6">
        <v>6.35</v>
      </c>
      <c r="F34" s="6">
        <v>3.27</v>
      </c>
      <c r="G34" s="6">
        <v>65.44</v>
      </c>
      <c r="H34" s="6">
        <v>30.91</v>
      </c>
      <c r="I34" s="6">
        <v>10.16</v>
      </c>
      <c r="J34" s="6">
        <v>0.81</v>
      </c>
      <c r="K34" s="6">
        <v>41.76</v>
      </c>
      <c r="L34" s="6">
        <v>15.28</v>
      </c>
      <c r="M34" s="6">
        <v>98.35</v>
      </c>
      <c r="N34" s="6">
        <v>0</v>
      </c>
      <c r="O34" s="6">
        <v>0</v>
      </c>
      <c r="P34" s="6">
        <v>1.03</v>
      </c>
      <c r="Q34" s="6">
        <v>5.1100000000000003</v>
      </c>
    </row>
    <row r="35" spans="1:17" customFormat="1">
      <c r="A35" s="72">
        <v>45315.28125</v>
      </c>
      <c r="B35" s="6">
        <v>27.24</v>
      </c>
      <c r="C35" s="6">
        <v>24.63</v>
      </c>
      <c r="D35" s="6">
        <v>36.06</v>
      </c>
      <c r="E35" s="6">
        <v>6.67</v>
      </c>
      <c r="F35" s="6">
        <v>3.36</v>
      </c>
      <c r="G35" s="6">
        <v>65.69</v>
      </c>
      <c r="H35" s="6">
        <v>30.91</v>
      </c>
      <c r="I35" s="6">
        <v>10.14</v>
      </c>
      <c r="J35" s="6">
        <v>0.73</v>
      </c>
      <c r="K35" s="6">
        <v>47.88</v>
      </c>
      <c r="L35" s="6">
        <v>15.2</v>
      </c>
      <c r="M35" s="6">
        <v>98.02</v>
      </c>
      <c r="N35" s="6">
        <v>0</v>
      </c>
      <c r="O35" s="6">
        <v>0</v>
      </c>
      <c r="P35" s="6">
        <v>1.02</v>
      </c>
      <c r="Q35" s="6">
        <v>5.13</v>
      </c>
    </row>
    <row r="36" spans="1:17" customFormat="1">
      <c r="A36" s="72">
        <v>45315.291666666664</v>
      </c>
      <c r="B36" s="6">
        <v>27.47</v>
      </c>
      <c r="C36" s="6">
        <v>24.53</v>
      </c>
      <c r="D36" s="6">
        <v>36.19</v>
      </c>
      <c r="E36" s="6">
        <v>6.07</v>
      </c>
      <c r="F36" s="6">
        <v>3.4</v>
      </c>
      <c r="G36" s="6">
        <v>65.69</v>
      </c>
      <c r="H36" s="6">
        <v>30.91</v>
      </c>
      <c r="I36" s="6">
        <v>10.130000000000001</v>
      </c>
      <c r="J36" s="6">
        <v>0.4</v>
      </c>
      <c r="K36" s="6">
        <v>50.83</v>
      </c>
      <c r="L36" s="6">
        <v>15.11</v>
      </c>
      <c r="M36" s="6">
        <v>98.29</v>
      </c>
      <c r="N36" s="6">
        <v>2.9</v>
      </c>
      <c r="O36" s="6">
        <v>0</v>
      </c>
      <c r="P36" s="6">
        <v>1.02</v>
      </c>
      <c r="Q36" s="6">
        <v>5.12</v>
      </c>
    </row>
    <row r="37" spans="1:17" customFormat="1">
      <c r="A37" s="72">
        <v>45315.302083333336</v>
      </c>
      <c r="B37" s="6">
        <v>28.52</v>
      </c>
      <c r="C37" s="6">
        <v>24.07</v>
      </c>
      <c r="D37" s="6">
        <v>36.799999999999997</v>
      </c>
      <c r="E37" s="6">
        <v>5.94</v>
      </c>
      <c r="F37" s="6">
        <v>3.47</v>
      </c>
      <c r="G37" s="6">
        <v>65.69</v>
      </c>
      <c r="H37" s="6">
        <v>30.91</v>
      </c>
      <c r="I37" s="6">
        <v>10.119999999999999</v>
      </c>
      <c r="J37" s="6">
        <v>0.7</v>
      </c>
      <c r="K37" s="6">
        <v>50.1</v>
      </c>
      <c r="L37" s="6">
        <v>15.07</v>
      </c>
      <c r="M37" s="6">
        <v>98.43</v>
      </c>
      <c r="N37" s="6">
        <v>14.6</v>
      </c>
      <c r="O37" s="6">
        <v>0</v>
      </c>
      <c r="P37" s="6">
        <v>1.02</v>
      </c>
      <c r="Q37" s="6">
        <v>5.13</v>
      </c>
    </row>
    <row r="38" spans="1:17" customFormat="1">
      <c r="A38" s="72">
        <v>45315.3125</v>
      </c>
      <c r="B38" s="6">
        <v>29.44</v>
      </c>
      <c r="C38" s="6">
        <v>25.17</v>
      </c>
      <c r="D38" s="6">
        <v>38.11</v>
      </c>
      <c r="E38" s="6">
        <v>6.03</v>
      </c>
      <c r="F38" s="6">
        <v>3.33</v>
      </c>
      <c r="G38" s="6">
        <v>70.430000000000007</v>
      </c>
      <c r="H38" s="6">
        <v>37.25</v>
      </c>
      <c r="I38" s="6">
        <v>10.14</v>
      </c>
      <c r="J38" s="6">
        <v>0.9</v>
      </c>
      <c r="K38" s="6">
        <v>50.52</v>
      </c>
      <c r="L38" s="6">
        <v>15.11</v>
      </c>
      <c r="M38" s="6">
        <v>97.79</v>
      </c>
      <c r="N38" s="6">
        <v>30.5</v>
      </c>
      <c r="O38" s="6">
        <v>0</v>
      </c>
      <c r="P38" s="6">
        <v>1.05</v>
      </c>
      <c r="Q38" s="6">
        <v>5.13</v>
      </c>
    </row>
    <row r="39" spans="1:17" customFormat="1">
      <c r="A39" s="72">
        <v>45315.322916666664</v>
      </c>
      <c r="B39" s="6">
        <v>30.61</v>
      </c>
      <c r="C39" s="6">
        <v>24.92</v>
      </c>
      <c r="D39" s="6">
        <v>38.92</v>
      </c>
      <c r="E39" s="6">
        <v>6.53</v>
      </c>
      <c r="F39" s="6">
        <v>3.47</v>
      </c>
      <c r="G39" s="6">
        <v>71.02</v>
      </c>
      <c r="H39" s="6">
        <v>37.25</v>
      </c>
      <c r="I39" s="6">
        <v>10.17</v>
      </c>
      <c r="J39" s="6">
        <v>0.8</v>
      </c>
      <c r="K39" s="6">
        <v>30.6</v>
      </c>
      <c r="L39" s="6">
        <v>15.2</v>
      </c>
      <c r="M39" s="6">
        <v>96.56</v>
      </c>
      <c r="N39" s="6">
        <v>53.8</v>
      </c>
      <c r="O39" s="6">
        <v>0</v>
      </c>
      <c r="P39" s="6">
        <v>1.04</v>
      </c>
      <c r="Q39" s="6">
        <v>5.16</v>
      </c>
    </row>
    <row r="40" spans="1:17" customFormat="1">
      <c r="A40" s="72">
        <v>45315.333333333336</v>
      </c>
      <c r="B40" s="6">
        <v>31.59</v>
      </c>
      <c r="C40" s="6">
        <v>25.49</v>
      </c>
      <c r="D40" s="6">
        <v>40.01</v>
      </c>
      <c r="E40" s="6">
        <v>6.37</v>
      </c>
      <c r="F40" s="6">
        <v>3.33</v>
      </c>
      <c r="G40" s="6">
        <v>71.02</v>
      </c>
      <c r="H40" s="6">
        <v>37.25</v>
      </c>
      <c r="I40" s="6">
        <v>10.199999999999999</v>
      </c>
      <c r="J40" s="6">
        <v>0.87</v>
      </c>
      <c r="K40" s="6">
        <v>53.94</v>
      </c>
      <c r="L40" s="6">
        <v>15.45</v>
      </c>
      <c r="M40" s="6">
        <v>94.19</v>
      </c>
      <c r="N40" s="6">
        <v>57.4</v>
      </c>
      <c r="O40" s="6">
        <v>0</v>
      </c>
      <c r="P40" s="6">
        <v>1.06</v>
      </c>
      <c r="Q40" s="6">
        <v>5.18</v>
      </c>
    </row>
    <row r="41" spans="1:17" customFormat="1">
      <c r="A41" s="72">
        <v>45315.34375</v>
      </c>
      <c r="B41" s="6">
        <v>32.22</v>
      </c>
      <c r="C41" s="6">
        <v>25.27</v>
      </c>
      <c r="D41" s="6">
        <v>40.39</v>
      </c>
      <c r="E41" s="6">
        <v>6.4</v>
      </c>
      <c r="F41" s="6">
        <v>3.29</v>
      </c>
      <c r="G41" s="6">
        <v>71.02</v>
      </c>
      <c r="H41" s="6">
        <v>37.25</v>
      </c>
      <c r="I41" s="6">
        <v>10.27</v>
      </c>
      <c r="J41" s="6">
        <v>1.41</v>
      </c>
      <c r="K41" s="6">
        <v>55.75</v>
      </c>
      <c r="L41" s="6">
        <v>15.59</v>
      </c>
      <c r="M41" s="6">
        <v>90.87</v>
      </c>
      <c r="N41" s="6">
        <v>86.9</v>
      </c>
      <c r="O41" s="6">
        <v>0</v>
      </c>
      <c r="P41" s="6">
        <v>1.08</v>
      </c>
      <c r="Q41" s="6">
        <v>5.19</v>
      </c>
    </row>
    <row r="42" spans="1:17" customFormat="1">
      <c r="A42" s="72">
        <v>45315.354166666664</v>
      </c>
      <c r="B42" s="6">
        <v>32.46</v>
      </c>
      <c r="C42" s="6">
        <v>25.58</v>
      </c>
      <c r="D42" s="6">
        <v>40.75</v>
      </c>
      <c r="E42" s="6">
        <v>6.99</v>
      </c>
      <c r="F42" s="6">
        <v>3.3</v>
      </c>
      <c r="G42" s="6">
        <v>82.5</v>
      </c>
      <c r="H42" s="6">
        <v>37.83</v>
      </c>
      <c r="I42" s="6">
        <v>10.33</v>
      </c>
      <c r="J42" s="6">
        <v>1.01</v>
      </c>
      <c r="K42" s="6">
        <v>48.85</v>
      </c>
      <c r="L42" s="6">
        <v>15.86</v>
      </c>
      <c r="M42" s="6">
        <v>89.85</v>
      </c>
      <c r="N42" s="6">
        <v>99.8</v>
      </c>
      <c r="O42" s="6">
        <v>0</v>
      </c>
      <c r="P42" s="6">
        <v>1.08</v>
      </c>
      <c r="Q42" s="6">
        <v>5.21</v>
      </c>
    </row>
    <row r="43" spans="1:17" customFormat="1">
      <c r="A43" s="72">
        <v>45315.364583333336</v>
      </c>
      <c r="B43" s="6">
        <v>32.76</v>
      </c>
      <c r="C43" s="6">
        <v>25.57</v>
      </c>
      <c r="D43" s="6">
        <v>40.98</v>
      </c>
      <c r="E43" s="6">
        <v>6.84</v>
      </c>
      <c r="F43" s="6">
        <v>3.31</v>
      </c>
      <c r="G43" s="6">
        <v>83.94</v>
      </c>
      <c r="H43" s="6">
        <v>37.83</v>
      </c>
      <c r="I43" s="6">
        <v>10.39</v>
      </c>
      <c r="J43" s="6">
        <v>1.17</v>
      </c>
      <c r="K43" s="6">
        <v>53.66</v>
      </c>
      <c r="L43" s="6">
        <v>16.28</v>
      </c>
      <c r="M43" s="6">
        <v>88.04</v>
      </c>
      <c r="N43" s="6">
        <v>119.1</v>
      </c>
      <c r="O43" s="6">
        <v>0</v>
      </c>
      <c r="P43" s="6">
        <v>1.0900000000000001</v>
      </c>
      <c r="Q43" s="6">
        <v>5.23</v>
      </c>
    </row>
    <row r="44" spans="1:17" customFormat="1">
      <c r="A44" s="72">
        <v>45315.375</v>
      </c>
      <c r="B44" s="6">
        <v>32.700000000000003</v>
      </c>
      <c r="C44" s="6">
        <v>26.43</v>
      </c>
      <c r="D44" s="6">
        <v>41.38</v>
      </c>
      <c r="E44" s="6">
        <v>6.81</v>
      </c>
      <c r="F44" s="6">
        <v>3.14</v>
      </c>
      <c r="G44" s="6">
        <v>83.94</v>
      </c>
      <c r="H44" s="6">
        <v>37.83</v>
      </c>
      <c r="I44" s="6">
        <v>10.49</v>
      </c>
      <c r="J44" s="6">
        <v>0.93</v>
      </c>
      <c r="K44" s="6">
        <v>55.28</v>
      </c>
      <c r="L44" s="6">
        <v>16.79</v>
      </c>
      <c r="M44" s="6">
        <v>86.15</v>
      </c>
      <c r="N44" s="6">
        <v>105</v>
      </c>
      <c r="O44" s="6">
        <v>0</v>
      </c>
      <c r="P44" s="6">
        <v>1.1100000000000001</v>
      </c>
      <c r="Q44" s="6">
        <v>5.21</v>
      </c>
    </row>
    <row r="45" spans="1:17" customFormat="1">
      <c r="A45" s="72">
        <v>45315.385416666664</v>
      </c>
      <c r="B45" s="6">
        <v>32.450000000000003</v>
      </c>
      <c r="C45" s="6">
        <v>27.41</v>
      </c>
      <c r="D45" s="6">
        <v>41.69</v>
      </c>
      <c r="E45" s="6">
        <v>6.87</v>
      </c>
      <c r="F45" s="6">
        <v>3.49</v>
      </c>
      <c r="G45" s="6">
        <v>83.94</v>
      </c>
      <c r="H45" s="6">
        <v>37.83</v>
      </c>
      <c r="I45" s="6">
        <v>10.64</v>
      </c>
      <c r="J45" s="6">
        <v>0.85</v>
      </c>
      <c r="K45" s="6">
        <v>52.08</v>
      </c>
      <c r="L45" s="6">
        <v>17.190000000000001</v>
      </c>
      <c r="M45" s="6">
        <v>83.72</v>
      </c>
      <c r="N45" s="6">
        <v>141.19999999999999</v>
      </c>
      <c r="O45" s="6">
        <v>0</v>
      </c>
      <c r="P45" s="6">
        <v>1.1499999999999999</v>
      </c>
      <c r="Q45" s="6">
        <v>5.19</v>
      </c>
    </row>
    <row r="46" spans="1:17" customFormat="1">
      <c r="A46" s="72">
        <v>45315.395833333336</v>
      </c>
      <c r="B46" s="6">
        <v>32.31</v>
      </c>
      <c r="C46" s="6">
        <v>28.03</v>
      </c>
      <c r="D46" s="6">
        <v>41.91</v>
      </c>
      <c r="E46" s="6">
        <v>6.96</v>
      </c>
      <c r="F46" s="6">
        <v>3.67</v>
      </c>
      <c r="G46" s="6">
        <v>88.68</v>
      </c>
      <c r="H46" s="6">
        <v>44.52</v>
      </c>
      <c r="I46" s="6">
        <v>10.84</v>
      </c>
      <c r="J46" s="6">
        <v>1.18</v>
      </c>
      <c r="K46" s="6">
        <v>55.72</v>
      </c>
      <c r="L46" s="6">
        <v>17.53</v>
      </c>
      <c r="M46" s="6">
        <v>81.08</v>
      </c>
      <c r="N46" s="6">
        <v>135.5</v>
      </c>
      <c r="O46" s="6">
        <v>0</v>
      </c>
      <c r="P46" s="6">
        <v>1.17</v>
      </c>
      <c r="Q46" s="6">
        <v>5.21</v>
      </c>
    </row>
    <row r="47" spans="1:17" customFormat="1">
      <c r="A47" s="72">
        <v>45315.40625</v>
      </c>
      <c r="B47" s="6">
        <v>32.68</v>
      </c>
      <c r="C47" s="6">
        <v>28.36</v>
      </c>
      <c r="D47" s="6">
        <v>42.38</v>
      </c>
      <c r="E47" s="6">
        <v>7.24</v>
      </c>
      <c r="F47" s="6">
        <v>3.57</v>
      </c>
      <c r="G47" s="6">
        <v>89.27</v>
      </c>
      <c r="H47" s="6">
        <v>44.52</v>
      </c>
      <c r="I47" s="6">
        <v>11.02</v>
      </c>
      <c r="J47" s="6">
        <v>0.79</v>
      </c>
      <c r="K47" s="6">
        <v>54.48</v>
      </c>
      <c r="L47" s="6">
        <v>17.760000000000002</v>
      </c>
      <c r="M47" s="6">
        <v>80.08</v>
      </c>
      <c r="N47" s="6">
        <v>104.9</v>
      </c>
      <c r="O47" s="6">
        <v>0</v>
      </c>
      <c r="P47" s="6">
        <v>1.18</v>
      </c>
      <c r="Q47" s="6">
        <v>5.2</v>
      </c>
    </row>
    <row r="48" spans="1:17" customFormat="1">
      <c r="A48" s="72">
        <v>45315.416666666664</v>
      </c>
      <c r="B48" s="6">
        <v>33.08</v>
      </c>
      <c r="C48" s="6">
        <v>28.97</v>
      </c>
      <c r="D48" s="6">
        <v>43.01</v>
      </c>
      <c r="E48" s="6">
        <v>7.05</v>
      </c>
      <c r="F48" s="6">
        <v>3.33</v>
      </c>
      <c r="G48" s="6">
        <v>89.27</v>
      </c>
      <c r="H48" s="6">
        <v>44.52</v>
      </c>
      <c r="I48" s="6">
        <v>11.13</v>
      </c>
      <c r="J48" s="6">
        <v>0.83</v>
      </c>
      <c r="K48" s="6">
        <v>50.39</v>
      </c>
      <c r="L48" s="6">
        <v>18.02</v>
      </c>
      <c r="M48" s="6">
        <v>79.28</v>
      </c>
      <c r="N48" s="6">
        <v>112.5</v>
      </c>
      <c r="O48" s="6">
        <v>0</v>
      </c>
      <c r="P48" s="6">
        <v>1.19</v>
      </c>
      <c r="Q48" s="6">
        <v>5.2</v>
      </c>
    </row>
    <row r="49" spans="1:17" customFormat="1">
      <c r="A49" s="72">
        <v>45315.427083333336</v>
      </c>
      <c r="B49" s="6">
        <v>33.299999999999997</v>
      </c>
      <c r="C49" s="6">
        <v>29.71</v>
      </c>
      <c r="D49" s="6">
        <v>43.58</v>
      </c>
      <c r="E49" s="6">
        <v>6.38</v>
      </c>
      <c r="F49" s="6">
        <v>3.23</v>
      </c>
      <c r="G49" s="6">
        <v>89.27</v>
      </c>
      <c r="H49" s="6">
        <v>44.52</v>
      </c>
      <c r="I49" s="6">
        <v>11.22</v>
      </c>
      <c r="J49" s="6">
        <v>0.89</v>
      </c>
      <c r="K49" s="6">
        <v>59.45</v>
      </c>
      <c r="L49" s="6">
        <v>18.34</v>
      </c>
      <c r="M49" s="6">
        <v>78.44</v>
      </c>
      <c r="N49" s="6">
        <v>198.5</v>
      </c>
      <c r="O49" s="6">
        <v>0</v>
      </c>
      <c r="P49" s="6">
        <v>1.19</v>
      </c>
      <c r="Q49" s="6">
        <v>5.2</v>
      </c>
    </row>
    <row r="50" spans="1:17" customFormat="1">
      <c r="A50" s="72">
        <v>45315.4375</v>
      </c>
      <c r="B50" s="6">
        <v>32.950000000000003</v>
      </c>
      <c r="C50" s="6">
        <v>30.38</v>
      </c>
      <c r="D50" s="6">
        <v>43.65</v>
      </c>
      <c r="E50" s="6">
        <v>8.1199999999999992</v>
      </c>
      <c r="F50" s="6">
        <v>3.39</v>
      </c>
      <c r="G50" s="6">
        <v>93.32</v>
      </c>
      <c r="H50" s="6">
        <v>44.28</v>
      </c>
      <c r="I50" s="6">
        <v>11.28</v>
      </c>
      <c r="J50" s="6">
        <v>1.02</v>
      </c>
      <c r="K50" s="6">
        <v>64.900000000000006</v>
      </c>
      <c r="L50" s="6">
        <v>18.88</v>
      </c>
      <c r="M50" s="6">
        <v>76.959999999999994</v>
      </c>
      <c r="N50" s="6">
        <v>326.3</v>
      </c>
      <c r="O50" s="6">
        <v>0</v>
      </c>
      <c r="P50" s="6">
        <v>1.19</v>
      </c>
      <c r="Q50" s="6">
        <v>5.21</v>
      </c>
    </row>
    <row r="51" spans="1:17" customFormat="1">
      <c r="A51" s="72">
        <v>45315.447916666664</v>
      </c>
      <c r="B51" s="6">
        <v>32.299999999999997</v>
      </c>
      <c r="C51" s="6">
        <v>30.18</v>
      </c>
      <c r="D51" s="6">
        <v>43.02</v>
      </c>
      <c r="E51" s="6">
        <v>8.3699999999999992</v>
      </c>
      <c r="F51" s="6">
        <v>3.2</v>
      </c>
      <c r="G51" s="6">
        <v>93.82</v>
      </c>
      <c r="H51" s="6">
        <v>44.28</v>
      </c>
      <c r="I51" s="6">
        <v>11.28</v>
      </c>
      <c r="J51" s="6">
        <v>0.97</v>
      </c>
      <c r="K51" s="6">
        <v>67.84</v>
      </c>
      <c r="L51" s="6">
        <v>19.39</v>
      </c>
      <c r="M51" s="6">
        <v>75.349999999999994</v>
      </c>
      <c r="N51" s="6">
        <v>235</v>
      </c>
      <c r="O51" s="6">
        <v>0</v>
      </c>
      <c r="P51" s="6">
        <v>1.18</v>
      </c>
      <c r="Q51" s="6">
        <v>5.24</v>
      </c>
    </row>
    <row r="52" spans="1:17" customFormat="1">
      <c r="A52" s="72">
        <v>45315.458333333336</v>
      </c>
      <c r="B52" s="6">
        <v>31.55</v>
      </c>
      <c r="C52" s="6">
        <v>30.68</v>
      </c>
      <c r="D52" s="6">
        <v>42.68</v>
      </c>
      <c r="E52" s="6">
        <v>8.26</v>
      </c>
      <c r="F52" s="6">
        <v>3.2</v>
      </c>
      <c r="G52" s="6">
        <v>93.82</v>
      </c>
      <c r="H52" s="6">
        <v>44.28</v>
      </c>
      <c r="I52" s="6">
        <v>11.23</v>
      </c>
      <c r="J52" s="6">
        <v>0.97</v>
      </c>
      <c r="K52" s="6">
        <v>58.27</v>
      </c>
      <c r="L52" s="6">
        <v>19.62</v>
      </c>
      <c r="M52" s="6">
        <v>74.73</v>
      </c>
      <c r="N52" s="6">
        <v>216.9</v>
      </c>
      <c r="O52" s="6">
        <v>0</v>
      </c>
      <c r="P52" s="6">
        <v>1.17</v>
      </c>
      <c r="Q52" s="6">
        <v>5.21</v>
      </c>
    </row>
    <row r="53" spans="1:17" customFormat="1">
      <c r="A53" s="72">
        <v>45315.46875</v>
      </c>
      <c r="B53" s="6">
        <v>30.55</v>
      </c>
      <c r="C53" s="6">
        <v>30.94</v>
      </c>
      <c r="D53" s="6">
        <v>42.02</v>
      </c>
      <c r="E53" s="6">
        <v>8.19</v>
      </c>
      <c r="F53" s="6">
        <v>3.33</v>
      </c>
      <c r="G53" s="6">
        <v>93.82</v>
      </c>
      <c r="H53" s="6">
        <v>44.28</v>
      </c>
      <c r="I53" s="6">
        <v>11.15</v>
      </c>
      <c r="J53" s="6">
        <v>0.87</v>
      </c>
      <c r="K53" s="6">
        <v>49.27</v>
      </c>
      <c r="L53" s="6">
        <v>19.559999999999999</v>
      </c>
      <c r="M53" s="6">
        <v>74.08</v>
      </c>
      <c r="N53" s="6">
        <v>243.2</v>
      </c>
      <c r="O53" s="6">
        <v>0</v>
      </c>
      <c r="P53" s="6">
        <v>1.17</v>
      </c>
      <c r="Q53" s="6">
        <v>5.19</v>
      </c>
    </row>
    <row r="54" spans="1:17" customFormat="1">
      <c r="A54" s="72">
        <v>45315.479166666664</v>
      </c>
      <c r="B54" s="6">
        <v>29.73</v>
      </c>
      <c r="C54" s="6">
        <v>31.26</v>
      </c>
      <c r="D54" s="6">
        <v>41.53</v>
      </c>
      <c r="E54" s="6">
        <v>8.4</v>
      </c>
      <c r="F54" s="6">
        <v>3.3</v>
      </c>
      <c r="G54" s="6">
        <v>89.98</v>
      </c>
      <c r="H54" s="6">
        <v>45.57</v>
      </c>
      <c r="I54" s="6">
        <v>11.04</v>
      </c>
      <c r="J54" s="6">
        <v>1.01</v>
      </c>
      <c r="K54" s="6">
        <v>52.43</v>
      </c>
      <c r="L54" s="6">
        <v>20.21</v>
      </c>
      <c r="M54" s="6">
        <v>72.44</v>
      </c>
      <c r="N54" s="6">
        <v>384.8</v>
      </c>
      <c r="O54" s="6">
        <v>0</v>
      </c>
      <c r="P54" s="6">
        <v>1.1599999999999999</v>
      </c>
      <c r="Q54" s="6">
        <v>5.17</v>
      </c>
    </row>
    <row r="55" spans="1:17" customFormat="1">
      <c r="A55" s="72">
        <v>45315.489583333336</v>
      </c>
      <c r="B55" s="6">
        <v>28.98</v>
      </c>
      <c r="C55" s="6">
        <v>31.32</v>
      </c>
      <c r="D55" s="6">
        <v>40.96</v>
      </c>
      <c r="E55" s="6">
        <v>8.83</v>
      </c>
      <c r="F55" s="6">
        <v>3.22</v>
      </c>
      <c r="G55" s="6">
        <v>89.5</v>
      </c>
      <c r="H55" s="6">
        <v>45.57</v>
      </c>
      <c r="I55" s="6">
        <v>10.93</v>
      </c>
      <c r="J55" s="6">
        <v>1.21</v>
      </c>
      <c r="K55" s="6">
        <v>53.76</v>
      </c>
      <c r="L55" s="6">
        <v>20.66</v>
      </c>
      <c r="M55" s="6">
        <v>70.91</v>
      </c>
      <c r="N55" s="6">
        <v>415.9</v>
      </c>
      <c r="O55" s="6">
        <v>0</v>
      </c>
      <c r="P55" s="6">
        <v>1.1499999999999999</v>
      </c>
      <c r="Q55" s="6">
        <v>5.18</v>
      </c>
    </row>
    <row r="56" spans="1:17" customFormat="1">
      <c r="A56" s="72">
        <v>45315.5</v>
      </c>
      <c r="B56" s="6">
        <v>27.84</v>
      </c>
      <c r="C56" s="6">
        <v>31.44</v>
      </c>
      <c r="D56" s="6">
        <v>40.11</v>
      </c>
      <c r="E56" s="6">
        <v>8.08</v>
      </c>
      <c r="F56" s="6">
        <v>3.21</v>
      </c>
      <c r="G56" s="6">
        <v>89.5</v>
      </c>
      <c r="H56" s="6">
        <v>45.57</v>
      </c>
      <c r="I56" s="6">
        <v>10.84</v>
      </c>
      <c r="J56" s="6">
        <v>0.74</v>
      </c>
      <c r="K56" s="6">
        <v>60.67</v>
      </c>
      <c r="L56" s="6">
        <v>20.49</v>
      </c>
      <c r="M56" s="6">
        <v>71.64</v>
      </c>
      <c r="N56" s="6">
        <v>201.7</v>
      </c>
      <c r="O56" s="6">
        <v>0</v>
      </c>
      <c r="P56" s="6">
        <v>1.1299999999999999</v>
      </c>
      <c r="Q56" s="6">
        <v>5.17</v>
      </c>
    </row>
    <row r="57" spans="1:17" customFormat="1">
      <c r="A57" s="72">
        <v>45315.510416666664</v>
      </c>
      <c r="B57" s="6">
        <v>26.4</v>
      </c>
      <c r="C57" s="6">
        <v>31.8</v>
      </c>
      <c r="D57" s="6">
        <v>39.14</v>
      </c>
      <c r="E57" s="6">
        <v>8.18</v>
      </c>
      <c r="F57" s="6">
        <v>3.39</v>
      </c>
      <c r="G57" s="6">
        <v>89.5</v>
      </c>
      <c r="H57" s="6">
        <v>45.57</v>
      </c>
      <c r="I57" s="6">
        <v>10.72</v>
      </c>
      <c r="J57" s="6">
        <v>1.31</v>
      </c>
      <c r="K57" s="6">
        <v>50.6</v>
      </c>
      <c r="L57" s="6">
        <v>20.89</v>
      </c>
      <c r="M57" s="6">
        <v>69.83</v>
      </c>
      <c r="N57" s="6">
        <v>341.8</v>
      </c>
      <c r="O57" s="6">
        <v>0</v>
      </c>
      <c r="P57" s="6">
        <v>1.1200000000000001</v>
      </c>
      <c r="Q57" s="6">
        <v>5.14</v>
      </c>
    </row>
    <row r="58" spans="1:17" customFormat="1">
      <c r="A58" s="72">
        <v>45315.520833333336</v>
      </c>
      <c r="B58" s="6">
        <v>24.92</v>
      </c>
      <c r="C58" s="6">
        <v>31.92</v>
      </c>
      <c r="D58" s="6">
        <v>38.020000000000003</v>
      </c>
      <c r="E58" s="6">
        <v>8.33</v>
      </c>
      <c r="F58" s="6">
        <v>3.67</v>
      </c>
      <c r="G58" s="6">
        <v>84.88</v>
      </c>
      <c r="H58" s="6">
        <v>42.46</v>
      </c>
      <c r="I58" s="6">
        <v>10.56</v>
      </c>
      <c r="J58" s="6">
        <v>0.73</v>
      </c>
      <c r="K58" s="6">
        <v>59.11</v>
      </c>
      <c r="L58" s="6">
        <v>21.12</v>
      </c>
      <c r="M58" s="6">
        <v>69.27</v>
      </c>
      <c r="N58" s="6">
        <v>161.1</v>
      </c>
      <c r="O58" s="6">
        <v>0</v>
      </c>
      <c r="P58" s="6">
        <v>1.1100000000000001</v>
      </c>
      <c r="Q58" s="6">
        <v>5.1100000000000003</v>
      </c>
    </row>
    <row r="59" spans="1:17" customFormat="1">
      <c r="A59" s="72">
        <v>45315.53125</v>
      </c>
      <c r="B59" s="6">
        <v>23.62</v>
      </c>
      <c r="C59" s="6">
        <v>32.020000000000003</v>
      </c>
      <c r="D59" s="6">
        <v>37.03</v>
      </c>
      <c r="E59" s="6">
        <v>8.3000000000000007</v>
      </c>
      <c r="F59" s="6">
        <v>3.35</v>
      </c>
      <c r="G59" s="6">
        <v>84.3</v>
      </c>
      <c r="H59" s="6">
        <v>42.46</v>
      </c>
      <c r="I59" s="6">
        <v>10.4</v>
      </c>
      <c r="J59" s="6">
        <v>0.85</v>
      </c>
      <c r="K59" s="6">
        <v>49.44</v>
      </c>
      <c r="L59" s="6">
        <v>20.97</v>
      </c>
      <c r="M59" s="6">
        <v>69.39</v>
      </c>
      <c r="N59" s="6">
        <v>150.30000000000001</v>
      </c>
      <c r="O59" s="6">
        <v>0</v>
      </c>
      <c r="P59" s="6">
        <v>1.1000000000000001</v>
      </c>
      <c r="Q59" s="6">
        <v>5.07</v>
      </c>
    </row>
    <row r="60" spans="1:17" customFormat="1">
      <c r="A60" s="72">
        <v>45315.541666666664</v>
      </c>
      <c r="B60" s="6">
        <v>22.61</v>
      </c>
      <c r="C60" s="6">
        <v>31.93</v>
      </c>
      <c r="D60" s="6">
        <v>36.17</v>
      </c>
      <c r="E60" s="6">
        <v>8.16</v>
      </c>
      <c r="F60" s="6">
        <v>3.39</v>
      </c>
      <c r="G60" s="6">
        <v>84.3</v>
      </c>
      <c r="H60" s="6">
        <v>42.46</v>
      </c>
      <c r="I60" s="6">
        <v>10.27</v>
      </c>
      <c r="J60" s="6">
        <v>0.72</v>
      </c>
      <c r="K60" s="6">
        <v>64.27</v>
      </c>
      <c r="L60" s="6">
        <v>21.33</v>
      </c>
      <c r="M60" s="6">
        <v>68.75</v>
      </c>
      <c r="N60" s="6">
        <v>247.8</v>
      </c>
      <c r="O60" s="6">
        <v>0</v>
      </c>
      <c r="P60" s="6">
        <v>1.1000000000000001</v>
      </c>
      <c r="Q60" s="6">
        <v>5.05</v>
      </c>
    </row>
    <row r="61" spans="1:17" customFormat="1">
      <c r="A61" s="72">
        <v>45315.552083333336</v>
      </c>
      <c r="B61" s="6">
        <v>21.48</v>
      </c>
      <c r="C61" s="6">
        <v>32.1</v>
      </c>
      <c r="D61" s="6">
        <v>35.35</v>
      </c>
      <c r="E61" s="6">
        <v>8.06</v>
      </c>
      <c r="F61" s="6">
        <v>3.46</v>
      </c>
      <c r="G61" s="6">
        <v>84.3</v>
      </c>
      <c r="H61" s="6">
        <v>42.46</v>
      </c>
      <c r="I61" s="6">
        <v>10.14</v>
      </c>
      <c r="J61" s="6">
        <v>0.68</v>
      </c>
      <c r="K61" s="6">
        <v>59.04</v>
      </c>
      <c r="L61" s="6">
        <v>21.61</v>
      </c>
      <c r="M61" s="6">
        <v>67.55</v>
      </c>
      <c r="N61" s="6">
        <v>229.1</v>
      </c>
      <c r="O61" s="6">
        <v>0</v>
      </c>
      <c r="P61" s="6">
        <v>1.08</v>
      </c>
      <c r="Q61" s="6">
        <v>5.03</v>
      </c>
    </row>
    <row r="62" spans="1:17" customFormat="1">
      <c r="A62" s="72">
        <v>45315.5625</v>
      </c>
      <c r="B62" s="6">
        <v>20.92</v>
      </c>
      <c r="C62" s="6">
        <v>32.24</v>
      </c>
      <c r="D62" s="6">
        <v>34.97</v>
      </c>
      <c r="E62" s="6">
        <v>8.11</v>
      </c>
      <c r="F62" s="6">
        <v>3.5</v>
      </c>
      <c r="G62" s="6">
        <v>81.400000000000006</v>
      </c>
      <c r="H62" s="6">
        <v>41.14</v>
      </c>
      <c r="I62" s="6">
        <v>10.02</v>
      </c>
      <c r="J62" s="6">
        <v>0.55000000000000004</v>
      </c>
      <c r="K62" s="6">
        <v>43.03</v>
      </c>
      <c r="L62" s="6">
        <v>21.64</v>
      </c>
      <c r="M62" s="6">
        <v>67.38</v>
      </c>
      <c r="N62" s="6">
        <v>154.19999999999999</v>
      </c>
      <c r="O62" s="6">
        <v>0</v>
      </c>
      <c r="P62" s="6">
        <v>1.08</v>
      </c>
      <c r="Q62" s="6">
        <v>5.03</v>
      </c>
    </row>
    <row r="63" spans="1:17" customFormat="1">
      <c r="A63" s="72">
        <v>45315.572916666664</v>
      </c>
      <c r="B63" s="6">
        <v>20.94</v>
      </c>
      <c r="C63" s="6">
        <v>33</v>
      </c>
      <c r="D63" s="6">
        <v>35.380000000000003</v>
      </c>
      <c r="E63" s="6">
        <v>7.94</v>
      </c>
      <c r="F63" s="6">
        <v>3.47</v>
      </c>
      <c r="G63" s="6">
        <v>81.03</v>
      </c>
      <c r="H63" s="6">
        <v>41.14</v>
      </c>
      <c r="I63" s="6">
        <v>9.8800000000000008</v>
      </c>
      <c r="J63" s="6">
        <v>0.61</v>
      </c>
      <c r="K63" s="6">
        <v>50.91</v>
      </c>
      <c r="L63" s="6">
        <v>21.72</v>
      </c>
      <c r="M63" s="6">
        <v>66.3</v>
      </c>
      <c r="N63" s="6">
        <v>292.10000000000002</v>
      </c>
      <c r="O63" s="6">
        <v>0</v>
      </c>
      <c r="P63" s="6">
        <v>1.08</v>
      </c>
      <c r="Q63" s="6">
        <v>5</v>
      </c>
    </row>
    <row r="64" spans="1:17" customFormat="1">
      <c r="A64" s="72">
        <v>45315.583333333336</v>
      </c>
      <c r="B64" s="6">
        <v>21.07</v>
      </c>
      <c r="C64" s="6">
        <v>30.47</v>
      </c>
      <c r="D64" s="6">
        <v>34.17</v>
      </c>
      <c r="E64" s="6">
        <v>8.24</v>
      </c>
      <c r="F64" s="6">
        <v>3.56</v>
      </c>
      <c r="G64" s="6">
        <v>81.03</v>
      </c>
      <c r="H64" s="6">
        <v>41.14</v>
      </c>
      <c r="I64" s="6">
        <v>9.81</v>
      </c>
      <c r="J64" s="6">
        <v>0.33</v>
      </c>
      <c r="K64" s="6">
        <v>341.9</v>
      </c>
      <c r="L64" s="6">
        <v>21.75</v>
      </c>
      <c r="M64" s="6">
        <v>66.34</v>
      </c>
      <c r="N64" s="6">
        <v>237.1</v>
      </c>
      <c r="O64" s="6">
        <v>0</v>
      </c>
      <c r="P64" s="6">
        <v>1.07</v>
      </c>
      <c r="Q64" s="6">
        <v>4.9800000000000004</v>
      </c>
    </row>
    <row r="65" spans="1:17" customFormat="1">
      <c r="A65" s="72">
        <v>45315.59375</v>
      </c>
      <c r="B65" s="6">
        <v>20.9</v>
      </c>
      <c r="C65" s="6">
        <v>27.72</v>
      </c>
      <c r="D65" s="6">
        <v>32.590000000000003</v>
      </c>
      <c r="E65" s="6">
        <v>7.65</v>
      </c>
      <c r="F65" s="6">
        <v>3.58</v>
      </c>
      <c r="G65" s="6">
        <v>81.03</v>
      </c>
      <c r="H65" s="6">
        <v>41.14</v>
      </c>
      <c r="I65" s="6">
        <v>9.76</v>
      </c>
      <c r="J65" s="6">
        <v>0.65</v>
      </c>
      <c r="K65" s="6">
        <v>59.79</v>
      </c>
      <c r="L65" s="6">
        <v>22.26</v>
      </c>
      <c r="M65" s="6">
        <v>64.37</v>
      </c>
      <c r="N65" s="6">
        <v>239</v>
      </c>
      <c r="O65" s="6">
        <v>0</v>
      </c>
      <c r="P65" s="6">
        <v>1.03</v>
      </c>
      <c r="Q65" s="6">
        <v>4.9800000000000004</v>
      </c>
    </row>
    <row r="66" spans="1:17" customFormat="1">
      <c r="A66" s="72">
        <v>45315.604166666664</v>
      </c>
      <c r="B66" s="6">
        <v>20.57</v>
      </c>
      <c r="C66" s="6">
        <v>25.84</v>
      </c>
      <c r="D66" s="6">
        <v>31.35</v>
      </c>
      <c r="E66" s="6">
        <v>7.28</v>
      </c>
      <c r="F66" s="6">
        <v>3.69</v>
      </c>
      <c r="G66" s="6">
        <v>78.95</v>
      </c>
      <c r="H66" s="6">
        <v>40.22</v>
      </c>
      <c r="I66" s="6">
        <v>9.69</v>
      </c>
      <c r="J66" s="6">
        <v>0.56999999999999995</v>
      </c>
      <c r="K66" s="6">
        <v>80.39</v>
      </c>
      <c r="L66" s="6">
        <v>22.2</v>
      </c>
      <c r="M66" s="6">
        <v>65.12</v>
      </c>
      <c r="N66" s="6">
        <v>140.1</v>
      </c>
      <c r="O66" s="6">
        <v>0</v>
      </c>
      <c r="P66" s="6">
        <v>1.05</v>
      </c>
      <c r="Q66" s="6">
        <v>4.9800000000000004</v>
      </c>
    </row>
    <row r="67" spans="1:17" customFormat="1">
      <c r="A67" s="72">
        <v>45315.614583333336</v>
      </c>
      <c r="B67" s="6">
        <v>20.100000000000001</v>
      </c>
      <c r="C67" s="6">
        <v>24.81</v>
      </c>
      <c r="D67" s="6">
        <v>30.44</v>
      </c>
      <c r="E67" s="6">
        <v>7.74</v>
      </c>
      <c r="F67" s="6">
        <v>3.62</v>
      </c>
      <c r="G67" s="6">
        <v>78.69</v>
      </c>
      <c r="H67" s="6">
        <v>40.22</v>
      </c>
      <c r="I67" s="6">
        <v>9.6</v>
      </c>
      <c r="J67" s="6">
        <v>0.38</v>
      </c>
      <c r="K67" s="6">
        <v>37.54</v>
      </c>
      <c r="L67" s="6">
        <v>22.61</v>
      </c>
      <c r="M67" s="6">
        <v>63.07</v>
      </c>
      <c r="N67" s="6">
        <v>190.6</v>
      </c>
      <c r="O67" s="6">
        <v>0</v>
      </c>
      <c r="P67" s="6">
        <v>1.03</v>
      </c>
      <c r="Q67" s="6">
        <v>4.99</v>
      </c>
    </row>
    <row r="68" spans="1:17" customFormat="1">
      <c r="A68" s="72">
        <v>45315.625</v>
      </c>
      <c r="B68" s="6">
        <v>19.600000000000001</v>
      </c>
      <c r="C68" s="6">
        <v>25.21</v>
      </c>
      <c r="D68" s="6">
        <v>30.24</v>
      </c>
      <c r="E68" s="6">
        <v>7.56</v>
      </c>
      <c r="F68" s="6">
        <v>3.48</v>
      </c>
      <c r="G68" s="6">
        <v>78.69</v>
      </c>
      <c r="H68" s="6">
        <v>40.22</v>
      </c>
      <c r="I68" s="6">
        <v>9.5</v>
      </c>
      <c r="J68" s="6">
        <v>0.28000000000000003</v>
      </c>
      <c r="K68" s="6">
        <v>112.62</v>
      </c>
      <c r="L68" s="6">
        <v>22.59</v>
      </c>
      <c r="M68" s="6">
        <v>63.19</v>
      </c>
      <c r="N68" s="6">
        <v>149.5</v>
      </c>
      <c r="O68" s="6">
        <v>0</v>
      </c>
      <c r="P68" s="6">
        <v>1.02</v>
      </c>
      <c r="Q68" s="6">
        <v>5</v>
      </c>
    </row>
    <row r="69" spans="1:17" customFormat="1">
      <c r="A69" s="72">
        <v>45315.635416666664</v>
      </c>
      <c r="B69" s="6">
        <v>19.05</v>
      </c>
      <c r="C69" s="6">
        <v>25.8</v>
      </c>
      <c r="D69" s="6">
        <v>30.11</v>
      </c>
      <c r="E69" s="6">
        <v>7.55</v>
      </c>
      <c r="F69" s="6">
        <v>3.23</v>
      </c>
      <c r="G69" s="6">
        <v>78.69</v>
      </c>
      <c r="H69" s="6">
        <v>40.22</v>
      </c>
      <c r="I69" s="6">
        <v>9.41</v>
      </c>
      <c r="J69" s="6">
        <v>0.36</v>
      </c>
      <c r="K69" s="6">
        <v>74.510000000000005</v>
      </c>
      <c r="L69" s="6">
        <v>22.67</v>
      </c>
      <c r="M69" s="6">
        <v>63.35</v>
      </c>
      <c r="N69" s="6">
        <v>141.19999999999999</v>
      </c>
      <c r="O69" s="6">
        <v>0</v>
      </c>
      <c r="P69" s="6">
        <v>1.02</v>
      </c>
      <c r="Q69" s="6">
        <v>4.97</v>
      </c>
    </row>
    <row r="70" spans="1:17" customFormat="1">
      <c r="A70" s="72">
        <v>45315.645833333336</v>
      </c>
      <c r="B70" s="6">
        <v>18.600000000000001</v>
      </c>
      <c r="C70" s="6">
        <v>25.88</v>
      </c>
      <c r="D70" s="6">
        <v>29.79</v>
      </c>
      <c r="E70" s="6">
        <v>8.07</v>
      </c>
      <c r="F70" s="6">
        <v>3.31</v>
      </c>
      <c r="G70" s="6">
        <v>73.42</v>
      </c>
      <c r="H70" s="6">
        <v>39.31</v>
      </c>
      <c r="I70" s="6">
        <v>9.31</v>
      </c>
      <c r="J70" s="6">
        <v>0.3</v>
      </c>
      <c r="K70" s="6">
        <v>67.150000000000006</v>
      </c>
      <c r="L70" s="6">
        <v>22.58</v>
      </c>
      <c r="M70" s="6">
        <v>64.02</v>
      </c>
      <c r="N70" s="6">
        <v>105.9</v>
      </c>
      <c r="O70" s="6">
        <v>0</v>
      </c>
      <c r="P70" s="6">
        <v>1.02</v>
      </c>
      <c r="Q70" s="6">
        <v>4.9800000000000004</v>
      </c>
    </row>
    <row r="71" spans="1:17" customFormat="1">
      <c r="A71" s="72">
        <v>45315.65625</v>
      </c>
      <c r="B71" s="6">
        <v>18.37</v>
      </c>
      <c r="C71" s="6">
        <v>25.5</v>
      </c>
      <c r="D71" s="6">
        <v>29.41</v>
      </c>
      <c r="E71" s="6">
        <v>7.82</v>
      </c>
      <c r="F71" s="6">
        <v>3.35</v>
      </c>
      <c r="G71" s="6">
        <v>72.77</v>
      </c>
      <c r="H71" s="6">
        <v>39.31</v>
      </c>
      <c r="I71" s="6">
        <v>9.2200000000000006</v>
      </c>
      <c r="J71" s="6">
        <v>0.81</v>
      </c>
      <c r="K71" s="6">
        <v>68.34</v>
      </c>
      <c r="L71" s="6">
        <v>22.46</v>
      </c>
      <c r="M71" s="6">
        <v>63.45</v>
      </c>
      <c r="N71" s="6">
        <v>102.4</v>
      </c>
      <c r="O71" s="6">
        <v>0</v>
      </c>
      <c r="P71" s="6">
        <v>1.01</v>
      </c>
      <c r="Q71" s="6">
        <v>4.99</v>
      </c>
    </row>
    <row r="72" spans="1:17" customFormat="1">
      <c r="A72" s="72">
        <v>45315.666666666664</v>
      </c>
      <c r="B72" s="6">
        <v>18.21</v>
      </c>
      <c r="C72" s="6">
        <v>24.09</v>
      </c>
      <c r="D72" s="6">
        <v>28.54</v>
      </c>
      <c r="E72" s="6">
        <v>7.48</v>
      </c>
      <c r="F72" s="6">
        <v>3.45</v>
      </c>
      <c r="G72" s="6">
        <v>72.77</v>
      </c>
      <c r="H72" s="6">
        <v>39.31</v>
      </c>
      <c r="I72" s="6">
        <v>9.14</v>
      </c>
      <c r="J72" s="6">
        <v>0.5</v>
      </c>
      <c r="K72" s="6">
        <v>83.83</v>
      </c>
      <c r="L72" s="6">
        <v>22.44</v>
      </c>
      <c r="M72" s="6">
        <v>64.16</v>
      </c>
      <c r="N72" s="6">
        <v>73.3</v>
      </c>
      <c r="O72" s="6">
        <v>0</v>
      </c>
      <c r="P72" s="6">
        <v>0.99</v>
      </c>
      <c r="Q72" s="6">
        <v>4.99</v>
      </c>
    </row>
    <row r="73" spans="1:17" customFormat="1">
      <c r="A73" s="72">
        <v>45315.677083333336</v>
      </c>
      <c r="B73" s="6">
        <v>18.02</v>
      </c>
      <c r="C73" s="6">
        <v>23.45</v>
      </c>
      <c r="D73" s="6">
        <v>28.05</v>
      </c>
      <c r="E73" s="6">
        <v>7.34</v>
      </c>
      <c r="F73" s="6">
        <v>3.5</v>
      </c>
      <c r="G73" s="6">
        <v>72.77</v>
      </c>
      <c r="H73" s="6">
        <v>39.31</v>
      </c>
      <c r="I73" s="6">
        <v>9.0500000000000007</v>
      </c>
      <c r="J73" s="6">
        <v>0.74</v>
      </c>
      <c r="K73" s="6">
        <v>68.42</v>
      </c>
      <c r="L73" s="6">
        <v>22.33</v>
      </c>
      <c r="M73" s="6">
        <v>63.69</v>
      </c>
      <c r="N73" s="6">
        <v>62.7</v>
      </c>
      <c r="O73" s="6">
        <v>0</v>
      </c>
      <c r="P73" s="6">
        <v>0.99</v>
      </c>
      <c r="Q73" s="6">
        <v>5</v>
      </c>
    </row>
    <row r="74" spans="1:17" customFormat="1">
      <c r="A74" s="72">
        <v>45315.6875</v>
      </c>
      <c r="B74" s="6">
        <v>17.89</v>
      </c>
      <c r="C74" s="6">
        <v>24.49</v>
      </c>
      <c r="D74" s="6">
        <v>28.49</v>
      </c>
      <c r="E74" s="6">
        <v>7.24</v>
      </c>
      <c r="F74" s="6">
        <v>3.34</v>
      </c>
      <c r="G74" s="6">
        <v>72.61</v>
      </c>
      <c r="H74" s="6">
        <v>36.549999999999997</v>
      </c>
      <c r="I74" s="6">
        <v>8.99</v>
      </c>
      <c r="J74" s="6">
        <v>0.48</v>
      </c>
      <c r="K74" s="6">
        <v>66.87</v>
      </c>
      <c r="L74" s="6">
        <v>22.29</v>
      </c>
      <c r="M74" s="6">
        <v>64.06</v>
      </c>
      <c r="N74" s="6">
        <v>51.2</v>
      </c>
      <c r="O74" s="6">
        <v>0</v>
      </c>
      <c r="P74" s="6">
        <v>0.99</v>
      </c>
      <c r="Q74" s="6">
        <v>4.99</v>
      </c>
    </row>
    <row r="75" spans="1:17" customFormat="1">
      <c r="A75" s="72">
        <v>45315.697916666664</v>
      </c>
      <c r="B75" s="6">
        <v>17.89</v>
      </c>
      <c r="C75" s="6">
        <v>25.17</v>
      </c>
      <c r="D75" s="6">
        <v>28.85</v>
      </c>
      <c r="E75" s="6">
        <v>7.49</v>
      </c>
      <c r="F75" s="6">
        <v>3.42</v>
      </c>
      <c r="G75" s="6">
        <v>72.59</v>
      </c>
      <c r="H75" s="6">
        <v>36.549999999999997</v>
      </c>
      <c r="I75" s="6">
        <v>8.92</v>
      </c>
      <c r="J75" s="6">
        <v>0.6</v>
      </c>
      <c r="K75" s="6">
        <v>67.510000000000005</v>
      </c>
      <c r="L75" s="6">
        <v>22.19</v>
      </c>
      <c r="M75" s="6">
        <v>64.209999999999994</v>
      </c>
      <c r="N75" s="6">
        <v>40.4</v>
      </c>
      <c r="O75" s="6">
        <v>0</v>
      </c>
      <c r="P75" s="6">
        <v>0.99</v>
      </c>
      <c r="Q75" s="6">
        <v>5.0199999999999996</v>
      </c>
    </row>
    <row r="76" spans="1:17" customFormat="1">
      <c r="A76" s="72">
        <v>45315.708333333336</v>
      </c>
      <c r="B76" s="6">
        <v>17.7</v>
      </c>
      <c r="C76" s="6">
        <v>25.19</v>
      </c>
      <c r="D76" s="6">
        <v>28.7</v>
      </c>
      <c r="E76" s="6">
        <v>7.67</v>
      </c>
      <c r="F76" s="6">
        <v>3.43</v>
      </c>
      <c r="G76" s="6">
        <v>72.59</v>
      </c>
      <c r="H76" s="6">
        <v>36.549999999999997</v>
      </c>
      <c r="I76" s="6">
        <v>8.86</v>
      </c>
      <c r="J76" s="6">
        <v>0.18</v>
      </c>
      <c r="K76" s="6">
        <v>107.33</v>
      </c>
      <c r="L76" s="6">
        <v>21.87</v>
      </c>
      <c r="M76" s="6">
        <v>67.430000000000007</v>
      </c>
      <c r="N76" s="6">
        <v>26.3</v>
      </c>
      <c r="O76" s="6">
        <v>0</v>
      </c>
      <c r="P76" s="6">
        <v>0.99</v>
      </c>
      <c r="Q76" s="6">
        <v>5.0199999999999996</v>
      </c>
    </row>
    <row r="77" spans="1:17" customFormat="1">
      <c r="A77" s="72">
        <v>45315.71875</v>
      </c>
      <c r="B77" s="6">
        <v>17.14</v>
      </c>
      <c r="C77" s="6">
        <v>24.82</v>
      </c>
      <c r="D77" s="6">
        <v>28.07</v>
      </c>
      <c r="E77" s="6">
        <v>7.31</v>
      </c>
      <c r="F77" s="6">
        <v>3.54</v>
      </c>
      <c r="G77" s="6">
        <v>72.59</v>
      </c>
      <c r="H77" s="6">
        <v>36.549999999999997</v>
      </c>
      <c r="I77" s="6">
        <v>8.83</v>
      </c>
      <c r="J77" s="6">
        <v>0.19</v>
      </c>
      <c r="K77" s="6">
        <v>161.03</v>
      </c>
      <c r="L77" s="6">
        <v>21.17</v>
      </c>
      <c r="M77" s="6">
        <v>70.900000000000006</v>
      </c>
      <c r="N77" s="6">
        <v>12</v>
      </c>
      <c r="O77" s="6">
        <v>0</v>
      </c>
      <c r="P77" s="6">
        <v>0.98</v>
      </c>
      <c r="Q77" s="6">
        <v>5.0199999999999996</v>
      </c>
    </row>
    <row r="78" spans="1:17" customFormat="1">
      <c r="A78" s="72">
        <v>45315.729166666664</v>
      </c>
      <c r="B78" s="6">
        <v>16.55</v>
      </c>
      <c r="C78" s="6">
        <v>23.15</v>
      </c>
      <c r="D78" s="6">
        <v>26.72</v>
      </c>
      <c r="E78" s="6">
        <v>7.01</v>
      </c>
      <c r="F78" s="6">
        <v>3.84</v>
      </c>
      <c r="G78" s="6">
        <v>72.08</v>
      </c>
      <c r="H78" s="6">
        <v>38.69</v>
      </c>
      <c r="I78" s="6">
        <v>8.77</v>
      </c>
      <c r="J78" s="6">
        <v>0.22</v>
      </c>
      <c r="K78" s="6">
        <v>175.62</v>
      </c>
      <c r="L78" s="6">
        <v>20.69</v>
      </c>
      <c r="M78" s="6">
        <v>72.540000000000006</v>
      </c>
      <c r="N78" s="6">
        <v>1.3</v>
      </c>
      <c r="O78" s="6">
        <v>0</v>
      </c>
      <c r="P78" s="6">
        <v>0.96</v>
      </c>
      <c r="Q78" s="6">
        <v>5</v>
      </c>
    </row>
    <row r="79" spans="1:17" customFormat="1">
      <c r="A79" s="72">
        <v>45315.739583333336</v>
      </c>
      <c r="B79" s="6">
        <v>16.010000000000002</v>
      </c>
      <c r="C79" s="6">
        <v>22.53</v>
      </c>
      <c r="D79" s="6">
        <v>25.96</v>
      </c>
      <c r="E79" s="6">
        <v>7.16</v>
      </c>
      <c r="F79" s="6">
        <v>3.68</v>
      </c>
      <c r="G79" s="6">
        <v>72.02</v>
      </c>
      <c r="H79" s="6">
        <v>38.69</v>
      </c>
      <c r="I79" s="6">
        <v>8.69</v>
      </c>
      <c r="J79" s="6">
        <v>0.25</v>
      </c>
      <c r="K79" s="6">
        <v>173.38</v>
      </c>
      <c r="L79" s="6">
        <v>20</v>
      </c>
      <c r="M79" s="6">
        <v>77.069999999999993</v>
      </c>
      <c r="N79" s="6">
        <v>0</v>
      </c>
      <c r="O79" s="6">
        <v>0</v>
      </c>
      <c r="P79" s="6">
        <v>0.94</v>
      </c>
      <c r="Q79" s="6">
        <v>5</v>
      </c>
    </row>
    <row r="80" spans="1:17" customFormat="1">
      <c r="A80" s="72">
        <v>45315.75</v>
      </c>
      <c r="B80" s="6">
        <v>15.39</v>
      </c>
      <c r="C80" s="6">
        <v>23.6</v>
      </c>
      <c r="D80" s="6">
        <v>26.02</v>
      </c>
      <c r="E80" s="6">
        <v>6.82</v>
      </c>
      <c r="F80" s="6">
        <v>3.21</v>
      </c>
      <c r="G80" s="6">
        <v>72.02</v>
      </c>
      <c r="H80" s="6">
        <v>38.69</v>
      </c>
      <c r="I80" s="6">
        <v>8.6199999999999992</v>
      </c>
      <c r="J80" s="6">
        <v>0.22</v>
      </c>
      <c r="K80" s="6">
        <v>169.93</v>
      </c>
      <c r="L80" s="6">
        <v>19.440000000000001</v>
      </c>
      <c r="M80" s="6">
        <v>82.38</v>
      </c>
      <c r="N80" s="6">
        <v>0</v>
      </c>
      <c r="O80" s="6">
        <v>0</v>
      </c>
      <c r="P80" s="6">
        <v>0.94</v>
      </c>
      <c r="Q80" s="6">
        <v>4.99</v>
      </c>
    </row>
    <row r="81" spans="1:17" customFormat="1">
      <c r="A81" s="72">
        <v>45315.760416666664</v>
      </c>
      <c r="B81" s="6">
        <v>14.84</v>
      </c>
      <c r="C81" s="6">
        <v>24.81</v>
      </c>
      <c r="D81" s="6">
        <v>26.21</v>
      </c>
      <c r="E81" s="6">
        <v>6.74</v>
      </c>
      <c r="F81" s="6">
        <v>3.14</v>
      </c>
      <c r="G81" s="6">
        <v>72.02</v>
      </c>
      <c r="H81" s="6">
        <v>38.69</v>
      </c>
      <c r="I81" s="6">
        <v>8.5399999999999991</v>
      </c>
      <c r="J81" s="6">
        <v>0.23</v>
      </c>
      <c r="K81" s="6">
        <v>166.62</v>
      </c>
      <c r="L81" s="6">
        <v>19.329999999999998</v>
      </c>
      <c r="M81" s="6">
        <v>82.56</v>
      </c>
      <c r="N81" s="6">
        <v>0</v>
      </c>
      <c r="O81" s="6">
        <v>0</v>
      </c>
      <c r="P81" s="6">
        <v>0.95</v>
      </c>
      <c r="Q81" s="6">
        <v>5.01</v>
      </c>
    </row>
    <row r="82" spans="1:17" customFormat="1">
      <c r="A82" s="72">
        <v>45315.770833333336</v>
      </c>
      <c r="B82" s="6">
        <v>14.51</v>
      </c>
      <c r="C82" s="6">
        <v>25.39</v>
      </c>
      <c r="D82" s="6">
        <v>26.25</v>
      </c>
      <c r="E82" s="6">
        <v>7.6</v>
      </c>
      <c r="F82" s="6">
        <v>3.33</v>
      </c>
      <c r="G82" s="6">
        <v>73.45</v>
      </c>
      <c r="H82" s="6">
        <v>39.6</v>
      </c>
      <c r="I82" s="6">
        <v>8.49</v>
      </c>
      <c r="J82" s="6">
        <v>0.16</v>
      </c>
      <c r="K82" s="6">
        <v>196.7</v>
      </c>
      <c r="L82" s="6">
        <v>19.21</v>
      </c>
      <c r="M82" s="6">
        <v>84.96</v>
      </c>
      <c r="N82" s="6">
        <v>0</v>
      </c>
      <c r="O82" s="6">
        <v>0</v>
      </c>
      <c r="P82" s="6">
        <v>0.95</v>
      </c>
      <c r="Q82" s="6">
        <v>5.03</v>
      </c>
    </row>
    <row r="83" spans="1:17" customFormat="1">
      <c r="A83" s="72">
        <v>45315.78125</v>
      </c>
      <c r="B83" s="6">
        <v>14.11</v>
      </c>
      <c r="C83" s="6">
        <v>25.92</v>
      </c>
      <c r="D83" s="6">
        <v>26.21</v>
      </c>
      <c r="E83" s="6">
        <v>7.22</v>
      </c>
      <c r="F83" s="6">
        <v>3.32</v>
      </c>
      <c r="G83" s="6">
        <v>73.62</v>
      </c>
      <c r="H83" s="6">
        <v>39.6</v>
      </c>
      <c r="I83" s="6">
        <v>8.51</v>
      </c>
      <c r="J83" s="6">
        <v>0.19</v>
      </c>
      <c r="K83" s="6">
        <v>161.72</v>
      </c>
      <c r="L83" s="6">
        <v>19.09</v>
      </c>
      <c r="M83" s="6">
        <v>83.88</v>
      </c>
      <c r="N83" s="6">
        <v>0</v>
      </c>
      <c r="O83" s="6">
        <v>0</v>
      </c>
      <c r="P83" s="6">
        <v>0.94</v>
      </c>
      <c r="Q83" s="6">
        <v>5.0199999999999996</v>
      </c>
    </row>
    <row r="84" spans="1:17" customFormat="1">
      <c r="A84" s="72">
        <v>45315.791666666664</v>
      </c>
      <c r="B84" s="6">
        <v>13.8</v>
      </c>
      <c r="C84" s="6">
        <v>26.39</v>
      </c>
      <c r="D84" s="6">
        <v>26.21</v>
      </c>
      <c r="E84" s="6">
        <v>7.48</v>
      </c>
      <c r="F84" s="6">
        <v>3.35</v>
      </c>
      <c r="G84" s="6">
        <v>73.62</v>
      </c>
      <c r="H84" s="6">
        <v>39.6</v>
      </c>
      <c r="I84" s="6">
        <v>8.5500000000000007</v>
      </c>
      <c r="J84" s="6">
        <v>0.14000000000000001</v>
      </c>
      <c r="K84" s="6">
        <v>140.06</v>
      </c>
      <c r="L84" s="6">
        <v>18.84</v>
      </c>
      <c r="M84" s="6">
        <v>86.51</v>
      </c>
      <c r="N84" s="6">
        <v>0</v>
      </c>
      <c r="O84" s="6">
        <v>0</v>
      </c>
      <c r="P84" s="6">
        <v>0.94</v>
      </c>
      <c r="Q84" s="6">
        <v>5.01</v>
      </c>
    </row>
    <row r="85" spans="1:17" customFormat="1">
      <c r="A85" s="72">
        <v>45315.802083333336</v>
      </c>
      <c r="B85" s="6">
        <v>15.03</v>
      </c>
      <c r="C85" s="6">
        <v>27.38</v>
      </c>
      <c r="D85" s="6">
        <v>27.71</v>
      </c>
      <c r="E85" s="6">
        <v>7.68</v>
      </c>
      <c r="F85" s="6">
        <v>3.31</v>
      </c>
      <c r="G85" s="6">
        <v>73.62</v>
      </c>
      <c r="H85" s="6">
        <v>39.6</v>
      </c>
      <c r="I85" s="6">
        <v>8.5399999999999991</v>
      </c>
      <c r="J85" s="6">
        <v>0.24</v>
      </c>
      <c r="K85" s="6">
        <v>82.15</v>
      </c>
      <c r="L85" s="6">
        <v>18.96</v>
      </c>
      <c r="M85" s="6">
        <v>85.37</v>
      </c>
      <c r="N85" s="6">
        <v>0</v>
      </c>
      <c r="O85" s="6">
        <v>0</v>
      </c>
      <c r="P85" s="6">
        <v>0.97</v>
      </c>
      <c r="Q85" s="6">
        <v>5.01</v>
      </c>
    </row>
    <row r="86" spans="1:17" customFormat="1">
      <c r="A86" s="72">
        <v>45315.8125</v>
      </c>
      <c r="B86" s="6">
        <v>18.899999999999999</v>
      </c>
      <c r="C86" s="6">
        <v>28.77</v>
      </c>
      <c r="D86" s="6">
        <v>31.54</v>
      </c>
      <c r="E86" s="6">
        <v>6.96</v>
      </c>
      <c r="F86" s="6">
        <v>3.24</v>
      </c>
      <c r="G86" s="6">
        <v>77.06</v>
      </c>
      <c r="H86" s="6">
        <v>43.17</v>
      </c>
      <c r="I86" s="6">
        <v>8.56</v>
      </c>
      <c r="J86" s="6">
        <v>0.22</v>
      </c>
      <c r="K86" s="6">
        <v>168.05</v>
      </c>
      <c r="L86" s="6">
        <v>18.829999999999998</v>
      </c>
      <c r="M86" s="6">
        <v>86.52</v>
      </c>
      <c r="N86" s="6">
        <v>0</v>
      </c>
      <c r="O86" s="6">
        <v>0</v>
      </c>
      <c r="P86" s="6">
        <v>1.03</v>
      </c>
      <c r="Q86" s="6">
        <v>5.04</v>
      </c>
    </row>
    <row r="87" spans="1:17" customFormat="1">
      <c r="A87" s="72">
        <v>45315.822916666664</v>
      </c>
      <c r="B87" s="6">
        <v>22.8</v>
      </c>
      <c r="C87" s="6">
        <v>29.97</v>
      </c>
      <c r="D87" s="6">
        <v>35.299999999999997</v>
      </c>
      <c r="E87" s="6">
        <v>7.87</v>
      </c>
      <c r="F87" s="6">
        <v>3.44</v>
      </c>
      <c r="G87" s="6">
        <v>77.489999999999995</v>
      </c>
      <c r="H87" s="6">
        <v>43.17</v>
      </c>
      <c r="I87" s="6">
        <v>8.8000000000000007</v>
      </c>
      <c r="J87" s="6">
        <v>0.2</v>
      </c>
      <c r="K87" s="6">
        <v>171.73</v>
      </c>
      <c r="L87" s="6">
        <v>18.510000000000002</v>
      </c>
      <c r="M87" s="6">
        <v>88.43</v>
      </c>
      <c r="N87" s="6">
        <v>0</v>
      </c>
      <c r="O87" s="6">
        <v>0</v>
      </c>
      <c r="P87" s="6">
        <v>1.0900000000000001</v>
      </c>
      <c r="Q87" s="6">
        <v>5.0999999999999996</v>
      </c>
    </row>
    <row r="88" spans="1:17" customFormat="1">
      <c r="A88" s="72">
        <v>45315.833333333336</v>
      </c>
      <c r="B88" s="6">
        <v>26.33</v>
      </c>
      <c r="C88" s="6">
        <v>30.75</v>
      </c>
      <c r="D88" s="6">
        <v>38.53</v>
      </c>
      <c r="E88" s="6">
        <v>8.07</v>
      </c>
      <c r="F88" s="6">
        <v>3.19</v>
      </c>
      <c r="G88" s="6">
        <v>77.489999999999995</v>
      </c>
      <c r="H88" s="6">
        <v>43.17</v>
      </c>
      <c r="I88" s="6">
        <v>9.27</v>
      </c>
      <c r="J88" s="6">
        <v>0.2</v>
      </c>
      <c r="K88" s="6">
        <v>206.11</v>
      </c>
      <c r="L88" s="6">
        <v>18.18</v>
      </c>
      <c r="M88" s="6">
        <v>91.3</v>
      </c>
      <c r="N88" s="6">
        <v>0</v>
      </c>
      <c r="O88" s="6">
        <v>0</v>
      </c>
      <c r="P88" s="6">
        <v>1.1299999999999999</v>
      </c>
      <c r="Q88" s="6">
        <v>5.13</v>
      </c>
    </row>
    <row r="89" spans="1:17" customFormat="1">
      <c r="A89" s="72">
        <v>45315.84375</v>
      </c>
      <c r="B89" s="6">
        <v>28.99</v>
      </c>
      <c r="C89" s="6">
        <v>31.04</v>
      </c>
      <c r="D89" s="6">
        <v>40.82</v>
      </c>
      <c r="E89" s="6">
        <v>8</v>
      </c>
      <c r="F89" s="6">
        <v>3.06</v>
      </c>
      <c r="G89" s="6">
        <v>77.489999999999995</v>
      </c>
      <c r="H89" s="6">
        <v>43.17</v>
      </c>
      <c r="I89" s="6">
        <v>9.8000000000000007</v>
      </c>
      <c r="J89" s="6">
        <v>0.13</v>
      </c>
      <c r="K89" s="6">
        <v>183.48</v>
      </c>
      <c r="L89" s="6">
        <v>17.739999999999998</v>
      </c>
      <c r="M89" s="6">
        <v>93.68</v>
      </c>
      <c r="N89" s="6">
        <v>0</v>
      </c>
      <c r="O89" s="6">
        <v>0</v>
      </c>
      <c r="P89" s="6">
        <v>1.17</v>
      </c>
      <c r="Q89" s="6">
        <v>5.16</v>
      </c>
    </row>
    <row r="90" spans="1:17" customFormat="1">
      <c r="A90" s="72">
        <v>45315.854166666664</v>
      </c>
      <c r="B90" s="6">
        <v>30.99</v>
      </c>
      <c r="C90" s="6">
        <v>31.46</v>
      </c>
      <c r="D90" s="6">
        <v>42.64</v>
      </c>
      <c r="E90" s="6">
        <v>7.89</v>
      </c>
      <c r="F90" s="6">
        <v>3.23</v>
      </c>
      <c r="G90" s="6">
        <v>88.04</v>
      </c>
      <c r="H90" s="6">
        <v>45.4</v>
      </c>
      <c r="I90" s="6">
        <v>10.3</v>
      </c>
      <c r="J90" s="6">
        <v>0.19</v>
      </c>
      <c r="K90" s="6">
        <v>167.02</v>
      </c>
      <c r="L90" s="6">
        <v>17.66</v>
      </c>
      <c r="M90" s="6">
        <v>94.04</v>
      </c>
      <c r="N90" s="6">
        <v>0</v>
      </c>
      <c r="O90" s="6">
        <v>0</v>
      </c>
      <c r="P90" s="6">
        <v>1.2</v>
      </c>
      <c r="Q90" s="6">
        <v>5.17</v>
      </c>
    </row>
    <row r="91" spans="1:17" customFormat="1">
      <c r="A91" s="72">
        <v>45315.864583333336</v>
      </c>
      <c r="B91" s="6">
        <v>32.4</v>
      </c>
      <c r="C91" s="6">
        <v>31.45</v>
      </c>
      <c r="D91" s="6">
        <v>43.76</v>
      </c>
      <c r="E91" s="6">
        <v>7.77</v>
      </c>
      <c r="F91" s="6">
        <v>3.18</v>
      </c>
      <c r="G91" s="6">
        <v>89.36</v>
      </c>
      <c r="H91" s="6">
        <v>45.4</v>
      </c>
      <c r="I91" s="6">
        <v>10.72</v>
      </c>
      <c r="J91" s="6">
        <v>0.31</v>
      </c>
      <c r="K91" s="6">
        <v>176.75</v>
      </c>
      <c r="L91" s="6">
        <v>17.54</v>
      </c>
      <c r="M91" s="6">
        <v>94.31</v>
      </c>
      <c r="N91" s="6">
        <v>0</v>
      </c>
      <c r="O91" s="6">
        <v>0</v>
      </c>
      <c r="P91" s="6">
        <v>1.22</v>
      </c>
      <c r="Q91" s="6">
        <v>5.19</v>
      </c>
    </row>
    <row r="92" spans="1:17" customFormat="1">
      <c r="A92" s="72">
        <v>45315.875</v>
      </c>
      <c r="B92" s="6">
        <v>33.270000000000003</v>
      </c>
      <c r="C92" s="6">
        <v>31.39</v>
      </c>
      <c r="D92" s="6">
        <v>44.43</v>
      </c>
      <c r="E92" s="6">
        <v>7.98</v>
      </c>
      <c r="F92" s="6">
        <v>3.28</v>
      </c>
      <c r="G92" s="6">
        <v>89.36</v>
      </c>
      <c r="H92" s="6">
        <v>45.4</v>
      </c>
      <c r="I92" s="6">
        <v>11.04</v>
      </c>
      <c r="J92" s="6">
        <v>0.15</v>
      </c>
      <c r="K92" s="6">
        <v>166.25</v>
      </c>
      <c r="L92" s="6">
        <v>17.309999999999999</v>
      </c>
      <c r="M92" s="6">
        <v>94.63</v>
      </c>
      <c r="N92" s="6">
        <v>0</v>
      </c>
      <c r="O92" s="6">
        <v>0</v>
      </c>
      <c r="P92" s="6">
        <v>1.25</v>
      </c>
      <c r="Q92" s="6">
        <v>5.2</v>
      </c>
    </row>
    <row r="93" spans="1:17" customFormat="1">
      <c r="A93" s="72">
        <v>45315.885416666664</v>
      </c>
      <c r="B93" s="6">
        <v>33.76</v>
      </c>
      <c r="C93" s="6">
        <v>31.41</v>
      </c>
      <c r="D93" s="6">
        <v>44.84</v>
      </c>
      <c r="E93" s="6">
        <v>8.48</v>
      </c>
      <c r="F93" s="6">
        <v>3.3</v>
      </c>
      <c r="G93" s="6">
        <v>89.36</v>
      </c>
      <c r="H93" s="6">
        <v>45.4</v>
      </c>
      <c r="I93" s="6">
        <v>11.28</v>
      </c>
      <c r="J93" s="6">
        <v>0.14000000000000001</v>
      </c>
      <c r="K93" s="6">
        <v>160.06</v>
      </c>
      <c r="L93" s="6">
        <v>17.12</v>
      </c>
      <c r="M93" s="6">
        <v>95.7</v>
      </c>
      <c r="N93" s="6">
        <v>0</v>
      </c>
      <c r="O93" s="6">
        <v>0</v>
      </c>
      <c r="P93" s="6">
        <v>1.27</v>
      </c>
      <c r="Q93" s="6">
        <v>5.18</v>
      </c>
    </row>
    <row r="94" spans="1:17" customFormat="1">
      <c r="A94" s="72">
        <v>45315.895833333336</v>
      </c>
      <c r="B94" s="6">
        <v>33.81</v>
      </c>
      <c r="C94" s="6">
        <v>31.32</v>
      </c>
      <c r="D94" s="6">
        <v>44.83</v>
      </c>
      <c r="E94" s="6">
        <v>8.0399999999999991</v>
      </c>
      <c r="F94" s="6">
        <v>3.34</v>
      </c>
      <c r="G94" s="6">
        <v>92.34</v>
      </c>
      <c r="H94" s="6">
        <v>47.24</v>
      </c>
      <c r="I94" s="6">
        <v>11.5</v>
      </c>
      <c r="J94" s="6">
        <v>0.16</v>
      </c>
      <c r="K94" s="6">
        <v>176.79</v>
      </c>
      <c r="L94" s="6">
        <v>17.14</v>
      </c>
      <c r="M94" s="6">
        <v>95.54</v>
      </c>
      <c r="N94" s="6">
        <v>0</v>
      </c>
      <c r="O94" s="6">
        <v>0</v>
      </c>
      <c r="P94" s="6">
        <v>1.27</v>
      </c>
      <c r="Q94" s="6">
        <v>5.17</v>
      </c>
    </row>
    <row r="95" spans="1:17" customFormat="1">
      <c r="A95" s="72">
        <v>45315.90625</v>
      </c>
      <c r="B95" s="6">
        <v>33.29</v>
      </c>
      <c r="C95" s="6">
        <v>31.06</v>
      </c>
      <c r="D95" s="6">
        <v>44.27</v>
      </c>
      <c r="E95" s="6">
        <v>8.15</v>
      </c>
      <c r="F95" s="6">
        <v>3.16</v>
      </c>
      <c r="G95" s="6">
        <v>92.71</v>
      </c>
      <c r="H95" s="6">
        <v>47.24</v>
      </c>
      <c r="I95" s="6">
        <v>11.66</v>
      </c>
      <c r="J95" s="6">
        <v>0.11</v>
      </c>
      <c r="K95" s="6">
        <v>196.57</v>
      </c>
      <c r="L95" s="6">
        <v>16.989999999999998</v>
      </c>
      <c r="M95" s="6">
        <v>95.97</v>
      </c>
      <c r="N95" s="6">
        <v>0</v>
      </c>
      <c r="O95" s="6">
        <v>0</v>
      </c>
      <c r="P95" s="6">
        <v>1.26</v>
      </c>
      <c r="Q95" s="6">
        <v>5.16</v>
      </c>
    </row>
    <row r="96" spans="1:17" customFormat="1">
      <c r="A96" s="72">
        <v>45315.916666666664</v>
      </c>
      <c r="B96" s="6">
        <v>32.590000000000003</v>
      </c>
      <c r="C96" s="6">
        <v>30.8</v>
      </c>
      <c r="D96" s="6">
        <v>43.58</v>
      </c>
      <c r="E96" s="6">
        <v>8.35</v>
      </c>
      <c r="F96" s="6">
        <v>3.22</v>
      </c>
      <c r="G96" s="6">
        <v>92.71</v>
      </c>
      <c r="H96" s="6">
        <v>47.24</v>
      </c>
      <c r="I96" s="6">
        <v>11.74</v>
      </c>
      <c r="J96" s="6">
        <v>0.17</v>
      </c>
      <c r="K96" s="6">
        <v>221.32</v>
      </c>
      <c r="L96" s="6">
        <v>16.93</v>
      </c>
      <c r="M96" s="6">
        <v>96.26</v>
      </c>
      <c r="N96" s="6">
        <v>0</v>
      </c>
      <c r="O96" s="6">
        <v>0</v>
      </c>
      <c r="P96" s="6">
        <v>1.26</v>
      </c>
      <c r="Q96" s="6">
        <v>5.14</v>
      </c>
    </row>
    <row r="97" spans="1:22" customFormat="1">
      <c r="A97" s="72">
        <v>45315.927083333336</v>
      </c>
      <c r="B97" s="6">
        <v>32.130000000000003</v>
      </c>
      <c r="C97" s="6">
        <v>30.45</v>
      </c>
      <c r="D97" s="6">
        <v>43.03</v>
      </c>
      <c r="E97" s="6">
        <v>7.99</v>
      </c>
      <c r="F97" s="6">
        <v>3.39</v>
      </c>
      <c r="G97" s="6">
        <v>92.71</v>
      </c>
      <c r="H97" s="6">
        <v>47.24</v>
      </c>
      <c r="I97" s="6">
        <v>11.78</v>
      </c>
      <c r="J97" s="6">
        <v>0.13</v>
      </c>
      <c r="K97" s="6">
        <v>194.54</v>
      </c>
      <c r="L97" s="6">
        <v>16.78</v>
      </c>
      <c r="M97" s="6">
        <v>97.02</v>
      </c>
      <c r="N97" s="6">
        <v>0</v>
      </c>
      <c r="O97" s="6">
        <v>0</v>
      </c>
      <c r="P97" s="6">
        <v>1.27</v>
      </c>
      <c r="Q97" s="6">
        <v>5.1100000000000003</v>
      </c>
    </row>
    <row r="98" spans="1:22" customFormat="1">
      <c r="A98" s="72">
        <v>45315.9375</v>
      </c>
      <c r="B98" s="6">
        <v>31.85</v>
      </c>
      <c r="C98" s="6">
        <v>30.34</v>
      </c>
      <c r="D98" s="6">
        <v>42.75</v>
      </c>
      <c r="E98" s="6">
        <v>8.0399999999999991</v>
      </c>
      <c r="F98" s="6">
        <v>3.27</v>
      </c>
      <c r="G98" s="6">
        <v>89.39</v>
      </c>
      <c r="H98" s="6">
        <v>45.22</v>
      </c>
      <c r="I98" s="6">
        <v>11.82</v>
      </c>
      <c r="J98" s="6">
        <v>0.11</v>
      </c>
      <c r="K98" s="6">
        <v>190.75</v>
      </c>
      <c r="L98" s="6">
        <v>16.68</v>
      </c>
      <c r="M98" s="6">
        <v>97.2</v>
      </c>
      <c r="N98" s="6">
        <v>0</v>
      </c>
      <c r="O98" s="6">
        <v>0</v>
      </c>
      <c r="P98" s="6">
        <v>1.26</v>
      </c>
      <c r="Q98" s="6">
        <v>5.12</v>
      </c>
    </row>
    <row r="99" spans="1:22" customFormat="1">
      <c r="A99" s="72">
        <v>45315.947916666664</v>
      </c>
      <c r="B99" s="6">
        <v>32.159999999999997</v>
      </c>
      <c r="C99" s="6">
        <v>29.87</v>
      </c>
      <c r="D99" s="6">
        <v>42.75</v>
      </c>
      <c r="E99" s="6">
        <v>8.31</v>
      </c>
      <c r="F99" s="6">
        <v>3.33</v>
      </c>
      <c r="G99" s="6">
        <v>88.98</v>
      </c>
      <c r="H99" s="6">
        <v>45.22</v>
      </c>
      <c r="I99" s="6">
        <v>11.88</v>
      </c>
      <c r="J99" s="6">
        <v>0.14000000000000001</v>
      </c>
      <c r="K99" s="6">
        <v>202.49</v>
      </c>
      <c r="L99" s="6">
        <v>16.55</v>
      </c>
      <c r="M99" s="6">
        <v>97.72</v>
      </c>
      <c r="N99" s="6">
        <v>0</v>
      </c>
      <c r="O99" s="6">
        <v>0</v>
      </c>
      <c r="P99" s="6">
        <v>1.27</v>
      </c>
      <c r="Q99" s="6">
        <v>5.14</v>
      </c>
    </row>
    <row r="100" spans="1:22" customFormat="1">
      <c r="A100" s="72">
        <v>45315.958333333336</v>
      </c>
      <c r="B100" s="6">
        <v>32.92</v>
      </c>
      <c r="C100" s="6">
        <v>29.72</v>
      </c>
      <c r="D100" s="6">
        <v>43.28</v>
      </c>
      <c r="E100" s="6">
        <v>7.94</v>
      </c>
      <c r="F100" s="6">
        <v>3.23</v>
      </c>
      <c r="G100" s="6">
        <v>88.98</v>
      </c>
      <c r="H100" s="6">
        <v>45.22</v>
      </c>
      <c r="I100" s="6">
        <v>11.93</v>
      </c>
      <c r="J100" s="6">
        <v>0.1</v>
      </c>
      <c r="K100" s="6">
        <v>136.47999999999999</v>
      </c>
      <c r="L100" s="6">
        <v>16.489999999999998</v>
      </c>
      <c r="M100" s="6">
        <v>97.92</v>
      </c>
      <c r="N100" s="6">
        <v>0</v>
      </c>
      <c r="O100" s="6">
        <v>0</v>
      </c>
      <c r="P100" s="6">
        <v>1.29</v>
      </c>
      <c r="Q100" s="6">
        <v>5.14</v>
      </c>
    </row>
    <row r="101" spans="1:22" customFormat="1">
      <c r="A101" s="72">
        <v>45315.96875</v>
      </c>
      <c r="B101" s="6">
        <v>34.4</v>
      </c>
      <c r="C101" s="6">
        <v>29.73</v>
      </c>
      <c r="D101" s="6">
        <v>44.47</v>
      </c>
      <c r="E101" s="6">
        <v>8.43</v>
      </c>
      <c r="F101" s="6">
        <v>3.26</v>
      </c>
      <c r="G101" s="6">
        <v>88.98</v>
      </c>
      <c r="H101" s="6">
        <v>45.22</v>
      </c>
      <c r="I101" s="6">
        <v>12.02</v>
      </c>
      <c r="J101" s="6">
        <v>0.13</v>
      </c>
      <c r="K101" s="6">
        <v>162.81</v>
      </c>
      <c r="L101" s="6">
        <v>16.440000000000001</v>
      </c>
      <c r="M101" s="6">
        <v>98.23</v>
      </c>
      <c r="N101" s="6">
        <v>0</v>
      </c>
      <c r="O101" s="6">
        <v>0</v>
      </c>
      <c r="P101" s="6">
        <v>1.31</v>
      </c>
      <c r="Q101" s="6">
        <v>5.14</v>
      </c>
    </row>
    <row r="102" spans="1:22" customFormat="1">
      <c r="A102" s="72">
        <v>45315.979166666664</v>
      </c>
      <c r="B102" s="6">
        <v>37.06</v>
      </c>
      <c r="C102" s="6">
        <v>30.53</v>
      </c>
      <c r="D102" s="6">
        <v>47.02</v>
      </c>
      <c r="E102" s="6">
        <v>8.7100000000000009</v>
      </c>
      <c r="F102" s="6">
        <v>3.17</v>
      </c>
      <c r="G102" s="6">
        <v>87.57</v>
      </c>
      <c r="H102" s="6">
        <v>44.54</v>
      </c>
      <c r="I102" s="6">
        <v>12.13</v>
      </c>
      <c r="J102" s="6">
        <v>0.15</v>
      </c>
      <c r="K102" s="6">
        <v>189.51</v>
      </c>
      <c r="L102" s="6">
        <v>16.39</v>
      </c>
      <c r="M102" s="6">
        <v>98.24</v>
      </c>
      <c r="N102" s="6">
        <v>0</v>
      </c>
      <c r="O102" s="6">
        <v>0</v>
      </c>
      <c r="P102" s="6">
        <v>1.34</v>
      </c>
      <c r="Q102" s="6">
        <v>5.15</v>
      </c>
    </row>
    <row r="103" spans="1:22" customFormat="1">
      <c r="A103" s="72">
        <v>45315.989583333336</v>
      </c>
      <c r="B103" s="6">
        <v>38.97</v>
      </c>
      <c r="C103" s="6">
        <v>29.01</v>
      </c>
      <c r="D103" s="6">
        <v>47.76</v>
      </c>
      <c r="E103" s="6">
        <v>8</v>
      </c>
      <c r="F103" s="6">
        <v>3.36</v>
      </c>
      <c r="G103" s="6">
        <v>87.4</v>
      </c>
      <c r="H103" s="6">
        <v>44.54</v>
      </c>
      <c r="I103" s="6">
        <v>12.32</v>
      </c>
      <c r="J103" s="6">
        <v>0.15</v>
      </c>
      <c r="K103" s="6">
        <v>181.58</v>
      </c>
      <c r="L103" s="6">
        <v>16.23</v>
      </c>
      <c r="M103" s="6">
        <v>98.61</v>
      </c>
      <c r="N103" s="6">
        <v>0</v>
      </c>
      <c r="O103" s="6">
        <v>0</v>
      </c>
      <c r="P103" s="6">
        <v>1.35</v>
      </c>
      <c r="Q103" s="6">
        <v>5.18</v>
      </c>
    </row>
    <row r="104" spans="1:22" customFormat="1">
      <c r="A104" s="72">
        <v>45316</v>
      </c>
      <c r="B104" s="6">
        <v>39.83</v>
      </c>
      <c r="C104" s="6">
        <v>26.27</v>
      </c>
      <c r="D104" s="6">
        <v>47.02</v>
      </c>
      <c r="E104" s="6">
        <v>7.93</v>
      </c>
      <c r="F104" s="6">
        <v>3.54</v>
      </c>
      <c r="G104" s="6">
        <v>87.4</v>
      </c>
      <c r="H104" s="6">
        <v>44.54</v>
      </c>
      <c r="I104" s="6">
        <v>12.46</v>
      </c>
      <c r="J104" s="6">
        <v>0.13</v>
      </c>
      <c r="K104" s="6">
        <v>156.62</v>
      </c>
      <c r="L104" s="6">
        <v>16.12</v>
      </c>
      <c r="M104" s="6">
        <v>98.88</v>
      </c>
      <c r="N104" s="6">
        <v>0</v>
      </c>
      <c r="O104" s="6">
        <v>0</v>
      </c>
      <c r="P104" s="6">
        <v>1.33</v>
      </c>
      <c r="Q104" s="6">
        <v>5.18</v>
      </c>
    </row>
    <row r="106" spans="1:22">
      <c r="A106" s="156" t="s">
        <v>48</v>
      </c>
      <c r="B106" s="157">
        <f>MIN(B9:B104)</f>
        <v>13.8</v>
      </c>
      <c r="C106" s="157">
        <f>MIN(C9:C104)</f>
        <v>22.53</v>
      </c>
      <c r="D106" s="157">
        <f t="shared" ref="D106:Q106" si="0">MIN(D9:D104)</f>
        <v>25.96</v>
      </c>
      <c r="E106" s="157">
        <f t="shared" si="0"/>
        <v>4.2699999999999996</v>
      </c>
      <c r="F106" s="157">
        <f t="shared" si="0"/>
        <v>3.06</v>
      </c>
      <c r="G106" s="157">
        <f t="shared" si="0"/>
        <v>63.46</v>
      </c>
      <c r="H106" s="157">
        <f t="shared" si="0"/>
        <v>30.91</v>
      </c>
      <c r="I106" s="157">
        <f t="shared" si="0"/>
        <v>8.49</v>
      </c>
      <c r="J106" s="157">
        <f t="shared" si="0"/>
        <v>0.1</v>
      </c>
      <c r="K106" s="157">
        <f t="shared" si="0"/>
        <v>28.59</v>
      </c>
      <c r="L106" s="157">
        <f t="shared" si="0"/>
        <v>15.07</v>
      </c>
      <c r="M106" s="157">
        <f t="shared" si="0"/>
        <v>63.07</v>
      </c>
      <c r="N106" s="157">
        <f t="shared" si="0"/>
        <v>0</v>
      </c>
      <c r="O106" s="157">
        <f t="shared" si="0"/>
        <v>0</v>
      </c>
      <c r="P106" s="157">
        <f t="shared" si="0"/>
        <v>0.94</v>
      </c>
      <c r="Q106" s="157">
        <f t="shared" si="0"/>
        <v>4.95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39.83</v>
      </c>
      <c r="C107" s="156">
        <f t="shared" ref="C107:Q107" si="1">MAX(C9:C104)</f>
        <v>33</v>
      </c>
      <c r="D107" s="156">
        <f t="shared" si="1"/>
        <v>47.76</v>
      </c>
      <c r="E107" s="156">
        <f t="shared" si="1"/>
        <v>8.83</v>
      </c>
      <c r="F107" s="156">
        <f t="shared" si="1"/>
        <v>3.84</v>
      </c>
      <c r="G107" s="156">
        <f t="shared" si="1"/>
        <v>93.82</v>
      </c>
      <c r="H107" s="156">
        <f t="shared" si="1"/>
        <v>47.24</v>
      </c>
      <c r="I107" s="156">
        <f t="shared" si="1"/>
        <v>12.46</v>
      </c>
      <c r="J107" s="156">
        <f t="shared" si="1"/>
        <v>1.45</v>
      </c>
      <c r="K107" s="156">
        <f t="shared" si="1"/>
        <v>341.9</v>
      </c>
      <c r="L107" s="156">
        <f t="shared" si="1"/>
        <v>22.67</v>
      </c>
      <c r="M107" s="156">
        <f t="shared" si="1"/>
        <v>99.75</v>
      </c>
      <c r="N107" s="156">
        <f t="shared" si="1"/>
        <v>415.9</v>
      </c>
      <c r="O107" s="156">
        <f t="shared" si="1"/>
        <v>1</v>
      </c>
      <c r="P107" s="156">
        <f t="shared" si="1"/>
        <v>1.35</v>
      </c>
      <c r="Q107" s="156">
        <f t="shared" si="1"/>
        <v>5.24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24.831249999999997</v>
      </c>
      <c r="C108" s="157">
        <f t="shared" ref="C108:Q108" si="2">AVERAGE(C9:C104)</f>
        <v>27.372708333333335</v>
      </c>
      <c r="D108" s="157">
        <f t="shared" si="2"/>
        <v>35.565937500000011</v>
      </c>
      <c r="E108" s="157">
        <f t="shared" si="2"/>
        <v>7.1437499999999998</v>
      </c>
      <c r="F108" s="157">
        <f t="shared" si="2"/>
        <v>3.3531249999999999</v>
      </c>
      <c r="G108" s="157">
        <f t="shared" si="2"/>
        <v>76.828020833333326</v>
      </c>
      <c r="H108" s="157">
        <f t="shared" si="2"/>
        <v>39.746979166666634</v>
      </c>
      <c r="I108" s="157">
        <f t="shared" si="2"/>
        <v>10.109999999999994</v>
      </c>
      <c r="J108" s="157">
        <f t="shared" si="2"/>
        <v>0.64989583333333323</v>
      </c>
      <c r="K108" s="157">
        <f t="shared" si="2"/>
        <v>97.30760416666665</v>
      </c>
      <c r="L108" s="157">
        <f t="shared" si="2"/>
        <v>18.053020833333331</v>
      </c>
      <c r="M108" s="157">
        <f t="shared" si="2"/>
        <v>86.008854166666666</v>
      </c>
      <c r="N108" s="157">
        <f t="shared" si="2"/>
        <v>67.03958333333334</v>
      </c>
      <c r="O108" s="157">
        <f t="shared" si="2"/>
        <v>2.0833333333333332E-2</v>
      </c>
      <c r="P108" s="157">
        <f t="shared" si="2"/>
        <v>1.0856249999999996</v>
      </c>
      <c r="Q108" s="157">
        <f t="shared" si="2"/>
        <v>5.080729166666667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6.8362352289299668</v>
      </c>
      <c r="C109" s="157">
        <f t="shared" ref="C109:Q109" si="3">STDEV(C9:C104)</f>
        <v>2.8447241949992019</v>
      </c>
      <c r="D109" s="157">
        <f t="shared" si="3"/>
        <v>6.3201360042201911</v>
      </c>
      <c r="E109" s="157">
        <f t="shared" si="3"/>
        <v>1.058441008474762</v>
      </c>
      <c r="F109" s="157">
        <f t="shared" si="3"/>
        <v>0.14597269030811713</v>
      </c>
      <c r="G109" s="157">
        <f t="shared" si="3"/>
        <v>10.390558124900208</v>
      </c>
      <c r="H109" s="157">
        <f t="shared" si="3"/>
        <v>4.444597695320426</v>
      </c>
      <c r="I109" s="157">
        <f t="shared" si="3"/>
        <v>0.97894895302644824</v>
      </c>
      <c r="J109" s="157">
        <f t="shared" si="3"/>
        <v>0.40140672323235976</v>
      </c>
      <c r="K109" s="157">
        <f t="shared" si="3"/>
        <v>69.104778823933898</v>
      </c>
      <c r="L109" s="157">
        <f t="shared" si="3"/>
        <v>2.5268241435036649</v>
      </c>
      <c r="M109" s="157">
        <f t="shared" si="3"/>
        <v>13.194445870560072</v>
      </c>
      <c r="N109" s="157">
        <f t="shared" si="3"/>
        <v>101.85769482770571</v>
      </c>
      <c r="O109" s="157">
        <f t="shared" si="3"/>
        <v>0.11042183867397043</v>
      </c>
      <c r="P109" s="157">
        <f t="shared" si="3"/>
        <v>0.10442637799451167</v>
      </c>
      <c r="Q109" s="157">
        <f t="shared" si="3"/>
        <v>8.6708765922017955E-2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45316.010416666664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45316.010416666664</v>
      </c>
      <c r="B9" s="6">
        <v>40.799999999999997</v>
      </c>
      <c r="C9" s="6">
        <v>25.02</v>
      </c>
      <c r="D9" s="6">
        <v>47.14</v>
      </c>
      <c r="E9" s="6">
        <v>7.53</v>
      </c>
      <c r="F9" s="6">
        <v>3.42</v>
      </c>
      <c r="G9" s="6">
        <v>87.4</v>
      </c>
      <c r="H9" s="6">
        <v>44.54</v>
      </c>
      <c r="I9" s="6">
        <v>12.53</v>
      </c>
      <c r="J9" s="6">
        <v>0.12</v>
      </c>
      <c r="K9" s="6">
        <v>119.79</v>
      </c>
      <c r="L9" s="6">
        <v>16.12</v>
      </c>
      <c r="M9" s="6">
        <v>99.01</v>
      </c>
      <c r="N9" s="6">
        <v>0</v>
      </c>
      <c r="O9" s="6">
        <v>0</v>
      </c>
      <c r="P9" s="6">
        <v>1.33</v>
      </c>
      <c r="Q9" s="6">
        <v>5.17</v>
      </c>
    </row>
    <row r="10" spans="1:21" customFormat="1">
      <c r="A10" s="72">
        <v>45316.020833333336</v>
      </c>
      <c r="B10" s="6">
        <v>42.46</v>
      </c>
      <c r="C10" s="6">
        <v>26.05</v>
      </c>
      <c r="D10" s="6">
        <v>49.01</v>
      </c>
      <c r="E10" s="6">
        <v>7.55</v>
      </c>
      <c r="F10" s="6">
        <v>3.2</v>
      </c>
      <c r="G10" s="6">
        <v>78.47</v>
      </c>
      <c r="H10" s="6">
        <v>43.25</v>
      </c>
      <c r="I10" s="6">
        <v>12.58</v>
      </c>
      <c r="J10" s="6">
        <v>0.38</v>
      </c>
      <c r="K10" s="6">
        <v>65.61</v>
      </c>
      <c r="L10" s="6">
        <v>16.32</v>
      </c>
      <c r="M10" s="6">
        <v>98.93</v>
      </c>
      <c r="N10" s="6">
        <v>0</v>
      </c>
      <c r="O10" s="6">
        <v>0</v>
      </c>
      <c r="P10" s="6">
        <v>1.34</v>
      </c>
      <c r="Q10" s="6">
        <v>5.2</v>
      </c>
    </row>
    <row r="11" spans="1:21" customFormat="1">
      <c r="A11" s="72">
        <v>45316.03125</v>
      </c>
      <c r="B11" s="6">
        <v>47.19</v>
      </c>
      <c r="C11" s="6">
        <v>26.4</v>
      </c>
      <c r="D11" s="6">
        <v>52.99</v>
      </c>
      <c r="E11" s="6">
        <v>7.86</v>
      </c>
      <c r="F11" s="6">
        <v>3.38</v>
      </c>
      <c r="G11" s="6">
        <v>77.47</v>
      </c>
      <c r="H11" s="6">
        <v>43.25</v>
      </c>
      <c r="I11" s="6">
        <v>12.65</v>
      </c>
      <c r="J11" s="6">
        <v>0.19</v>
      </c>
      <c r="K11" s="6">
        <v>69.62</v>
      </c>
      <c r="L11" s="6">
        <v>16.18</v>
      </c>
      <c r="M11" s="6">
        <v>98.63</v>
      </c>
      <c r="N11" s="6">
        <v>0</v>
      </c>
      <c r="O11" s="6">
        <v>0</v>
      </c>
      <c r="P11" s="6">
        <v>1.37</v>
      </c>
      <c r="Q11" s="6">
        <v>5.25</v>
      </c>
    </row>
    <row r="12" spans="1:21" customFormat="1">
      <c r="A12" s="72">
        <v>45316.041666666664</v>
      </c>
      <c r="B12" s="6">
        <v>51.58</v>
      </c>
      <c r="C12" s="6">
        <v>27.04</v>
      </c>
      <c r="D12" s="6">
        <v>56.84</v>
      </c>
      <c r="E12" s="6">
        <v>7.32</v>
      </c>
      <c r="F12" s="6">
        <v>3.41</v>
      </c>
      <c r="G12" s="6">
        <v>77.47</v>
      </c>
      <c r="H12" s="6">
        <v>43.25</v>
      </c>
      <c r="I12" s="6">
        <v>12.81</v>
      </c>
      <c r="J12" s="6">
        <v>0.41</v>
      </c>
      <c r="K12" s="6">
        <v>52.87</v>
      </c>
      <c r="L12" s="6">
        <v>16.14</v>
      </c>
      <c r="M12" s="6">
        <v>98.68</v>
      </c>
      <c r="N12" s="6">
        <v>0</v>
      </c>
      <c r="O12" s="6">
        <v>0</v>
      </c>
      <c r="P12" s="6">
        <v>1.38</v>
      </c>
      <c r="Q12" s="6">
        <v>5.29</v>
      </c>
    </row>
    <row r="13" spans="1:21" customFormat="1">
      <c r="A13" s="72">
        <v>45316.052083333336</v>
      </c>
      <c r="B13" s="6">
        <v>54.18</v>
      </c>
      <c r="C13" s="6">
        <v>27.2</v>
      </c>
      <c r="D13" s="6">
        <v>59.02</v>
      </c>
      <c r="E13" s="6">
        <v>7.73</v>
      </c>
      <c r="F13" s="6">
        <v>3.34</v>
      </c>
      <c r="G13" s="6">
        <v>77.47</v>
      </c>
      <c r="H13" s="6">
        <v>43.25</v>
      </c>
      <c r="I13" s="6">
        <v>12.96</v>
      </c>
      <c r="J13" s="6">
        <v>0.1</v>
      </c>
      <c r="K13" s="6">
        <v>274.25</v>
      </c>
      <c r="L13" s="6">
        <v>16.04</v>
      </c>
      <c r="M13" s="6">
        <v>98.81</v>
      </c>
      <c r="N13" s="6">
        <v>0</v>
      </c>
      <c r="O13" s="6">
        <v>0</v>
      </c>
      <c r="P13" s="6">
        <v>1.39</v>
      </c>
      <c r="Q13" s="6">
        <v>5.32</v>
      </c>
    </row>
    <row r="14" spans="1:21" customFormat="1">
      <c r="A14" s="72">
        <v>45316.0625</v>
      </c>
      <c r="B14" s="6">
        <v>55.66</v>
      </c>
      <c r="C14" s="6">
        <v>27.22</v>
      </c>
      <c r="D14" s="6">
        <v>60.2</v>
      </c>
      <c r="E14" s="6">
        <v>7.88</v>
      </c>
      <c r="F14" s="6">
        <v>3.21</v>
      </c>
      <c r="G14" s="6">
        <v>93.56</v>
      </c>
      <c r="H14" s="6">
        <v>49.74</v>
      </c>
      <c r="I14" s="6">
        <v>13.11</v>
      </c>
      <c r="J14" s="6">
        <v>0.16</v>
      </c>
      <c r="K14" s="6">
        <v>178.91</v>
      </c>
      <c r="L14" s="6">
        <v>15.81</v>
      </c>
      <c r="M14" s="6">
        <v>99.06</v>
      </c>
      <c r="N14" s="6">
        <v>0</v>
      </c>
      <c r="O14" s="6">
        <v>0</v>
      </c>
      <c r="P14" s="6">
        <v>1.39</v>
      </c>
      <c r="Q14" s="6">
        <v>5.39</v>
      </c>
    </row>
    <row r="15" spans="1:21" customFormat="1">
      <c r="A15" s="72">
        <v>45316.072916666664</v>
      </c>
      <c r="B15" s="6">
        <v>56.59</v>
      </c>
      <c r="C15" s="6">
        <v>26.93</v>
      </c>
      <c r="D15" s="6">
        <v>60.8</v>
      </c>
      <c r="E15" s="6">
        <v>7.82</v>
      </c>
      <c r="F15" s="6">
        <v>3.21</v>
      </c>
      <c r="G15" s="6">
        <v>95.57</v>
      </c>
      <c r="H15" s="6">
        <v>49.74</v>
      </c>
      <c r="I15" s="6">
        <v>13.22</v>
      </c>
      <c r="J15" s="6">
        <v>0.1</v>
      </c>
      <c r="K15" s="6">
        <v>237.78</v>
      </c>
      <c r="L15" s="6">
        <v>15.41</v>
      </c>
      <c r="M15" s="6">
        <v>99.34</v>
      </c>
      <c r="N15" s="6">
        <v>0</v>
      </c>
      <c r="O15" s="6">
        <v>0</v>
      </c>
      <c r="P15" s="6">
        <v>1.4</v>
      </c>
      <c r="Q15" s="6">
        <v>5.39</v>
      </c>
    </row>
    <row r="16" spans="1:21" customFormat="1">
      <c r="A16" s="72">
        <v>45316.083333333336</v>
      </c>
      <c r="B16" s="6">
        <v>57.49</v>
      </c>
      <c r="C16" s="6">
        <v>27.12</v>
      </c>
      <c r="D16" s="6">
        <v>61.62</v>
      </c>
      <c r="E16" s="6">
        <v>8.09</v>
      </c>
      <c r="F16" s="6">
        <v>3.19</v>
      </c>
      <c r="G16" s="6">
        <v>95.57</v>
      </c>
      <c r="H16" s="6">
        <v>49.74</v>
      </c>
      <c r="I16" s="6">
        <v>13.34</v>
      </c>
      <c r="J16" s="6">
        <v>0.28999999999999998</v>
      </c>
      <c r="K16" s="6">
        <v>53.19</v>
      </c>
      <c r="L16" s="6">
        <v>15.4</v>
      </c>
      <c r="M16" s="6">
        <v>99.64</v>
      </c>
      <c r="N16" s="6">
        <v>0</v>
      </c>
      <c r="O16" s="6">
        <v>0</v>
      </c>
      <c r="P16" s="6">
        <v>1.41</v>
      </c>
      <c r="Q16" s="6">
        <v>5.39</v>
      </c>
    </row>
    <row r="17" spans="1:17" customFormat="1">
      <c r="A17" s="72">
        <v>45316.09375</v>
      </c>
      <c r="B17" s="6">
        <v>59.77</v>
      </c>
      <c r="C17" s="6">
        <v>26.71</v>
      </c>
      <c r="D17" s="6">
        <v>63.24</v>
      </c>
      <c r="E17" s="6">
        <v>4.9400000000000004</v>
      </c>
      <c r="F17" s="6">
        <v>3.28</v>
      </c>
      <c r="G17" s="6">
        <v>95.57</v>
      </c>
      <c r="H17" s="6">
        <v>49.74</v>
      </c>
      <c r="I17" s="6">
        <v>13.42</v>
      </c>
      <c r="J17" s="6">
        <v>0.5</v>
      </c>
      <c r="K17" s="6">
        <v>36.729999999999997</v>
      </c>
      <c r="L17" s="6">
        <v>15.31</v>
      </c>
      <c r="M17" s="6">
        <v>99.77</v>
      </c>
      <c r="N17" s="6">
        <v>0</v>
      </c>
      <c r="O17" s="6">
        <v>0</v>
      </c>
      <c r="P17" s="6">
        <v>1.4</v>
      </c>
      <c r="Q17" s="6">
        <v>5.43</v>
      </c>
    </row>
    <row r="18" spans="1:17" customFormat="1">
      <c r="A18" s="72">
        <v>45316.104166666664</v>
      </c>
      <c r="B18" s="6">
        <v>59.68</v>
      </c>
      <c r="C18" s="6">
        <v>27.48</v>
      </c>
      <c r="D18" s="6">
        <v>63.56</v>
      </c>
      <c r="E18" s="6">
        <v>5.58</v>
      </c>
      <c r="F18" s="6">
        <v>3.22</v>
      </c>
      <c r="G18" s="6">
        <v>102.67</v>
      </c>
      <c r="H18" s="6">
        <v>49.56</v>
      </c>
      <c r="I18" s="6">
        <v>13.49</v>
      </c>
      <c r="J18" s="6">
        <v>0.53</v>
      </c>
      <c r="K18" s="6">
        <v>33.42</v>
      </c>
      <c r="L18" s="6">
        <v>15.2</v>
      </c>
      <c r="M18" s="6">
        <v>96.01</v>
      </c>
      <c r="N18" s="6">
        <v>0</v>
      </c>
      <c r="O18" s="6">
        <v>0</v>
      </c>
      <c r="P18" s="6">
        <v>1.39</v>
      </c>
      <c r="Q18" s="6">
        <v>5.42</v>
      </c>
    </row>
    <row r="19" spans="1:17" customFormat="1">
      <c r="A19" s="72">
        <v>45316.114583333336</v>
      </c>
      <c r="B19" s="6">
        <v>57.81</v>
      </c>
      <c r="C19" s="6">
        <v>27.53</v>
      </c>
      <c r="D19" s="6">
        <v>62.09</v>
      </c>
      <c r="E19" s="6">
        <v>5.52</v>
      </c>
      <c r="F19" s="6">
        <v>3.24</v>
      </c>
      <c r="G19" s="6">
        <v>103.56</v>
      </c>
      <c r="H19" s="6">
        <v>49.56</v>
      </c>
      <c r="I19" s="6">
        <v>13.56</v>
      </c>
      <c r="J19" s="6">
        <v>0.76</v>
      </c>
      <c r="K19" s="6">
        <v>41.06</v>
      </c>
      <c r="L19" s="6">
        <v>15.24</v>
      </c>
      <c r="M19" s="6">
        <v>87.33</v>
      </c>
      <c r="N19" s="6">
        <v>0</v>
      </c>
      <c r="O19" s="6">
        <v>0</v>
      </c>
      <c r="P19" s="6">
        <v>1.36</v>
      </c>
      <c r="Q19" s="6">
        <v>5.43</v>
      </c>
    </row>
    <row r="20" spans="1:17" customFormat="1">
      <c r="A20" s="72">
        <v>45316.125</v>
      </c>
      <c r="B20" s="6">
        <v>55.12</v>
      </c>
      <c r="C20" s="6">
        <v>27.47</v>
      </c>
      <c r="D20" s="6">
        <v>59.9</v>
      </c>
      <c r="E20" s="6">
        <v>5.16</v>
      </c>
      <c r="F20" s="6">
        <v>3.21</v>
      </c>
      <c r="G20" s="6">
        <v>103.56</v>
      </c>
      <c r="H20" s="6">
        <v>49.56</v>
      </c>
      <c r="I20" s="6">
        <v>13.47</v>
      </c>
      <c r="J20" s="6">
        <v>0.74</v>
      </c>
      <c r="K20" s="6">
        <v>40.520000000000003</v>
      </c>
      <c r="L20" s="6">
        <v>15.07</v>
      </c>
      <c r="M20" s="6">
        <v>85.54</v>
      </c>
      <c r="N20" s="6">
        <v>0</v>
      </c>
      <c r="O20" s="6">
        <v>0</v>
      </c>
      <c r="P20" s="6">
        <v>1.33</v>
      </c>
      <c r="Q20" s="6">
        <v>5.38</v>
      </c>
    </row>
    <row r="21" spans="1:17" customFormat="1">
      <c r="A21" s="72">
        <v>45316.135416666664</v>
      </c>
      <c r="B21" s="6">
        <v>52.4</v>
      </c>
      <c r="C21" s="6">
        <v>27.34</v>
      </c>
      <c r="D21" s="6">
        <v>57.66</v>
      </c>
      <c r="E21" s="6">
        <v>5.28</v>
      </c>
      <c r="F21" s="6">
        <v>3.27</v>
      </c>
      <c r="G21" s="6">
        <v>103.56</v>
      </c>
      <c r="H21" s="6">
        <v>49.56</v>
      </c>
      <c r="I21" s="6">
        <v>13.18</v>
      </c>
      <c r="J21" s="6">
        <v>1.0900000000000001</v>
      </c>
      <c r="K21" s="6">
        <v>46.62</v>
      </c>
      <c r="L21" s="6">
        <v>14.87</v>
      </c>
      <c r="M21" s="6">
        <v>86.87</v>
      </c>
      <c r="N21" s="6">
        <v>0</v>
      </c>
      <c r="O21" s="6">
        <v>0</v>
      </c>
      <c r="P21" s="6">
        <v>1.28</v>
      </c>
      <c r="Q21" s="6">
        <v>5.36</v>
      </c>
    </row>
    <row r="22" spans="1:17" customFormat="1">
      <c r="A22" s="72">
        <v>45316.145833333336</v>
      </c>
      <c r="B22" s="6">
        <v>49.15</v>
      </c>
      <c r="C22" s="6">
        <v>27.53</v>
      </c>
      <c r="D22" s="6">
        <v>55.15</v>
      </c>
      <c r="E22" s="6">
        <v>4.92</v>
      </c>
      <c r="F22" s="6">
        <v>3.35</v>
      </c>
      <c r="G22" s="6">
        <v>90.28</v>
      </c>
      <c r="H22" s="6">
        <v>45.95</v>
      </c>
      <c r="I22" s="6">
        <v>12.82</v>
      </c>
      <c r="J22" s="6">
        <v>1.29</v>
      </c>
      <c r="K22" s="6">
        <v>50.34</v>
      </c>
      <c r="L22" s="6">
        <v>14.71</v>
      </c>
      <c r="M22" s="6">
        <v>88.86</v>
      </c>
      <c r="N22" s="6">
        <v>0</v>
      </c>
      <c r="O22" s="6">
        <v>0</v>
      </c>
      <c r="P22" s="6">
        <v>1.24</v>
      </c>
      <c r="Q22" s="6">
        <v>5.33</v>
      </c>
    </row>
    <row r="23" spans="1:17" customFormat="1">
      <c r="A23" s="72">
        <v>45316.15625</v>
      </c>
      <c r="B23" s="6">
        <v>45.86</v>
      </c>
      <c r="C23" s="6">
        <v>27.74</v>
      </c>
      <c r="D23" s="6">
        <v>52.62</v>
      </c>
      <c r="E23" s="6">
        <v>4.7699999999999996</v>
      </c>
      <c r="F23" s="6">
        <v>3.56</v>
      </c>
      <c r="G23" s="6">
        <v>88.62</v>
      </c>
      <c r="H23" s="6">
        <v>45.95</v>
      </c>
      <c r="I23" s="6">
        <v>12.45</v>
      </c>
      <c r="J23" s="6">
        <v>1.43</v>
      </c>
      <c r="K23" s="6">
        <v>53.61</v>
      </c>
      <c r="L23" s="6">
        <v>14.45</v>
      </c>
      <c r="M23" s="6">
        <v>91.52</v>
      </c>
      <c r="N23" s="6">
        <v>0</v>
      </c>
      <c r="O23" s="6">
        <v>0</v>
      </c>
      <c r="P23" s="6">
        <v>1.19</v>
      </c>
      <c r="Q23" s="6">
        <v>5.31</v>
      </c>
    </row>
    <row r="24" spans="1:17" customFormat="1">
      <c r="A24" s="72">
        <v>45316.166666666664</v>
      </c>
      <c r="B24" s="6">
        <v>42.77</v>
      </c>
      <c r="C24" s="6">
        <v>27.31</v>
      </c>
      <c r="D24" s="6">
        <v>49.92</v>
      </c>
      <c r="E24" s="6">
        <v>4.8899999999999997</v>
      </c>
      <c r="F24" s="6">
        <v>3.47</v>
      </c>
      <c r="G24" s="6">
        <v>88.62</v>
      </c>
      <c r="H24" s="6">
        <v>45.95</v>
      </c>
      <c r="I24" s="6">
        <v>12.17</v>
      </c>
      <c r="J24" s="6">
        <v>1.46</v>
      </c>
      <c r="K24" s="6">
        <v>49.51</v>
      </c>
      <c r="L24" s="6">
        <v>14.16</v>
      </c>
      <c r="M24" s="6">
        <v>94.99</v>
      </c>
      <c r="N24" s="6">
        <v>0</v>
      </c>
      <c r="O24" s="6">
        <v>0</v>
      </c>
      <c r="P24" s="6">
        <v>1.1599999999999999</v>
      </c>
      <c r="Q24" s="6">
        <v>5.27</v>
      </c>
    </row>
    <row r="25" spans="1:17" customFormat="1">
      <c r="A25" s="72">
        <v>45316.177083333336</v>
      </c>
      <c r="B25" s="6">
        <v>40.15</v>
      </c>
      <c r="C25" s="6">
        <v>26.82</v>
      </c>
      <c r="D25" s="6">
        <v>47.56</v>
      </c>
      <c r="E25" s="6">
        <v>4.8099999999999996</v>
      </c>
      <c r="F25" s="6">
        <v>3.28</v>
      </c>
      <c r="G25" s="6">
        <v>88.62</v>
      </c>
      <c r="H25" s="6">
        <v>45.95</v>
      </c>
      <c r="I25" s="6">
        <v>11.92</v>
      </c>
      <c r="J25" s="6">
        <v>1.31</v>
      </c>
      <c r="K25" s="6">
        <v>56.56</v>
      </c>
      <c r="L25" s="6">
        <v>14.23</v>
      </c>
      <c r="M25" s="6">
        <v>98.29</v>
      </c>
      <c r="N25" s="6">
        <v>0</v>
      </c>
      <c r="O25" s="6">
        <v>0</v>
      </c>
      <c r="P25" s="6">
        <v>1.1200000000000001</v>
      </c>
      <c r="Q25" s="6">
        <v>5.24</v>
      </c>
    </row>
    <row r="26" spans="1:17" customFormat="1">
      <c r="A26" s="72">
        <v>45316.1875</v>
      </c>
      <c r="B26" s="6">
        <v>37.92</v>
      </c>
      <c r="C26" s="6">
        <v>26.47</v>
      </c>
      <c r="D26" s="6">
        <v>45.59</v>
      </c>
      <c r="E26" s="6">
        <v>4.96</v>
      </c>
      <c r="F26" s="6">
        <v>3.23</v>
      </c>
      <c r="G26" s="6">
        <v>86.73</v>
      </c>
      <c r="H26" s="6">
        <v>43.74</v>
      </c>
      <c r="I26" s="6">
        <v>11.62</v>
      </c>
      <c r="J26" s="6">
        <v>0.89</v>
      </c>
      <c r="K26" s="6">
        <v>62.17</v>
      </c>
      <c r="L26" s="6">
        <v>14.66</v>
      </c>
      <c r="M26" s="6">
        <v>99.99</v>
      </c>
      <c r="N26" s="6">
        <v>0</v>
      </c>
      <c r="O26" s="6">
        <v>0</v>
      </c>
      <c r="P26" s="6">
        <v>1.1100000000000001</v>
      </c>
      <c r="Q26" s="6">
        <v>5.22</v>
      </c>
    </row>
    <row r="27" spans="1:17" customFormat="1">
      <c r="A27" s="72">
        <v>45316.197916666664</v>
      </c>
      <c r="B27" s="6">
        <v>36.200000000000003</v>
      </c>
      <c r="C27" s="6">
        <v>26.4</v>
      </c>
      <c r="D27" s="6">
        <v>44.17</v>
      </c>
      <c r="E27" s="6">
        <v>4.9400000000000004</v>
      </c>
      <c r="F27" s="6">
        <v>3.25</v>
      </c>
      <c r="G27" s="6">
        <v>86.49</v>
      </c>
      <c r="H27" s="6">
        <v>43.74</v>
      </c>
      <c r="I27" s="6">
        <v>11.33</v>
      </c>
      <c r="J27" s="6">
        <v>0.75</v>
      </c>
      <c r="K27" s="6">
        <v>67.349999999999994</v>
      </c>
      <c r="L27" s="6">
        <v>15.14</v>
      </c>
      <c r="M27" s="6">
        <v>100.55</v>
      </c>
      <c r="N27" s="6">
        <v>0</v>
      </c>
      <c r="O27" s="6">
        <v>0</v>
      </c>
      <c r="P27" s="6">
        <v>1.08</v>
      </c>
      <c r="Q27" s="6">
        <v>5.2</v>
      </c>
    </row>
    <row r="28" spans="1:17" customFormat="1">
      <c r="A28" s="72">
        <v>45316.208333333336</v>
      </c>
      <c r="B28" s="6">
        <v>34.58</v>
      </c>
      <c r="C28" s="6">
        <v>26.68</v>
      </c>
      <c r="D28" s="6">
        <v>43.02</v>
      </c>
      <c r="E28" s="6">
        <v>4.57</v>
      </c>
      <c r="F28" s="6">
        <v>3.29</v>
      </c>
      <c r="G28" s="6">
        <v>86.49</v>
      </c>
      <c r="H28" s="6">
        <v>43.74</v>
      </c>
      <c r="I28" s="6">
        <v>11.07</v>
      </c>
      <c r="J28" s="6">
        <v>0.92</v>
      </c>
      <c r="K28" s="6">
        <v>62.57</v>
      </c>
      <c r="L28" s="6">
        <v>15.4</v>
      </c>
      <c r="M28" s="6">
        <v>100.59</v>
      </c>
      <c r="N28" s="6">
        <v>0</v>
      </c>
      <c r="O28" s="6">
        <v>0</v>
      </c>
      <c r="P28" s="6">
        <v>1.06</v>
      </c>
      <c r="Q28" s="6">
        <v>5.18</v>
      </c>
    </row>
    <row r="29" spans="1:17" customFormat="1">
      <c r="A29" s="72">
        <v>45316.21875</v>
      </c>
      <c r="B29" s="6">
        <v>33.28</v>
      </c>
      <c r="C29" s="6">
        <v>26.69</v>
      </c>
      <c r="D29" s="6">
        <v>41.99</v>
      </c>
      <c r="E29" s="6">
        <v>5.05</v>
      </c>
      <c r="F29" s="6">
        <v>3.27</v>
      </c>
      <c r="G29" s="6">
        <v>86.49</v>
      </c>
      <c r="H29" s="6">
        <v>43.74</v>
      </c>
      <c r="I29" s="6">
        <v>10.83</v>
      </c>
      <c r="J29" s="6">
        <v>1.0900000000000001</v>
      </c>
      <c r="K29" s="6">
        <v>62.26</v>
      </c>
      <c r="L29" s="6">
        <v>15.42</v>
      </c>
      <c r="M29" s="6">
        <v>100.6</v>
      </c>
      <c r="N29" s="6">
        <v>0</v>
      </c>
      <c r="O29" s="6">
        <v>0</v>
      </c>
      <c r="P29" s="6">
        <v>1.04</v>
      </c>
      <c r="Q29" s="6">
        <v>5.18</v>
      </c>
    </row>
    <row r="30" spans="1:17" customFormat="1">
      <c r="A30" s="72">
        <v>45316.229166666664</v>
      </c>
      <c r="B30" s="6">
        <v>31.95</v>
      </c>
      <c r="C30" s="6">
        <v>27.19</v>
      </c>
      <c r="D30" s="6">
        <v>41.18</v>
      </c>
      <c r="E30" s="6">
        <v>5.35</v>
      </c>
      <c r="F30" s="6">
        <v>3.24</v>
      </c>
      <c r="G30" s="6">
        <v>70.87</v>
      </c>
      <c r="H30" s="6">
        <v>36.229999999999997</v>
      </c>
      <c r="I30" s="6">
        <v>10.58</v>
      </c>
      <c r="J30" s="6">
        <v>1.02</v>
      </c>
      <c r="K30" s="6">
        <v>55.22</v>
      </c>
      <c r="L30" s="6">
        <v>15.43</v>
      </c>
      <c r="M30" s="6">
        <v>100.6</v>
      </c>
      <c r="N30" s="6">
        <v>0</v>
      </c>
      <c r="O30" s="6">
        <v>0</v>
      </c>
      <c r="P30" s="6">
        <v>1.03</v>
      </c>
      <c r="Q30" s="6">
        <v>5.15</v>
      </c>
    </row>
    <row r="31" spans="1:17" customFormat="1">
      <c r="A31" s="72">
        <v>45316.239583333336</v>
      </c>
      <c r="B31" s="6">
        <v>30.85</v>
      </c>
      <c r="C31" s="6">
        <v>26.83</v>
      </c>
      <c r="D31" s="6">
        <v>40.11</v>
      </c>
      <c r="E31" s="6">
        <v>4.83</v>
      </c>
      <c r="F31" s="6">
        <v>3.32</v>
      </c>
      <c r="G31" s="6">
        <v>68.92</v>
      </c>
      <c r="H31" s="6">
        <v>36.229999999999997</v>
      </c>
      <c r="I31" s="6">
        <v>10.36</v>
      </c>
      <c r="J31" s="6">
        <v>1.1200000000000001</v>
      </c>
      <c r="K31" s="6">
        <v>60.26</v>
      </c>
      <c r="L31" s="6">
        <v>15.54</v>
      </c>
      <c r="M31" s="6">
        <v>100.6</v>
      </c>
      <c r="N31" s="6">
        <v>0</v>
      </c>
      <c r="O31" s="6">
        <v>0</v>
      </c>
      <c r="P31" s="6">
        <v>0.99</v>
      </c>
      <c r="Q31" s="6">
        <v>5.12</v>
      </c>
    </row>
    <row r="32" spans="1:17" customFormat="1">
      <c r="A32" s="72">
        <v>45316.25</v>
      </c>
      <c r="B32" s="6">
        <v>29.72</v>
      </c>
      <c r="C32" s="6">
        <v>26.82</v>
      </c>
      <c r="D32" s="6">
        <v>39.19</v>
      </c>
      <c r="E32" s="6">
        <v>5.19</v>
      </c>
      <c r="F32" s="6">
        <v>3.23</v>
      </c>
      <c r="G32" s="6">
        <v>68.92</v>
      </c>
      <c r="H32" s="6">
        <v>36.229999999999997</v>
      </c>
      <c r="I32" s="6">
        <v>10.14</v>
      </c>
      <c r="J32" s="6">
        <v>0.98</v>
      </c>
      <c r="K32" s="6">
        <v>64.66</v>
      </c>
      <c r="L32" s="6">
        <v>15.66</v>
      </c>
      <c r="M32" s="6">
        <v>100.6</v>
      </c>
      <c r="N32" s="6">
        <v>0</v>
      </c>
      <c r="O32" s="6">
        <v>0</v>
      </c>
      <c r="P32" s="6">
        <v>0.98</v>
      </c>
      <c r="Q32" s="6">
        <v>5.12</v>
      </c>
    </row>
    <row r="33" spans="1:17" customFormat="1">
      <c r="A33" s="72">
        <v>45316.260416666664</v>
      </c>
      <c r="B33" s="6">
        <v>28.48</v>
      </c>
      <c r="C33" s="6">
        <v>26.96</v>
      </c>
      <c r="D33" s="6">
        <v>38.270000000000003</v>
      </c>
      <c r="E33" s="6">
        <v>5.09</v>
      </c>
      <c r="F33" s="6">
        <v>3.36</v>
      </c>
      <c r="G33" s="6">
        <v>68.92</v>
      </c>
      <c r="H33" s="6">
        <v>36.229999999999997</v>
      </c>
      <c r="I33" s="6">
        <v>9.93</v>
      </c>
      <c r="J33" s="6">
        <v>1.03</v>
      </c>
      <c r="K33" s="6">
        <v>67.47</v>
      </c>
      <c r="L33" s="6">
        <v>15.78</v>
      </c>
      <c r="M33" s="6">
        <v>100.6</v>
      </c>
      <c r="N33" s="6">
        <v>0</v>
      </c>
      <c r="O33" s="6">
        <v>0</v>
      </c>
      <c r="P33" s="6">
        <v>0.96</v>
      </c>
      <c r="Q33" s="6">
        <v>5.14</v>
      </c>
    </row>
    <row r="34" spans="1:17" customFormat="1">
      <c r="A34" s="72">
        <v>45316.270833333336</v>
      </c>
      <c r="B34" s="6">
        <v>27.22</v>
      </c>
      <c r="C34" s="6">
        <v>26.96</v>
      </c>
      <c r="D34" s="6">
        <v>37.270000000000003</v>
      </c>
      <c r="E34" s="6">
        <v>5.3</v>
      </c>
      <c r="F34" s="6">
        <v>3.23</v>
      </c>
      <c r="G34" s="6">
        <v>52.3</v>
      </c>
      <c r="H34" s="6">
        <v>26.33</v>
      </c>
      <c r="I34" s="6">
        <v>9.7200000000000006</v>
      </c>
      <c r="J34" s="6">
        <v>0.55000000000000004</v>
      </c>
      <c r="K34" s="6">
        <v>92.57</v>
      </c>
      <c r="L34" s="6">
        <v>15.97</v>
      </c>
      <c r="M34" s="6">
        <v>100.6</v>
      </c>
      <c r="N34" s="6">
        <v>0</v>
      </c>
      <c r="O34" s="6">
        <v>0</v>
      </c>
      <c r="P34" s="6">
        <v>0.95</v>
      </c>
      <c r="Q34" s="6">
        <v>5.1100000000000003</v>
      </c>
    </row>
    <row r="35" spans="1:17" customFormat="1">
      <c r="A35" s="72">
        <v>45316.28125</v>
      </c>
      <c r="B35" s="6">
        <v>25.81</v>
      </c>
      <c r="C35" s="6">
        <v>26.59</v>
      </c>
      <c r="D35" s="6">
        <v>35.950000000000003</v>
      </c>
      <c r="E35" s="6">
        <v>4.78</v>
      </c>
      <c r="F35" s="6">
        <v>3.17</v>
      </c>
      <c r="G35" s="6">
        <v>50.22</v>
      </c>
      <c r="H35" s="6">
        <v>26.33</v>
      </c>
      <c r="I35" s="6">
        <v>9.5299999999999994</v>
      </c>
      <c r="J35" s="6">
        <v>0.32</v>
      </c>
      <c r="K35" s="6">
        <v>133</v>
      </c>
      <c r="L35" s="6">
        <v>16.170000000000002</v>
      </c>
      <c r="M35" s="6">
        <v>100.6</v>
      </c>
      <c r="N35" s="6">
        <v>0</v>
      </c>
      <c r="O35" s="6">
        <v>0</v>
      </c>
      <c r="P35" s="6">
        <v>0.94</v>
      </c>
      <c r="Q35" s="6">
        <v>5.07</v>
      </c>
    </row>
    <row r="36" spans="1:17" customFormat="1">
      <c r="A36" s="72">
        <v>45316.291666666664</v>
      </c>
      <c r="B36" s="6">
        <v>24.26</v>
      </c>
      <c r="C36" s="6">
        <v>26.32</v>
      </c>
      <c r="D36" s="6">
        <v>34.549999999999997</v>
      </c>
      <c r="E36" s="6">
        <v>5.32</v>
      </c>
      <c r="F36" s="6">
        <v>3.23</v>
      </c>
      <c r="G36" s="6">
        <v>50.22</v>
      </c>
      <c r="H36" s="6">
        <v>26.33</v>
      </c>
      <c r="I36" s="6">
        <v>9.3699999999999992</v>
      </c>
      <c r="J36" s="6">
        <v>0.27</v>
      </c>
      <c r="K36" s="6">
        <v>103.71</v>
      </c>
      <c r="L36" s="6">
        <v>16.27</v>
      </c>
      <c r="M36" s="6">
        <v>100.6</v>
      </c>
      <c r="N36" s="6">
        <v>0.8</v>
      </c>
      <c r="O36" s="6">
        <v>0</v>
      </c>
      <c r="P36" s="6">
        <v>0.92</v>
      </c>
      <c r="Q36" s="6">
        <v>5.05</v>
      </c>
    </row>
    <row r="37" spans="1:17" customFormat="1">
      <c r="A37" s="72">
        <v>45316.302083333336</v>
      </c>
      <c r="B37" s="6">
        <v>22.83</v>
      </c>
      <c r="C37" s="6">
        <v>26.2</v>
      </c>
      <c r="D37" s="6">
        <v>33.35</v>
      </c>
      <c r="E37" s="6">
        <v>5.47</v>
      </c>
      <c r="F37" s="6">
        <v>3.2</v>
      </c>
      <c r="G37" s="6">
        <v>50.22</v>
      </c>
      <c r="H37" s="6">
        <v>26.33</v>
      </c>
      <c r="I37" s="6">
        <v>9.1999999999999993</v>
      </c>
      <c r="J37" s="6">
        <v>0.77</v>
      </c>
      <c r="K37" s="6">
        <v>73.14</v>
      </c>
      <c r="L37" s="6">
        <v>16.25</v>
      </c>
      <c r="M37" s="6">
        <v>100.6</v>
      </c>
      <c r="N37" s="6">
        <v>6.3</v>
      </c>
      <c r="O37" s="6">
        <v>0</v>
      </c>
      <c r="P37" s="6">
        <v>0.91</v>
      </c>
      <c r="Q37" s="6">
        <v>5.05</v>
      </c>
    </row>
    <row r="38" spans="1:17" customFormat="1">
      <c r="A38" s="72">
        <v>45316.3125</v>
      </c>
      <c r="B38" s="6">
        <v>21.75</v>
      </c>
      <c r="C38" s="6">
        <v>26.44</v>
      </c>
      <c r="D38" s="6">
        <v>32.61</v>
      </c>
      <c r="E38" s="6">
        <v>5.6</v>
      </c>
      <c r="F38" s="6">
        <v>3.13</v>
      </c>
      <c r="G38" s="6">
        <v>56.63</v>
      </c>
      <c r="H38" s="6">
        <v>28.8</v>
      </c>
      <c r="I38" s="6">
        <v>9.0399999999999991</v>
      </c>
      <c r="J38" s="6">
        <v>0.75</v>
      </c>
      <c r="K38" s="6">
        <v>72.08</v>
      </c>
      <c r="L38" s="6">
        <v>16.28</v>
      </c>
      <c r="M38" s="6">
        <v>100.6</v>
      </c>
      <c r="N38" s="6">
        <v>14.6</v>
      </c>
      <c r="O38" s="6">
        <v>0</v>
      </c>
      <c r="P38" s="6">
        <v>0.9</v>
      </c>
      <c r="Q38" s="6">
        <v>5.03</v>
      </c>
    </row>
    <row r="39" spans="1:17" customFormat="1">
      <c r="A39" s="72">
        <v>45316.322916666664</v>
      </c>
      <c r="B39" s="6">
        <v>20.95</v>
      </c>
      <c r="C39" s="6">
        <v>26.38</v>
      </c>
      <c r="D39" s="6">
        <v>31.94</v>
      </c>
      <c r="E39" s="6">
        <v>5.24</v>
      </c>
      <c r="F39" s="6">
        <v>3.24</v>
      </c>
      <c r="G39" s="6">
        <v>57.43</v>
      </c>
      <c r="H39" s="6">
        <v>28.8</v>
      </c>
      <c r="I39" s="6">
        <v>8.9</v>
      </c>
      <c r="J39" s="6">
        <v>0.79</v>
      </c>
      <c r="K39" s="6">
        <v>72.010000000000005</v>
      </c>
      <c r="L39" s="6">
        <v>16.440000000000001</v>
      </c>
      <c r="M39" s="6">
        <v>100.6</v>
      </c>
      <c r="N39" s="6">
        <v>21.3</v>
      </c>
      <c r="O39" s="6">
        <v>0</v>
      </c>
      <c r="P39" s="6">
        <v>0.89</v>
      </c>
      <c r="Q39" s="6">
        <v>5.0199999999999996</v>
      </c>
    </row>
    <row r="40" spans="1:17" customFormat="1">
      <c r="A40" s="72">
        <v>45316.333333333336</v>
      </c>
      <c r="B40" s="6">
        <v>20.12</v>
      </c>
      <c r="C40" s="6">
        <v>26.43</v>
      </c>
      <c r="D40" s="6">
        <v>31.29</v>
      </c>
      <c r="E40" s="6">
        <v>4.99</v>
      </c>
      <c r="F40" s="6">
        <v>3.33</v>
      </c>
      <c r="G40" s="6">
        <v>57.43</v>
      </c>
      <c r="H40" s="6">
        <v>28.8</v>
      </c>
      <c r="I40" s="6">
        <v>8.81</v>
      </c>
      <c r="J40" s="6">
        <v>0.8</v>
      </c>
      <c r="K40" s="6">
        <v>75.209999999999994</v>
      </c>
      <c r="L40" s="6">
        <v>16.61</v>
      </c>
      <c r="M40" s="6">
        <v>100.6</v>
      </c>
      <c r="N40" s="6">
        <v>17.7</v>
      </c>
      <c r="O40" s="6">
        <v>0</v>
      </c>
      <c r="P40" s="6">
        <v>0.88</v>
      </c>
      <c r="Q40" s="6">
        <v>5.01</v>
      </c>
    </row>
    <row r="41" spans="1:17" customFormat="1">
      <c r="A41" s="72">
        <v>45316.34375</v>
      </c>
      <c r="B41" s="6">
        <v>19.45</v>
      </c>
      <c r="C41" s="6">
        <v>26.71</v>
      </c>
      <c r="D41" s="6">
        <v>30.9</v>
      </c>
      <c r="E41" s="6">
        <v>6.11</v>
      </c>
      <c r="F41" s="6">
        <v>3.31</v>
      </c>
      <c r="G41" s="6">
        <v>57.43</v>
      </c>
      <c r="H41" s="6">
        <v>28.8</v>
      </c>
      <c r="I41" s="6">
        <v>8.7200000000000006</v>
      </c>
      <c r="J41" s="6">
        <v>0.83</v>
      </c>
      <c r="K41" s="6">
        <v>72.290000000000006</v>
      </c>
      <c r="L41" s="6">
        <v>16.78</v>
      </c>
      <c r="M41" s="6">
        <v>100.6</v>
      </c>
      <c r="N41" s="6">
        <v>35.200000000000003</v>
      </c>
      <c r="O41" s="6">
        <v>0</v>
      </c>
      <c r="P41" s="6">
        <v>0.88</v>
      </c>
      <c r="Q41" s="6">
        <v>5</v>
      </c>
    </row>
    <row r="42" spans="1:17" customFormat="1">
      <c r="A42" s="72">
        <v>45316.354166666664</v>
      </c>
      <c r="B42" s="6">
        <v>18.8</v>
      </c>
      <c r="C42" s="6">
        <v>26.68</v>
      </c>
      <c r="D42" s="6">
        <v>30.37</v>
      </c>
      <c r="E42" s="6">
        <v>5.95</v>
      </c>
      <c r="F42" s="6">
        <v>3.37</v>
      </c>
      <c r="G42" s="6">
        <v>54.46</v>
      </c>
      <c r="H42" s="6">
        <v>30.73</v>
      </c>
      <c r="I42" s="6">
        <v>8.6300000000000008</v>
      </c>
      <c r="J42" s="6">
        <v>0.98</v>
      </c>
      <c r="K42" s="6">
        <v>70.13</v>
      </c>
      <c r="L42" s="6">
        <v>16.940000000000001</v>
      </c>
      <c r="M42" s="6">
        <v>98.5</v>
      </c>
      <c r="N42" s="6">
        <v>55.3</v>
      </c>
      <c r="O42" s="6">
        <v>0</v>
      </c>
      <c r="P42" s="6">
        <v>0.88</v>
      </c>
      <c r="Q42" s="6">
        <v>4.97</v>
      </c>
    </row>
    <row r="43" spans="1:17" customFormat="1">
      <c r="A43" s="72">
        <v>45316.364583333336</v>
      </c>
      <c r="B43" s="6">
        <v>18.2</v>
      </c>
      <c r="C43" s="6">
        <v>26.51</v>
      </c>
      <c r="D43" s="6">
        <v>29.8</v>
      </c>
      <c r="E43" s="6">
        <v>5.29</v>
      </c>
      <c r="F43" s="6">
        <v>3.32</v>
      </c>
      <c r="G43" s="6">
        <v>54.09</v>
      </c>
      <c r="H43" s="6">
        <v>30.73</v>
      </c>
      <c r="I43" s="6">
        <v>8.5299999999999994</v>
      </c>
      <c r="J43" s="6">
        <v>0.98</v>
      </c>
      <c r="K43" s="6">
        <v>66.180000000000007</v>
      </c>
      <c r="L43" s="6">
        <v>17.170000000000002</v>
      </c>
      <c r="M43" s="6">
        <v>92.88</v>
      </c>
      <c r="N43" s="6">
        <v>89.8</v>
      </c>
      <c r="O43" s="6">
        <v>0</v>
      </c>
      <c r="P43" s="6">
        <v>0.87</v>
      </c>
      <c r="Q43" s="6">
        <v>4.97</v>
      </c>
    </row>
    <row r="44" spans="1:17" customFormat="1">
      <c r="A44" s="72">
        <v>45316.375</v>
      </c>
      <c r="B44" s="6">
        <v>17.62</v>
      </c>
      <c r="C44" s="6">
        <v>26.5</v>
      </c>
      <c r="D44" s="6">
        <v>29.32</v>
      </c>
      <c r="E44" s="6">
        <v>6.01</v>
      </c>
      <c r="F44" s="6">
        <v>3.25</v>
      </c>
      <c r="G44" s="6">
        <v>54.09</v>
      </c>
      <c r="H44" s="6">
        <v>30.73</v>
      </c>
      <c r="I44" s="6">
        <v>8.4499999999999993</v>
      </c>
      <c r="J44" s="6">
        <v>1.1499999999999999</v>
      </c>
      <c r="K44" s="6">
        <v>65.05</v>
      </c>
      <c r="L44" s="6">
        <v>17.55</v>
      </c>
      <c r="M44" s="6">
        <v>89.16</v>
      </c>
      <c r="N44" s="6">
        <v>185.8</v>
      </c>
      <c r="O44" s="6">
        <v>0</v>
      </c>
      <c r="P44" s="6">
        <v>0.87</v>
      </c>
      <c r="Q44" s="6">
        <v>4.96</v>
      </c>
    </row>
    <row r="45" spans="1:17" customFormat="1">
      <c r="A45" s="72">
        <v>45316.385416666664</v>
      </c>
      <c r="B45" s="6">
        <v>17.14</v>
      </c>
      <c r="C45" s="6">
        <v>26.96</v>
      </c>
      <c r="D45" s="6">
        <v>29.18</v>
      </c>
      <c r="E45" s="6">
        <v>5.91</v>
      </c>
      <c r="F45" s="6">
        <v>3.27</v>
      </c>
      <c r="G45" s="6">
        <v>54.09</v>
      </c>
      <c r="H45" s="6">
        <v>30.73</v>
      </c>
      <c r="I45" s="6">
        <v>8.3800000000000008</v>
      </c>
      <c r="J45" s="6">
        <v>1.22</v>
      </c>
      <c r="K45" s="6">
        <v>60.35</v>
      </c>
      <c r="L45" s="6">
        <v>17.920000000000002</v>
      </c>
      <c r="M45" s="6">
        <v>87.48</v>
      </c>
      <c r="N45" s="6">
        <v>177.5</v>
      </c>
      <c r="O45" s="6">
        <v>0</v>
      </c>
      <c r="P45" s="6">
        <v>0.86</v>
      </c>
      <c r="Q45" s="6">
        <v>4.9400000000000004</v>
      </c>
    </row>
    <row r="46" spans="1:17" customFormat="1">
      <c r="A46" s="72">
        <v>45316.395833333336</v>
      </c>
      <c r="B46" s="6">
        <v>16.66</v>
      </c>
      <c r="C46" s="6">
        <v>27.78</v>
      </c>
      <c r="D46" s="6">
        <v>29.22</v>
      </c>
      <c r="E46" s="6">
        <v>5.45</v>
      </c>
      <c r="F46" s="6">
        <v>3.37</v>
      </c>
      <c r="G46" s="6">
        <v>55.38</v>
      </c>
      <c r="H46" s="6">
        <v>31.89</v>
      </c>
      <c r="I46" s="6">
        <v>8.31</v>
      </c>
      <c r="J46" s="6">
        <v>0.57999999999999996</v>
      </c>
      <c r="K46" s="6">
        <v>84.24</v>
      </c>
      <c r="L46" s="6">
        <v>18.57</v>
      </c>
      <c r="M46" s="6">
        <v>84.29</v>
      </c>
      <c r="N46" s="6">
        <v>253.4</v>
      </c>
      <c r="O46" s="6">
        <v>0</v>
      </c>
      <c r="P46" s="6">
        <v>0.87</v>
      </c>
      <c r="Q46" s="6">
        <v>4.92</v>
      </c>
    </row>
    <row r="47" spans="1:17" customFormat="1">
      <c r="A47" s="72">
        <v>45316.40625</v>
      </c>
      <c r="B47" s="6">
        <v>16.27</v>
      </c>
      <c r="C47" s="6">
        <v>25.38</v>
      </c>
      <c r="D47" s="6">
        <v>27.65</v>
      </c>
      <c r="E47" s="6">
        <v>5.24</v>
      </c>
      <c r="F47" s="6">
        <v>3.5</v>
      </c>
      <c r="G47" s="6">
        <v>55.54</v>
      </c>
      <c r="H47" s="6">
        <v>31.89</v>
      </c>
      <c r="I47" s="6">
        <v>8.26</v>
      </c>
      <c r="J47" s="6">
        <v>1.25</v>
      </c>
      <c r="K47" s="6">
        <v>52.82</v>
      </c>
      <c r="L47" s="6">
        <v>18.989999999999998</v>
      </c>
      <c r="M47" s="6">
        <v>82.28</v>
      </c>
      <c r="N47" s="6">
        <v>225.2</v>
      </c>
      <c r="O47" s="6">
        <v>0</v>
      </c>
      <c r="P47" s="6">
        <v>0.86</v>
      </c>
      <c r="Q47" s="6">
        <v>4.92</v>
      </c>
    </row>
    <row r="48" spans="1:17" customFormat="1">
      <c r="A48" s="72">
        <v>45316.416666666664</v>
      </c>
      <c r="B48" s="6">
        <v>16.22</v>
      </c>
      <c r="C48" s="6">
        <v>22.6</v>
      </c>
      <c r="D48" s="6">
        <v>26.17</v>
      </c>
      <c r="E48" s="6">
        <v>5.51</v>
      </c>
      <c r="F48" s="6">
        <v>3.76</v>
      </c>
      <c r="G48" s="6">
        <v>55.54</v>
      </c>
      <c r="H48" s="6">
        <v>31.89</v>
      </c>
      <c r="I48" s="6">
        <v>8.1999999999999993</v>
      </c>
      <c r="J48" s="6">
        <v>0.99</v>
      </c>
      <c r="K48" s="6">
        <v>73.06</v>
      </c>
      <c r="L48" s="6">
        <v>19.18</v>
      </c>
      <c r="M48" s="6">
        <v>79.92</v>
      </c>
      <c r="N48" s="6">
        <v>262.39999999999998</v>
      </c>
      <c r="O48" s="6">
        <v>0</v>
      </c>
      <c r="P48" s="6">
        <v>0.85</v>
      </c>
      <c r="Q48" s="6">
        <v>4.91</v>
      </c>
    </row>
    <row r="49" spans="1:17" customFormat="1">
      <c r="A49" s="72">
        <v>45316.427083333336</v>
      </c>
      <c r="B49" s="6">
        <v>15.82</v>
      </c>
      <c r="C49" s="6">
        <v>21.55</v>
      </c>
      <c r="D49" s="6">
        <v>25.29</v>
      </c>
      <c r="E49" s="6">
        <v>6.34</v>
      </c>
      <c r="F49" s="6">
        <v>3.64</v>
      </c>
      <c r="G49" s="6">
        <v>55.54</v>
      </c>
      <c r="H49" s="6">
        <v>31.89</v>
      </c>
      <c r="I49" s="6">
        <v>8.17</v>
      </c>
      <c r="J49" s="6">
        <v>0.46</v>
      </c>
      <c r="K49" s="6">
        <v>107.5</v>
      </c>
      <c r="L49" s="6">
        <v>19.989999999999998</v>
      </c>
      <c r="M49" s="6">
        <v>74.819999999999993</v>
      </c>
      <c r="N49" s="6">
        <v>398</v>
      </c>
      <c r="O49" s="6">
        <v>0</v>
      </c>
      <c r="P49" s="6">
        <v>0.84</v>
      </c>
      <c r="Q49" s="6">
        <v>4.9000000000000004</v>
      </c>
    </row>
    <row r="50" spans="1:17" customFormat="1">
      <c r="A50" s="72">
        <v>45316.4375</v>
      </c>
      <c r="B50" s="6">
        <v>15.2</v>
      </c>
      <c r="C50" s="6">
        <v>21.97</v>
      </c>
      <c r="D50" s="6">
        <v>25.02</v>
      </c>
      <c r="E50" s="6">
        <v>7.05</v>
      </c>
      <c r="F50" s="6">
        <v>3.49</v>
      </c>
      <c r="G50" s="6">
        <v>53.15</v>
      </c>
      <c r="H50" s="6">
        <v>31.05</v>
      </c>
      <c r="I50" s="6">
        <v>8.14</v>
      </c>
      <c r="J50" s="6">
        <v>0.55000000000000004</v>
      </c>
      <c r="K50" s="6">
        <v>81.19</v>
      </c>
      <c r="L50" s="6">
        <v>20.87</v>
      </c>
      <c r="M50" s="6">
        <v>70.150000000000006</v>
      </c>
      <c r="N50" s="6">
        <v>484.5</v>
      </c>
      <c r="O50" s="6">
        <v>0</v>
      </c>
      <c r="P50" s="6">
        <v>0.84</v>
      </c>
      <c r="Q50" s="6">
        <v>4.9000000000000004</v>
      </c>
    </row>
    <row r="51" spans="1:17" customFormat="1">
      <c r="A51" s="72">
        <v>45316.447916666664</v>
      </c>
      <c r="B51" s="6">
        <v>14.66</v>
      </c>
      <c r="C51" s="6">
        <v>22.44</v>
      </c>
      <c r="D51" s="6">
        <v>24.83</v>
      </c>
      <c r="E51" s="6">
        <v>7.29</v>
      </c>
      <c r="F51" s="6">
        <v>3.39</v>
      </c>
      <c r="G51" s="6">
        <v>52.85</v>
      </c>
      <c r="H51" s="6">
        <v>31.05</v>
      </c>
      <c r="I51" s="6">
        <v>8.08</v>
      </c>
      <c r="J51" s="6">
        <v>0.81</v>
      </c>
      <c r="K51" s="6">
        <v>70.92</v>
      </c>
      <c r="L51" s="6">
        <v>21.11</v>
      </c>
      <c r="M51" s="6">
        <v>67.040000000000006</v>
      </c>
      <c r="N51" s="6">
        <v>530.5</v>
      </c>
      <c r="O51" s="6">
        <v>0</v>
      </c>
      <c r="P51" s="6">
        <v>0.84</v>
      </c>
      <c r="Q51" s="6">
        <v>4.9000000000000004</v>
      </c>
    </row>
    <row r="52" spans="1:17" customFormat="1">
      <c r="A52" s="72">
        <v>45316.458333333336</v>
      </c>
      <c r="B52" s="6">
        <v>13.94</v>
      </c>
      <c r="C52" s="6">
        <v>22.02</v>
      </c>
      <c r="D52" s="6">
        <v>24.04</v>
      </c>
      <c r="E52" s="6">
        <v>7.51</v>
      </c>
      <c r="F52" s="6">
        <v>3.44</v>
      </c>
      <c r="G52" s="6">
        <v>52.85</v>
      </c>
      <c r="H52" s="6">
        <v>31.05</v>
      </c>
      <c r="I52" s="6">
        <v>8.01</v>
      </c>
      <c r="J52" s="6">
        <v>1.33</v>
      </c>
      <c r="K52" s="6">
        <v>60.83</v>
      </c>
      <c r="L52" s="6">
        <v>21.37</v>
      </c>
      <c r="M52" s="6">
        <v>61.87</v>
      </c>
      <c r="N52" s="6">
        <v>576.20000000000005</v>
      </c>
      <c r="O52" s="6">
        <v>0</v>
      </c>
      <c r="P52" s="6">
        <v>0.84</v>
      </c>
      <c r="Q52" s="6">
        <v>4.8899999999999997</v>
      </c>
    </row>
    <row r="53" spans="1:17" customFormat="1">
      <c r="A53" s="72">
        <v>45316.46875</v>
      </c>
      <c r="B53" s="6">
        <v>13.46</v>
      </c>
      <c r="C53" s="6">
        <v>21.59</v>
      </c>
      <c r="D53" s="6">
        <v>23.43</v>
      </c>
      <c r="E53" s="6">
        <v>6.87</v>
      </c>
      <c r="F53" s="6">
        <v>3.58</v>
      </c>
      <c r="G53" s="6">
        <v>52.85</v>
      </c>
      <c r="H53" s="6">
        <v>31.05</v>
      </c>
      <c r="I53" s="6">
        <v>7.95</v>
      </c>
      <c r="J53" s="6">
        <v>1.17</v>
      </c>
      <c r="K53" s="6">
        <v>65.540000000000006</v>
      </c>
      <c r="L53" s="6">
        <v>21.63</v>
      </c>
      <c r="M53" s="6">
        <v>56.9</v>
      </c>
      <c r="N53" s="6">
        <v>536.20000000000005</v>
      </c>
      <c r="O53" s="6">
        <v>0</v>
      </c>
      <c r="P53" s="6">
        <v>0.83</v>
      </c>
      <c r="Q53" s="6">
        <v>4.88</v>
      </c>
    </row>
    <row r="54" spans="1:17" customFormat="1">
      <c r="A54" s="72">
        <v>45316.479166666664</v>
      </c>
      <c r="B54" s="6">
        <v>12.39</v>
      </c>
      <c r="C54" s="6">
        <v>21.45</v>
      </c>
      <c r="D54" s="6">
        <v>22.5</v>
      </c>
      <c r="E54" s="6">
        <v>6.89</v>
      </c>
      <c r="F54" s="6">
        <v>3.82</v>
      </c>
      <c r="G54" s="6">
        <v>52.99</v>
      </c>
      <c r="H54" s="6">
        <v>29.91</v>
      </c>
      <c r="I54" s="6">
        <v>7.91</v>
      </c>
      <c r="J54" s="6">
        <v>1.1299999999999999</v>
      </c>
      <c r="K54" s="6">
        <v>64.77</v>
      </c>
      <c r="L54" s="6">
        <v>22.34</v>
      </c>
      <c r="M54" s="6">
        <v>50.94</v>
      </c>
      <c r="N54" s="6">
        <v>611.20000000000005</v>
      </c>
      <c r="O54" s="6">
        <v>0</v>
      </c>
      <c r="P54" s="6">
        <v>0.83</v>
      </c>
      <c r="Q54" s="6">
        <v>4.88</v>
      </c>
    </row>
    <row r="55" spans="1:17" customFormat="1">
      <c r="A55" s="72">
        <v>45316.489583333336</v>
      </c>
      <c r="B55" s="6">
        <v>11.61</v>
      </c>
      <c r="C55" s="6">
        <v>20.56</v>
      </c>
      <c r="D55" s="6">
        <v>21.41</v>
      </c>
      <c r="E55" s="6">
        <v>6.63</v>
      </c>
      <c r="F55" s="6">
        <v>3.88</v>
      </c>
      <c r="G55" s="6">
        <v>53</v>
      </c>
      <c r="H55" s="6">
        <v>29.91</v>
      </c>
      <c r="I55" s="6">
        <v>7.83</v>
      </c>
      <c r="J55" s="6">
        <v>1.06</v>
      </c>
      <c r="K55" s="6">
        <v>63.04</v>
      </c>
      <c r="L55" s="6">
        <v>22.84</v>
      </c>
      <c r="M55" s="6">
        <v>44.78</v>
      </c>
      <c r="N55" s="6">
        <v>646.1</v>
      </c>
      <c r="O55" s="6">
        <v>0</v>
      </c>
      <c r="P55" s="6">
        <v>0.8</v>
      </c>
      <c r="Q55" s="6">
        <v>4.9000000000000004</v>
      </c>
    </row>
    <row r="56" spans="1:17" customFormat="1">
      <c r="A56" s="72">
        <v>45316.5</v>
      </c>
      <c r="B56" s="6">
        <v>10.81</v>
      </c>
      <c r="C56" s="6">
        <v>20.100000000000001</v>
      </c>
      <c r="D56" s="6">
        <v>20.53</v>
      </c>
      <c r="E56" s="6">
        <v>6.33</v>
      </c>
      <c r="F56" s="6">
        <v>3.71</v>
      </c>
      <c r="G56" s="6">
        <v>53</v>
      </c>
      <c r="H56" s="6">
        <v>29.91</v>
      </c>
      <c r="I56" s="6">
        <v>7.74</v>
      </c>
      <c r="J56" s="6">
        <v>1.58</v>
      </c>
      <c r="K56" s="6">
        <v>56.49</v>
      </c>
      <c r="L56" s="6">
        <v>22.81</v>
      </c>
      <c r="M56" s="6">
        <v>41.72</v>
      </c>
      <c r="N56" s="6">
        <v>664.1</v>
      </c>
      <c r="O56" s="6">
        <v>0</v>
      </c>
      <c r="P56" s="6">
        <v>0.79</v>
      </c>
      <c r="Q56" s="6">
        <v>4.87</v>
      </c>
    </row>
    <row r="57" spans="1:17" customFormat="1">
      <c r="A57" s="72">
        <v>45316.510416666664</v>
      </c>
      <c r="B57" s="6">
        <v>10.210000000000001</v>
      </c>
      <c r="C57" s="6">
        <v>19.649999999999999</v>
      </c>
      <c r="D57" s="6">
        <v>19.809999999999999</v>
      </c>
      <c r="E57" s="6">
        <v>5.79</v>
      </c>
      <c r="F57" s="6">
        <v>3.71</v>
      </c>
      <c r="G57" s="6">
        <v>53</v>
      </c>
      <c r="H57" s="6">
        <v>29.91</v>
      </c>
      <c r="I57" s="6">
        <v>7.62</v>
      </c>
      <c r="J57" s="6">
        <v>0.84</v>
      </c>
      <c r="K57" s="6">
        <v>75.23</v>
      </c>
      <c r="L57" s="6">
        <v>23.35</v>
      </c>
      <c r="M57" s="6">
        <v>38.5</v>
      </c>
      <c r="N57" s="6">
        <v>675.9</v>
      </c>
      <c r="O57" s="6">
        <v>0</v>
      </c>
      <c r="P57" s="6">
        <v>0.77</v>
      </c>
      <c r="Q57" s="6">
        <v>4.8499999999999996</v>
      </c>
    </row>
    <row r="58" spans="1:17" customFormat="1">
      <c r="A58" s="72">
        <v>45316.520833333336</v>
      </c>
      <c r="B58" s="6">
        <v>9.3800000000000008</v>
      </c>
      <c r="C58" s="6">
        <v>19.25</v>
      </c>
      <c r="D58" s="6">
        <v>18.93</v>
      </c>
      <c r="E58" s="6">
        <v>6.1</v>
      </c>
      <c r="F58" s="6">
        <v>3.79</v>
      </c>
      <c r="G58" s="6">
        <v>44.51</v>
      </c>
      <c r="H58" s="6">
        <v>24.64</v>
      </c>
      <c r="I58" s="6">
        <v>7.5</v>
      </c>
      <c r="J58" s="6">
        <v>0.89</v>
      </c>
      <c r="K58" s="6">
        <v>75.94</v>
      </c>
      <c r="L58" s="6">
        <v>23.75</v>
      </c>
      <c r="M58" s="6">
        <v>36.64</v>
      </c>
      <c r="N58" s="6">
        <v>670.4</v>
      </c>
      <c r="O58" s="6">
        <v>0</v>
      </c>
      <c r="P58" s="6">
        <v>0.76</v>
      </c>
      <c r="Q58" s="6">
        <v>4.84</v>
      </c>
    </row>
    <row r="59" spans="1:17" customFormat="1">
      <c r="A59" s="72">
        <v>45316.53125</v>
      </c>
      <c r="B59" s="6">
        <v>8.4600000000000009</v>
      </c>
      <c r="C59" s="6">
        <v>20.34</v>
      </c>
      <c r="D59" s="6">
        <v>18.760000000000002</v>
      </c>
      <c r="E59" s="6">
        <v>6.15</v>
      </c>
      <c r="F59" s="6">
        <v>3.96</v>
      </c>
      <c r="G59" s="6">
        <v>43.44</v>
      </c>
      <c r="H59" s="6">
        <v>24.64</v>
      </c>
      <c r="I59" s="6">
        <v>7.37</v>
      </c>
      <c r="J59" s="6">
        <v>0.51</v>
      </c>
      <c r="K59" s="6">
        <v>115.48</v>
      </c>
      <c r="L59" s="6">
        <v>24.41</v>
      </c>
      <c r="M59" s="6">
        <v>36.479999999999997</v>
      </c>
      <c r="N59" s="6">
        <v>665.9</v>
      </c>
      <c r="O59" s="6">
        <v>0</v>
      </c>
      <c r="P59" s="6">
        <v>0.74</v>
      </c>
      <c r="Q59" s="6">
        <v>4.87</v>
      </c>
    </row>
    <row r="60" spans="1:17" customFormat="1">
      <c r="A60" s="72">
        <v>45316.541666666664</v>
      </c>
      <c r="B60" s="6">
        <v>7.77</v>
      </c>
      <c r="C60" s="6">
        <v>19.75</v>
      </c>
      <c r="D60" s="6">
        <v>17.899999999999999</v>
      </c>
      <c r="E60" s="6">
        <v>6.25</v>
      </c>
      <c r="F60" s="6">
        <v>4.04</v>
      </c>
      <c r="G60" s="6">
        <v>43.44</v>
      </c>
      <c r="H60" s="6">
        <v>24.64</v>
      </c>
      <c r="I60" s="6">
        <v>7.24</v>
      </c>
      <c r="J60" s="6">
        <v>0.49</v>
      </c>
      <c r="K60" s="6">
        <v>81.06</v>
      </c>
      <c r="L60" s="6">
        <v>24.19</v>
      </c>
      <c r="M60" s="6">
        <v>37.119999999999997</v>
      </c>
      <c r="N60" s="6">
        <v>650.9</v>
      </c>
      <c r="O60" s="6">
        <v>0</v>
      </c>
      <c r="P60" s="6">
        <v>0.73</v>
      </c>
      <c r="Q60" s="6">
        <v>4.8600000000000003</v>
      </c>
    </row>
    <row r="61" spans="1:17" customFormat="1">
      <c r="A61" s="72">
        <v>45316.552083333336</v>
      </c>
      <c r="B61" s="6">
        <v>7.19</v>
      </c>
      <c r="C61" s="6">
        <v>18.739999999999998</v>
      </c>
      <c r="D61" s="6">
        <v>16.91</v>
      </c>
      <c r="E61" s="6">
        <v>5.55</v>
      </c>
      <c r="F61" s="6">
        <v>4.1399999999999997</v>
      </c>
      <c r="G61" s="6">
        <v>43.44</v>
      </c>
      <c r="H61" s="6">
        <v>24.64</v>
      </c>
      <c r="I61" s="6">
        <v>7.11</v>
      </c>
      <c r="J61" s="6">
        <v>1.26</v>
      </c>
      <c r="K61" s="6">
        <v>60.64</v>
      </c>
      <c r="L61" s="6">
        <v>24.28</v>
      </c>
      <c r="M61" s="6">
        <v>35.770000000000003</v>
      </c>
      <c r="N61" s="6">
        <v>609.70000000000005</v>
      </c>
      <c r="O61" s="6">
        <v>0</v>
      </c>
      <c r="P61" s="6">
        <v>0.72</v>
      </c>
      <c r="Q61" s="6">
        <v>4.8600000000000003</v>
      </c>
    </row>
    <row r="62" spans="1:17" customFormat="1">
      <c r="A62" s="72">
        <v>45316.5625</v>
      </c>
      <c r="B62" s="6">
        <v>6.78</v>
      </c>
      <c r="C62" s="6">
        <v>18.23</v>
      </c>
      <c r="D62" s="6">
        <v>16.309999999999999</v>
      </c>
      <c r="E62" s="6">
        <v>5.44</v>
      </c>
      <c r="F62" s="6">
        <v>4.1399999999999997</v>
      </c>
      <c r="G62" s="6">
        <v>42.7</v>
      </c>
      <c r="H62" s="6">
        <v>25.09</v>
      </c>
      <c r="I62" s="6">
        <v>6.99</v>
      </c>
      <c r="J62" s="6">
        <v>0.77</v>
      </c>
      <c r="K62" s="6">
        <v>71.77</v>
      </c>
      <c r="L62" s="6">
        <v>24.54</v>
      </c>
      <c r="M62" s="6">
        <v>35.08</v>
      </c>
      <c r="N62" s="6">
        <v>570.6</v>
      </c>
      <c r="O62" s="6">
        <v>0</v>
      </c>
      <c r="P62" s="6">
        <v>0.71</v>
      </c>
      <c r="Q62" s="6">
        <v>4.8600000000000003</v>
      </c>
    </row>
    <row r="63" spans="1:17" customFormat="1">
      <c r="A63" s="72">
        <v>45316.572916666664</v>
      </c>
      <c r="B63" s="6">
        <v>6.57</v>
      </c>
      <c r="C63" s="6">
        <v>17.420000000000002</v>
      </c>
      <c r="D63" s="6">
        <v>15.72</v>
      </c>
      <c r="E63" s="6">
        <v>5.53</v>
      </c>
      <c r="F63" s="6">
        <v>4.12</v>
      </c>
      <c r="G63" s="6">
        <v>42.61</v>
      </c>
      <c r="H63" s="6">
        <v>25.09</v>
      </c>
      <c r="I63" s="6">
        <v>6.87</v>
      </c>
      <c r="J63" s="6">
        <v>0.24</v>
      </c>
      <c r="K63" s="6">
        <v>104.28</v>
      </c>
      <c r="L63" s="6">
        <v>25.06</v>
      </c>
      <c r="M63" s="6">
        <v>33.14</v>
      </c>
      <c r="N63" s="6">
        <v>577.70000000000005</v>
      </c>
      <c r="O63" s="6">
        <v>0</v>
      </c>
      <c r="P63" s="6">
        <v>0.7</v>
      </c>
      <c r="Q63" s="6">
        <v>4.87</v>
      </c>
    </row>
    <row r="64" spans="1:17" customFormat="1">
      <c r="A64" s="72">
        <v>45316.583333333336</v>
      </c>
      <c r="B64" s="6">
        <v>6.23</v>
      </c>
      <c r="C64" s="6">
        <v>17.05</v>
      </c>
      <c r="D64" s="6">
        <v>15.26</v>
      </c>
      <c r="E64" s="6">
        <v>5.39</v>
      </c>
      <c r="F64" s="6">
        <v>4.0199999999999996</v>
      </c>
      <c r="G64" s="6">
        <v>42.61</v>
      </c>
      <c r="H64" s="6">
        <v>25.09</v>
      </c>
      <c r="I64" s="6">
        <v>6.78</v>
      </c>
      <c r="J64" s="6">
        <v>1.07</v>
      </c>
      <c r="K64" s="6">
        <v>40.659999999999997</v>
      </c>
      <c r="L64" s="6">
        <v>24.99</v>
      </c>
      <c r="M64" s="6">
        <v>33.46</v>
      </c>
      <c r="N64" s="6">
        <v>564.9</v>
      </c>
      <c r="O64" s="6">
        <v>0</v>
      </c>
      <c r="P64" s="6">
        <v>0.69</v>
      </c>
      <c r="Q64" s="6">
        <v>4.87</v>
      </c>
    </row>
    <row r="65" spans="1:17" customFormat="1">
      <c r="A65" s="72">
        <v>45316.59375</v>
      </c>
      <c r="B65" s="6">
        <v>6.06</v>
      </c>
      <c r="C65" s="6">
        <v>17.45</v>
      </c>
      <c r="D65" s="6">
        <v>15.33</v>
      </c>
      <c r="E65" s="6">
        <v>5.93</v>
      </c>
      <c r="F65" s="6">
        <v>4.13</v>
      </c>
      <c r="G65" s="6">
        <v>42.61</v>
      </c>
      <c r="H65" s="6">
        <v>25.09</v>
      </c>
      <c r="I65" s="6">
        <v>6.67</v>
      </c>
      <c r="J65" s="6">
        <v>0.79</v>
      </c>
      <c r="K65" s="6">
        <v>66.91</v>
      </c>
      <c r="L65" s="6">
        <v>24.65</v>
      </c>
      <c r="M65" s="6">
        <v>32.08</v>
      </c>
      <c r="N65" s="6">
        <v>511.9</v>
      </c>
      <c r="O65" s="6">
        <v>0</v>
      </c>
      <c r="P65" s="6">
        <v>0.65</v>
      </c>
      <c r="Q65" s="6">
        <v>4.8899999999999997</v>
      </c>
    </row>
    <row r="66" spans="1:17" customFormat="1">
      <c r="A66" s="72">
        <v>45316.604166666664</v>
      </c>
      <c r="B66" s="6">
        <v>5.66</v>
      </c>
      <c r="C66" s="6">
        <v>18.11</v>
      </c>
      <c r="D66" s="6">
        <v>15.35</v>
      </c>
      <c r="E66" s="6">
        <v>6.08</v>
      </c>
      <c r="F66" s="6">
        <v>4.43</v>
      </c>
      <c r="G66" s="6">
        <v>41.62</v>
      </c>
      <c r="H66" s="6">
        <v>24.73</v>
      </c>
      <c r="I66" s="6">
        <v>6.6</v>
      </c>
      <c r="J66" s="6">
        <v>1.41</v>
      </c>
      <c r="K66" s="6">
        <v>46.44</v>
      </c>
      <c r="L66" s="6">
        <v>24.47</v>
      </c>
      <c r="M66" s="6">
        <v>30.87</v>
      </c>
      <c r="N66" s="6">
        <v>322.2</v>
      </c>
      <c r="O66" s="6">
        <v>0</v>
      </c>
      <c r="P66" s="6">
        <v>0.66</v>
      </c>
      <c r="Q66" s="6">
        <v>4.9000000000000004</v>
      </c>
    </row>
    <row r="67" spans="1:17" customFormat="1">
      <c r="A67" s="72">
        <v>45316.614583333336</v>
      </c>
      <c r="B67" s="6">
        <v>5.41</v>
      </c>
      <c r="C67" s="6">
        <v>18.84</v>
      </c>
      <c r="D67" s="6">
        <v>15.53</v>
      </c>
      <c r="E67" s="6">
        <v>6.18</v>
      </c>
      <c r="F67" s="6">
        <v>4.3899999999999997</v>
      </c>
      <c r="G67" s="6">
        <v>41.5</v>
      </c>
      <c r="H67" s="6">
        <v>24.73</v>
      </c>
      <c r="I67" s="6">
        <v>6.49</v>
      </c>
      <c r="J67" s="6">
        <v>0.89</v>
      </c>
      <c r="K67" s="6">
        <v>35.93</v>
      </c>
      <c r="L67" s="6">
        <v>24.3</v>
      </c>
      <c r="M67" s="6">
        <v>30.88</v>
      </c>
      <c r="N67" s="6">
        <v>179.3</v>
      </c>
      <c r="O67" s="6">
        <v>0</v>
      </c>
      <c r="P67" s="6">
        <v>0.66</v>
      </c>
      <c r="Q67" s="6">
        <v>4.88</v>
      </c>
    </row>
    <row r="68" spans="1:17" customFormat="1">
      <c r="A68" s="72">
        <v>45316.625</v>
      </c>
      <c r="B68" s="6">
        <v>5.4</v>
      </c>
      <c r="C68" s="6">
        <v>19.22</v>
      </c>
      <c r="D68" s="6">
        <v>15.72</v>
      </c>
      <c r="E68" s="6">
        <v>5.86</v>
      </c>
      <c r="F68" s="6">
        <v>4.78</v>
      </c>
      <c r="G68" s="6">
        <v>41.5</v>
      </c>
      <c r="H68" s="6">
        <v>24.73</v>
      </c>
      <c r="I68" s="6">
        <v>6.35</v>
      </c>
      <c r="J68" s="6">
        <v>1.29</v>
      </c>
      <c r="K68" s="6">
        <v>50.88</v>
      </c>
      <c r="L68" s="6">
        <v>24.27</v>
      </c>
      <c r="M68" s="6">
        <v>31.27</v>
      </c>
      <c r="N68" s="6">
        <v>116.1</v>
      </c>
      <c r="O68" s="6">
        <v>0</v>
      </c>
      <c r="P68" s="6">
        <v>0.65</v>
      </c>
      <c r="Q68" s="6">
        <v>4.87</v>
      </c>
    </row>
    <row r="69" spans="1:17" customFormat="1">
      <c r="A69" s="72">
        <v>45316.635416666664</v>
      </c>
      <c r="B69" s="6">
        <v>5.29</v>
      </c>
      <c r="C69" s="6">
        <v>19.77</v>
      </c>
      <c r="D69" s="6">
        <v>15.92</v>
      </c>
      <c r="E69" s="6">
        <v>5.92</v>
      </c>
      <c r="F69" s="6">
        <v>4.95</v>
      </c>
      <c r="G69" s="6">
        <v>41.5</v>
      </c>
      <c r="H69" s="6">
        <v>24.73</v>
      </c>
      <c r="I69" s="6">
        <v>6.23</v>
      </c>
      <c r="J69" s="6">
        <v>1.1000000000000001</v>
      </c>
      <c r="K69" s="6">
        <v>50.14</v>
      </c>
      <c r="L69" s="6">
        <v>24.02</v>
      </c>
      <c r="M69" s="6">
        <v>32</v>
      </c>
      <c r="N69" s="6">
        <v>104.5</v>
      </c>
      <c r="O69" s="6">
        <v>0</v>
      </c>
      <c r="P69" s="6">
        <v>0.64</v>
      </c>
      <c r="Q69" s="6">
        <v>4.8899999999999997</v>
      </c>
    </row>
    <row r="70" spans="1:17" customFormat="1">
      <c r="A70" s="72">
        <v>45316.645833333336</v>
      </c>
      <c r="B70" s="6">
        <v>5.22</v>
      </c>
      <c r="C70" s="6">
        <v>20.079999999999998</v>
      </c>
      <c r="D70" s="6">
        <v>16.03</v>
      </c>
      <c r="E70" s="6">
        <v>6.25</v>
      </c>
      <c r="F70" s="6">
        <v>4.92</v>
      </c>
      <c r="G70" s="6">
        <v>42.56</v>
      </c>
      <c r="H70" s="6">
        <v>20.350000000000001</v>
      </c>
      <c r="I70" s="6">
        <v>6.12</v>
      </c>
      <c r="J70" s="6">
        <v>1.22</v>
      </c>
      <c r="K70" s="6">
        <v>41.93</v>
      </c>
      <c r="L70" s="6">
        <v>23.98</v>
      </c>
      <c r="M70" s="6">
        <v>32.340000000000003</v>
      </c>
      <c r="N70" s="6">
        <v>95.7</v>
      </c>
      <c r="O70" s="6">
        <v>0</v>
      </c>
      <c r="P70" s="6">
        <v>0.65</v>
      </c>
      <c r="Q70" s="6">
        <v>4.8600000000000003</v>
      </c>
    </row>
    <row r="71" spans="1:17" customFormat="1">
      <c r="A71" s="72">
        <v>45316.65625</v>
      </c>
      <c r="B71" s="6">
        <v>5.3</v>
      </c>
      <c r="C71" s="6">
        <v>20.51</v>
      </c>
      <c r="D71" s="6">
        <v>16.32</v>
      </c>
      <c r="E71" s="6">
        <v>5.94</v>
      </c>
      <c r="F71" s="6">
        <v>4.83</v>
      </c>
      <c r="G71" s="6">
        <v>42.7</v>
      </c>
      <c r="H71" s="6">
        <v>20.350000000000001</v>
      </c>
      <c r="I71" s="6">
        <v>5.99</v>
      </c>
      <c r="J71" s="6">
        <v>1.05</v>
      </c>
      <c r="K71" s="6">
        <v>55.45</v>
      </c>
      <c r="L71" s="6">
        <v>23.93</v>
      </c>
      <c r="M71" s="6">
        <v>32.24</v>
      </c>
      <c r="N71" s="6">
        <v>86.6</v>
      </c>
      <c r="O71" s="6">
        <v>0</v>
      </c>
      <c r="P71" s="6">
        <v>0.63</v>
      </c>
      <c r="Q71" s="6">
        <v>4.8499999999999996</v>
      </c>
    </row>
    <row r="72" spans="1:17" customFormat="1">
      <c r="A72" s="72">
        <v>45316.666666666664</v>
      </c>
      <c r="B72" s="6">
        <v>5.27</v>
      </c>
      <c r="C72" s="6">
        <v>20.71</v>
      </c>
      <c r="D72" s="6">
        <v>16.399999999999999</v>
      </c>
      <c r="E72" s="6">
        <v>6.12</v>
      </c>
      <c r="F72" s="6">
        <v>4.71</v>
      </c>
      <c r="G72" s="6">
        <v>42.7</v>
      </c>
      <c r="H72" s="6">
        <v>20.350000000000001</v>
      </c>
      <c r="I72" s="6">
        <v>5.91</v>
      </c>
      <c r="J72" s="6">
        <v>1</v>
      </c>
      <c r="K72" s="6">
        <v>62.42</v>
      </c>
      <c r="L72" s="6">
        <v>23.83</v>
      </c>
      <c r="M72" s="6">
        <v>32.71</v>
      </c>
      <c r="N72" s="6">
        <v>73.099999999999994</v>
      </c>
      <c r="O72" s="6">
        <v>0</v>
      </c>
      <c r="P72" s="6">
        <v>0.63</v>
      </c>
      <c r="Q72" s="6">
        <v>4.84</v>
      </c>
    </row>
    <row r="73" spans="1:17" customFormat="1">
      <c r="A73" s="72">
        <v>45316.677083333336</v>
      </c>
      <c r="B73" s="6">
        <v>5.22</v>
      </c>
      <c r="C73" s="6">
        <v>20.73</v>
      </c>
      <c r="D73" s="6">
        <v>16.37</v>
      </c>
      <c r="E73" s="6">
        <v>6.2</v>
      </c>
      <c r="F73" s="6">
        <v>5.19</v>
      </c>
      <c r="G73" s="6">
        <v>42.7</v>
      </c>
      <c r="H73" s="6">
        <v>20.350000000000001</v>
      </c>
      <c r="I73" s="6">
        <v>5.82</v>
      </c>
      <c r="J73" s="6">
        <v>0.94</v>
      </c>
      <c r="K73" s="6">
        <v>36.479999999999997</v>
      </c>
      <c r="L73" s="6">
        <v>23.78</v>
      </c>
      <c r="M73" s="6">
        <v>32.17</v>
      </c>
      <c r="N73" s="6">
        <v>64.400000000000006</v>
      </c>
      <c r="O73" s="6">
        <v>0</v>
      </c>
      <c r="P73" s="6">
        <v>0.63</v>
      </c>
      <c r="Q73" s="6">
        <v>4.8600000000000003</v>
      </c>
    </row>
    <row r="74" spans="1:17" customFormat="1">
      <c r="A74" s="72">
        <v>45316.6875</v>
      </c>
      <c r="B74" s="6">
        <v>5.42</v>
      </c>
      <c r="C74" s="6">
        <v>21.39</v>
      </c>
      <c r="D74" s="6">
        <v>16.87</v>
      </c>
      <c r="E74" s="6">
        <v>6.44</v>
      </c>
      <c r="F74" s="6">
        <v>4.5</v>
      </c>
      <c r="G74" s="6">
        <v>44.84</v>
      </c>
      <c r="H74" s="6">
        <v>21.19</v>
      </c>
      <c r="I74" s="6">
        <v>5.74</v>
      </c>
      <c r="J74" s="6">
        <v>1.1000000000000001</v>
      </c>
      <c r="K74" s="6">
        <v>49.5</v>
      </c>
      <c r="L74" s="6">
        <v>23.56</v>
      </c>
      <c r="M74" s="6">
        <v>33.9</v>
      </c>
      <c r="N74" s="6">
        <v>47.6</v>
      </c>
      <c r="O74" s="6">
        <v>0</v>
      </c>
      <c r="P74" s="6">
        <v>0.63</v>
      </c>
      <c r="Q74" s="6">
        <v>4.83</v>
      </c>
    </row>
    <row r="75" spans="1:17" customFormat="1">
      <c r="A75" s="72">
        <v>45316.697916666664</v>
      </c>
      <c r="B75" s="6">
        <v>5.7</v>
      </c>
      <c r="C75" s="6">
        <v>22.09</v>
      </c>
      <c r="D75" s="6">
        <v>17.46</v>
      </c>
      <c r="E75" s="6">
        <v>5.8</v>
      </c>
      <c r="F75" s="6">
        <v>4.3600000000000003</v>
      </c>
      <c r="G75" s="6">
        <v>45.1</v>
      </c>
      <c r="H75" s="6">
        <v>21.19</v>
      </c>
      <c r="I75" s="6">
        <v>5.67</v>
      </c>
      <c r="J75" s="6">
        <v>0.88</v>
      </c>
      <c r="K75" s="6">
        <v>64.42</v>
      </c>
      <c r="L75" s="6">
        <v>23.13</v>
      </c>
      <c r="M75" s="6">
        <v>34.950000000000003</v>
      </c>
      <c r="N75" s="6">
        <v>31.5</v>
      </c>
      <c r="O75" s="6">
        <v>0</v>
      </c>
      <c r="P75" s="6">
        <v>0.62</v>
      </c>
      <c r="Q75" s="6">
        <v>4.84</v>
      </c>
    </row>
    <row r="76" spans="1:17" customFormat="1">
      <c r="A76" s="72">
        <v>45316.708333333336</v>
      </c>
      <c r="B76" s="6">
        <v>5.85</v>
      </c>
      <c r="C76" s="6">
        <v>22.7</v>
      </c>
      <c r="D76" s="6">
        <v>17.91</v>
      </c>
      <c r="E76" s="6">
        <v>6.29</v>
      </c>
      <c r="F76" s="6">
        <v>4.21</v>
      </c>
      <c r="G76" s="6">
        <v>45.1</v>
      </c>
      <c r="H76" s="6">
        <v>21.19</v>
      </c>
      <c r="I76" s="6">
        <v>5.62</v>
      </c>
      <c r="J76" s="6">
        <v>1.18</v>
      </c>
      <c r="K76" s="6">
        <v>50.65</v>
      </c>
      <c r="L76" s="6">
        <v>22.84</v>
      </c>
      <c r="M76" s="6">
        <v>35.74</v>
      </c>
      <c r="N76" s="6">
        <v>21.4</v>
      </c>
      <c r="O76" s="6">
        <v>0</v>
      </c>
      <c r="P76" s="6">
        <v>0.63</v>
      </c>
      <c r="Q76" s="6">
        <v>4.83</v>
      </c>
    </row>
    <row r="77" spans="1:17" customFormat="1">
      <c r="A77" s="72">
        <v>45316.71875</v>
      </c>
      <c r="B77" s="6">
        <v>6.6</v>
      </c>
      <c r="C77" s="6">
        <v>24.16</v>
      </c>
      <c r="D77" s="6">
        <v>19.27</v>
      </c>
      <c r="E77" s="6">
        <v>6.32</v>
      </c>
      <c r="F77" s="6">
        <v>3.93</v>
      </c>
      <c r="G77" s="6">
        <v>45.1</v>
      </c>
      <c r="H77" s="6">
        <v>21.19</v>
      </c>
      <c r="I77" s="6">
        <v>5.64</v>
      </c>
      <c r="J77" s="6">
        <v>1</v>
      </c>
      <c r="K77" s="6">
        <v>50.77</v>
      </c>
      <c r="L77" s="6">
        <v>22.33</v>
      </c>
      <c r="M77" s="6">
        <v>38.4</v>
      </c>
      <c r="N77" s="6">
        <v>9.8000000000000007</v>
      </c>
      <c r="O77" s="6">
        <v>0</v>
      </c>
      <c r="P77" s="6">
        <v>0.64</v>
      </c>
      <c r="Q77" s="6">
        <v>4.84</v>
      </c>
    </row>
    <row r="78" spans="1:17" customFormat="1">
      <c r="A78" s="72">
        <v>45316.729166666664</v>
      </c>
      <c r="B78" s="6">
        <v>8</v>
      </c>
      <c r="C78" s="6">
        <v>25.48</v>
      </c>
      <c r="D78" s="6">
        <v>21.08</v>
      </c>
      <c r="E78" s="6">
        <v>6.32</v>
      </c>
      <c r="F78" s="6">
        <v>3.61</v>
      </c>
      <c r="G78" s="6">
        <v>48.75</v>
      </c>
      <c r="H78" s="6">
        <v>22.08</v>
      </c>
      <c r="I78" s="6">
        <v>5.7</v>
      </c>
      <c r="J78" s="6">
        <v>0.92</v>
      </c>
      <c r="K78" s="6">
        <v>51.56</v>
      </c>
      <c r="L78" s="6">
        <v>21.84</v>
      </c>
      <c r="M78" s="6">
        <v>40.19</v>
      </c>
      <c r="N78" s="6">
        <v>1.9</v>
      </c>
      <c r="O78" s="6">
        <v>0</v>
      </c>
      <c r="P78" s="6">
        <v>0.65</v>
      </c>
      <c r="Q78" s="6">
        <v>4.8499999999999996</v>
      </c>
    </row>
    <row r="79" spans="1:17" customFormat="1">
      <c r="A79" s="72">
        <v>45316.739583333336</v>
      </c>
      <c r="B79" s="6">
        <v>9.6300000000000008</v>
      </c>
      <c r="C79" s="6">
        <v>26.96</v>
      </c>
      <c r="D79" s="6">
        <v>23.16</v>
      </c>
      <c r="E79" s="6">
        <v>6</v>
      </c>
      <c r="F79" s="6">
        <v>3.5</v>
      </c>
      <c r="G79" s="6">
        <v>49.2</v>
      </c>
      <c r="H79" s="6">
        <v>22.08</v>
      </c>
      <c r="I79" s="6">
        <v>5.73</v>
      </c>
      <c r="J79" s="6">
        <v>0.76</v>
      </c>
      <c r="K79" s="6">
        <v>47.55</v>
      </c>
      <c r="L79" s="6">
        <v>21.33</v>
      </c>
      <c r="M79" s="6">
        <v>42.02</v>
      </c>
      <c r="N79" s="6">
        <v>0</v>
      </c>
      <c r="O79" s="6">
        <v>0</v>
      </c>
      <c r="P79" s="6">
        <v>0.66</v>
      </c>
      <c r="Q79" s="6">
        <v>4.8899999999999997</v>
      </c>
    </row>
    <row r="80" spans="1:17" customFormat="1">
      <c r="A80" s="72">
        <v>45316.75</v>
      </c>
      <c r="B80" s="6">
        <v>11.11</v>
      </c>
      <c r="C80" s="6">
        <v>28.01</v>
      </c>
      <c r="D80" s="6">
        <v>24.9</v>
      </c>
      <c r="E80" s="6">
        <v>6.42</v>
      </c>
      <c r="F80" s="6">
        <v>3.55</v>
      </c>
      <c r="G80" s="6">
        <v>49.2</v>
      </c>
      <c r="H80" s="6">
        <v>22.08</v>
      </c>
      <c r="I80" s="6">
        <v>5.79</v>
      </c>
      <c r="J80" s="6">
        <v>0.71</v>
      </c>
      <c r="K80" s="6">
        <v>58.41</v>
      </c>
      <c r="L80" s="6">
        <v>20.92</v>
      </c>
      <c r="M80" s="6">
        <v>43.5</v>
      </c>
      <c r="N80" s="6">
        <v>0</v>
      </c>
      <c r="O80" s="6">
        <v>0</v>
      </c>
      <c r="P80" s="6">
        <v>0.67</v>
      </c>
      <c r="Q80" s="6">
        <v>4.91</v>
      </c>
    </row>
    <row r="81" spans="1:17" customFormat="1">
      <c r="A81" s="72">
        <v>45316.760416666664</v>
      </c>
      <c r="B81" s="6">
        <v>12.52</v>
      </c>
      <c r="C81" s="6">
        <v>28.64</v>
      </c>
      <c r="D81" s="6">
        <v>26.36</v>
      </c>
      <c r="E81" s="6">
        <v>6.93</v>
      </c>
      <c r="F81" s="6">
        <v>3.54</v>
      </c>
      <c r="G81" s="6">
        <v>49.2</v>
      </c>
      <c r="H81" s="6">
        <v>22.08</v>
      </c>
      <c r="I81" s="6">
        <v>5.87</v>
      </c>
      <c r="J81" s="6">
        <v>0.68</v>
      </c>
      <c r="K81" s="6">
        <v>56.53</v>
      </c>
      <c r="L81" s="6">
        <v>20.55</v>
      </c>
      <c r="M81" s="6">
        <v>44.64</v>
      </c>
      <c r="N81" s="6">
        <v>0</v>
      </c>
      <c r="O81" s="6">
        <v>0</v>
      </c>
      <c r="P81" s="6">
        <v>0.69</v>
      </c>
      <c r="Q81" s="6">
        <v>4.93</v>
      </c>
    </row>
    <row r="82" spans="1:17" customFormat="1">
      <c r="A82" s="72">
        <v>45316.770833333336</v>
      </c>
      <c r="B82" s="6">
        <v>14</v>
      </c>
      <c r="C82" s="6">
        <v>29.76</v>
      </c>
      <c r="D82" s="6">
        <v>28.13</v>
      </c>
      <c r="E82" s="6">
        <v>7.54</v>
      </c>
      <c r="F82" s="6">
        <v>3.39</v>
      </c>
      <c r="G82" s="6">
        <v>57.4</v>
      </c>
      <c r="H82" s="6">
        <v>26.66</v>
      </c>
      <c r="I82" s="6">
        <v>5.97</v>
      </c>
      <c r="J82" s="6">
        <v>0.66</v>
      </c>
      <c r="K82" s="6">
        <v>52.76</v>
      </c>
      <c r="L82" s="6">
        <v>20.23</v>
      </c>
      <c r="M82" s="6">
        <v>45.64</v>
      </c>
      <c r="N82" s="6">
        <v>0</v>
      </c>
      <c r="O82" s="6">
        <v>0</v>
      </c>
      <c r="P82" s="6">
        <v>0.72</v>
      </c>
      <c r="Q82" s="6">
        <v>4.96</v>
      </c>
    </row>
    <row r="83" spans="1:17" customFormat="1">
      <c r="A83" s="72">
        <v>45316.78125</v>
      </c>
      <c r="B83" s="6">
        <v>15.9</v>
      </c>
      <c r="C83" s="6">
        <v>30.91</v>
      </c>
      <c r="D83" s="6">
        <v>30.25</v>
      </c>
      <c r="E83" s="6">
        <v>7.88</v>
      </c>
      <c r="F83" s="6">
        <v>3.46</v>
      </c>
      <c r="G83" s="6">
        <v>58.43</v>
      </c>
      <c r="H83" s="6">
        <v>26.66</v>
      </c>
      <c r="I83" s="6">
        <v>6.07</v>
      </c>
      <c r="J83" s="6">
        <v>0.75</v>
      </c>
      <c r="K83" s="6">
        <v>51.67</v>
      </c>
      <c r="L83" s="6">
        <v>19.95</v>
      </c>
      <c r="M83" s="6">
        <v>46.22</v>
      </c>
      <c r="N83" s="6">
        <v>0</v>
      </c>
      <c r="O83" s="6">
        <v>0</v>
      </c>
      <c r="P83" s="6">
        <v>0.74</v>
      </c>
      <c r="Q83" s="6">
        <v>4.97</v>
      </c>
    </row>
    <row r="84" spans="1:17" customFormat="1">
      <c r="A84" s="72">
        <v>45316.791666666664</v>
      </c>
      <c r="B84" s="6">
        <v>17.739999999999998</v>
      </c>
      <c r="C84" s="6">
        <v>31.93</v>
      </c>
      <c r="D84" s="6">
        <v>32.26</v>
      </c>
      <c r="E84" s="6">
        <v>7.14</v>
      </c>
      <c r="F84" s="6">
        <v>3.5</v>
      </c>
      <c r="G84" s="6">
        <v>58.43</v>
      </c>
      <c r="H84" s="6">
        <v>26.66</v>
      </c>
      <c r="I84" s="6">
        <v>6.26</v>
      </c>
      <c r="J84" s="6">
        <v>0.71</v>
      </c>
      <c r="K84" s="6">
        <v>52.66</v>
      </c>
      <c r="L84" s="6">
        <v>19.510000000000002</v>
      </c>
      <c r="M84" s="6">
        <v>48.4</v>
      </c>
      <c r="N84" s="6">
        <v>0</v>
      </c>
      <c r="O84" s="6">
        <v>0</v>
      </c>
      <c r="P84" s="6">
        <v>0.77</v>
      </c>
      <c r="Q84" s="6">
        <v>5</v>
      </c>
    </row>
    <row r="85" spans="1:17" customFormat="1">
      <c r="A85" s="72">
        <v>45316.802083333336</v>
      </c>
      <c r="B85" s="6">
        <v>19.36</v>
      </c>
      <c r="C85" s="6">
        <v>32.880000000000003</v>
      </c>
      <c r="D85" s="6">
        <v>34.049999999999997</v>
      </c>
      <c r="E85" s="6">
        <v>7.29</v>
      </c>
      <c r="F85" s="6">
        <v>3.32</v>
      </c>
      <c r="G85" s="6">
        <v>58.43</v>
      </c>
      <c r="H85" s="6">
        <v>26.66</v>
      </c>
      <c r="I85" s="6">
        <v>6.48</v>
      </c>
      <c r="J85" s="6">
        <v>0.69</v>
      </c>
      <c r="K85" s="6">
        <v>49.5</v>
      </c>
      <c r="L85" s="6">
        <v>19.190000000000001</v>
      </c>
      <c r="M85" s="6">
        <v>49.5</v>
      </c>
      <c r="N85" s="6">
        <v>0</v>
      </c>
      <c r="O85" s="6">
        <v>0</v>
      </c>
      <c r="P85" s="6">
        <v>0.8</v>
      </c>
      <c r="Q85" s="6">
        <v>5.01</v>
      </c>
    </row>
    <row r="86" spans="1:17" customFormat="1">
      <c r="A86" s="72">
        <v>45316.8125</v>
      </c>
      <c r="B86" s="6">
        <v>20.82</v>
      </c>
      <c r="C86" s="6">
        <v>32.74</v>
      </c>
      <c r="D86" s="6">
        <v>35.15</v>
      </c>
      <c r="E86" s="6">
        <v>7.02</v>
      </c>
      <c r="F86" s="6">
        <v>3.43</v>
      </c>
      <c r="G86" s="6">
        <v>86.56</v>
      </c>
      <c r="H86" s="6">
        <v>33.78</v>
      </c>
      <c r="I86" s="6">
        <v>6.79</v>
      </c>
      <c r="J86" s="6">
        <v>0.6</v>
      </c>
      <c r="K86" s="6">
        <v>48.93</v>
      </c>
      <c r="L86" s="6">
        <v>19.03</v>
      </c>
      <c r="M86" s="6">
        <v>49.77</v>
      </c>
      <c r="N86" s="6">
        <v>0</v>
      </c>
      <c r="O86" s="6">
        <v>0</v>
      </c>
      <c r="P86" s="6">
        <v>0.82</v>
      </c>
      <c r="Q86" s="6">
        <v>5.01</v>
      </c>
    </row>
    <row r="87" spans="1:17" customFormat="1">
      <c r="A87" s="72">
        <v>45316.822916666664</v>
      </c>
      <c r="B87" s="6">
        <v>21.96</v>
      </c>
      <c r="C87" s="6">
        <v>30.78</v>
      </c>
      <c r="D87" s="6">
        <v>35.049999999999997</v>
      </c>
      <c r="E87" s="6">
        <v>7</v>
      </c>
      <c r="F87" s="6">
        <v>3.53</v>
      </c>
      <c r="G87" s="6">
        <v>90.08</v>
      </c>
      <c r="H87" s="6">
        <v>33.78</v>
      </c>
      <c r="I87" s="6">
        <v>7.03</v>
      </c>
      <c r="J87" s="6">
        <v>0.39</v>
      </c>
      <c r="K87" s="6">
        <v>59.31</v>
      </c>
      <c r="L87" s="6">
        <v>18.760000000000002</v>
      </c>
      <c r="M87" s="6">
        <v>53.13</v>
      </c>
      <c r="N87" s="6">
        <v>0</v>
      </c>
      <c r="O87" s="6">
        <v>0</v>
      </c>
      <c r="P87" s="6">
        <v>0.83</v>
      </c>
      <c r="Q87" s="6">
        <v>5.03</v>
      </c>
    </row>
    <row r="88" spans="1:17" customFormat="1">
      <c r="A88" s="72">
        <v>45316.833333333336</v>
      </c>
      <c r="B88" s="6">
        <v>22.6</v>
      </c>
      <c r="C88" s="6">
        <v>29.43</v>
      </c>
      <c r="D88" s="6">
        <v>34.85</v>
      </c>
      <c r="E88" s="6">
        <v>6.37</v>
      </c>
      <c r="F88" s="6">
        <v>3.48</v>
      </c>
      <c r="G88" s="6">
        <v>90.08</v>
      </c>
      <c r="H88" s="6">
        <v>33.78</v>
      </c>
      <c r="I88" s="6">
        <v>7.19</v>
      </c>
      <c r="J88" s="6">
        <v>0.16</v>
      </c>
      <c r="K88" s="6">
        <v>152.76</v>
      </c>
      <c r="L88" s="6">
        <v>17.8</v>
      </c>
      <c r="M88" s="6">
        <v>62.24</v>
      </c>
      <c r="N88" s="6">
        <v>0</v>
      </c>
      <c r="O88" s="6">
        <v>0</v>
      </c>
      <c r="P88" s="6">
        <v>0.83</v>
      </c>
      <c r="Q88" s="6">
        <v>5.03</v>
      </c>
    </row>
    <row r="89" spans="1:17" customFormat="1">
      <c r="A89" s="72">
        <v>45316.84375</v>
      </c>
      <c r="B89" s="6">
        <v>23.07</v>
      </c>
      <c r="C89" s="6">
        <v>30.23</v>
      </c>
      <c r="D89" s="6">
        <v>35.65</v>
      </c>
      <c r="E89" s="6">
        <v>6.49</v>
      </c>
      <c r="F89" s="6">
        <v>3.39</v>
      </c>
      <c r="G89" s="6">
        <v>90.08</v>
      </c>
      <c r="H89" s="6">
        <v>33.78</v>
      </c>
      <c r="I89" s="6">
        <v>7.33</v>
      </c>
      <c r="J89" s="6">
        <v>0.17</v>
      </c>
      <c r="K89" s="6">
        <v>168.31</v>
      </c>
      <c r="L89" s="6">
        <v>17.13</v>
      </c>
      <c r="M89" s="6">
        <v>63.91</v>
      </c>
      <c r="N89" s="6">
        <v>0</v>
      </c>
      <c r="O89" s="6">
        <v>0</v>
      </c>
      <c r="P89" s="6">
        <v>0.85</v>
      </c>
      <c r="Q89" s="6">
        <v>5.0599999999999996</v>
      </c>
    </row>
    <row r="90" spans="1:17" customFormat="1">
      <c r="A90" s="72">
        <v>45316.854166666664</v>
      </c>
      <c r="B90" s="6">
        <v>24.02</v>
      </c>
      <c r="C90" s="6">
        <v>31.23</v>
      </c>
      <c r="D90" s="6">
        <v>36.93</v>
      </c>
      <c r="E90" s="6">
        <v>6.26</v>
      </c>
      <c r="F90" s="6">
        <v>3.13</v>
      </c>
      <c r="G90" s="6">
        <v>91.47</v>
      </c>
      <c r="H90" s="6">
        <v>35.130000000000003</v>
      </c>
      <c r="I90" s="6">
        <v>7.47</v>
      </c>
      <c r="J90" s="6">
        <v>0.19</v>
      </c>
      <c r="K90" s="6">
        <v>174.6</v>
      </c>
      <c r="L90" s="6">
        <v>16.62</v>
      </c>
      <c r="M90" s="6">
        <v>70.06</v>
      </c>
      <c r="N90" s="6">
        <v>0</v>
      </c>
      <c r="O90" s="6">
        <v>0</v>
      </c>
      <c r="P90" s="6">
        <v>0.87</v>
      </c>
      <c r="Q90" s="6">
        <v>5.05</v>
      </c>
    </row>
    <row r="91" spans="1:17" customFormat="1">
      <c r="A91" s="72">
        <v>45316.864583333336</v>
      </c>
      <c r="B91" s="6">
        <v>24.44</v>
      </c>
      <c r="C91" s="6">
        <v>31.61</v>
      </c>
      <c r="D91" s="6">
        <v>37.47</v>
      </c>
      <c r="E91" s="6">
        <v>6.74</v>
      </c>
      <c r="F91" s="6">
        <v>3.18</v>
      </c>
      <c r="G91" s="6">
        <v>91.64</v>
      </c>
      <c r="H91" s="6">
        <v>35.130000000000003</v>
      </c>
      <c r="I91" s="6">
        <v>7.65</v>
      </c>
      <c r="J91" s="6">
        <v>0.22</v>
      </c>
      <c r="K91" s="6">
        <v>189.48</v>
      </c>
      <c r="L91" s="6">
        <v>15.82</v>
      </c>
      <c r="M91" s="6">
        <v>80.11</v>
      </c>
      <c r="N91" s="6">
        <v>0</v>
      </c>
      <c r="O91" s="6">
        <v>0</v>
      </c>
      <c r="P91" s="6">
        <v>0.9</v>
      </c>
      <c r="Q91" s="6">
        <v>5.07</v>
      </c>
    </row>
    <row r="92" spans="1:17" customFormat="1">
      <c r="A92" s="72">
        <v>45316.875</v>
      </c>
      <c r="B92" s="6">
        <v>24.14</v>
      </c>
      <c r="C92" s="6">
        <v>31.23</v>
      </c>
      <c r="D92" s="6">
        <v>37.020000000000003</v>
      </c>
      <c r="E92" s="6">
        <v>6.49</v>
      </c>
      <c r="F92" s="6">
        <v>3.33</v>
      </c>
      <c r="G92" s="6">
        <v>91.64</v>
      </c>
      <c r="H92" s="6">
        <v>35.130000000000003</v>
      </c>
      <c r="I92" s="6">
        <v>7.87</v>
      </c>
      <c r="J92" s="6">
        <v>0.14000000000000001</v>
      </c>
      <c r="K92" s="6">
        <v>218.12</v>
      </c>
      <c r="L92" s="6">
        <v>15.33</v>
      </c>
      <c r="M92" s="6">
        <v>75.47</v>
      </c>
      <c r="N92" s="6">
        <v>0</v>
      </c>
      <c r="O92" s="6">
        <v>0</v>
      </c>
      <c r="P92" s="6">
        <v>0.91</v>
      </c>
      <c r="Q92" s="6">
        <v>5.07</v>
      </c>
    </row>
    <row r="93" spans="1:17" customFormat="1">
      <c r="A93" s="72">
        <v>45316.885416666664</v>
      </c>
      <c r="B93" s="6">
        <v>23.48</v>
      </c>
      <c r="C93" s="6">
        <v>30.91</v>
      </c>
      <c r="D93" s="6">
        <v>36.33</v>
      </c>
      <c r="E93" s="6">
        <v>6.64</v>
      </c>
      <c r="F93" s="6">
        <v>3.29</v>
      </c>
      <c r="G93" s="6">
        <v>91.64</v>
      </c>
      <c r="H93" s="6">
        <v>35.130000000000003</v>
      </c>
      <c r="I93" s="6">
        <v>8.09</v>
      </c>
      <c r="J93" s="6">
        <v>0.15</v>
      </c>
      <c r="K93" s="6">
        <v>199.08</v>
      </c>
      <c r="L93" s="6">
        <v>15.28</v>
      </c>
      <c r="M93" s="6">
        <v>76.34</v>
      </c>
      <c r="N93" s="6">
        <v>0</v>
      </c>
      <c r="O93" s="6">
        <v>0</v>
      </c>
      <c r="P93" s="6">
        <v>0.93</v>
      </c>
      <c r="Q93" s="6">
        <v>5.07</v>
      </c>
    </row>
    <row r="94" spans="1:17" customFormat="1">
      <c r="A94" s="72">
        <v>45316.895833333336</v>
      </c>
      <c r="B94" s="6">
        <v>23.29</v>
      </c>
      <c r="C94" s="6">
        <v>30.49</v>
      </c>
      <c r="D94" s="6">
        <v>35.96</v>
      </c>
      <c r="E94" s="6">
        <v>6.2</v>
      </c>
      <c r="F94" s="6">
        <v>3.24</v>
      </c>
      <c r="G94" s="6">
        <v>89.14</v>
      </c>
      <c r="H94" s="6">
        <v>35.799999999999997</v>
      </c>
      <c r="I94" s="6">
        <v>8.2899999999999991</v>
      </c>
      <c r="J94" s="6">
        <v>0.15</v>
      </c>
      <c r="K94" s="6">
        <v>191.5</v>
      </c>
      <c r="L94" s="6">
        <v>15.11</v>
      </c>
      <c r="M94" s="6">
        <v>80.569999999999993</v>
      </c>
      <c r="N94" s="6">
        <v>0</v>
      </c>
      <c r="O94" s="6">
        <v>0</v>
      </c>
      <c r="P94" s="6">
        <v>0.95</v>
      </c>
      <c r="Q94" s="6">
        <v>5.07</v>
      </c>
    </row>
    <row r="95" spans="1:17" customFormat="1">
      <c r="A95" s="72">
        <v>45316.90625</v>
      </c>
      <c r="B95" s="6">
        <v>23.72</v>
      </c>
      <c r="C95" s="6">
        <v>30.4</v>
      </c>
      <c r="D95" s="6">
        <v>36.25</v>
      </c>
      <c r="E95" s="6">
        <v>6.08</v>
      </c>
      <c r="F95" s="6">
        <v>3.28</v>
      </c>
      <c r="G95" s="6">
        <v>88.83</v>
      </c>
      <c r="H95" s="6">
        <v>35.799999999999997</v>
      </c>
      <c r="I95" s="6">
        <v>8.4499999999999993</v>
      </c>
      <c r="J95" s="6">
        <v>0.17</v>
      </c>
      <c r="K95" s="6">
        <v>187.3</v>
      </c>
      <c r="L95" s="6">
        <v>14.79</v>
      </c>
      <c r="M95" s="6">
        <v>84.22</v>
      </c>
      <c r="N95" s="6">
        <v>0</v>
      </c>
      <c r="O95" s="6">
        <v>0</v>
      </c>
      <c r="P95" s="6">
        <v>0.97</v>
      </c>
      <c r="Q95" s="6">
        <v>5.0599999999999996</v>
      </c>
    </row>
    <row r="96" spans="1:17" customFormat="1">
      <c r="A96" s="72">
        <v>45316.916666666664</v>
      </c>
      <c r="B96" s="6">
        <v>23.53</v>
      </c>
      <c r="C96" s="6">
        <v>29.85</v>
      </c>
      <c r="D96" s="6">
        <v>35.81</v>
      </c>
      <c r="E96" s="6">
        <v>6.05</v>
      </c>
      <c r="F96" s="6">
        <v>3.36</v>
      </c>
      <c r="G96" s="6">
        <v>88.83</v>
      </c>
      <c r="H96" s="6">
        <v>35.799999999999997</v>
      </c>
      <c r="I96" s="6">
        <v>8.59</v>
      </c>
      <c r="J96" s="6">
        <v>0.14000000000000001</v>
      </c>
      <c r="K96" s="6">
        <v>208.35</v>
      </c>
      <c r="L96" s="6">
        <v>14.69</v>
      </c>
      <c r="M96" s="6">
        <v>81.680000000000007</v>
      </c>
      <c r="N96" s="6">
        <v>0</v>
      </c>
      <c r="O96" s="6">
        <v>0</v>
      </c>
      <c r="P96" s="6">
        <v>0.99</v>
      </c>
      <c r="Q96" s="6">
        <v>5.07</v>
      </c>
    </row>
    <row r="97" spans="1:22" customFormat="1">
      <c r="A97" s="72">
        <v>45316.927083333336</v>
      </c>
      <c r="B97" s="6">
        <v>23.08</v>
      </c>
      <c r="C97" s="6">
        <v>28.18</v>
      </c>
      <c r="D97" s="6">
        <v>34.58</v>
      </c>
      <c r="E97" s="6">
        <v>6.01</v>
      </c>
      <c r="F97" s="6">
        <v>3.55</v>
      </c>
      <c r="G97" s="6">
        <v>88.83</v>
      </c>
      <c r="H97" s="6">
        <v>35.799999999999997</v>
      </c>
      <c r="I97" s="6">
        <v>8.75</v>
      </c>
      <c r="J97" s="6">
        <v>0.15</v>
      </c>
      <c r="K97" s="6">
        <v>194.73</v>
      </c>
      <c r="L97" s="6">
        <v>14.48</v>
      </c>
      <c r="M97" s="6">
        <v>83.43</v>
      </c>
      <c r="N97" s="6">
        <v>0</v>
      </c>
      <c r="O97" s="6">
        <v>0</v>
      </c>
      <c r="P97" s="6">
        <v>1</v>
      </c>
      <c r="Q97" s="6">
        <v>5.05</v>
      </c>
    </row>
    <row r="98" spans="1:22" customFormat="1">
      <c r="A98" s="72">
        <v>45316.9375</v>
      </c>
      <c r="B98" s="6">
        <v>22.4</v>
      </c>
      <c r="C98" s="6">
        <v>28.89</v>
      </c>
      <c r="D98" s="6">
        <v>34.4</v>
      </c>
      <c r="E98" s="6">
        <v>6.02</v>
      </c>
      <c r="F98" s="6">
        <v>3.36</v>
      </c>
      <c r="G98" s="6">
        <v>90.42</v>
      </c>
      <c r="H98" s="6">
        <v>38.130000000000003</v>
      </c>
      <c r="I98" s="6">
        <v>8.8800000000000008</v>
      </c>
      <c r="J98" s="6">
        <v>0.15</v>
      </c>
      <c r="K98" s="6">
        <v>190.01</v>
      </c>
      <c r="L98" s="6">
        <v>14.29</v>
      </c>
      <c r="M98" s="6">
        <v>85.11</v>
      </c>
      <c r="N98" s="6">
        <v>0</v>
      </c>
      <c r="O98" s="6">
        <v>0</v>
      </c>
      <c r="P98" s="6">
        <v>1.01</v>
      </c>
      <c r="Q98" s="6">
        <v>5.0599999999999996</v>
      </c>
    </row>
    <row r="99" spans="1:22" customFormat="1">
      <c r="A99" s="72">
        <v>45316.947916666664</v>
      </c>
      <c r="B99" s="6">
        <v>21.85</v>
      </c>
      <c r="C99" s="6">
        <v>28.79</v>
      </c>
      <c r="D99" s="6">
        <v>33.92</v>
      </c>
      <c r="E99" s="6">
        <v>6.26</v>
      </c>
      <c r="F99" s="6">
        <v>3.31</v>
      </c>
      <c r="G99" s="6">
        <v>90.61</v>
      </c>
      <c r="H99" s="6">
        <v>38.130000000000003</v>
      </c>
      <c r="I99" s="6">
        <v>8.93</v>
      </c>
      <c r="J99" s="6">
        <v>0.15</v>
      </c>
      <c r="K99" s="6">
        <v>182.65</v>
      </c>
      <c r="L99" s="6">
        <v>14</v>
      </c>
      <c r="M99" s="6">
        <v>88.38</v>
      </c>
      <c r="N99" s="6">
        <v>0</v>
      </c>
      <c r="O99" s="6">
        <v>0</v>
      </c>
      <c r="P99" s="6">
        <v>1.01</v>
      </c>
      <c r="Q99" s="6">
        <v>5.0599999999999996</v>
      </c>
    </row>
    <row r="100" spans="1:22" customFormat="1">
      <c r="A100" s="72">
        <v>45316.958333333336</v>
      </c>
      <c r="B100" s="6">
        <v>21.33</v>
      </c>
      <c r="C100" s="6">
        <v>28.99</v>
      </c>
      <c r="D100" s="6">
        <v>33.6</v>
      </c>
      <c r="E100" s="6">
        <v>6.26</v>
      </c>
      <c r="F100" s="6">
        <v>3.12</v>
      </c>
      <c r="G100" s="6">
        <v>90.61</v>
      </c>
      <c r="H100" s="6">
        <v>38.130000000000003</v>
      </c>
      <c r="I100" s="6">
        <v>8.99</v>
      </c>
      <c r="J100" s="6">
        <v>0.16</v>
      </c>
      <c r="K100" s="6">
        <v>164.44</v>
      </c>
      <c r="L100" s="6">
        <v>14.04</v>
      </c>
      <c r="M100" s="6">
        <v>85.76</v>
      </c>
      <c r="N100" s="6">
        <v>0</v>
      </c>
      <c r="O100" s="6">
        <v>0</v>
      </c>
      <c r="P100" s="6">
        <v>1.03</v>
      </c>
      <c r="Q100" s="6">
        <v>5.03</v>
      </c>
    </row>
    <row r="101" spans="1:22" customFormat="1">
      <c r="A101" s="72">
        <v>45316.96875</v>
      </c>
      <c r="B101" s="6">
        <v>20.7</v>
      </c>
      <c r="C101" s="6">
        <v>28.84</v>
      </c>
      <c r="D101" s="6">
        <v>33.020000000000003</v>
      </c>
      <c r="E101" s="6">
        <v>5.85</v>
      </c>
      <c r="F101" s="6">
        <v>3.28</v>
      </c>
      <c r="G101" s="6">
        <v>90.61</v>
      </c>
      <c r="H101" s="6">
        <v>38.130000000000003</v>
      </c>
      <c r="I101" s="6">
        <v>9.09</v>
      </c>
      <c r="J101" s="6">
        <v>0.16</v>
      </c>
      <c r="K101" s="6">
        <v>191.91</v>
      </c>
      <c r="L101" s="6">
        <v>13.89</v>
      </c>
      <c r="M101" s="6">
        <v>85.7</v>
      </c>
      <c r="N101" s="6">
        <v>0</v>
      </c>
      <c r="O101" s="6">
        <v>0</v>
      </c>
      <c r="P101" s="6">
        <v>1.03</v>
      </c>
      <c r="Q101" s="6">
        <v>5.03</v>
      </c>
    </row>
    <row r="102" spans="1:22" customFormat="1">
      <c r="A102" s="72">
        <v>45316.979166666664</v>
      </c>
      <c r="B102" s="6">
        <v>20.05</v>
      </c>
      <c r="C102" s="6">
        <v>28.28</v>
      </c>
      <c r="D102" s="6">
        <v>32.21</v>
      </c>
      <c r="E102" s="6">
        <v>5.79</v>
      </c>
      <c r="F102" s="6">
        <v>3.36</v>
      </c>
      <c r="G102" s="6">
        <v>80.930000000000007</v>
      </c>
      <c r="H102" s="6">
        <v>38.909999999999997</v>
      </c>
      <c r="I102" s="6">
        <v>9.15</v>
      </c>
      <c r="J102" s="6">
        <v>0.13</v>
      </c>
      <c r="K102" s="6">
        <v>172.23</v>
      </c>
      <c r="L102" s="6">
        <v>13.73</v>
      </c>
      <c r="M102" s="6">
        <v>89.21</v>
      </c>
      <c r="N102" s="6">
        <v>0</v>
      </c>
      <c r="O102" s="6">
        <v>0</v>
      </c>
      <c r="P102" s="6">
        <v>1.03</v>
      </c>
      <c r="Q102" s="6">
        <v>5.03</v>
      </c>
    </row>
    <row r="103" spans="1:22" customFormat="1">
      <c r="A103" s="72">
        <v>45316.989583333336</v>
      </c>
      <c r="B103" s="6">
        <v>19.98</v>
      </c>
      <c r="C103" s="6">
        <v>28.58</v>
      </c>
      <c r="D103" s="6">
        <v>32.31</v>
      </c>
      <c r="E103" s="6">
        <v>6.24</v>
      </c>
      <c r="F103" s="6">
        <v>3.08</v>
      </c>
      <c r="G103" s="6">
        <v>79.72</v>
      </c>
      <c r="H103" s="6">
        <v>38.909999999999997</v>
      </c>
      <c r="I103" s="6">
        <v>9.19</v>
      </c>
      <c r="J103" s="6">
        <v>0.1</v>
      </c>
      <c r="K103" s="6">
        <v>205.5</v>
      </c>
      <c r="L103" s="6">
        <v>13.53</v>
      </c>
      <c r="M103" s="6">
        <v>88.94</v>
      </c>
      <c r="N103" s="6">
        <v>0</v>
      </c>
      <c r="O103" s="6">
        <v>0</v>
      </c>
      <c r="P103" s="6">
        <v>1.02</v>
      </c>
      <c r="Q103" s="6">
        <v>5.04</v>
      </c>
    </row>
    <row r="104" spans="1:22" customFormat="1">
      <c r="A104" s="72">
        <v>45317</v>
      </c>
      <c r="B104" s="6">
        <v>21.77</v>
      </c>
      <c r="C104" s="6">
        <v>27.69</v>
      </c>
      <c r="D104" s="6">
        <v>33.28</v>
      </c>
      <c r="E104" s="6">
        <v>5.96</v>
      </c>
      <c r="F104" s="6">
        <v>3.21</v>
      </c>
      <c r="G104" s="6">
        <v>79.72</v>
      </c>
      <c r="H104" s="6">
        <v>38.909999999999997</v>
      </c>
      <c r="I104" s="6">
        <v>9.2100000000000009</v>
      </c>
      <c r="J104" s="6">
        <v>0.09</v>
      </c>
      <c r="K104" s="6">
        <v>222.37</v>
      </c>
      <c r="L104" s="6">
        <v>13.57</v>
      </c>
      <c r="M104" s="6">
        <v>89.25</v>
      </c>
      <c r="N104" s="6">
        <v>0</v>
      </c>
      <c r="O104" s="6">
        <v>0</v>
      </c>
      <c r="P104" s="6">
        <v>1.02</v>
      </c>
      <c r="Q104" s="6">
        <v>5.03</v>
      </c>
    </row>
    <row r="106" spans="1:22">
      <c r="A106" s="156" t="s">
        <v>48</v>
      </c>
      <c r="B106" s="157">
        <f>MIN(B9:B104)</f>
        <v>5.22</v>
      </c>
      <c r="C106" s="157">
        <f>MIN(C9:C104)</f>
        <v>17.05</v>
      </c>
      <c r="D106" s="157">
        <f t="shared" ref="D106:Q106" si="0">MIN(D9:D104)</f>
        <v>15.26</v>
      </c>
      <c r="E106" s="157">
        <f t="shared" si="0"/>
        <v>4.57</v>
      </c>
      <c r="F106" s="157">
        <f t="shared" si="0"/>
        <v>3.08</v>
      </c>
      <c r="G106" s="157">
        <f t="shared" si="0"/>
        <v>41.5</v>
      </c>
      <c r="H106" s="157">
        <f t="shared" si="0"/>
        <v>20.350000000000001</v>
      </c>
      <c r="I106" s="157">
        <f t="shared" si="0"/>
        <v>5.62</v>
      </c>
      <c r="J106" s="157">
        <f t="shared" si="0"/>
        <v>0.09</v>
      </c>
      <c r="K106" s="157">
        <f t="shared" si="0"/>
        <v>33.42</v>
      </c>
      <c r="L106" s="157">
        <f t="shared" si="0"/>
        <v>13.53</v>
      </c>
      <c r="M106" s="157">
        <f t="shared" si="0"/>
        <v>30.87</v>
      </c>
      <c r="N106" s="157">
        <f t="shared" si="0"/>
        <v>0</v>
      </c>
      <c r="O106" s="157">
        <f t="shared" si="0"/>
        <v>0</v>
      </c>
      <c r="P106" s="157">
        <f t="shared" si="0"/>
        <v>0.62</v>
      </c>
      <c r="Q106" s="157">
        <f t="shared" si="0"/>
        <v>4.83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59.77</v>
      </c>
      <c r="C107" s="156">
        <f t="shared" ref="C107:Q107" si="1">MAX(C9:C104)</f>
        <v>32.880000000000003</v>
      </c>
      <c r="D107" s="156">
        <f t="shared" si="1"/>
        <v>63.56</v>
      </c>
      <c r="E107" s="156">
        <f t="shared" si="1"/>
        <v>8.09</v>
      </c>
      <c r="F107" s="156">
        <f t="shared" si="1"/>
        <v>5.19</v>
      </c>
      <c r="G107" s="156">
        <f t="shared" si="1"/>
        <v>103.56</v>
      </c>
      <c r="H107" s="156">
        <f t="shared" si="1"/>
        <v>49.74</v>
      </c>
      <c r="I107" s="156">
        <f t="shared" si="1"/>
        <v>13.56</v>
      </c>
      <c r="J107" s="156">
        <f t="shared" si="1"/>
        <v>1.58</v>
      </c>
      <c r="K107" s="156">
        <f t="shared" si="1"/>
        <v>274.25</v>
      </c>
      <c r="L107" s="156">
        <f t="shared" si="1"/>
        <v>25.06</v>
      </c>
      <c r="M107" s="156">
        <f t="shared" si="1"/>
        <v>100.6</v>
      </c>
      <c r="N107" s="156">
        <f t="shared" si="1"/>
        <v>675.9</v>
      </c>
      <c r="O107" s="156">
        <f t="shared" si="1"/>
        <v>0</v>
      </c>
      <c r="P107" s="156">
        <f t="shared" si="1"/>
        <v>1.41</v>
      </c>
      <c r="Q107" s="156">
        <f t="shared" si="1"/>
        <v>5.43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23.044895833333332</v>
      </c>
      <c r="C108" s="157">
        <f t="shared" ref="C108:Q108" si="2">AVERAGE(C9:C104)</f>
        <v>25.593437500000004</v>
      </c>
      <c r="D108" s="157">
        <f t="shared" si="2"/>
        <v>33.20333333333334</v>
      </c>
      <c r="E108" s="157">
        <f t="shared" si="2"/>
        <v>6.0988541666666665</v>
      </c>
      <c r="F108" s="157">
        <f t="shared" si="2"/>
        <v>3.5738541666666666</v>
      </c>
      <c r="G108" s="157">
        <f t="shared" si="2"/>
        <v>67.072187500000027</v>
      </c>
      <c r="H108" s="157">
        <f t="shared" si="2"/>
        <v>33.128229166666678</v>
      </c>
      <c r="I108" s="157">
        <f t="shared" si="2"/>
        <v>8.7766666666666691</v>
      </c>
      <c r="J108" s="157">
        <f t="shared" si="2"/>
        <v>0.71197916666666672</v>
      </c>
      <c r="K108" s="157">
        <f t="shared" si="2"/>
        <v>90.913229166666682</v>
      </c>
      <c r="L108" s="157">
        <f t="shared" si="2"/>
        <v>18.466770833333328</v>
      </c>
      <c r="M108" s="157">
        <f t="shared" si="2"/>
        <v>71.47989583333333</v>
      </c>
      <c r="N108" s="157">
        <f t="shared" si="2"/>
        <v>129.62604166666668</v>
      </c>
      <c r="O108" s="157">
        <f t="shared" si="2"/>
        <v>0</v>
      </c>
      <c r="P108" s="157">
        <f t="shared" si="2"/>
        <v>0.92197916666666657</v>
      </c>
      <c r="Q108" s="157">
        <f t="shared" si="2"/>
        <v>5.0357291666666653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15.463336672324861</v>
      </c>
      <c r="C109" s="157">
        <f t="shared" ref="C109:Q109" si="3">STDEV(C9:C104)</f>
        <v>3.9957432160593309</v>
      </c>
      <c r="D109" s="157">
        <f t="shared" si="3"/>
        <v>13.540791523678344</v>
      </c>
      <c r="E109" s="157">
        <f t="shared" si="3"/>
        <v>0.85183006680869444</v>
      </c>
      <c r="F109" s="157">
        <f t="shared" si="3"/>
        <v>0.47469518151217799</v>
      </c>
      <c r="G109" s="157">
        <f t="shared" si="3"/>
        <v>20.290681148750558</v>
      </c>
      <c r="H109" s="157">
        <f t="shared" si="3"/>
        <v>8.6889135647906155</v>
      </c>
      <c r="I109" s="157">
        <f t="shared" si="3"/>
        <v>2.3742015463005846</v>
      </c>
      <c r="J109" s="157">
        <f t="shared" si="3"/>
        <v>0.41210785453801951</v>
      </c>
      <c r="K109" s="157">
        <f t="shared" si="3"/>
        <v>57.789915374020055</v>
      </c>
      <c r="L109" s="157">
        <f t="shared" si="3"/>
        <v>3.7029702145828738</v>
      </c>
      <c r="M109" s="157">
        <f t="shared" si="3"/>
        <v>26.487943096109209</v>
      </c>
      <c r="N109" s="157">
        <f t="shared" si="3"/>
        <v>223.65731976198333</v>
      </c>
      <c r="O109" s="157">
        <f t="shared" si="3"/>
        <v>0</v>
      </c>
      <c r="P109" s="157">
        <f t="shared" si="3"/>
        <v>0.22743244128944662</v>
      </c>
      <c r="Q109" s="157">
        <f t="shared" si="3"/>
        <v>0.1686213122052623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45317.010416666664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45317.010416666664</v>
      </c>
      <c r="B9" s="6">
        <v>28.59</v>
      </c>
      <c r="C9" s="6">
        <v>29.99</v>
      </c>
      <c r="D9" s="6">
        <v>39.950000000000003</v>
      </c>
      <c r="E9" s="6">
        <v>6.51</v>
      </c>
      <c r="F9" s="6">
        <v>3.35</v>
      </c>
      <c r="G9" s="6">
        <v>79.72</v>
      </c>
      <c r="H9" s="6">
        <v>38.909999999999997</v>
      </c>
      <c r="I9" s="6">
        <v>9.23</v>
      </c>
      <c r="J9" s="6">
        <v>7.0000000000000007E-2</v>
      </c>
      <c r="K9" s="6">
        <v>138.21</v>
      </c>
      <c r="L9" s="6">
        <v>13.64</v>
      </c>
      <c r="M9" s="6">
        <v>87.5</v>
      </c>
      <c r="N9" s="6">
        <v>0</v>
      </c>
      <c r="O9" s="6">
        <v>0</v>
      </c>
      <c r="P9" s="6">
        <v>1.04</v>
      </c>
      <c r="Q9" s="6">
        <v>5.08</v>
      </c>
    </row>
    <row r="10" spans="1:21" customFormat="1">
      <c r="A10" s="72">
        <v>45317.020833333336</v>
      </c>
      <c r="B10" s="6">
        <v>34.82</v>
      </c>
      <c r="C10" s="6">
        <v>30.2</v>
      </c>
      <c r="D10" s="6">
        <v>45.05</v>
      </c>
      <c r="E10" s="6">
        <v>7.16</v>
      </c>
      <c r="F10" s="6">
        <v>3.42</v>
      </c>
      <c r="G10" s="6">
        <v>81.66</v>
      </c>
      <c r="H10" s="6">
        <v>39.119999999999997</v>
      </c>
      <c r="I10" s="6">
        <v>9.3000000000000007</v>
      </c>
      <c r="J10" s="6">
        <v>0.11</v>
      </c>
      <c r="K10" s="6">
        <v>163.65</v>
      </c>
      <c r="L10" s="6">
        <v>13.61</v>
      </c>
      <c r="M10" s="6">
        <v>88.02</v>
      </c>
      <c r="N10" s="6">
        <v>0</v>
      </c>
      <c r="O10" s="6">
        <v>0</v>
      </c>
      <c r="P10" s="6">
        <v>1.07</v>
      </c>
      <c r="Q10" s="6">
        <v>5.16</v>
      </c>
    </row>
    <row r="11" spans="1:21" customFormat="1">
      <c r="A11" s="72">
        <v>45317.03125</v>
      </c>
      <c r="B11" s="6">
        <v>41.84</v>
      </c>
      <c r="C11" s="6">
        <v>31.08</v>
      </c>
      <c r="D11" s="6">
        <v>51.14</v>
      </c>
      <c r="E11" s="6">
        <v>6.87</v>
      </c>
      <c r="F11" s="6">
        <v>3.26</v>
      </c>
      <c r="G11" s="6">
        <v>81.900000000000006</v>
      </c>
      <c r="H11" s="6">
        <v>39.119999999999997</v>
      </c>
      <c r="I11" s="6">
        <v>9.4499999999999993</v>
      </c>
      <c r="J11" s="6">
        <v>0.28999999999999998</v>
      </c>
      <c r="K11" s="6">
        <v>185.28</v>
      </c>
      <c r="L11" s="6">
        <v>13.71</v>
      </c>
      <c r="M11" s="6">
        <v>89.7</v>
      </c>
      <c r="N11" s="6">
        <v>0</v>
      </c>
      <c r="O11" s="6">
        <v>0</v>
      </c>
      <c r="P11" s="6">
        <v>1.08</v>
      </c>
      <c r="Q11" s="6">
        <v>5.22</v>
      </c>
    </row>
    <row r="12" spans="1:21" customFormat="1">
      <c r="A12" s="72">
        <v>45317.041666666664</v>
      </c>
      <c r="B12" s="6">
        <v>46.29</v>
      </c>
      <c r="C12" s="6">
        <v>31.31</v>
      </c>
      <c r="D12" s="6">
        <v>54.83</v>
      </c>
      <c r="E12" s="6">
        <v>7.06</v>
      </c>
      <c r="F12" s="6">
        <v>3.39</v>
      </c>
      <c r="G12" s="6">
        <v>81.900000000000006</v>
      </c>
      <c r="H12" s="6">
        <v>39.119999999999997</v>
      </c>
      <c r="I12" s="6">
        <v>9.6199999999999992</v>
      </c>
      <c r="J12" s="6">
        <v>0.22</v>
      </c>
      <c r="K12" s="6">
        <v>207.61</v>
      </c>
      <c r="L12" s="6">
        <v>13.17</v>
      </c>
      <c r="M12" s="6">
        <v>91.16</v>
      </c>
      <c r="N12" s="6">
        <v>0</v>
      </c>
      <c r="O12" s="6">
        <v>0</v>
      </c>
      <c r="P12" s="6">
        <v>1.0900000000000001</v>
      </c>
      <c r="Q12" s="6">
        <v>5.32</v>
      </c>
    </row>
    <row r="13" spans="1:21" customFormat="1">
      <c r="A13" s="72">
        <v>45317.052083333336</v>
      </c>
      <c r="B13" s="6">
        <v>47.81</v>
      </c>
      <c r="C13" s="6">
        <v>31.3</v>
      </c>
      <c r="D13" s="6">
        <v>56.04</v>
      </c>
      <c r="E13" s="6">
        <v>6.91</v>
      </c>
      <c r="F13" s="6">
        <v>3.28</v>
      </c>
      <c r="G13" s="6">
        <v>81.900000000000006</v>
      </c>
      <c r="H13" s="6">
        <v>39.119999999999997</v>
      </c>
      <c r="I13" s="6">
        <v>9.7799999999999994</v>
      </c>
      <c r="J13" s="6">
        <v>0.09</v>
      </c>
      <c r="K13" s="6">
        <v>184.73</v>
      </c>
      <c r="L13" s="6">
        <v>12.87</v>
      </c>
      <c r="M13" s="6">
        <v>92</v>
      </c>
      <c r="N13" s="6">
        <v>0</v>
      </c>
      <c r="O13" s="6">
        <v>0</v>
      </c>
      <c r="P13" s="6">
        <v>1.0900000000000001</v>
      </c>
      <c r="Q13" s="6">
        <v>5.36</v>
      </c>
    </row>
    <row r="14" spans="1:21" customFormat="1">
      <c r="A14" s="72">
        <v>45317.0625</v>
      </c>
      <c r="B14" s="6">
        <v>47.85</v>
      </c>
      <c r="C14" s="6">
        <v>31.27</v>
      </c>
      <c r="D14" s="6">
        <v>56.06</v>
      </c>
      <c r="E14" s="6">
        <v>6.58</v>
      </c>
      <c r="F14" s="6">
        <v>3.32</v>
      </c>
      <c r="G14" s="6">
        <v>82.5</v>
      </c>
      <c r="H14" s="6">
        <v>40.450000000000003</v>
      </c>
      <c r="I14" s="6">
        <v>9.93</v>
      </c>
      <c r="J14" s="6">
        <v>0.09</v>
      </c>
      <c r="K14" s="6">
        <v>195.54</v>
      </c>
      <c r="L14" s="6">
        <v>12.85</v>
      </c>
      <c r="M14" s="6">
        <v>90.54</v>
      </c>
      <c r="N14" s="6">
        <v>0</v>
      </c>
      <c r="O14" s="6">
        <v>0</v>
      </c>
      <c r="P14" s="6">
        <v>1.1000000000000001</v>
      </c>
      <c r="Q14" s="6">
        <v>5.36</v>
      </c>
    </row>
    <row r="15" spans="1:21" customFormat="1">
      <c r="A15" s="72">
        <v>45317.072916666664</v>
      </c>
      <c r="B15" s="6">
        <v>50.04</v>
      </c>
      <c r="C15" s="6">
        <v>31.25</v>
      </c>
      <c r="D15" s="6">
        <v>57.81</v>
      </c>
      <c r="E15" s="6">
        <v>7.05</v>
      </c>
      <c r="F15" s="6">
        <v>3.27</v>
      </c>
      <c r="G15" s="6">
        <v>82.57</v>
      </c>
      <c r="H15" s="6">
        <v>40.450000000000003</v>
      </c>
      <c r="I15" s="6">
        <v>10.1</v>
      </c>
      <c r="J15" s="6">
        <v>0.08</v>
      </c>
      <c r="K15" s="6">
        <v>157.47999999999999</v>
      </c>
      <c r="L15" s="6">
        <v>12.81</v>
      </c>
      <c r="M15" s="6">
        <v>90.74</v>
      </c>
      <c r="N15" s="6">
        <v>0</v>
      </c>
      <c r="O15" s="6">
        <v>0</v>
      </c>
      <c r="P15" s="6">
        <v>1.1000000000000001</v>
      </c>
      <c r="Q15" s="6">
        <v>5.36</v>
      </c>
    </row>
    <row r="16" spans="1:21" customFormat="1">
      <c r="A16" s="72">
        <v>45317.083333333336</v>
      </c>
      <c r="B16" s="6">
        <v>55.29</v>
      </c>
      <c r="C16" s="6">
        <v>31.65</v>
      </c>
      <c r="D16" s="6">
        <v>62.23</v>
      </c>
      <c r="E16" s="6">
        <v>7.03</v>
      </c>
      <c r="F16" s="6">
        <v>3.25</v>
      </c>
      <c r="G16" s="6">
        <v>82.57</v>
      </c>
      <c r="H16" s="6">
        <v>40.450000000000003</v>
      </c>
      <c r="I16" s="6">
        <v>10.48</v>
      </c>
      <c r="J16" s="6">
        <v>0</v>
      </c>
      <c r="K16" s="6">
        <v>343.74</v>
      </c>
      <c r="L16" s="6">
        <v>12.78</v>
      </c>
      <c r="M16" s="6">
        <v>90.76</v>
      </c>
      <c r="N16" s="6">
        <v>0</v>
      </c>
      <c r="O16" s="6">
        <v>0</v>
      </c>
      <c r="P16" s="6">
        <v>1.1000000000000001</v>
      </c>
      <c r="Q16" s="6">
        <v>5.4</v>
      </c>
    </row>
    <row r="17" spans="1:17" customFormat="1">
      <c r="A17" s="72">
        <v>45317.09375</v>
      </c>
      <c r="B17" s="6">
        <v>60.18</v>
      </c>
      <c r="C17" s="6">
        <v>31.98</v>
      </c>
      <c r="D17" s="6">
        <v>66.319999999999993</v>
      </c>
      <c r="E17" s="6">
        <v>6.28</v>
      </c>
      <c r="F17" s="6">
        <v>3.34</v>
      </c>
      <c r="G17" s="6">
        <v>82.57</v>
      </c>
      <c r="H17" s="6">
        <v>40.450000000000003</v>
      </c>
      <c r="I17" s="6">
        <v>10.91</v>
      </c>
      <c r="J17" s="6">
        <v>0.26</v>
      </c>
      <c r="K17" s="6">
        <v>51.15</v>
      </c>
      <c r="L17" s="6">
        <v>13.19</v>
      </c>
      <c r="M17" s="6">
        <v>83.2</v>
      </c>
      <c r="N17" s="6">
        <v>0</v>
      </c>
      <c r="O17" s="6">
        <v>0</v>
      </c>
      <c r="P17" s="6">
        <v>1.1100000000000001</v>
      </c>
      <c r="Q17" s="6">
        <v>5.44</v>
      </c>
    </row>
    <row r="18" spans="1:17" customFormat="1">
      <c r="A18" s="72">
        <v>45317.104166666664</v>
      </c>
      <c r="B18" s="6">
        <v>62.56</v>
      </c>
      <c r="C18" s="6">
        <v>32.39</v>
      </c>
      <c r="D18" s="6">
        <v>68.44</v>
      </c>
      <c r="E18" s="6">
        <v>6.55</v>
      </c>
      <c r="F18" s="6">
        <v>3.4</v>
      </c>
      <c r="G18" s="6">
        <v>86.76</v>
      </c>
      <c r="H18" s="6">
        <v>43.6</v>
      </c>
      <c r="I18" s="6">
        <v>11.1</v>
      </c>
      <c r="J18" s="6">
        <v>0.11</v>
      </c>
      <c r="K18" s="6">
        <v>138.27000000000001</v>
      </c>
      <c r="L18" s="6">
        <v>13.22</v>
      </c>
      <c r="M18" s="6">
        <v>82.47</v>
      </c>
      <c r="N18" s="6">
        <v>0</v>
      </c>
      <c r="O18" s="6">
        <v>0</v>
      </c>
      <c r="P18" s="6">
        <v>1.1000000000000001</v>
      </c>
      <c r="Q18" s="6">
        <v>5.48</v>
      </c>
    </row>
    <row r="19" spans="1:17" customFormat="1">
      <c r="A19" s="72">
        <v>45317.114583333336</v>
      </c>
      <c r="B19" s="6">
        <v>63.03</v>
      </c>
      <c r="C19" s="6">
        <v>32.57</v>
      </c>
      <c r="D19" s="6">
        <v>68.92</v>
      </c>
      <c r="E19" s="6">
        <v>7.26</v>
      </c>
      <c r="F19" s="6">
        <v>3.46</v>
      </c>
      <c r="G19" s="6">
        <v>87.29</v>
      </c>
      <c r="H19" s="6">
        <v>43.6</v>
      </c>
      <c r="I19" s="6">
        <v>11.16</v>
      </c>
      <c r="J19" s="6">
        <v>0.08</v>
      </c>
      <c r="K19" s="6">
        <v>172.09</v>
      </c>
      <c r="L19" s="6">
        <v>13.04</v>
      </c>
      <c r="M19" s="6">
        <v>83.22</v>
      </c>
      <c r="N19" s="6">
        <v>0</v>
      </c>
      <c r="O19" s="6">
        <v>0</v>
      </c>
      <c r="P19" s="6">
        <v>1.1000000000000001</v>
      </c>
      <c r="Q19" s="6">
        <v>5.52</v>
      </c>
    </row>
    <row r="20" spans="1:17" customFormat="1">
      <c r="A20" s="72">
        <v>45317.125</v>
      </c>
      <c r="B20" s="6">
        <v>63.35</v>
      </c>
      <c r="C20" s="6">
        <v>33.19</v>
      </c>
      <c r="D20" s="6">
        <v>69.489999999999995</v>
      </c>
      <c r="E20" s="6">
        <v>7.2</v>
      </c>
      <c r="F20" s="6">
        <v>3.36</v>
      </c>
      <c r="G20" s="6">
        <v>87.29</v>
      </c>
      <c r="H20" s="6">
        <v>43.6</v>
      </c>
      <c r="I20" s="6">
        <v>11.14</v>
      </c>
      <c r="J20" s="6">
        <v>0.08</v>
      </c>
      <c r="K20" s="6">
        <v>111.7</v>
      </c>
      <c r="L20" s="6">
        <v>13.06</v>
      </c>
      <c r="M20" s="6">
        <v>82.01</v>
      </c>
      <c r="N20" s="6">
        <v>0</v>
      </c>
      <c r="O20" s="6">
        <v>0</v>
      </c>
      <c r="P20" s="6">
        <v>1.0900000000000001</v>
      </c>
      <c r="Q20" s="6">
        <v>5.51</v>
      </c>
    </row>
    <row r="21" spans="1:17" customFormat="1">
      <c r="A21" s="72">
        <v>45317.135416666664</v>
      </c>
      <c r="B21" s="6">
        <v>62.97</v>
      </c>
      <c r="C21" s="6">
        <v>33.42</v>
      </c>
      <c r="D21" s="6">
        <v>69.31</v>
      </c>
      <c r="E21" s="6">
        <v>7.11</v>
      </c>
      <c r="F21" s="6">
        <v>3.36</v>
      </c>
      <c r="G21" s="6">
        <v>87.29</v>
      </c>
      <c r="H21" s="6">
        <v>43.6</v>
      </c>
      <c r="I21" s="6">
        <v>11.06</v>
      </c>
      <c r="J21" s="6">
        <v>0.33</v>
      </c>
      <c r="K21" s="6">
        <v>56.28</v>
      </c>
      <c r="L21" s="6">
        <v>13.3</v>
      </c>
      <c r="M21" s="6">
        <v>79.239999999999995</v>
      </c>
      <c r="N21" s="6">
        <v>0</v>
      </c>
      <c r="O21" s="6">
        <v>0</v>
      </c>
      <c r="P21" s="6">
        <v>1.08</v>
      </c>
      <c r="Q21" s="6">
        <v>5.51</v>
      </c>
    </row>
    <row r="22" spans="1:17" customFormat="1">
      <c r="A22" s="72">
        <v>45317.145833333336</v>
      </c>
      <c r="B22" s="6">
        <v>61.7</v>
      </c>
      <c r="C22" s="6">
        <v>33.4</v>
      </c>
      <c r="D22" s="6">
        <v>68.28</v>
      </c>
      <c r="E22" s="6">
        <v>6.79</v>
      </c>
      <c r="F22" s="6">
        <v>3.28</v>
      </c>
      <c r="G22" s="6">
        <v>92.14</v>
      </c>
      <c r="H22" s="6">
        <v>42.87</v>
      </c>
      <c r="I22" s="6">
        <v>10.98</v>
      </c>
      <c r="J22" s="6">
        <v>0.44</v>
      </c>
      <c r="K22" s="6">
        <v>56.02</v>
      </c>
      <c r="L22" s="6">
        <v>13.56</v>
      </c>
      <c r="M22" s="6">
        <v>77.489999999999995</v>
      </c>
      <c r="N22" s="6">
        <v>0</v>
      </c>
      <c r="O22" s="6">
        <v>0</v>
      </c>
      <c r="P22" s="6">
        <v>1.08</v>
      </c>
      <c r="Q22" s="6">
        <v>5.5</v>
      </c>
    </row>
    <row r="23" spans="1:17" customFormat="1">
      <c r="A23" s="72">
        <v>45317.15625</v>
      </c>
      <c r="B23" s="6">
        <v>59.56</v>
      </c>
      <c r="C23" s="6">
        <v>33.32</v>
      </c>
      <c r="D23" s="6">
        <v>66.52</v>
      </c>
      <c r="E23" s="6">
        <v>6.87</v>
      </c>
      <c r="F23" s="6">
        <v>3.29</v>
      </c>
      <c r="G23" s="6">
        <v>92.75</v>
      </c>
      <c r="H23" s="6">
        <v>42.87</v>
      </c>
      <c r="I23" s="6">
        <v>10.88</v>
      </c>
      <c r="J23" s="6">
        <v>0.31</v>
      </c>
      <c r="K23" s="6">
        <v>38.06</v>
      </c>
      <c r="L23" s="6">
        <v>13.61</v>
      </c>
      <c r="M23" s="6">
        <v>77.33</v>
      </c>
      <c r="N23" s="6">
        <v>0</v>
      </c>
      <c r="O23" s="6">
        <v>0</v>
      </c>
      <c r="P23" s="6">
        <v>1.07</v>
      </c>
      <c r="Q23" s="6">
        <v>5.47</v>
      </c>
    </row>
    <row r="24" spans="1:17" customFormat="1">
      <c r="A24" s="72">
        <v>45317.166666666664</v>
      </c>
      <c r="B24" s="6">
        <v>57.14</v>
      </c>
      <c r="C24" s="6">
        <v>33.119999999999997</v>
      </c>
      <c r="D24" s="6">
        <v>64.48</v>
      </c>
      <c r="E24" s="6">
        <v>7.16</v>
      </c>
      <c r="F24" s="6">
        <v>3.37</v>
      </c>
      <c r="G24" s="6">
        <v>92.75</v>
      </c>
      <c r="H24" s="6">
        <v>42.87</v>
      </c>
      <c r="I24" s="6">
        <v>10.82</v>
      </c>
      <c r="J24" s="6">
        <v>0.46</v>
      </c>
      <c r="K24" s="6">
        <v>44.65</v>
      </c>
      <c r="L24" s="6">
        <v>13.61</v>
      </c>
      <c r="M24" s="6">
        <v>77.14</v>
      </c>
      <c r="N24" s="6">
        <v>0</v>
      </c>
      <c r="O24" s="6">
        <v>0</v>
      </c>
      <c r="P24" s="6">
        <v>1.07</v>
      </c>
      <c r="Q24" s="6">
        <v>5.45</v>
      </c>
    </row>
    <row r="25" spans="1:17" customFormat="1">
      <c r="A25" s="72">
        <v>45317.177083333336</v>
      </c>
      <c r="B25" s="6">
        <v>55.17</v>
      </c>
      <c r="C25" s="6">
        <v>33.549999999999997</v>
      </c>
      <c r="D25" s="6">
        <v>63.13</v>
      </c>
      <c r="E25" s="6">
        <v>6.97</v>
      </c>
      <c r="F25" s="6">
        <v>3.37</v>
      </c>
      <c r="G25" s="6">
        <v>92.75</v>
      </c>
      <c r="H25" s="6">
        <v>42.87</v>
      </c>
      <c r="I25" s="6">
        <v>10.77</v>
      </c>
      <c r="J25" s="6">
        <v>0.2</v>
      </c>
      <c r="K25" s="6">
        <v>93.96</v>
      </c>
      <c r="L25" s="6">
        <v>13.5</v>
      </c>
      <c r="M25" s="6">
        <v>79.849999999999994</v>
      </c>
      <c r="N25" s="6">
        <v>0</v>
      </c>
      <c r="O25" s="6">
        <v>0</v>
      </c>
      <c r="P25" s="6">
        <v>1.05</v>
      </c>
      <c r="Q25" s="6">
        <v>5.43</v>
      </c>
    </row>
    <row r="26" spans="1:17" customFormat="1">
      <c r="A26" s="72">
        <v>45317.1875</v>
      </c>
      <c r="B26" s="6">
        <v>53.22</v>
      </c>
      <c r="C26" s="6">
        <v>33.22</v>
      </c>
      <c r="D26" s="6">
        <v>61.39</v>
      </c>
      <c r="E26" s="6">
        <v>6.69</v>
      </c>
      <c r="F26" s="6">
        <v>3.32</v>
      </c>
      <c r="G26" s="6">
        <v>91.1</v>
      </c>
      <c r="H26" s="6">
        <v>47.96</v>
      </c>
      <c r="I26" s="6">
        <v>10.73</v>
      </c>
      <c r="J26" s="6">
        <v>0.44</v>
      </c>
      <c r="K26" s="6">
        <v>69.53</v>
      </c>
      <c r="L26" s="6">
        <v>13.29</v>
      </c>
      <c r="M26" s="6">
        <v>78</v>
      </c>
      <c r="N26" s="6">
        <v>0</v>
      </c>
      <c r="O26" s="6">
        <v>0</v>
      </c>
      <c r="P26" s="6">
        <v>1.04</v>
      </c>
      <c r="Q26" s="6">
        <v>5.4</v>
      </c>
    </row>
    <row r="27" spans="1:17" customFormat="1">
      <c r="A27" s="72">
        <v>45317.197916666664</v>
      </c>
      <c r="B27" s="6">
        <v>51.28</v>
      </c>
      <c r="C27" s="6">
        <v>33.119999999999997</v>
      </c>
      <c r="D27" s="6">
        <v>59.78</v>
      </c>
      <c r="E27" s="6">
        <v>6.9</v>
      </c>
      <c r="F27" s="6">
        <v>3.37</v>
      </c>
      <c r="G27" s="6">
        <v>90.89</v>
      </c>
      <c r="H27" s="6">
        <v>47.96</v>
      </c>
      <c r="I27" s="6">
        <v>10.71</v>
      </c>
      <c r="J27" s="6">
        <v>0.13</v>
      </c>
      <c r="K27" s="6">
        <v>54.34</v>
      </c>
      <c r="L27" s="6">
        <v>13.28</v>
      </c>
      <c r="M27" s="6">
        <v>77.37</v>
      </c>
      <c r="N27" s="6">
        <v>0</v>
      </c>
      <c r="O27" s="6">
        <v>0</v>
      </c>
      <c r="P27" s="6">
        <v>1.02</v>
      </c>
      <c r="Q27" s="6">
        <v>5.38</v>
      </c>
    </row>
    <row r="28" spans="1:17" customFormat="1">
      <c r="A28" s="72">
        <v>45317.208333333336</v>
      </c>
      <c r="B28" s="6">
        <v>49.66</v>
      </c>
      <c r="C28" s="6">
        <v>32.53</v>
      </c>
      <c r="D28" s="6">
        <v>58.17</v>
      </c>
      <c r="E28" s="6">
        <v>6.8</v>
      </c>
      <c r="F28" s="6">
        <v>3.37</v>
      </c>
      <c r="G28" s="6">
        <v>90.89</v>
      </c>
      <c r="H28" s="6">
        <v>47.96</v>
      </c>
      <c r="I28" s="6">
        <v>10.68</v>
      </c>
      <c r="J28" s="6">
        <v>0.14000000000000001</v>
      </c>
      <c r="K28" s="6">
        <v>145.29</v>
      </c>
      <c r="L28" s="6">
        <v>12.88</v>
      </c>
      <c r="M28" s="6">
        <v>81.59</v>
      </c>
      <c r="N28" s="6">
        <v>0</v>
      </c>
      <c r="O28" s="6">
        <v>0</v>
      </c>
      <c r="P28" s="6">
        <v>1.01</v>
      </c>
      <c r="Q28" s="6">
        <v>5.37</v>
      </c>
    </row>
    <row r="29" spans="1:17" customFormat="1">
      <c r="A29" s="72">
        <v>45317.21875</v>
      </c>
      <c r="B29" s="6">
        <v>47.83</v>
      </c>
      <c r="C29" s="6">
        <v>32.18</v>
      </c>
      <c r="D29" s="6">
        <v>56.52</v>
      </c>
      <c r="E29" s="6">
        <v>5.91</v>
      </c>
      <c r="F29" s="6">
        <v>3.39</v>
      </c>
      <c r="G29" s="6">
        <v>90.89</v>
      </c>
      <c r="H29" s="6">
        <v>47.96</v>
      </c>
      <c r="I29" s="6">
        <v>10.61</v>
      </c>
      <c r="J29" s="6">
        <v>0.28999999999999998</v>
      </c>
      <c r="K29" s="6">
        <v>57.85</v>
      </c>
      <c r="L29" s="6">
        <v>12.83</v>
      </c>
      <c r="M29" s="6">
        <v>77.23</v>
      </c>
      <c r="N29" s="6">
        <v>0</v>
      </c>
      <c r="O29" s="6">
        <v>0</v>
      </c>
      <c r="P29" s="6">
        <v>1</v>
      </c>
      <c r="Q29" s="6">
        <v>5.34</v>
      </c>
    </row>
    <row r="30" spans="1:17" customFormat="1">
      <c r="A30" s="72">
        <v>45317.229166666664</v>
      </c>
      <c r="B30" s="6">
        <v>46.18</v>
      </c>
      <c r="C30" s="6">
        <v>30.42</v>
      </c>
      <c r="D30" s="6">
        <v>54.28</v>
      </c>
      <c r="E30" s="6">
        <v>6.03</v>
      </c>
      <c r="F30" s="6">
        <v>3.43</v>
      </c>
      <c r="G30" s="6">
        <v>92.78</v>
      </c>
      <c r="H30" s="6">
        <v>45.41</v>
      </c>
      <c r="I30" s="6">
        <v>10.52</v>
      </c>
      <c r="J30" s="6">
        <v>0.12</v>
      </c>
      <c r="K30" s="6">
        <v>129.08000000000001</v>
      </c>
      <c r="L30" s="6">
        <v>12.65</v>
      </c>
      <c r="M30" s="6">
        <v>81.96</v>
      </c>
      <c r="N30" s="6">
        <v>0</v>
      </c>
      <c r="O30" s="6">
        <v>0</v>
      </c>
      <c r="P30" s="6">
        <v>0.98</v>
      </c>
      <c r="Q30" s="6">
        <v>5.31</v>
      </c>
    </row>
    <row r="31" spans="1:17" customFormat="1">
      <c r="A31" s="72">
        <v>45317.239583333336</v>
      </c>
      <c r="B31" s="6">
        <v>44.4</v>
      </c>
      <c r="C31" s="6">
        <v>30.21</v>
      </c>
      <c r="D31" s="6">
        <v>52.74</v>
      </c>
      <c r="E31" s="6">
        <v>5.79</v>
      </c>
      <c r="F31" s="6">
        <v>3.22</v>
      </c>
      <c r="G31" s="6">
        <v>93.01</v>
      </c>
      <c r="H31" s="6">
        <v>45.41</v>
      </c>
      <c r="I31" s="6">
        <v>10.41</v>
      </c>
      <c r="J31" s="6">
        <v>0.16</v>
      </c>
      <c r="K31" s="6">
        <v>188.95</v>
      </c>
      <c r="L31" s="6">
        <v>12.2</v>
      </c>
      <c r="M31" s="6">
        <v>86.33</v>
      </c>
      <c r="N31" s="6">
        <v>0</v>
      </c>
      <c r="O31" s="6">
        <v>0</v>
      </c>
      <c r="P31" s="6">
        <v>0.96</v>
      </c>
      <c r="Q31" s="6">
        <v>5.3</v>
      </c>
    </row>
    <row r="32" spans="1:17" customFormat="1">
      <c r="A32" s="72">
        <v>45317.25</v>
      </c>
      <c r="B32" s="6">
        <v>42.08</v>
      </c>
      <c r="C32" s="6">
        <v>29.92</v>
      </c>
      <c r="D32" s="6">
        <v>50.73</v>
      </c>
      <c r="E32" s="6">
        <v>5.71</v>
      </c>
      <c r="F32" s="6">
        <v>3.28</v>
      </c>
      <c r="G32" s="6">
        <v>93.01</v>
      </c>
      <c r="H32" s="6">
        <v>45.41</v>
      </c>
      <c r="I32" s="6">
        <v>10.29</v>
      </c>
      <c r="J32" s="6">
        <v>0.14000000000000001</v>
      </c>
      <c r="K32" s="6">
        <v>172.09</v>
      </c>
      <c r="L32" s="6">
        <v>11.88</v>
      </c>
      <c r="M32" s="6">
        <v>91.54</v>
      </c>
      <c r="N32" s="6">
        <v>0</v>
      </c>
      <c r="O32" s="6">
        <v>0</v>
      </c>
      <c r="P32" s="6">
        <v>0.94</v>
      </c>
      <c r="Q32" s="6">
        <v>5.25</v>
      </c>
    </row>
    <row r="33" spans="1:17" customFormat="1">
      <c r="A33" s="72">
        <v>45317.260416666664</v>
      </c>
      <c r="B33" s="6">
        <v>39.79</v>
      </c>
      <c r="C33" s="6">
        <v>29.85</v>
      </c>
      <c r="D33" s="6">
        <v>48.86</v>
      </c>
      <c r="E33" s="6">
        <v>5.38</v>
      </c>
      <c r="F33" s="6">
        <v>3.3</v>
      </c>
      <c r="G33" s="6">
        <v>93.01</v>
      </c>
      <c r="H33" s="6">
        <v>45.41</v>
      </c>
      <c r="I33" s="6">
        <v>10.199999999999999</v>
      </c>
      <c r="J33" s="6">
        <v>0.1</v>
      </c>
      <c r="K33" s="6">
        <v>195.47</v>
      </c>
      <c r="L33" s="6">
        <v>11.62</v>
      </c>
      <c r="M33" s="6">
        <v>92.13</v>
      </c>
      <c r="N33" s="6">
        <v>0</v>
      </c>
      <c r="O33" s="6">
        <v>0</v>
      </c>
      <c r="P33" s="6">
        <v>0.93</v>
      </c>
      <c r="Q33" s="6">
        <v>5.23</v>
      </c>
    </row>
    <row r="34" spans="1:17" customFormat="1">
      <c r="A34" s="72">
        <v>45317.270833333336</v>
      </c>
      <c r="B34" s="6">
        <v>39.700000000000003</v>
      </c>
      <c r="C34" s="6">
        <v>29.83</v>
      </c>
      <c r="D34" s="6">
        <v>48.77</v>
      </c>
      <c r="E34" s="6">
        <v>6.21</v>
      </c>
      <c r="F34" s="6">
        <v>3.15</v>
      </c>
      <c r="G34" s="6">
        <v>79.099999999999994</v>
      </c>
      <c r="H34" s="6">
        <v>41.64</v>
      </c>
      <c r="I34" s="6">
        <v>10.1</v>
      </c>
      <c r="J34" s="6">
        <v>0.12</v>
      </c>
      <c r="K34" s="6">
        <v>216.29</v>
      </c>
      <c r="L34" s="6">
        <v>11.57</v>
      </c>
      <c r="M34" s="6">
        <v>90.24</v>
      </c>
      <c r="N34" s="6">
        <v>0</v>
      </c>
      <c r="O34" s="6">
        <v>0</v>
      </c>
      <c r="P34" s="6">
        <v>0.93</v>
      </c>
      <c r="Q34" s="6">
        <v>5.22</v>
      </c>
    </row>
    <row r="35" spans="1:17" customFormat="1">
      <c r="A35" s="72">
        <v>45317.28125</v>
      </c>
      <c r="B35" s="6">
        <v>39.85</v>
      </c>
      <c r="C35" s="6">
        <v>30.01</v>
      </c>
      <c r="D35" s="6">
        <v>48.99</v>
      </c>
      <c r="E35" s="6">
        <v>5.9</v>
      </c>
      <c r="F35" s="6">
        <v>3.15</v>
      </c>
      <c r="G35" s="6">
        <v>77.36</v>
      </c>
      <c r="H35" s="6">
        <v>41.64</v>
      </c>
      <c r="I35" s="6">
        <v>10.039999999999999</v>
      </c>
      <c r="J35" s="6">
        <v>0.11</v>
      </c>
      <c r="K35" s="6">
        <v>246.15</v>
      </c>
      <c r="L35" s="6">
        <v>11.48</v>
      </c>
      <c r="M35" s="6">
        <v>92.71</v>
      </c>
      <c r="N35" s="6">
        <v>0</v>
      </c>
      <c r="O35" s="6">
        <v>0</v>
      </c>
      <c r="P35" s="6">
        <v>0.92</v>
      </c>
      <c r="Q35" s="6">
        <v>5.2</v>
      </c>
    </row>
    <row r="36" spans="1:17" customFormat="1">
      <c r="A36" s="72">
        <v>45317.291666666664</v>
      </c>
      <c r="B36" s="6">
        <v>38.840000000000003</v>
      </c>
      <c r="C36" s="6">
        <v>29.95</v>
      </c>
      <c r="D36" s="6">
        <v>48.15</v>
      </c>
      <c r="E36" s="6">
        <v>5.73</v>
      </c>
      <c r="F36" s="6">
        <v>3.23</v>
      </c>
      <c r="G36" s="6">
        <v>77.36</v>
      </c>
      <c r="H36" s="6">
        <v>41.64</v>
      </c>
      <c r="I36" s="6">
        <v>9.9700000000000006</v>
      </c>
      <c r="J36" s="6">
        <v>0.14000000000000001</v>
      </c>
      <c r="K36" s="6">
        <v>176.12</v>
      </c>
      <c r="L36" s="6">
        <v>11.49</v>
      </c>
      <c r="M36" s="6">
        <v>94.82</v>
      </c>
      <c r="N36" s="6">
        <v>5.3</v>
      </c>
      <c r="O36" s="6">
        <v>0</v>
      </c>
      <c r="P36" s="6">
        <v>0.91</v>
      </c>
      <c r="Q36" s="6">
        <v>5.22</v>
      </c>
    </row>
    <row r="37" spans="1:17" customFormat="1">
      <c r="A37" s="72">
        <v>45317.302083333336</v>
      </c>
      <c r="B37" s="6">
        <v>38.18</v>
      </c>
      <c r="C37" s="6">
        <v>29.29</v>
      </c>
      <c r="D37" s="6">
        <v>47.27</v>
      </c>
      <c r="E37" s="6">
        <v>5.81</v>
      </c>
      <c r="F37" s="6">
        <v>3.31</v>
      </c>
      <c r="G37" s="6">
        <v>77.36</v>
      </c>
      <c r="H37" s="6">
        <v>41.64</v>
      </c>
      <c r="I37" s="6">
        <v>9.92</v>
      </c>
      <c r="J37" s="6">
        <v>7.0000000000000007E-2</v>
      </c>
      <c r="K37" s="6">
        <v>177.36</v>
      </c>
      <c r="L37" s="6">
        <v>11.66</v>
      </c>
      <c r="M37" s="6">
        <v>94.48</v>
      </c>
      <c r="N37" s="6">
        <v>16.399999999999999</v>
      </c>
      <c r="O37" s="6">
        <v>0</v>
      </c>
      <c r="P37" s="6">
        <v>0.91</v>
      </c>
      <c r="Q37" s="6">
        <v>5.21</v>
      </c>
    </row>
    <row r="38" spans="1:17" customFormat="1">
      <c r="A38" s="72">
        <v>45317.3125</v>
      </c>
      <c r="B38" s="6">
        <v>39.43</v>
      </c>
      <c r="C38" s="6">
        <v>29.22</v>
      </c>
      <c r="D38" s="6">
        <v>48.24</v>
      </c>
      <c r="E38" s="6">
        <v>6.13</v>
      </c>
      <c r="F38" s="6">
        <v>3.28</v>
      </c>
      <c r="G38" s="6">
        <v>81.5</v>
      </c>
      <c r="H38" s="6">
        <v>40.200000000000003</v>
      </c>
      <c r="I38" s="6">
        <v>9.8699999999999992</v>
      </c>
      <c r="J38" s="6">
        <v>0.17</v>
      </c>
      <c r="K38" s="6">
        <v>64.59</v>
      </c>
      <c r="L38" s="6">
        <v>12.31</v>
      </c>
      <c r="M38" s="6">
        <v>87.28</v>
      </c>
      <c r="N38" s="6">
        <v>28.4</v>
      </c>
      <c r="O38" s="6">
        <v>0</v>
      </c>
      <c r="P38" s="6">
        <v>0.92</v>
      </c>
      <c r="Q38" s="6">
        <v>5.22</v>
      </c>
    </row>
    <row r="39" spans="1:17" customFormat="1">
      <c r="A39" s="72">
        <v>45317.322916666664</v>
      </c>
      <c r="B39" s="6">
        <v>41.09</v>
      </c>
      <c r="C39" s="6">
        <v>29.68</v>
      </c>
      <c r="D39" s="6">
        <v>49.8</v>
      </c>
      <c r="E39" s="6">
        <v>6.38</v>
      </c>
      <c r="F39" s="6">
        <v>3.27</v>
      </c>
      <c r="G39" s="6">
        <v>82.02</v>
      </c>
      <c r="H39" s="6">
        <v>40.200000000000003</v>
      </c>
      <c r="I39" s="6">
        <v>9.8800000000000008</v>
      </c>
      <c r="J39" s="6">
        <v>0.17</v>
      </c>
      <c r="K39" s="6">
        <v>146.36000000000001</v>
      </c>
      <c r="L39" s="6">
        <v>13.36</v>
      </c>
      <c r="M39" s="6">
        <v>83.58</v>
      </c>
      <c r="N39" s="6">
        <v>40.799999999999997</v>
      </c>
      <c r="O39" s="6">
        <v>0</v>
      </c>
      <c r="P39" s="6">
        <v>0.93</v>
      </c>
      <c r="Q39" s="6">
        <v>5.22</v>
      </c>
    </row>
    <row r="40" spans="1:17" customFormat="1">
      <c r="A40" s="72">
        <v>45317.333333333336</v>
      </c>
      <c r="B40" s="6">
        <v>41.29</v>
      </c>
      <c r="C40" s="6">
        <v>30.37</v>
      </c>
      <c r="D40" s="6">
        <v>50.33</v>
      </c>
      <c r="E40" s="6">
        <v>6.39</v>
      </c>
      <c r="F40" s="6">
        <v>3.24</v>
      </c>
      <c r="G40" s="6">
        <v>82.02</v>
      </c>
      <c r="H40" s="6">
        <v>40.200000000000003</v>
      </c>
      <c r="I40" s="6">
        <v>10</v>
      </c>
      <c r="J40" s="6">
        <v>0.08</v>
      </c>
      <c r="K40" s="6">
        <v>133.94</v>
      </c>
      <c r="L40" s="6">
        <v>13.77</v>
      </c>
      <c r="M40" s="6">
        <v>82.13</v>
      </c>
      <c r="N40" s="6">
        <v>52.5</v>
      </c>
      <c r="O40" s="6">
        <v>0</v>
      </c>
      <c r="P40" s="6">
        <v>0.94</v>
      </c>
      <c r="Q40" s="6">
        <v>5.24</v>
      </c>
    </row>
    <row r="41" spans="1:17" customFormat="1">
      <c r="A41" s="72">
        <v>45317.34375</v>
      </c>
      <c r="B41" s="6">
        <v>40.39</v>
      </c>
      <c r="C41" s="6">
        <v>30.83</v>
      </c>
      <c r="D41" s="6">
        <v>49.85</v>
      </c>
      <c r="E41" s="6">
        <v>6.28</v>
      </c>
      <c r="F41" s="6">
        <v>3.32</v>
      </c>
      <c r="G41" s="6">
        <v>82.02</v>
      </c>
      <c r="H41" s="6">
        <v>40.200000000000003</v>
      </c>
      <c r="I41" s="6">
        <v>10.1</v>
      </c>
      <c r="J41" s="6">
        <v>0.87</v>
      </c>
      <c r="K41" s="6">
        <v>67.61</v>
      </c>
      <c r="L41" s="6">
        <v>14.91</v>
      </c>
      <c r="M41" s="6">
        <v>61.83</v>
      </c>
      <c r="N41" s="6">
        <v>134.30000000000001</v>
      </c>
      <c r="O41" s="6">
        <v>0</v>
      </c>
      <c r="P41" s="6">
        <v>0.94</v>
      </c>
      <c r="Q41" s="6">
        <v>5.24</v>
      </c>
    </row>
    <row r="42" spans="1:17" customFormat="1">
      <c r="A42" s="72">
        <v>45317.354166666664</v>
      </c>
      <c r="B42" s="6">
        <v>38.729999999999997</v>
      </c>
      <c r="C42" s="6">
        <v>32.18</v>
      </c>
      <c r="D42" s="6">
        <v>49.23</v>
      </c>
      <c r="E42" s="6">
        <v>6.64</v>
      </c>
      <c r="F42" s="6">
        <v>3.45</v>
      </c>
      <c r="G42" s="6">
        <v>83.8</v>
      </c>
      <c r="H42" s="6">
        <v>40.26</v>
      </c>
      <c r="I42" s="6">
        <v>10.14</v>
      </c>
      <c r="J42" s="6">
        <v>0.99</v>
      </c>
      <c r="K42" s="6">
        <v>64.209999999999994</v>
      </c>
      <c r="L42" s="6">
        <v>15.68</v>
      </c>
      <c r="M42" s="6">
        <v>61.74</v>
      </c>
      <c r="N42" s="6">
        <v>209.2</v>
      </c>
      <c r="O42" s="6">
        <v>0</v>
      </c>
      <c r="P42" s="6">
        <v>0.94</v>
      </c>
      <c r="Q42" s="6">
        <v>5.22</v>
      </c>
    </row>
    <row r="43" spans="1:17" customFormat="1">
      <c r="A43" s="72">
        <v>45317.364583333336</v>
      </c>
      <c r="B43" s="6">
        <v>36.68</v>
      </c>
      <c r="C43" s="6">
        <v>33.630000000000003</v>
      </c>
      <c r="D43" s="6">
        <v>48.33</v>
      </c>
      <c r="E43" s="6">
        <v>6.52</v>
      </c>
      <c r="F43" s="6">
        <v>3.4</v>
      </c>
      <c r="G43" s="6">
        <v>84.02</v>
      </c>
      <c r="H43" s="6">
        <v>40.26</v>
      </c>
      <c r="I43" s="6">
        <v>10.15</v>
      </c>
      <c r="J43" s="6">
        <v>0.74</v>
      </c>
      <c r="K43" s="6">
        <v>74.8</v>
      </c>
      <c r="L43" s="6">
        <v>16.68</v>
      </c>
      <c r="M43" s="6">
        <v>57.52</v>
      </c>
      <c r="N43" s="6">
        <v>256.2</v>
      </c>
      <c r="O43" s="6">
        <v>0</v>
      </c>
      <c r="P43" s="6">
        <v>0.93</v>
      </c>
      <c r="Q43" s="6">
        <v>5.2</v>
      </c>
    </row>
    <row r="44" spans="1:17" customFormat="1">
      <c r="A44" s="72">
        <v>45317.375</v>
      </c>
      <c r="B44" s="6">
        <v>34.11</v>
      </c>
      <c r="C44" s="6">
        <v>32.5</v>
      </c>
      <c r="D44" s="6">
        <v>45.69</v>
      </c>
      <c r="E44" s="6">
        <v>6.22</v>
      </c>
      <c r="F44" s="6">
        <v>3.4</v>
      </c>
      <c r="G44" s="6">
        <v>84.02</v>
      </c>
      <c r="H44" s="6">
        <v>40.26</v>
      </c>
      <c r="I44" s="6">
        <v>10.15</v>
      </c>
      <c r="J44" s="6">
        <v>0.99</v>
      </c>
      <c r="K44" s="6">
        <v>67.430000000000007</v>
      </c>
      <c r="L44" s="6">
        <v>17.59</v>
      </c>
      <c r="M44" s="6">
        <v>52.77</v>
      </c>
      <c r="N44" s="6">
        <v>303.3</v>
      </c>
      <c r="O44" s="6">
        <v>0</v>
      </c>
      <c r="P44" s="6">
        <v>0.91</v>
      </c>
      <c r="Q44" s="6">
        <v>5.18</v>
      </c>
    </row>
    <row r="45" spans="1:17" customFormat="1">
      <c r="A45" s="72">
        <v>45317.385416666664</v>
      </c>
      <c r="B45" s="6">
        <v>31.55</v>
      </c>
      <c r="C45" s="6">
        <v>32.880000000000003</v>
      </c>
      <c r="D45" s="6">
        <v>43.83</v>
      </c>
      <c r="E45" s="6">
        <v>6.48</v>
      </c>
      <c r="F45" s="6">
        <v>3.36</v>
      </c>
      <c r="G45" s="6">
        <v>84.02</v>
      </c>
      <c r="H45" s="6">
        <v>40.26</v>
      </c>
      <c r="I45" s="6">
        <v>10.11</v>
      </c>
      <c r="J45" s="6">
        <v>1.18</v>
      </c>
      <c r="K45" s="6">
        <v>56.39</v>
      </c>
      <c r="L45" s="6">
        <v>18.12</v>
      </c>
      <c r="M45" s="6">
        <v>50.71</v>
      </c>
      <c r="N45" s="6">
        <v>348</v>
      </c>
      <c r="O45" s="6">
        <v>0</v>
      </c>
      <c r="P45" s="6">
        <v>0.91</v>
      </c>
      <c r="Q45" s="6">
        <v>5.14</v>
      </c>
    </row>
    <row r="46" spans="1:17" customFormat="1">
      <c r="A46" s="72">
        <v>45317.395833333336</v>
      </c>
      <c r="B46" s="6">
        <v>29.65</v>
      </c>
      <c r="C46" s="6">
        <v>31.92</v>
      </c>
      <c r="D46" s="6">
        <v>41.8</v>
      </c>
      <c r="E46" s="6">
        <v>6.36</v>
      </c>
      <c r="F46" s="6">
        <v>3.42</v>
      </c>
      <c r="G46" s="6">
        <v>81.23</v>
      </c>
      <c r="H46" s="6">
        <v>41.47</v>
      </c>
      <c r="I46" s="6">
        <v>10.02</v>
      </c>
      <c r="J46" s="6">
        <v>0.86</v>
      </c>
      <c r="K46" s="6">
        <v>68.13</v>
      </c>
      <c r="L46" s="6">
        <v>19.149999999999999</v>
      </c>
      <c r="M46" s="6">
        <v>48.25</v>
      </c>
      <c r="N46" s="6">
        <v>391.9</v>
      </c>
      <c r="O46" s="6">
        <v>0</v>
      </c>
      <c r="P46" s="6">
        <v>0.9</v>
      </c>
      <c r="Q46" s="6">
        <v>5.13</v>
      </c>
    </row>
    <row r="47" spans="1:17" customFormat="1">
      <c r="A47" s="72">
        <v>45317.40625</v>
      </c>
      <c r="B47" s="6">
        <v>27.9</v>
      </c>
      <c r="C47" s="6">
        <v>30.87</v>
      </c>
      <c r="D47" s="6">
        <v>39.85</v>
      </c>
      <c r="E47" s="6">
        <v>6.31</v>
      </c>
      <c r="F47" s="6">
        <v>3.33</v>
      </c>
      <c r="G47" s="6">
        <v>80.88</v>
      </c>
      <c r="H47" s="6">
        <v>41.47</v>
      </c>
      <c r="I47" s="6">
        <v>9.9</v>
      </c>
      <c r="J47" s="6">
        <v>0.97</v>
      </c>
      <c r="K47" s="6">
        <v>59.18</v>
      </c>
      <c r="L47" s="6">
        <v>19.97</v>
      </c>
      <c r="M47" s="6">
        <v>45.09</v>
      </c>
      <c r="N47" s="6">
        <v>326.2</v>
      </c>
      <c r="O47" s="6">
        <v>0</v>
      </c>
      <c r="P47" s="6">
        <v>0.89</v>
      </c>
      <c r="Q47" s="6">
        <v>5.0999999999999996</v>
      </c>
    </row>
    <row r="48" spans="1:17" customFormat="1">
      <c r="A48" s="72">
        <v>45317.416666666664</v>
      </c>
      <c r="B48" s="6">
        <v>25.92</v>
      </c>
      <c r="C48" s="6">
        <v>31.41</v>
      </c>
      <c r="D48" s="6">
        <v>38.549999999999997</v>
      </c>
      <c r="E48" s="6">
        <v>6.57</v>
      </c>
      <c r="F48" s="6">
        <v>3.69</v>
      </c>
      <c r="G48" s="6">
        <v>80.88</v>
      </c>
      <c r="H48" s="6">
        <v>41.47</v>
      </c>
      <c r="I48" s="6">
        <v>9.7799999999999994</v>
      </c>
      <c r="J48" s="6">
        <v>1</v>
      </c>
      <c r="K48" s="6">
        <v>70.06</v>
      </c>
      <c r="L48" s="6">
        <v>20.79</v>
      </c>
      <c r="M48" s="6">
        <v>42.52</v>
      </c>
      <c r="N48" s="6">
        <v>324.10000000000002</v>
      </c>
      <c r="O48" s="6">
        <v>0</v>
      </c>
      <c r="P48" s="6">
        <v>0.88</v>
      </c>
      <c r="Q48" s="6">
        <v>5.08</v>
      </c>
    </row>
    <row r="49" spans="1:17" customFormat="1">
      <c r="A49" s="72">
        <v>45317.427083333336</v>
      </c>
      <c r="B49" s="6">
        <v>23.41</v>
      </c>
      <c r="C49" s="6">
        <v>31.29</v>
      </c>
      <c r="D49" s="6">
        <v>36.479999999999997</v>
      </c>
      <c r="E49" s="6">
        <v>4.2699999999999996</v>
      </c>
      <c r="F49" s="6">
        <v>3.98</v>
      </c>
      <c r="G49" s="6">
        <v>80.88</v>
      </c>
      <c r="H49" s="6">
        <v>41.47</v>
      </c>
      <c r="I49" s="6">
        <v>9.66</v>
      </c>
      <c r="J49" s="6">
        <v>0.55000000000000004</v>
      </c>
      <c r="K49" s="6">
        <v>90.5</v>
      </c>
      <c r="L49" s="6">
        <v>21.81</v>
      </c>
      <c r="M49" s="6">
        <v>40.01</v>
      </c>
      <c r="N49" s="6">
        <v>517.6</v>
      </c>
      <c r="O49" s="6">
        <v>0</v>
      </c>
      <c r="P49" s="6">
        <v>0.86</v>
      </c>
      <c r="Q49" s="6">
        <v>5.0599999999999996</v>
      </c>
    </row>
    <row r="50" spans="1:17" customFormat="1">
      <c r="A50" s="72">
        <v>45317.4375</v>
      </c>
      <c r="B50" s="6">
        <v>20.51</v>
      </c>
      <c r="C50" s="6">
        <v>31.33</v>
      </c>
      <c r="D50" s="6">
        <v>34.17</v>
      </c>
      <c r="E50" s="6">
        <v>4.82</v>
      </c>
      <c r="F50" s="6">
        <v>3.97</v>
      </c>
      <c r="G50" s="6">
        <v>71.59</v>
      </c>
      <c r="H50" s="6">
        <v>35.159999999999997</v>
      </c>
      <c r="I50" s="6">
        <v>9.49</v>
      </c>
      <c r="J50" s="6">
        <v>0.82</v>
      </c>
      <c r="K50" s="6">
        <v>71.739999999999995</v>
      </c>
      <c r="L50" s="6">
        <v>22.44</v>
      </c>
      <c r="M50" s="6">
        <v>39.090000000000003</v>
      </c>
      <c r="N50" s="6">
        <v>553.9</v>
      </c>
      <c r="O50" s="6">
        <v>0</v>
      </c>
      <c r="P50" s="6">
        <v>0.85</v>
      </c>
      <c r="Q50" s="6">
        <v>5.0199999999999996</v>
      </c>
    </row>
    <row r="51" spans="1:17" customFormat="1">
      <c r="A51" s="72">
        <v>45317.447916666664</v>
      </c>
      <c r="B51" s="6">
        <v>18.010000000000002</v>
      </c>
      <c r="C51" s="6">
        <v>31.1</v>
      </c>
      <c r="D51" s="6">
        <v>32.04</v>
      </c>
      <c r="E51" s="6">
        <v>4.76</v>
      </c>
      <c r="F51" s="6">
        <v>3.82</v>
      </c>
      <c r="G51" s="6">
        <v>70.430000000000007</v>
      </c>
      <c r="H51" s="6">
        <v>35.159999999999997</v>
      </c>
      <c r="I51" s="6">
        <v>9.25</v>
      </c>
      <c r="J51" s="6">
        <v>1.1000000000000001</v>
      </c>
      <c r="K51" s="6">
        <v>47.1</v>
      </c>
      <c r="L51" s="6">
        <v>22.27</v>
      </c>
      <c r="M51" s="6">
        <v>39.92</v>
      </c>
      <c r="N51" s="6">
        <v>578.5</v>
      </c>
      <c r="O51" s="6">
        <v>0</v>
      </c>
      <c r="P51" s="6">
        <v>0.83</v>
      </c>
      <c r="Q51" s="6">
        <v>5</v>
      </c>
    </row>
    <row r="52" spans="1:17" customFormat="1">
      <c r="A52" s="72">
        <v>45317.458333333336</v>
      </c>
      <c r="B52" s="6">
        <v>15.9</v>
      </c>
      <c r="C52" s="6">
        <v>31.25</v>
      </c>
      <c r="D52" s="6">
        <v>30.43</v>
      </c>
      <c r="E52" s="6">
        <v>4.99</v>
      </c>
      <c r="F52" s="6">
        <v>3.92</v>
      </c>
      <c r="G52" s="6">
        <v>70.430000000000007</v>
      </c>
      <c r="H52" s="6">
        <v>35.159999999999997</v>
      </c>
      <c r="I52" s="6">
        <v>9.01</v>
      </c>
      <c r="J52" s="6">
        <v>1.25</v>
      </c>
      <c r="K52" s="6">
        <v>44.36</v>
      </c>
      <c r="L52" s="6">
        <v>22.63</v>
      </c>
      <c r="M52" s="6">
        <v>37.840000000000003</v>
      </c>
      <c r="N52" s="6">
        <v>602.1</v>
      </c>
      <c r="O52" s="6">
        <v>0</v>
      </c>
      <c r="P52" s="6">
        <v>0.82</v>
      </c>
      <c r="Q52" s="6">
        <v>4.97</v>
      </c>
    </row>
    <row r="53" spans="1:17" customFormat="1">
      <c r="A53" s="72">
        <v>45317.46875</v>
      </c>
      <c r="B53" s="6">
        <v>14.03</v>
      </c>
      <c r="C53" s="6">
        <v>30.81</v>
      </c>
      <c r="D53" s="6">
        <v>28.7</v>
      </c>
      <c r="E53" s="6">
        <v>4.6100000000000003</v>
      </c>
      <c r="F53" s="6">
        <v>3.94</v>
      </c>
      <c r="G53" s="6">
        <v>70.430000000000007</v>
      </c>
      <c r="H53" s="6">
        <v>35.159999999999997</v>
      </c>
      <c r="I53" s="6">
        <v>8.7799999999999994</v>
      </c>
      <c r="J53" s="6">
        <v>1.36</v>
      </c>
      <c r="K53" s="6">
        <v>55.82</v>
      </c>
      <c r="L53" s="6">
        <v>22.89</v>
      </c>
      <c r="M53" s="6">
        <v>34.69</v>
      </c>
      <c r="N53" s="6">
        <v>596.1</v>
      </c>
      <c r="O53" s="6">
        <v>0</v>
      </c>
      <c r="P53" s="6">
        <v>0.8</v>
      </c>
      <c r="Q53" s="6">
        <v>4.95</v>
      </c>
    </row>
    <row r="54" spans="1:17" customFormat="1">
      <c r="A54" s="72">
        <v>45317.479166666664</v>
      </c>
      <c r="B54" s="6">
        <v>12.1</v>
      </c>
      <c r="C54" s="6">
        <v>30.36</v>
      </c>
      <c r="D54" s="6">
        <v>26.91</v>
      </c>
      <c r="E54" s="6">
        <v>4.96</v>
      </c>
      <c r="F54" s="6">
        <v>4.04</v>
      </c>
      <c r="G54" s="6">
        <v>68.03</v>
      </c>
      <c r="H54" s="6">
        <v>32.54</v>
      </c>
      <c r="I54" s="6">
        <v>8.5500000000000007</v>
      </c>
      <c r="J54" s="6">
        <v>0.94</v>
      </c>
      <c r="K54" s="6">
        <v>60.76</v>
      </c>
      <c r="L54" s="6">
        <v>23.31</v>
      </c>
      <c r="M54" s="6">
        <v>34.68</v>
      </c>
      <c r="N54" s="6">
        <v>638.20000000000005</v>
      </c>
      <c r="O54" s="6">
        <v>0</v>
      </c>
      <c r="P54" s="6">
        <v>0.78</v>
      </c>
      <c r="Q54" s="6">
        <v>4.93</v>
      </c>
    </row>
    <row r="55" spans="1:17" customFormat="1">
      <c r="A55" s="72">
        <v>45317.489583333336</v>
      </c>
      <c r="B55" s="6">
        <v>10.33</v>
      </c>
      <c r="C55" s="6">
        <v>29.9</v>
      </c>
      <c r="D55" s="6">
        <v>25.25</v>
      </c>
      <c r="E55" s="6">
        <v>5</v>
      </c>
      <c r="F55" s="6">
        <v>3.98</v>
      </c>
      <c r="G55" s="6">
        <v>67.73</v>
      </c>
      <c r="H55" s="6">
        <v>32.54</v>
      </c>
      <c r="I55" s="6">
        <v>8.32</v>
      </c>
      <c r="J55" s="6">
        <v>0.86</v>
      </c>
      <c r="K55" s="6">
        <v>63.35</v>
      </c>
      <c r="L55" s="6">
        <v>24.11</v>
      </c>
      <c r="M55" s="6">
        <v>33.25</v>
      </c>
      <c r="N55" s="6">
        <v>676.1</v>
      </c>
      <c r="O55" s="6">
        <v>0</v>
      </c>
      <c r="P55" s="6">
        <v>0.77</v>
      </c>
      <c r="Q55" s="6">
        <v>4.91</v>
      </c>
    </row>
    <row r="56" spans="1:17" customFormat="1">
      <c r="A56" s="72">
        <v>45317.5</v>
      </c>
      <c r="B56" s="6">
        <v>8.73</v>
      </c>
      <c r="C56" s="6">
        <v>29.19</v>
      </c>
      <c r="D56" s="6">
        <v>23.6</v>
      </c>
      <c r="E56" s="6">
        <v>4.74</v>
      </c>
      <c r="F56" s="6">
        <v>4.47</v>
      </c>
      <c r="G56" s="6">
        <v>67.73</v>
      </c>
      <c r="H56" s="6">
        <v>32.54</v>
      </c>
      <c r="I56" s="6">
        <v>8.1</v>
      </c>
      <c r="J56" s="6">
        <v>0.32</v>
      </c>
      <c r="K56" s="6">
        <v>122.36</v>
      </c>
      <c r="L56" s="6">
        <v>24.76</v>
      </c>
      <c r="M56" s="6">
        <v>30.45</v>
      </c>
      <c r="N56" s="6">
        <v>676.8</v>
      </c>
      <c r="O56" s="6">
        <v>0</v>
      </c>
      <c r="P56" s="6">
        <v>0.75</v>
      </c>
      <c r="Q56" s="6">
        <v>4.87</v>
      </c>
    </row>
    <row r="57" spans="1:17" customFormat="1">
      <c r="A57" s="72">
        <v>45317.510416666664</v>
      </c>
      <c r="B57" s="6">
        <v>7.32</v>
      </c>
      <c r="C57" s="6">
        <v>28</v>
      </c>
      <c r="D57" s="6">
        <v>21.85</v>
      </c>
      <c r="E57" s="6">
        <v>4.42</v>
      </c>
      <c r="F57" s="6">
        <v>4.7699999999999996</v>
      </c>
      <c r="G57" s="6">
        <v>67.73</v>
      </c>
      <c r="H57" s="6">
        <v>32.54</v>
      </c>
      <c r="I57" s="6">
        <v>7.88</v>
      </c>
      <c r="J57" s="6">
        <v>0.82</v>
      </c>
      <c r="K57" s="6">
        <v>65.13</v>
      </c>
      <c r="L57" s="6">
        <v>24.55</v>
      </c>
      <c r="M57" s="6">
        <v>29.72</v>
      </c>
      <c r="N57" s="6">
        <v>688</v>
      </c>
      <c r="O57" s="6">
        <v>0</v>
      </c>
      <c r="P57" s="6">
        <v>0.74</v>
      </c>
      <c r="Q57" s="6">
        <v>4.87</v>
      </c>
    </row>
    <row r="58" spans="1:17" customFormat="1">
      <c r="A58" s="72">
        <v>45317.520833333336</v>
      </c>
      <c r="B58" s="6">
        <v>6.18</v>
      </c>
      <c r="C58" s="6">
        <v>27.02</v>
      </c>
      <c r="D58" s="6">
        <v>20.420000000000002</v>
      </c>
      <c r="E58" s="6">
        <v>4.66</v>
      </c>
      <c r="F58" s="6">
        <v>4.68</v>
      </c>
      <c r="G58" s="6">
        <v>56.32</v>
      </c>
      <c r="H58" s="6">
        <v>28.62</v>
      </c>
      <c r="I58" s="6">
        <v>7.65</v>
      </c>
      <c r="J58" s="6">
        <v>0.34</v>
      </c>
      <c r="K58" s="6">
        <v>190.68</v>
      </c>
      <c r="L58" s="6">
        <v>25.19</v>
      </c>
      <c r="M58" s="6">
        <v>30.19</v>
      </c>
      <c r="N58" s="6">
        <v>687.4</v>
      </c>
      <c r="O58" s="6">
        <v>0</v>
      </c>
      <c r="P58" s="6">
        <v>0.72</v>
      </c>
      <c r="Q58" s="6">
        <v>4.8600000000000003</v>
      </c>
    </row>
    <row r="59" spans="1:17" customFormat="1">
      <c r="A59" s="72">
        <v>45317.53125</v>
      </c>
      <c r="B59" s="6">
        <v>5.41</v>
      </c>
      <c r="C59" s="6">
        <v>25.85</v>
      </c>
      <c r="D59" s="6">
        <v>19.190000000000001</v>
      </c>
      <c r="E59" s="6">
        <v>4.68</v>
      </c>
      <c r="F59" s="6">
        <v>4.6900000000000004</v>
      </c>
      <c r="G59" s="6">
        <v>54.89</v>
      </c>
      <c r="H59" s="6">
        <v>28.62</v>
      </c>
      <c r="I59" s="6">
        <v>7.43</v>
      </c>
      <c r="J59" s="6">
        <v>0.5</v>
      </c>
      <c r="K59" s="6">
        <v>62.48</v>
      </c>
      <c r="L59" s="6">
        <v>25.68</v>
      </c>
      <c r="M59" s="6">
        <v>28.52</v>
      </c>
      <c r="N59" s="6">
        <v>675.8</v>
      </c>
      <c r="O59" s="6">
        <v>0</v>
      </c>
      <c r="P59" s="6">
        <v>0.71</v>
      </c>
      <c r="Q59" s="6">
        <v>4.84</v>
      </c>
    </row>
    <row r="60" spans="1:17" customFormat="1">
      <c r="A60" s="72">
        <v>45317.541666666664</v>
      </c>
      <c r="B60" s="6">
        <v>4.95</v>
      </c>
      <c r="C60" s="6">
        <v>24.92</v>
      </c>
      <c r="D60" s="6">
        <v>18.34</v>
      </c>
      <c r="E60" s="6">
        <v>4.6100000000000003</v>
      </c>
      <c r="F60" s="6">
        <v>5.03</v>
      </c>
      <c r="G60" s="6">
        <v>54.89</v>
      </c>
      <c r="H60" s="6">
        <v>28.62</v>
      </c>
      <c r="I60" s="6">
        <v>7.21</v>
      </c>
      <c r="J60" s="6">
        <v>0.36</v>
      </c>
      <c r="K60" s="6">
        <v>80.56</v>
      </c>
      <c r="L60" s="6">
        <v>25.8</v>
      </c>
      <c r="M60" s="6">
        <v>27.64</v>
      </c>
      <c r="N60" s="6">
        <v>680.3</v>
      </c>
      <c r="O60" s="6">
        <v>0</v>
      </c>
      <c r="P60" s="6">
        <v>0.69</v>
      </c>
      <c r="Q60" s="6">
        <v>4.83</v>
      </c>
    </row>
    <row r="61" spans="1:17" customFormat="1">
      <c r="A61" s="72">
        <v>45317.552083333336</v>
      </c>
      <c r="B61" s="6">
        <v>4.51</v>
      </c>
      <c r="C61" s="6">
        <v>23.91</v>
      </c>
      <c r="D61" s="6">
        <v>17.46</v>
      </c>
      <c r="E61" s="6">
        <v>4.6100000000000003</v>
      </c>
      <c r="F61" s="6">
        <v>5.65</v>
      </c>
      <c r="G61" s="6">
        <v>54.89</v>
      </c>
      <c r="H61" s="6">
        <v>28.62</v>
      </c>
      <c r="I61" s="6">
        <v>7.02</v>
      </c>
      <c r="J61" s="6">
        <v>0.34</v>
      </c>
      <c r="K61" s="6">
        <v>98.56</v>
      </c>
      <c r="L61" s="6">
        <v>26.41</v>
      </c>
      <c r="M61" s="6">
        <v>25.21</v>
      </c>
      <c r="N61" s="6">
        <v>655.8</v>
      </c>
      <c r="O61" s="6">
        <v>0</v>
      </c>
      <c r="P61" s="6">
        <v>0.68</v>
      </c>
      <c r="Q61" s="6">
        <v>4.82</v>
      </c>
    </row>
    <row r="62" spans="1:17" customFormat="1">
      <c r="A62" s="72">
        <v>45317.5625</v>
      </c>
      <c r="B62" s="6">
        <v>4.18</v>
      </c>
      <c r="C62" s="6">
        <v>23.06</v>
      </c>
      <c r="D62" s="6">
        <v>16.75</v>
      </c>
      <c r="E62" s="6">
        <v>4.6399999999999997</v>
      </c>
      <c r="F62" s="6">
        <v>5.56</v>
      </c>
      <c r="G62" s="6">
        <v>50.26</v>
      </c>
      <c r="H62" s="6">
        <v>27.04</v>
      </c>
      <c r="I62" s="6">
        <v>6.85</v>
      </c>
      <c r="J62" s="6">
        <v>0.34</v>
      </c>
      <c r="K62" s="6">
        <v>62.37</v>
      </c>
      <c r="L62" s="6">
        <v>26.68</v>
      </c>
      <c r="M62" s="6">
        <v>24.43</v>
      </c>
      <c r="N62" s="6">
        <v>623.79999999999995</v>
      </c>
      <c r="O62" s="6">
        <v>0</v>
      </c>
      <c r="P62" s="6">
        <v>0.67</v>
      </c>
      <c r="Q62" s="6">
        <v>4.8</v>
      </c>
    </row>
    <row r="63" spans="1:17" customFormat="1">
      <c r="A63" s="72">
        <v>45317.572916666664</v>
      </c>
      <c r="B63" s="6">
        <v>4.18</v>
      </c>
      <c r="C63" s="6">
        <v>22.34</v>
      </c>
      <c r="D63" s="6">
        <v>16.37</v>
      </c>
      <c r="E63" s="6">
        <v>4.53</v>
      </c>
      <c r="F63" s="6">
        <v>5.56</v>
      </c>
      <c r="G63" s="6">
        <v>49.69</v>
      </c>
      <c r="H63" s="6">
        <v>27.04</v>
      </c>
      <c r="I63" s="6">
        <v>6.66</v>
      </c>
      <c r="J63" s="6">
        <v>0.78</v>
      </c>
      <c r="K63" s="6">
        <v>72.739999999999995</v>
      </c>
      <c r="L63" s="6">
        <v>26.3</v>
      </c>
      <c r="M63" s="6">
        <v>24.57</v>
      </c>
      <c r="N63" s="6">
        <v>619.29999999999995</v>
      </c>
      <c r="O63" s="6">
        <v>0</v>
      </c>
      <c r="P63" s="6">
        <v>0.65</v>
      </c>
      <c r="Q63" s="6">
        <v>4.8</v>
      </c>
    </row>
    <row r="64" spans="1:17" customFormat="1">
      <c r="A64" s="72">
        <v>45317.583333333336</v>
      </c>
      <c r="B64" s="6">
        <v>4.2</v>
      </c>
      <c r="C64" s="6">
        <v>21.73</v>
      </c>
      <c r="D64" s="6">
        <v>16.079999999999998</v>
      </c>
      <c r="E64" s="6">
        <v>4.54</v>
      </c>
      <c r="F64" s="6">
        <v>5.86</v>
      </c>
      <c r="G64" s="6">
        <v>49.69</v>
      </c>
      <c r="H64" s="6">
        <v>27.04</v>
      </c>
      <c r="I64" s="6">
        <v>6.45</v>
      </c>
      <c r="J64" s="6">
        <v>0.36</v>
      </c>
      <c r="K64" s="6">
        <v>9.7100000000000009</v>
      </c>
      <c r="L64" s="6">
        <v>26.24</v>
      </c>
      <c r="M64" s="6">
        <v>25.02</v>
      </c>
      <c r="N64" s="6">
        <v>600.4</v>
      </c>
      <c r="O64" s="6">
        <v>0</v>
      </c>
      <c r="P64" s="6">
        <v>0.64</v>
      </c>
      <c r="Q64" s="6">
        <v>4.79</v>
      </c>
    </row>
    <row r="65" spans="1:17" customFormat="1">
      <c r="A65" s="72">
        <v>45317.59375</v>
      </c>
      <c r="B65" s="6">
        <v>4.18</v>
      </c>
      <c r="C65" s="6">
        <v>21.51</v>
      </c>
      <c r="D65" s="6">
        <v>15.94</v>
      </c>
      <c r="E65" s="6">
        <v>4.3099999999999996</v>
      </c>
      <c r="F65" s="6">
        <v>5.57</v>
      </c>
      <c r="G65" s="6">
        <v>49.69</v>
      </c>
      <c r="H65" s="6">
        <v>27.04</v>
      </c>
      <c r="I65" s="6">
        <v>6.27</v>
      </c>
      <c r="J65" s="6">
        <v>0.91</v>
      </c>
      <c r="K65" s="6">
        <v>41.5</v>
      </c>
      <c r="L65" s="6">
        <v>26.01</v>
      </c>
      <c r="M65" s="6">
        <v>24.48</v>
      </c>
      <c r="N65" s="6">
        <v>521.70000000000005</v>
      </c>
      <c r="O65" s="6">
        <v>0</v>
      </c>
      <c r="P65" s="6">
        <v>0.61</v>
      </c>
      <c r="Q65" s="6">
        <v>4.78</v>
      </c>
    </row>
    <row r="66" spans="1:17" customFormat="1">
      <c r="A66" s="72">
        <v>45317.604166666664</v>
      </c>
      <c r="B66" s="6">
        <v>4.25</v>
      </c>
      <c r="C66" s="6">
        <v>21.41</v>
      </c>
      <c r="D66" s="6">
        <v>15.95</v>
      </c>
      <c r="E66" s="6">
        <v>4.54</v>
      </c>
      <c r="F66" s="6">
        <v>5.5</v>
      </c>
      <c r="G66" s="6">
        <v>49.51</v>
      </c>
      <c r="H66" s="6">
        <v>25.54</v>
      </c>
      <c r="I66" s="6">
        <v>6.14</v>
      </c>
      <c r="J66" s="6">
        <v>0.57999999999999996</v>
      </c>
      <c r="K66" s="6">
        <v>42.38</v>
      </c>
      <c r="L66" s="6">
        <v>26.14</v>
      </c>
      <c r="M66" s="6">
        <v>23.53</v>
      </c>
      <c r="N66" s="6">
        <v>327.9</v>
      </c>
      <c r="O66" s="6">
        <v>0</v>
      </c>
      <c r="P66" s="6">
        <v>0.62</v>
      </c>
      <c r="Q66" s="6">
        <v>4.79</v>
      </c>
    </row>
    <row r="67" spans="1:17" customFormat="1">
      <c r="A67" s="72">
        <v>45317.614583333336</v>
      </c>
      <c r="B67" s="6">
        <v>4.28</v>
      </c>
      <c r="C67" s="6">
        <v>21.25</v>
      </c>
      <c r="D67" s="6">
        <v>15.88</v>
      </c>
      <c r="E67" s="6">
        <v>4.1900000000000004</v>
      </c>
      <c r="F67" s="6">
        <v>5.44</v>
      </c>
      <c r="G67" s="6">
        <v>49.48</v>
      </c>
      <c r="H67" s="6">
        <v>25.54</v>
      </c>
      <c r="I67" s="6">
        <v>6.01</v>
      </c>
      <c r="J67" s="6">
        <v>0.84</v>
      </c>
      <c r="K67" s="6">
        <v>50.85</v>
      </c>
      <c r="L67" s="6">
        <v>25.69</v>
      </c>
      <c r="M67" s="6">
        <v>23.66</v>
      </c>
      <c r="N67" s="6">
        <v>162.5</v>
      </c>
      <c r="O67" s="6">
        <v>0</v>
      </c>
      <c r="P67" s="6">
        <v>0.61</v>
      </c>
      <c r="Q67" s="6">
        <v>4.79</v>
      </c>
    </row>
    <row r="68" spans="1:17" customFormat="1">
      <c r="A68" s="72">
        <v>45317.625</v>
      </c>
      <c r="B68" s="6">
        <v>4.32</v>
      </c>
      <c r="C68" s="6">
        <v>20.83</v>
      </c>
      <c r="D68" s="6">
        <v>15.7</v>
      </c>
      <c r="E68" s="6">
        <v>4.1100000000000003</v>
      </c>
      <c r="F68" s="6">
        <v>6.46</v>
      </c>
      <c r="G68" s="6">
        <v>49.48</v>
      </c>
      <c r="H68" s="6">
        <v>25.54</v>
      </c>
      <c r="I68" s="6">
        <v>5.89</v>
      </c>
      <c r="J68" s="6">
        <v>0.54</v>
      </c>
      <c r="K68" s="6">
        <v>7.48</v>
      </c>
      <c r="L68" s="6">
        <v>25.52</v>
      </c>
      <c r="M68" s="6">
        <v>22.39</v>
      </c>
      <c r="N68" s="6">
        <v>102.5</v>
      </c>
      <c r="O68" s="6">
        <v>0</v>
      </c>
      <c r="P68" s="6">
        <v>0.62</v>
      </c>
      <c r="Q68" s="6">
        <v>4.76</v>
      </c>
    </row>
    <row r="69" spans="1:17" customFormat="1">
      <c r="A69" s="72">
        <v>45317.635416666664</v>
      </c>
      <c r="B69" s="6">
        <v>4.38</v>
      </c>
      <c r="C69" s="6">
        <v>20.13</v>
      </c>
      <c r="D69" s="6">
        <v>15.38</v>
      </c>
      <c r="E69" s="6">
        <v>3.26</v>
      </c>
      <c r="F69" s="6">
        <v>5.05</v>
      </c>
      <c r="G69" s="6">
        <v>49.48</v>
      </c>
      <c r="H69" s="6">
        <v>25.54</v>
      </c>
      <c r="I69" s="6">
        <v>5.78</v>
      </c>
      <c r="J69" s="6">
        <v>0.2</v>
      </c>
      <c r="K69" s="6">
        <v>37.21</v>
      </c>
      <c r="L69" s="6">
        <v>25.36</v>
      </c>
      <c r="M69" s="6">
        <v>22.94</v>
      </c>
      <c r="N69" s="6">
        <v>88.5</v>
      </c>
      <c r="O69" s="6">
        <v>0</v>
      </c>
      <c r="P69" s="6">
        <v>0.62</v>
      </c>
      <c r="Q69" s="6">
        <v>4.7300000000000004</v>
      </c>
    </row>
    <row r="70" spans="1:17" customFormat="1">
      <c r="A70" s="72">
        <v>45317.645833333336</v>
      </c>
      <c r="B70" s="6">
        <v>4.41</v>
      </c>
      <c r="C70" s="6">
        <v>19.600000000000001</v>
      </c>
      <c r="D70" s="6">
        <v>15.13</v>
      </c>
      <c r="E70" s="6">
        <v>3.43</v>
      </c>
      <c r="F70" s="6">
        <v>4.6500000000000004</v>
      </c>
      <c r="G70" s="6">
        <v>45.84</v>
      </c>
      <c r="H70" s="6">
        <v>21.03</v>
      </c>
      <c r="I70" s="6">
        <v>5.71</v>
      </c>
      <c r="J70" s="6">
        <v>0.52</v>
      </c>
      <c r="K70" s="6">
        <v>78.19</v>
      </c>
      <c r="L70" s="6">
        <v>25.29</v>
      </c>
      <c r="M70" s="6">
        <v>23.35</v>
      </c>
      <c r="N70" s="6">
        <v>81</v>
      </c>
      <c r="O70" s="6">
        <v>0</v>
      </c>
      <c r="P70" s="6">
        <v>0.61</v>
      </c>
      <c r="Q70" s="6">
        <v>4.7300000000000004</v>
      </c>
    </row>
    <row r="71" spans="1:17" customFormat="1">
      <c r="A71" s="72">
        <v>45317.65625</v>
      </c>
      <c r="B71" s="6">
        <v>4.4000000000000004</v>
      </c>
      <c r="C71" s="6">
        <v>18.98</v>
      </c>
      <c r="D71" s="6">
        <v>14.8</v>
      </c>
      <c r="E71" s="6">
        <v>3.14</v>
      </c>
      <c r="F71" s="6">
        <v>4.5</v>
      </c>
      <c r="G71" s="6">
        <v>45.39</v>
      </c>
      <c r="H71" s="6">
        <v>21.03</v>
      </c>
      <c r="I71" s="6">
        <v>5.64</v>
      </c>
      <c r="J71" s="6">
        <v>0.25</v>
      </c>
      <c r="K71" s="6">
        <v>98.1</v>
      </c>
      <c r="L71" s="6">
        <v>25.1</v>
      </c>
      <c r="M71" s="6">
        <v>24.59</v>
      </c>
      <c r="N71" s="6">
        <v>82.1</v>
      </c>
      <c r="O71" s="6">
        <v>0</v>
      </c>
      <c r="P71" s="6">
        <v>0.6</v>
      </c>
      <c r="Q71" s="6">
        <v>4.7300000000000004</v>
      </c>
    </row>
    <row r="72" spans="1:17" customFormat="1">
      <c r="A72" s="72">
        <v>45317.666666666664</v>
      </c>
      <c r="B72" s="6">
        <v>4.41</v>
      </c>
      <c r="C72" s="6">
        <v>18.559999999999999</v>
      </c>
      <c r="D72" s="6">
        <v>14.58</v>
      </c>
      <c r="E72" s="6">
        <v>2.82</v>
      </c>
      <c r="F72" s="6">
        <v>4.3</v>
      </c>
      <c r="G72" s="6">
        <v>45.39</v>
      </c>
      <c r="H72" s="6">
        <v>21.03</v>
      </c>
      <c r="I72" s="6">
        <v>5.58</v>
      </c>
      <c r="J72" s="6">
        <v>0.33</v>
      </c>
      <c r="K72" s="6">
        <v>54.65</v>
      </c>
      <c r="L72" s="6">
        <v>25.19</v>
      </c>
      <c r="M72" s="6">
        <v>25.68</v>
      </c>
      <c r="N72" s="6">
        <v>80.099999999999994</v>
      </c>
      <c r="O72" s="6">
        <v>0</v>
      </c>
      <c r="P72" s="6">
        <v>0.59</v>
      </c>
      <c r="Q72" s="6">
        <v>4.7300000000000004</v>
      </c>
    </row>
    <row r="73" spans="1:17" customFormat="1">
      <c r="A73" s="72">
        <v>45317.677083333336</v>
      </c>
      <c r="B73" s="6">
        <v>4.6500000000000004</v>
      </c>
      <c r="C73" s="6">
        <v>18.309999999999999</v>
      </c>
      <c r="D73" s="6">
        <v>14.65</v>
      </c>
      <c r="E73" s="6">
        <v>2.87</v>
      </c>
      <c r="F73" s="6">
        <v>4.2300000000000004</v>
      </c>
      <c r="G73" s="6">
        <v>45.39</v>
      </c>
      <c r="H73" s="6">
        <v>21.03</v>
      </c>
      <c r="I73" s="6">
        <v>5.53</v>
      </c>
      <c r="J73" s="6">
        <v>1</v>
      </c>
      <c r="K73" s="6">
        <v>50.19</v>
      </c>
      <c r="L73" s="6">
        <v>25.19</v>
      </c>
      <c r="M73" s="6">
        <v>24.85</v>
      </c>
      <c r="N73" s="6">
        <v>84.8</v>
      </c>
      <c r="O73" s="6">
        <v>0</v>
      </c>
      <c r="P73" s="6">
        <v>0.59</v>
      </c>
      <c r="Q73" s="6">
        <v>4.7699999999999996</v>
      </c>
    </row>
    <row r="74" spans="1:17" customFormat="1">
      <c r="A74" s="72">
        <v>45317.6875</v>
      </c>
      <c r="B74" s="6">
        <v>4.8</v>
      </c>
      <c r="C74" s="6">
        <v>18.28</v>
      </c>
      <c r="D74" s="6">
        <v>14.75</v>
      </c>
      <c r="E74" s="6">
        <v>3.01</v>
      </c>
      <c r="F74" s="6">
        <v>4.04</v>
      </c>
      <c r="G74" s="6">
        <v>44.04</v>
      </c>
      <c r="H74" s="6">
        <v>24.21</v>
      </c>
      <c r="I74" s="6">
        <v>5.47</v>
      </c>
      <c r="J74" s="6">
        <v>0.81</v>
      </c>
      <c r="K74" s="6">
        <v>53.44</v>
      </c>
      <c r="L74" s="6">
        <v>25.01</v>
      </c>
      <c r="M74" s="6">
        <v>25.35</v>
      </c>
      <c r="N74" s="6">
        <v>68.3</v>
      </c>
      <c r="O74" s="6">
        <v>0</v>
      </c>
      <c r="P74" s="6">
        <v>0.59</v>
      </c>
      <c r="Q74" s="6">
        <v>4.79</v>
      </c>
    </row>
    <row r="75" spans="1:17" customFormat="1">
      <c r="A75" s="72">
        <v>45317.697916666664</v>
      </c>
      <c r="B75" s="6">
        <v>5.01</v>
      </c>
      <c r="C75" s="6">
        <v>18.579999999999998</v>
      </c>
      <c r="D75" s="6">
        <v>15.08</v>
      </c>
      <c r="E75" s="6">
        <v>2.84</v>
      </c>
      <c r="F75" s="6">
        <v>3.99</v>
      </c>
      <c r="G75" s="6">
        <v>43.88</v>
      </c>
      <c r="H75" s="6">
        <v>24.21</v>
      </c>
      <c r="I75" s="6">
        <v>5.43</v>
      </c>
      <c r="J75" s="6">
        <v>0.87</v>
      </c>
      <c r="K75" s="6">
        <v>46.93</v>
      </c>
      <c r="L75" s="6">
        <v>24.84</v>
      </c>
      <c r="M75" s="6">
        <v>24.83</v>
      </c>
      <c r="N75" s="6">
        <v>53.7</v>
      </c>
      <c r="O75" s="6">
        <v>0</v>
      </c>
      <c r="P75" s="6">
        <v>0.59</v>
      </c>
      <c r="Q75" s="6">
        <v>4.79</v>
      </c>
    </row>
    <row r="76" spans="1:17" customFormat="1">
      <c r="A76" s="72">
        <v>45317.708333333336</v>
      </c>
      <c r="B76" s="6">
        <v>5.23</v>
      </c>
      <c r="C76" s="6">
        <v>19.48</v>
      </c>
      <c r="D76" s="6">
        <v>15.72</v>
      </c>
      <c r="E76" s="6">
        <v>3.15</v>
      </c>
      <c r="F76" s="6">
        <v>3.84</v>
      </c>
      <c r="G76" s="6">
        <v>43.88</v>
      </c>
      <c r="H76" s="6">
        <v>24.21</v>
      </c>
      <c r="I76" s="6">
        <v>5.42</v>
      </c>
      <c r="J76" s="6">
        <v>0.7</v>
      </c>
      <c r="K76" s="6">
        <v>53.58</v>
      </c>
      <c r="L76" s="6">
        <v>24.61</v>
      </c>
      <c r="M76" s="6">
        <v>26.02</v>
      </c>
      <c r="N76" s="6">
        <v>39</v>
      </c>
      <c r="O76" s="6">
        <v>0</v>
      </c>
      <c r="P76" s="6">
        <v>0.6</v>
      </c>
      <c r="Q76" s="6">
        <v>4.79</v>
      </c>
    </row>
    <row r="77" spans="1:17" customFormat="1">
      <c r="A77" s="72">
        <v>45317.71875</v>
      </c>
      <c r="B77" s="6">
        <v>5.7</v>
      </c>
      <c r="C77" s="6">
        <v>20.53</v>
      </c>
      <c r="D77" s="6">
        <v>16.649999999999999</v>
      </c>
      <c r="E77" s="6">
        <v>3.11</v>
      </c>
      <c r="F77" s="6">
        <v>3.71</v>
      </c>
      <c r="G77" s="6">
        <v>43.88</v>
      </c>
      <c r="H77" s="6">
        <v>24.21</v>
      </c>
      <c r="I77" s="6">
        <v>5.42</v>
      </c>
      <c r="J77" s="6">
        <v>0.76</v>
      </c>
      <c r="K77" s="6">
        <v>52.47</v>
      </c>
      <c r="L77" s="6">
        <v>24.19</v>
      </c>
      <c r="M77" s="6">
        <v>28.08</v>
      </c>
      <c r="N77" s="6">
        <v>21.6</v>
      </c>
      <c r="O77" s="6">
        <v>0</v>
      </c>
      <c r="P77" s="6">
        <v>0.6</v>
      </c>
      <c r="Q77" s="6">
        <v>4.8099999999999996</v>
      </c>
    </row>
    <row r="78" spans="1:17" customFormat="1">
      <c r="A78" s="72">
        <v>45317.729166666664</v>
      </c>
      <c r="B78" s="6">
        <v>6.16</v>
      </c>
      <c r="C78" s="6">
        <v>21.29</v>
      </c>
      <c r="D78" s="6">
        <v>17.41</v>
      </c>
      <c r="E78" s="6">
        <v>3.17</v>
      </c>
      <c r="F78" s="6">
        <v>3.64</v>
      </c>
      <c r="G78" s="6">
        <v>54.54</v>
      </c>
      <c r="H78" s="6">
        <v>22.83</v>
      </c>
      <c r="I78" s="6">
        <v>5.43</v>
      </c>
      <c r="J78" s="6">
        <v>0.63</v>
      </c>
      <c r="K78" s="6">
        <v>49.29</v>
      </c>
      <c r="L78" s="6">
        <v>23.57</v>
      </c>
      <c r="M78" s="6">
        <v>30.42</v>
      </c>
      <c r="N78" s="6">
        <v>4.3</v>
      </c>
      <c r="O78" s="6">
        <v>0</v>
      </c>
      <c r="P78" s="6">
        <v>0.61</v>
      </c>
      <c r="Q78" s="6">
        <v>4.84</v>
      </c>
    </row>
    <row r="79" spans="1:17" customFormat="1">
      <c r="A79" s="72">
        <v>45317.739583333336</v>
      </c>
      <c r="B79" s="6">
        <v>6.94</v>
      </c>
      <c r="C79" s="6">
        <v>22.56</v>
      </c>
      <c r="D79" s="6">
        <v>18.71</v>
      </c>
      <c r="E79" s="6">
        <v>3.35</v>
      </c>
      <c r="F79" s="6">
        <v>3.53</v>
      </c>
      <c r="G79" s="6">
        <v>55.87</v>
      </c>
      <c r="H79" s="6">
        <v>22.83</v>
      </c>
      <c r="I79" s="6">
        <v>5.44</v>
      </c>
      <c r="J79" s="6">
        <v>0.73</v>
      </c>
      <c r="K79" s="6">
        <v>49.73</v>
      </c>
      <c r="L79" s="6">
        <v>22.9</v>
      </c>
      <c r="M79" s="6">
        <v>31.83</v>
      </c>
      <c r="N79" s="6">
        <v>0</v>
      </c>
      <c r="O79" s="6">
        <v>0</v>
      </c>
      <c r="P79" s="6">
        <v>0.62</v>
      </c>
      <c r="Q79" s="6">
        <v>4.84</v>
      </c>
    </row>
    <row r="80" spans="1:17" customFormat="1">
      <c r="A80" s="72">
        <v>45317.75</v>
      </c>
      <c r="B80" s="6">
        <v>7.85</v>
      </c>
      <c r="C80" s="6">
        <v>23.7</v>
      </c>
      <c r="D80" s="6">
        <v>20.03</v>
      </c>
      <c r="E80" s="6">
        <v>3.42</v>
      </c>
      <c r="F80" s="6">
        <v>3.53</v>
      </c>
      <c r="G80" s="6">
        <v>55.87</v>
      </c>
      <c r="H80" s="6">
        <v>22.83</v>
      </c>
      <c r="I80" s="6">
        <v>5.49</v>
      </c>
      <c r="J80" s="6">
        <v>0.63</v>
      </c>
      <c r="K80" s="6">
        <v>52.34</v>
      </c>
      <c r="L80" s="6">
        <v>22.26</v>
      </c>
      <c r="M80" s="6">
        <v>34.26</v>
      </c>
      <c r="N80" s="6">
        <v>0</v>
      </c>
      <c r="O80" s="6">
        <v>0</v>
      </c>
      <c r="P80" s="6">
        <v>0.63</v>
      </c>
      <c r="Q80" s="6">
        <v>4.84</v>
      </c>
    </row>
    <row r="81" spans="1:17" customFormat="1">
      <c r="A81" s="72">
        <v>45317.760416666664</v>
      </c>
      <c r="B81" s="6">
        <v>8.85</v>
      </c>
      <c r="C81" s="6">
        <v>25.04</v>
      </c>
      <c r="D81" s="6">
        <v>21.53</v>
      </c>
      <c r="E81" s="6">
        <v>6.68</v>
      </c>
      <c r="F81" s="6">
        <v>3.48</v>
      </c>
      <c r="G81" s="6">
        <v>55.87</v>
      </c>
      <c r="H81" s="6">
        <v>22.83</v>
      </c>
      <c r="I81" s="6">
        <v>5.56</v>
      </c>
      <c r="J81" s="6">
        <v>0.75</v>
      </c>
      <c r="K81" s="6">
        <v>56.97</v>
      </c>
      <c r="L81" s="6">
        <v>21.68</v>
      </c>
      <c r="M81" s="6">
        <v>36.630000000000003</v>
      </c>
      <c r="N81" s="6">
        <v>0</v>
      </c>
      <c r="O81" s="6">
        <v>0</v>
      </c>
      <c r="P81" s="6">
        <v>0.65</v>
      </c>
      <c r="Q81" s="6">
        <v>4.8899999999999997</v>
      </c>
    </row>
    <row r="82" spans="1:17" customFormat="1">
      <c r="A82" s="72">
        <v>45317.770833333336</v>
      </c>
      <c r="B82" s="6">
        <v>9.92</v>
      </c>
      <c r="C82" s="6">
        <v>26.31</v>
      </c>
      <c r="D82" s="6">
        <v>23.05</v>
      </c>
      <c r="E82" s="6">
        <v>7.68</v>
      </c>
      <c r="F82" s="6">
        <v>3.34</v>
      </c>
      <c r="G82" s="6">
        <v>60.1</v>
      </c>
      <c r="H82" s="6">
        <v>23.83</v>
      </c>
      <c r="I82" s="6">
        <v>5.64</v>
      </c>
      <c r="J82" s="6">
        <v>0.87</v>
      </c>
      <c r="K82" s="6">
        <v>49.77</v>
      </c>
      <c r="L82" s="6">
        <v>21.27</v>
      </c>
      <c r="M82" s="6">
        <v>39.590000000000003</v>
      </c>
      <c r="N82" s="6">
        <v>0</v>
      </c>
      <c r="O82" s="6">
        <v>0</v>
      </c>
      <c r="P82" s="6">
        <v>0.67</v>
      </c>
      <c r="Q82" s="6">
        <v>4.9000000000000004</v>
      </c>
    </row>
    <row r="83" spans="1:17" customFormat="1">
      <c r="A83" s="72">
        <v>45317.78125</v>
      </c>
      <c r="B83" s="6">
        <v>10.76</v>
      </c>
      <c r="C83" s="6">
        <v>25.57</v>
      </c>
      <c r="D83" s="6">
        <v>23.34</v>
      </c>
      <c r="E83" s="6">
        <v>7.75</v>
      </c>
      <c r="F83" s="6">
        <v>3.68</v>
      </c>
      <c r="G83" s="6">
        <v>60.62</v>
      </c>
      <c r="H83" s="6">
        <v>23.83</v>
      </c>
      <c r="I83" s="6">
        <v>5.74</v>
      </c>
      <c r="J83" s="6">
        <v>0.84</v>
      </c>
      <c r="K83" s="6">
        <v>57.53</v>
      </c>
      <c r="L83" s="6">
        <v>20.84</v>
      </c>
      <c r="M83" s="6">
        <v>42.16</v>
      </c>
      <c r="N83" s="6">
        <v>0</v>
      </c>
      <c r="O83" s="6">
        <v>0</v>
      </c>
      <c r="P83" s="6">
        <v>0.68</v>
      </c>
      <c r="Q83" s="6">
        <v>4.91</v>
      </c>
    </row>
    <row r="84" spans="1:17" customFormat="1">
      <c r="A84" s="72">
        <v>45317.791666666664</v>
      </c>
      <c r="B84" s="6">
        <v>11.12</v>
      </c>
      <c r="C84" s="6">
        <v>25.04</v>
      </c>
      <c r="D84" s="6">
        <v>23.35</v>
      </c>
      <c r="E84" s="6">
        <v>7.72</v>
      </c>
      <c r="F84" s="6">
        <v>3.59</v>
      </c>
      <c r="G84" s="6">
        <v>60.62</v>
      </c>
      <c r="H84" s="6">
        <v>23.83</v>
      </c>
      <c r="I84" s="6">
        <v>5.83</v>
      </c>
      <c r="J84" s="6">
        <v>0.67</v>
      </c>
      <c r="K84" s="6">
        <v>52.92</v>
      </c>
      <c r="L84" s="6">
        <v>20.5</v>
      </c>
      <c r="M84" s="6">
        <v>43.92</v>
      </c>
      <c r="N84" s="6">
        <v>0</v>
      </c>
      <c r="O84" s="6">
        <v>0</v>
      </c>
      <c r="P84" s="6">
        <v>0.68</v>
      </c>
      <c r="Q84" s="6">
        <v>4.92</v>
      </c>
    </row>
    <row r="85" spans="1:17" customFormat="1">
      <c r="A85" s="72">
        <v>45317.802083333336</v>
      </c>
      <c r="B85" s="6">
        <v>11.44</v>
      </c>
      <c r="C85" s="6">
        <v>26.44</v>
      </c>
      <c r="D85" s="6">
        <v>24.34</v>
      </c>
      <c r="E85" s="6">
        <v>7.7</v>
      </c>
      <c r="F85" s="6">
        <v>3.3</v>
      </c>
      <c r="G85" s="6">
        <v>60.62</v>
      </c>
      <c r="H85" s="6">
        <v>23.83</v>
      </c>
      <c r="I85" s="6">
        <v>5.92</v>
      </c>
      <c r="J85" s="6">
        <v>0.71</v>
      </c>
      <c r="K85" s="6">
        <v>56.1</v>
      </c>
      <c r="L85" s="6">
        <v>20.29</v>
      </c>
      <c r="M85" s="6">
        <v>43.86</v>
      </c>
      <c r="N85" s="6">
        <v>0</v>
      </c>
      <c r="O85" s="6">
        <v>0</v>
      </c>
      <c r="P85" s="6">
        <v>0.7</v>
      </c>
      <c r="Q85" s="6">
        <v>4.91</v>
      </c>
    </row>
    <row r="86" spans="1:17" customFormat="1">
      <c r="A86" s="72">
        <v>45317.8125</v>
      </c>
      <c r="B86" s="6">
        <v>11.75</v>
      </c>
      <c r="C86" s="6">
        <v>28.69</v>
      </c>
      <c r="D86" s="6">
        <v>25.77</v>
      </c>
      <c r="E86" s="6">
        <v>7.68</v>
      </c>
      <c r="F86" s="6">
        <v>3.38</v>
      </c>
      <c r="G86" s="6">
        <v>78.28</v>
      </c>
      <c r="H86" s="6">
        <v>31.63</v>
      </c>
      <c r="I86" s="6">
        <v>6.01</v>
      </c>
      <c r="J86" s="6">
        <v>0.35</v>
      </c>
      <c r="K86" s="6">
        <v>63.94</v>
      </c>
      <c r="L86" s="6">
        <v>20.079999999999998</v>
      </c>
      <c r="M86" s="6">
        <v>45.19</v>
      </c>
      <c r="N86" s="6">
        <v>0</v>
      </c>
      <c r="O86" s="6">
        <v>0</v>
      </c>
      <c r="P86" s="6">
        <v>0.72</v>
      </c>
      <c r="Q86" s="6">
        <v>4.92</v>
      </c>
    </row>
    <row r="87" spans="1:17" customFormat="1">
      <c r="A87" s="72">
        <v>45317.822916666664</v>
      </c>
      <c r="B87" s="6">
        <v>11.99</v>
      </c>
      <c r="C87" s="6">
        <v>29.63</v>
      </c>
      <c r="D87" s="6">
        <v>26.44</v>
      </c>
      <c r="E87" s="6">
        <v>8.39</v>
      </c>
      <c r="F87" s="6">
        <v>3.42</v>
      </c>
      <c r="G87" s="6">
        <v>80.489999999999995</v>
      </c>
      <c r="H87" s="6">
        <v>31.63</v>
      </c>
      <c r="I87" s="6">
        <v>6.1</v>
      </c>
      <c r="J87" s="6">
        <v>0.24</v>
      </c>
      <c r="K87" s="6">
        <v>172.82</v>
      </c>
      <c r="L87" s="6">
        <v>18.68</v>
      </c>
      <c r="M87" s="6">
        <v>59.91</v>
      </c>
      <c r="N87" s="6">
        <v>0</v>
      </c>
      <c r="O87" s="6">
        <v>0</v>
      </c>
      <c r="P87" s="6">
        <v>0.72</v>
      </c>
      <c r="Q87" s="6">
        <v>4.95</v>
      </c>
    </row>
    <row r="88" spans="1:17" customFormat="1">
      <c r="A88" s="72">
        <v>45317.833333333336</v>
      </c>
      <c r="B88" s="6">
        <v>11.61</v>
      </c>
      <c r="C88" s="6">
        <v>29.43</v>
      </c>
      <c r="D88" s="6">
        <v>26.04</v>
      </c>
      <c r="E88" s="6">
        <v>8.39</v>
      </c>
      <c r="F88" s="6">
        <v>3.37</v>
      </c>
      <c r="G88" s="6">
        <v>80.489999999999995</v>
      </c>
      <c r="H88" s="6">
        <v>31.63</v>
      </c>
      <c r="I88" s="6">
        <v>6.21</v>
      </c>
      <c r="J88" s="6">
        <v>0.2</v>
      </c>
      <c r="K88" s="6">
        <v>182.1</v>
      </c>
      <c r="L88" s="6">
        <v>17.829999999999998</v>
      </c>
      <c r="M88" s="6">
        <v>62.68</v>
      </c>
      <c r="N88" s="6">
        <v>0</v>
      </c>
      <c r="O88" s="6">
        <v>0</v>
      </c>
      <c r="P88" s="6">
        <v>0.72</v>
      </c>
      <c r="Q88" s="6">
        <v>4.96</v>
      </c>
    </row>
    <row r="89" spans="1:17" customFormat="1">
      <c r="A89" s="72">
        <v>45317.84375</v>
      </c>
      <c r="B89" s="6">
        <v>11.23</v>
      </c>
      <c r="C89" s="6">
        <v>29.43</v>
      </c>
      <c r="D89" s="6">
        <v>25.73</v>
      </c>
      <c r="E89" s="6">
        <v>8.2100000000000009</v>
      </c>
      <c r="F89" s="6">
        <v>3.31</v>
      </c>
      <c r="G89" s="6">
        <v>80.489999999999995</v>
      </c>
      <c r="H89" s="6">
        <v>31.63</v>
      </c>
      <c r="I89" s="6">
        <v>6.26</v>
      </c>
      <c r="J89" s="6">
        <v>0.15</v>
      </c>
      <c r="K89" s="6">
        <v>189.66</v>
      </c>
      <c r="L89" s="6">
        <v>17.18</v>
      </c>
      <c r="M89" s="6">
        <v>69.430000000000007</v>
      </c>
      <c r="N89" s="6">
        <v>0</v>
      </c>
      <c r="O89" s="6">
        <v>0</v>
      </c>
      <c r="P89" s="6">
        <v>0.73</v>
      </c>
      <c r="Q89" s="6">
        <v>4.97</v>
      </c>
    </row>
    <row r="90" spans="1:17" customFormat="1">
      <c r="A90" s="72">
        <v>45317.854166666664</v>
      </c>
      <c r="B90" s="6">
        <v>10.93</v>
      </c>
      <c r="C90" s="6">
        <v>29.26</v>
      </c>
      <c r="D90" s="6">
        <v>25.41</v>
      </c>
      <c r="E90" s="6">
        <v>8.25</v>
      </c>
      <c r="F90" s="6">
        <v>3.53</v>
      </c>
      <c r="G90" s="6">
        <v>90.36</v>
      </c>
      <c r="H90" s="6">
        <v>35.200000000000003</v>
      </c>
      <c r="I90" s="6">
        <v>6.29</v>
      </c>
      <c r="J90" s="6">
        <v>0.18</v>
      </c>
      <c r="K90" s="6">
        <v>206.42</v>
      </c>
      <c r="L90" s="6">
        <v>16.059999999999999</v>
      </c>
      <c r="M90" s="6">
        <v>73.819999999999993</v>
      </c>
      <c r="N90" s="6">
        <v>0</v>
      </c>
      <c r="O90" s="6">
        <v>0</v>
      </c>
      <c r="P90" s="6">
        <v>0.74</v>
      </c>
      <c r="Q90" s="6">
        <v>4.96</v>
      </c>
    </row>
    <row r="91" spans="1:17" customFormat="1">
      <c r="A91" s="72">
        <v>45317.864583333336</v>
      </c>
      <c r="B91" s="6">
        <v>10.55</v>
      </c>
      <c r="C91" s="6">
        <v>29.26</v>
      </c>
      <c r="D91" s="6">
        <v>25.1</v>
      </c>
      <c r="E91" s="6">
        <v>8.23</v>
      </c>
      <c r="F91" s="6">
        <v>3.62</v>
      </c>
      <c r="G91" s="6">
        <v>91.6</v>
      </c>
      <c r="H91" s="6">
        <v>35.200000000000003</v>
      </c>
      <c r="I91" s="6">
        <v>6.33</v>
      </c>
      <c r="J91" s="6">
        <v>0.18</v>
      </c>
      <c r="K91" s="6">
        <v>153.19</v>
      </c>
      <c r="L91" s="6">
        <v>16.04</v>
      </c>
      <c r="M91" s="6">
        <v>69.95</v>
      </c>
      <c r="N91" s="6">
        <v>0</v>
      </c>
      <c r="O91" s="6">
        <v>0</v>
      </c>
      <c r="P91" s="6">
        <v>0.75</v>
      </c>
      <c r="Q91" s="6">
        <v>4.9400000000000004</v>
      </c>
    </row>
    <row r="92" spans="1:17" customFormat="1">
      <c r="A92" s="72">
        <v>45317.875</v>
      </c>
      <c r="B92" s="6">
        <v>10.26</v>
      </c>
      <c r="C92" s="6">
        <v>29.26</v>
      </c>
      <c r="D92" s="6">
        <v>24.87</v>
      </c>
      <c r="E92" s="6">
        <v>8.39</v>
      </c>
      <c r="F92" s="6">
        <v>3.5</v>
      </c>
      <c r="G92" s="6">
        <v>91.6</v>
      </c>
      <c r="H92" s="6">
        <v>35.200000000000003</v>
      </c>
      <c r="I92" s="6">
        <v>6.42</v>
      </c>
      <c r="J92" s="6">
        <v>0.2</v>
      </c>
      <c r="K92" s="6">
        <v>165.95</v>
      </c>
      <c r="L92" s="6">
        <v>15.97</v>
      </c>
      <c r="M92" s="6">
        <v>71.36</v>
      </c>
      <c r="N92" s="6">
        <v>0</v>
      </c>
      <c r="O92" s="6">
        <v>0</v>
      </c>
      <c r="P92" s="6">
        <v>0.77</v>
      </c>
      <c r="Q92" s="6">
        <v>4.93</v>
      </c>
    </row>
    <row r="93" spans="1:17" customFormat="1">
      <c r="A93" s="72">
        <v>45317.885416666664</v>
      </c>
      <c r="B93" s="6">
        <v>9.91</v>
      </c>
      <c r="C93" s="6">
        <v>29.14</v>
      </c>
      <c r="D93" s="6">
        <v>24.52</v>
      </c>
      <c r="E93" s="6">
        <v>8.15</v>
      </c>
      <c r="F93" s="6">
        <v>3.37</v>
      </c>
      <c r="G93" s="6">
        <v>91.6</v>
      </c>
      <c r="H93" s="6">
        <v>35.200000000000003</v>
      </c>
      <c r="I93" s="6">
        <v>6.54</v>
      </c>
      <c r="J93" s="6">
        <v>0.15</v>
      </c>
      <c r="K93" s="6">
        <v>167.91</v>
      </c>
      <c r="L93" s="6">
        <v>15.82</v>
      </c>
      <c r="M93" s="6">
        <v>71.17</v>
      </c>
      <c r="N93" s="6">
        <v>0</v>
      </c>
      <c r="O93" s="6">
        <v>0</v>
      </c>
      <c r="P93" s="6">
        <v>0.79</v>
      </c>
      <c r="Q93" s="6">
        <v>4.92</v>
      </c>
    </row>
    <row r="94" spans="1:17" customFormat="1">
      <c r="A94" s="72">
        <v>45317.895833333336</v>
      </c>
      <c r="B94" s="6">
        <v>9.9</v>
      </c>
      <c r="C94" s="6">
        <v>29.27</v>
      </c>
      <c r="D94" s="6">
        <v>24.58</v>
      </c>
      <c r="E94" s="6">
        <v>8.09</v>
      </c>
      <c r="F94" s="6">
        <v>3.51</v>
      </c>
      <c r="G94" s="6">
        <v>85.08</v>
      </c>
      <c r="H94" s="6">
        <v>35.89</v>
      </c>
      <c r="I94" s="6">
        <v>6.68</v>
      </c>
      <c r="J94" s="6">
        <v>0.19</v>
      </c>
      <c r="K94" s="6">
        <v>171.19</v>
      </c>
      <c r="L94" s="6">
        <v>15.74</v>
      </c>
      <c r="M94" s="6">
        <v>74.23</v>
      </c>
      <c r="N94" s="6">
        <v>0</v>
      </c>
      <c r="O94" s="6">
        <v>0</v>
      </c>
      <c r="P94" s="6">
        <v>0.8</v>
      </c>
      <c r="Q94" s="6">
        <v>4.92</v>
      </c>
    </row>
    <row r="95" spans="1:17" customFormat="1">
      <c r="A95" s="72">
        <v>45317.90625</v>
      </c>
      <c r="B95" s="6">
        <v>10.75</v>
      </c>
      <c r="C95" s="6">
        <v>29.35</v>
      </c>
      <c r="D95" s="6">
        <v>25.31</v>
      </c>
      <c r="E95" s="6">
        <v>8.06</v>
      </c>
      <c r="F95" s="6">
        <v>3.53</v>
      </c>
      <c r="G95" s="6">
        <v>84.26</v>
      </c>
      <c r="H95" s="6">
        <v>35.89</v>
      </c>
      <c r="I95" s="6">
        <v>6.8</v>
      </c>
      <c r="J95" s="6">
        <v>0.17</v>
      </c>
      <c r="K95" s="6">
        <v>174.89</v>
      </c>
      <c r="L95" s="6">
        <v>15.69</v>
      </c>
      <c r="M95" s="6">
        <v>75.44</v>
      </c>
      <c r="N95" s="6">
        <v>0</v>
      </c>
      <c r="O95" s="6">
        <v>0</v>
      </c>
      <c r="P95" s="6">
        <v>0.81</v>
      </c>
      <c r="Q95" s="6">
        <v>4.92</v>
      </c>
    </row>
    <row r="96" spans="1:17" customFormat="1">
      <c r="A96" s="72">
        <v>45317.916666666664</v>
      </c>
      <c r="B96" s="6">
        <v>12.86</v>
      </c>
      <c r="C96" s="6">
        <v>30.52</v>
      </c>
      <c r="D96" s="6">
        <v>27.61</v>
      </c>
      <c r="E96" s="6">
        <v>7.95</v>
      </c>
      <c r="F96" s="6">
        <v>3.34</v>
      </c>
      <c r="G96" s="6">
        <v>84.26</v>
      </c>
      <c r="H96" s="6">
        <v>35.89</v>
      </c>
      <c r="I96" s="6">
        <v>6.93</v>
      </c>
      <c r="J96" s="6">
        <v>0.13</v>
      </c>
      <c r="K96" s="6">
        <v>162.25</v>
      </c>
      <c r="L96" s="6">
        <v>15.46</v>
      </c>
      <c r="M96" s="6">
        <v>74.34</v>
      </c>
      <c r="N96" s="6">
        <v>0</v>
      </c>
      <c r="O96" s="6">
        <v>0</v>
      </c>
      <c r="P96" s="6">
        <v>0.82</v>
      </c>
      <c r="Q96" s="6">
        <v>4.95</v>
      </c>
    </row>
    <row r="97" spans="1:22" customFormat="1">
      <c r="A97" s="72">
        <v>45317.927083333336</v>
      </c>
      <c r="B97" s="6">
        <v>16.510000000000002</v>
      </c>
      <c r="C97" s="6">
        <v>31.89</v>
      </c>
      <c r="D97" s="6">
        <v>31.26</v>
      </c>
      <c r="E97" s="6">
        <v>8.1999999999999993</v>
      </c>
      <c r="F97" s="6">
        <v>3.4</v>
      </c>
      <c r="G97" s="6">
        <v>84.26</v>
      </c>
      <c r="H97" s="6">
        <v>35.89</v>
      </c>
      <c r="I97" s="6">
        <v>7.08</v>
      </c>
      <c r="J97" s="6">
        <v>0.21</v>
      </c>
      <c r="K97" s="6">
        <v>168.66</v>
      </c>
      <c r="L97" s="6">
        <v>15.39</v>
      </c>
      <c r="M97" s="6">
        <v>79.790000000000006</v>
      </c>
      <c r="N97" s="6">
        <v>0</v>
      </c>
      <c r="O97" s="6">
        <v>0</v>
      </c>
      <c r="P97" s="6">
        <v>0.86</v>
      </c>
      <c r="Q97" s="6">
        <v>5</v>
      </c>
    </row>
    <row r="98" spans="1:22" customFormat="1">
      <c r="A98" s="72">
        <v>45317.9375</v>
      </c>
      <c r="B98" s="6">
        <v>19.100000000000001</v>
      </c>
      <c r="C98" s="6">
        <v>32.46</v>
      </c>
      <c r="D98" s="6">
        <v>33.630000000000003</v>
      </c>
      <c r="E98" s="6">
        <v>8.01</v>
      </c>
      <c r="F98" s="6">
        <v>3.04</v>
      </c>
      <c r="G98" s="6">
        <v>90.47</v>
      </c>
      <c r="H98" s="6">
        <v>39.54</v>
      </c>
      <c r="I98" s="6">
        <v>7.26</v>
      </c>
      <c r="J98" s="6">
        <v>0.09</v>
      </c>
      <c r="K98" s="6">
        <v>110.96</v>
      </c>
      <c r="L98" s="6">
        <v>15.11</v>
      </c>
      <c r="M98" s="6">
        <v>79.62</v>
      </c>
      <c r="N98" s="6">
        <v>0</v>
      </c>
      <c r="O98" s="6">
        <v>0</v>
      </c>
      <c r="P98" s="6">
        <v>0.88</v>
      </c>
      <c r="Q98" s="6">
        <v>5.0199999999999996</v>
      </c>
    </row>
    <row r="99" spans="1:22" customFormat="1">
      <c r="A99" s="72">
        <v>45317.947916666664</v>
      </c>
      <c r="B99" s="6">
        <v>23.69</v>
      </c>
      <c r="C99" s="6">
        <v>33.25</v>
      </c>
      <c r="D99" s="6">
        <v>37.72</v>
      </c>
      <c r="E99" s="6">
        <v>8.36</v>
      </c>
      <c r="F99" s="6">
        <v>3.4</v>
      </c>
      <c r="G99" s="6">
        <v>91.25</v>
      </c>
      <c r="H99" s="6">
        <v>39.54</v>
      </c>
      <c r="I99" s="6">
        <v>7.46</v>
      </c>
      <c r="J99" s="6">
        <v>0.22</v>
      </c>
      <c r="K99" s="6">
        <v>167.05</v>
      </c>
      <c r="L99" s="6">
        <v>15.34</v>
      </c>
      <c r="M99" s="6">
        <v>78.36</v>
      </c>
      <c r="N99" s="6">
        <v>0</v>
      </c>
      <c r="O99" s="6">
        <v>0</v>
      </c>
      <c r="P99" s="6">
        <v>0.91</v>
      </c>
      <c r="Q99" s="6">
        <v>5.0599999999999996</v>
      </c>
    </row>
    <row r="100" spans="1:22" customFormat="1">
      <c r="A100" s="72">
        <v>45317.958333333336</v>
      </c>
      <c r="B100" s="6">
        <v>28.89</v>
      </c>
      <c r="C100" s="6">
        <v>33.97</v>
      </c>
      <c r="D100" s="6">
        <v>42.26</v>
      </c>
      <c r="E100" s="6">
        <v>8.3699999999999992</v>
      </c>
      <c r="F100" s="6">
        <v>3.31</v>
      </c>
      <c r="G100" s="6">
        <v>91.25</v>
      </c>
      <c r="H100" s="6">
        <v>39.54</v>
      </c>
      <c r="I100" s="6">
        <v>7.65</v>
      </c>
      <c r="J100" s="6">
        <v>0.2</v>
      </c>
      <c r="K100" s="6">
        <v>176.85</v>
      </c>
      <c r="L100" s="6">
        <v>14.92</v>
      </c>
      <c r="M100" s="6">
        <v>84.51</v>
      </c>
      <c r="N100" s="6">
        <v>0</v>
      </c>
      <c r="O100" s="6">
        <v>0</v>
      </c>
      <c r="P100" s="6">
        <v>0.94</v>
      </c>
      <c r="Q100" s="6">
        <v>5.0999999999999996</v>
      </c>
    </row>
    <row r="101" spans="1:22" customFormat="1">
      <c r="A101" s="72">
        <v>45317.96875</v>
      </c>
      <c r="B101" s="6">
        <v>31.81</v>
      </c>
      <c r="C101" s="6">
        <v>33.950000000000003</v>
      </c>
      <c r="D101" s="6">
        <v>44.6</v>
      </c>
      <c r="E101" s="6">
        <v>8.16</v>
      </c>
      <c r="F101" s="6">
        <v>3.22</v>
      </c>
      <c r="G101" s="6">
        <v>91.25</v>
      </c>
      <c r="H101" s="6">
        <v>39.54</v>
      </c>
      <c r="I101" s="6">
        <v>7.92</v>
      </c>
      <c r="J101" s="6">
        <v>0.19</v>
      </c>
      <c r="K101" s="6">
        <v>188.25</v>
      </c>
      <c r="L101" s="6">
        <v>14.53</v>
      </c>
      <c r="M101" s="6">
        <v>85.6</v>
      </c>
      <c r="N101" s="6">
        <v>0</v>
      </c>
      <c r="O101" s="6">
        <v>0</v>
      </c>
      <c r="P101" s="6">
        <v>0.98</v>
      </c>
      <c r="Q101" s="6">
        <v>5.15</v>
      </c>
    </row>
    <row r="102" spans="1:22" customFormat="1">
      <c r="A102" s="72">
        <v>45317.979166666664</v>
      </c>
      <c r="B102" s="6">
        <v>34.15</v>
      </c>
      <c r="C102" s="6">
        <v>33.76</v>
      </c>
      <c r="D102" s="6">
        <v>46.37</v>
      </c>
      <c r="E102" s="6">
        <v>8.35</v>
      </c>
      <c r="F102" s="6">
        <v>3.31</v>
      </c>
      <c r="G102" s="6">
        <v>94.77</v>
      </c>
      <c r="H102" s="6">
        <v>42.79</v>
      </c>
      <c r="I102" s="6">
        <v>8.19</v>
      </c>
      <c r="J102" s="6">
        <v>0.13</v>
      </c>
      <c r="K102" s="6">
        <v>198.98</v>
      </c>
      <c r="L102" s="6">
        <v>14.11</v>
      </c>
      <c r="M102" s="6">
        <v>87.61</v>
      </c>
      <c r="N102" s="6">
        <v>0</v>
      </c>
      <c r="O102" s="6">
        <v>0</v>
      </c>
      <c r="P102" s="6">
        <v>0.99</v>
      </c>
      <c r="Q102" s="6">
        <v>5.18</v>
      </c>
    </row>
    <row r="103" spans="1:22" customFormat="1">
      <c r="A103" s="72">
        <v>45317.989583333336</v>
      </c>
      <c r="B103" s="6">
        <v>36.770000000000003</v>
      </c>
      <c r="C103" s="6">
        <v>33.65</v>
      </c>
      <c r="D103" s="6">
        <v>48.42</v>
      </c>
      <c r="E103" s="6">
        <v>7.92</v>
      </c>
      <c r="F103" s="6">
        <v>3.34</v>
      </c>
      <c r="G103" s="6">
        <v>95.21</v>
      </c>
      <c r="H103" s="6">
        <v>42.79</v>
      </c>
      <c r="I103" s="6">
        <v>8.4</v>
      </c>
      <c r="J103" s="6">
        <v>0.18</v>
      </c>
      <c r="K103" s="6">
        <v>209.83</v>
      </c>
      <c r="L103" s="6">
        <v>13.97</v>
      </c>
      <c r="M103" s="6">
        <v>88.48</v>
      </c>
      <c r="N103" s="6">
        <v>0</v>
      </c>
      <c r="O103" s="6">
        <v>0</v>
      </c>
      <c r="P103" s="6">
        <v>1.02</v>
      </c>
      <c r="Q103" s="6">
        <v>5.21</v>
      </c>
    </row>
    <row r="104" spans="1:22" customFormat="1">
      <c r="A104" s="72">
        <v>45318</v>
      </c>
      <c r="B104" s="6">
        <v>38.51</v>
      </c>
      <c r="C104" s="6">
        <v>33.51</v>
      </c>
      <c r="D104" s="6">
        <v>49.74</v>
      </c>
      <c r="E104" s="6">
        <v>8.11</v>
      </c>
      <c r="F104" s="6">
        <v>3.29</v>
      </c>
      <c r="G104" s="6">
        <v>95.21</v>
      </c>
      <c r="H104" s="6">
        <v>42.79</v>
      </c>
      <c r="I104" s="6">
        <v>8.66</v>
      </c>
      <c r="J104" s="6">
        <v>0.11</v>
      </c>
      <c r="K104" s="6">
        <v>214.95</v>
      </c>
      <c r="L104" s="6">
        <v>13.62</v>
      </c>
      <c r="M104" s="6">
        <v>89.06</v>
      </c>
      <c r="N104" s="6">
        <v>0</v>
      </c>
      <c r="O104" s="6">
        <v>0</v>
      </c>
      <c r="P104" s="6">
        <v>1.03</v>
      </c>
      <c r="Q104" s="6">
        <v>5.22</v>
      </c>
    </row>
    <row r="106" spans="1:22">
      <c r="A106" s="156" t="s">
        <v>48</v>
      </c>
      <c r="B106" s="157">
        <f>MIN(B9:B104)</f>
        <v>4.18</v>
      </c>
      <c r="C106" s="157">
        <f>MIN(C9:C104)</f>
        <v>18.28</v>
      </c>
      <c r="D106" s="157">
        <f t="shared" ref="D106:Q106" si="0">MIN(D9:D104)</f>
        <v>14.58</v>
      </c>
      <c r="E106" s="157">
        <f t="shared" si="0"/>
        <v>2.82</v>
      </c>
      <c r="F106" s="157">
        <f t="shared" si="0"/>
        <v>3.04</v>
      </c>
      <c r="G106" s="157">
        <f t="shared" si="0"/>
        <v>43.88</v>
      </c>
      <c r="H106" s="157">
        <f t="shared" si="0"/>
        <v>21.03</v>
      </c>
      <c r="I106" s="157">
        <f t="shared" si="0"/>
        <v>5.42</v>
      </c>
      <c r="J106" s="157">
        <f t="shared" si="0"/>
        <v>0</v>
      </c>
      <c r="K106" s="157">
        <f t="shared" si="0"/>
        <v>7.48</v>
      </c>
      <c r="L106" s="157">
        <f t="shared" si="0"/>
        <v>11.48</v>
      </c>
      <c r="M106" s="157">
        <f t="shared" si="0"/>
        <v>22.39</v>
      </c>
      <c r="N106" s="157">
        <f t="shared" si="0"/>
        <v>0</v>
      </c>
      <c r="O106" s="157">
        <f t="shared" si="0"/>
        <v>0</v>
      </c>
      <c r="P106" s="157">
        <f t="shared" si="0"/>
        <v>0.59</v>
      </c>
      <c r="Q106" s="157">
        <f t="shared" si="0"/>
        <v>4.7300000000000004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63.35</v>
      </c>
      <c r="C107" s="156">
        <f t="shared" ref="C107:Q107" si="1">MAX(C9:C104)</f>
        <v>33.97</v>
      </c>
      <c r="D107" s="156">
        <f t="shared" si="1"/>
        <v>69.489999999999995</v>
      </c>
      <c r="E107" s="156">
        <f t="shared" si="1"/>
        <v>8.39</v>
      </c>
      <c r="F107" s="156">
        <f t="shared" si="1"/>
        <v>6.46</v>
      </c>
      <c r="G107" s="156">
        <f t="shared" si="1"/>
        <v>95.21</v>
      </c>
      <c r="H107" s="156">
        <f t="shared" si="1"/>
        <v>47.96</v>
      </c>
      <c r="I107" s="156">
        <f t="shared" si="1"/>
        <v>11.16</v>
      </c>
      <c r="J107" s="156">
        <f t="shared" si="1"/>
        <v>1.36</v>
      </c>
      <c r="K107" s="156">
        <f t="shared" si="1"/>
        <v>343.74</v>
      </c>
      <c r="L107" s="156">
        <f t="shared" si="1"/>
        <v>26.68</v>
      </c>
      <c r="M107" s="156">
        <f t="shared" si="1"/>
        <v>94.82</v>
      </c>
      <c r="N107" s="156">
        <f t="shared" si="1"/>
        <v>688</v>
      </c>
      <c r="O107" s="156">
        <f t="shared" si="1"/>
        <v>0</v>
      </c>
      <c r="P107" s="156">
        <f t="shared" si="1"/>
        <v>1.1100000000000001</v>
      </c>
      <c r="Q107" s="156">
        <f t="shared" si="1"/>
        <v>5.52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25.667916666666684</v>
      </c>
      <c r="C108" s="157">
        <f t="shared" ref="C108:Q108" si="2">AVERAGE(C9:C104)</f>
        <v>28.605729166666666</v>
      </c>
      <c r="D108" s="157">
        <f t="shared" si="2"/>
        <v>36.880625000000002</v>
      </c>
      <c r="E108" s="157">
        <f t="shared" si="2"/>
        <v>6.0714583333333332</v>
      </c>
      <c r="F108" s="157">
        <f t="shared" si="2"/>
        <v>3.7596874999999983</v>
      </c>
      <c r="G108" s="157">
        <f t="shared" si="2"/>
        <v>74.549062500000019</v>
      </c>
      <c r="H108" s="157">
        <f t="shared" si="2"/>
        <v>35.327499999999993</v>
      </c>
      <c r="I108" s="157">
        <f t="shared" si="2"/>
        <v>8.2482291666666629</v>
      </c>
      <c r="J108" s="157">
        <f t="shared" si="2"/>
        <v>0.43593750000000014</v>
      </c>
      <c r="K108" s="157">
        <f t="shared" si="2"/>
        <v>110.1596875</v>
      </c>
      <c r="L108" s="157">
        <f t="shared" si="2"/>
        <v>18.216145833333325</v>
      </c>
      <c r="M108" s="157">
        <f t="shared" si="2"/>
        <v>59.399895833333311</v>
      </c>
      <c r="N108" s="157">
        <f t="shared" si="2"/>
        <v>148.1739583333333</v>
      </c>
      <c r="O108" s="157">
        <f t="shared" si="2"/>
        <v>0</v>
      </c>
      <c r="P108" s="157">
        <f t="shared" si="2"/>
        <v>0.84468749999999992</v>
      </c>
      <c r="Q108" s="157">
        <f t="shared" si="2"/>
        <v>5.068854166666668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19.288571686864152</v>
      </c>
      <c r="C109" s="157">
        <f t="shared" ref="C109:Q109" si="3">STDEV(C9:C104)</f>
        <v>4.5744659152831746</v>
      </c>
      <c r="D109" s="157">
        <f t="shared" si="3"/>
        <v>17.297024192648092</v>
      </c>
      <c r="E109" s="157">
        <f t="shared" si="3"/>
        <v>1.6586557519596279</v>
      </c>
      <c r="F109" s="157">
        <f t="shared" si="3"/>
        <v>0.73184906859990462</v>
      </c>
      <c r="G109" s="157">
        <f t="shared" si="3"/>
        <v>16.443925263123901</v>
      </c>
      <c r="H109" s="157">
        <f t="shared" si="3"/>
        <v>7.8491588553705336</v>
      </c>
      <c r="I109" s="157">
        <f t="shared" si="3"/>
        <v>1.9798383744728056</v>
      </c>
      <c r="J109" s="157">
        <f t="shared" si="3"/>
        <v>0.3415986506968296</v>
      </c>
      <c r="K109" s="157">
        <f t="shared" si="3"/>
        <v>65.586105949244526</v>
      </c>
      <c r="L109" s="157">
        <f t="shared" si="3"/>
        <v>5.1561706251200752</v>
      </c>
      <c r="M109" s="157">
        <f t="shared" si="3"/>
        <v>25.684063561704349</v>
      </c>
      <c r="N109" s="157">
        <f t="shared" si="3"/>
        <v>239.35337462896138</v>
      </c>
      <c r="O109" s="157">
        <f t="shared" si="3"/>
        <v>0</v>
      </c>
      <c r="P109" s="157">
        <f t="shared" si="3"/>
        <v>0.16914617238229093</v>
      </c>
      <c r="Q109" s="157">
        <f t="shared" si="3"/>
        <v>0.23152523923647883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45318.010416666664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45318.010416666664</v>
      </c>
      <c r="B9" s="6">
        <v>41.3</v>
      </c>
      <c r="C9" s="6">
        <v>33.18</v>
      </c>
      <c r="D9" s="6">
        <v>51.8</v>
      </c>
      <c r="E9" s="6">
        <v>8.56</v>
      </c>
      <c r="F9" s="6">
        <v>3.34</v>
      </c>
      <c r="G9" s="6">
        <v>95.21</v>
      </c>
      <c r="H9" s="6">
        <v>42.79</v>
      </c>
      <c r="I9" s="6">
        <v>9.02</v>
      </c>
      <c r="J9" s="6">
        <v>0.14000000000000001</v>
      </c>
      <c r="K9" s="6">
        <v>223.57</v>
      </c>
      <c r="L9" s="6">
        <v>13.59</v>
      </c>
      <c r="M9" s="6">
        <v>88.31</v>
      </c>
      <c r="N9" s="6">
        <v>0</v>
      </c>
      <c r="O9" s="6">
        <v>0</v>
      </c>
      <c r="P9" s="6">
        <v>1.05</v>
      </c>
      <c r="Q9" s="6">
        <v>5.22</v>
      </c>
    </row>
    <row r="10" spans="1:21" customFormat="1">
      <c r="A10" s="72">
        <v>45318.020833333336</v>
      </c>
      <c r="B10" s="6">
        <v>42.85</v>
      </c>
      <c r="C10" s="6">
        <v>33.130000000000003</v>
      </c>
      <c r="D10" s="6">
        <v>53.03</v>
      </c>
      <c r="E10" s="6">
        <v>8.1300000000000008</v>
      </c>
      <c r="F10" s="6">
        <v>3.29</v>
      </c>
      <c r="G10" s="6">
        <v>93.52</v>
      </c>
      <c r="H10" s="6">
        <v>42.66</v>
      </c>
      <c r="I10" s="6">
        <v>9.39</v>
      </c>
      <c r="J10" s="6">
        <v>0.14000000000000001</v>
      </c>
      <c r="K10" s="6">
        <v>168.35</v>
      </c>
      <c r="L10" s="6">
        <v>13.66</v>
      </c>
      <c r="M10" s="6">
        <v>86.87</v>
      </c>
      <c r="N10" s="6">
        <v>0</v>
      </c>
      <c r="O10" s="6">
        <v>0</v>
      </c>
      <c r="P10" s="6">
        <v>1.07</v>
      </c>
      <c r="Q10" s="6">
        <v>5.24</v>
      </c>
    </row>
    <row r="11" spans="1:21" customFormat="1">
      <c r="A11" s="72">
        <v>45318.03125</v>
      </c>
      <c r="B11" s="6">
        <v>43.85</v>
      </c>
      <c r="C11" s="6">
        <v>32.979999999999997</v>
      </c>
      <c r="D11" s="6">
        <v>53.75</v>
      </c>
      <c r="E11" s="6">
        <v>8.2100000000000009</v>
      </c>
      <c r="F11" s="6">
        <v>3.31</v>
      </c>
      <c r="G11" s="6">
        <v>93.31</v>
      </c>
      <c r="H11" s="6">
        <v>42.66</v>
      </c>
      <c r="I11" s="6">
        <v>9.69</v>
      </c>
      <c r="J11" s="6">
        <v>0.2</v>
      </c>
      <c r="K11" s="6">
        <v>201.56</v>
      </c>
      <c r="L11" s="6">
        <v>13.65</v>
      </c>
      <c r="M11" s="6">
        <v>89.95</v>
      </c>
      <c r="N11" s="6">
        <v>0</v>
      </c>
      <c r="O11" s="6">
        <v>0</v>
      </c>
      <c r="P11" s="6">
        <v>1.08</v>
      </c>
      <c r="Q11" s="6">
        <v>5.25</v>
      </c>
    </row>
    <row r="12" spans="1:21" customFormat="1">
      <c r="A12" s="72">
        <v>45318.041666666664</v>
      </c>
      <c r="B12" s="6">
        <v>44.36</v>
      </c>
      <c r="C12" s="6">
        <v>32.75</v>
      </c>
      <c r="D12" s="6">
        <v>54.03</v>
      </c>
      <c r="E12" s="6">
        <v>8.18</v>
      </c>
      <c r="F12" s="6">
        <v>3.35</v>
      </c>
      <c r="G12" s="6">
        <v>93.31</v>
      </c>
      <c r="H12" s="6">
        <v>42.66</v>
      </c>
      <c r="I12" s="6">
        <v>9.94</v>
      </c>
      <c r="J12" s="6">
        <v>0.18</v>
      </c>
      <c r="K12" s="6">
        <v>176.57</v>
      </c>
      <c r="L12" s="6">
        <v>13.5</v>
      </c>
      <c r="M12" s="6">
        <v>90.73</v>
      </c>
      <c r="N12" s="6">
        <v>0</v>
      </c>
      <c r="O12" s="6">
        <v>0</v>
      </c>
      <c r="P12" s="6">
        <v>1.0900000000000001</v>
      </c>
      <c r="Q12" s="6">
        <v>5.24</v>
      </c>
    </row>
    <row r="13" spans="1:21" customFormat="1">
      <c r="A13" s="72">
        <v>45318.052083333336</v>
      </c>
      <c r="B13" s="6">
        <v>44.68</v>
      </c>
      <c r="C13" s="6">
        <v>30.74</v>
      </c>
      <c r="D13" s="6">
        <v>53.24</v>
      </c>
      <c r="E13" s="6">
        <v>7.93</v>
      </c>
      <c r="F13" s="6">
        <v>3.52</v>
      </c>
      <c r="G13" s="6">
        <v>93.31</v>
      </c>
      <c r="H13" s="6">
        <v>42.66</v>
      </c>
      <c r="I13" s="6">
        <v>10.130000000000001</v>
      </c>
      <c r="J13" s="6">
        <v>0.25</v>
      </c>
      <c r="K13" s="6">
        <v>220.49</v>
      </c>
      <c r="L13" s="6">
        <v>12.84</v>
      </c>
      <c r="M13" s="6">
        <v>91.76</v>
      </c>
      <c r="N13" s="6">
        <v>0</v>
      </c>
      <c r="O13" s="6">
        <v>0</v>
      </c>
      <c r="P13" s="6">
        <v>1.1000000000000001</v>
      </c>
      <c r="Q13" s="6">
        <v>5.25</v>
      </c>
    </row>
    <row r="14" spans="1:21" customFormat="1">
      <c r="A14" s="72">
        <v>45318.0625</v>
      </c>
      <c r="B14" s="6">
        <v>44.48</v>
      </c>
      <c r="C14" s="6">
        <v>30.24</v>
      </c>
      <c r="D14" s="6">
        <v>52.82</v>
      </c>
      <c r="E14" s="6">
        <v>8.3800000000000008</v>
      </c>
      <c r="F14" s="6">
        <v>3.6</v>
      </c>
      <c r="G14" s="6">
        <v>90.29</v>
      </c>
      <c r="H14" s="6">
        <v>44.28</v>
      </c>
      <c r="I14" s="6">
        <v>10.29</v>
      </c>
      <c r="J14" s="6">
        <v>0.09</v>
      </c>
      <c r="K14" s="6">
        <v>122.56</v>
      </c>
      <c r="L14" s="6">
        <v>12.69</v>
      </c>
      <c r="M14" s="6">
        <v>90.65</v>
      </c>
      <c r="N14" s="6">
        <v>0</v>
      </c>
      <c r="O14" s="6">
        <v>0</v>
      </c>
      <c r="P14" s="6">
        <v>1.1000000000000001</v>
      </c>
      <c r="Q14" s="6">
        <v>5.23</v>
      </c>
    </row>
    <row r="15" spans="1:21" customFormat="1">
      <c r="A15" s="72">
        <v>45318.072916666664</v>
      </c>
      <c r="B15" s="6">
        <v>44.06</v>
      </c>
      <c r="C15" s="6">
        <v>30.18</v>
      </c>
      <c r="D15" s="6">
        <v>52.45</v>
      </c>
      <c r="E15" s="6">
        <v>7.85</v>
      </c>
      <c r="F15" s="6">
        <v>3.4</v>
      </c>
      <c r="G15" s="6">
        <v>89.91</v>
      </c>
      <c r="H15" s="6">
        <v>44.28</v>
      </c>
      <c r="I15" s="6">
        <v>10.39</v>
      </c>
      <c r="J15" s="6">
        <v>0.15</v>
      </c>
      <c r="K15" s="6">
        <v>151.9</v>
      </c>
      <c r="L15" s="6">
        <v>12.81</v>
      </c>
      <c r="M15" s="6">
        <v>88.28</v>
      </c>
      <c r="N15" s="6">
        <v>0</v>
      </c>
      <c r="O15" s="6">
        <v>0</v>
      </c>
      <c r="P15" s="6">
        <v>1.1000000000000001</v>
      </c>
      <c r="Q15" s="6">
        <v>5.22</v>
      </c>
    </row>
    <row r="16" spans="1:21" customFormat="1">
      <c r="A16" s="72">
        <v>45318.083333333336</v>
      </c>
      <c r="B16" s="6">
        <v>43.55</v>
      </c>
      <c r="C16" s="6">
        <v>30.34</v>
      </c>
      <c r="D16" s="6">
        <v>52.13</v>
      </c>
      <c r="E16" s="6">
        <v>8.4499999999999993</v>
      </c>
      <c r="F16" s="6">
        <v>3.27</v>
      </c>
      <c r="G16" s="6">
        <v>89.91</v>
      </c>
      <c r="H16" s="6">
        <v>44.28</v>
      </c>
      <c r="I16" s="6">
        <v>10.45</v>
      </c>
      <c r="J16" s="6">
        <v>0.21</v>
      </c>
      <c r="K16" s="6">
        <v>201.34</v>
      </c>
      <c r="L16" s="6">
        <v>12.61</v>
      </c>
      <c r="M16" s="6">
        <v>91.45</v>
      </c>
      <c r="N16" s="6">
        <v>0</v>
      </c>
      <c r="O16" s="6">
        <v>0</v>
      </c>
      <c r="P16" s="6">
        <v>1.1000000000000001</v>
      </c>
      <c r="Q16" s="6">
        <v>5.24</v>
      </c>
    </row>
    <row r="17" spans="1:17" customFormat="1">
      <c r="A17" s="72">
        <v>45318.09375</v>
      </c>
      <c r="B17" s="6">
        <v>42.99</v>
      </c>
      <c r="C17" s="6">
        <v>30.61</v>
      </c>
      <c r="D17" s="6">
        <v>51.82</v>
      </c>
      <c r="E17" s="6">
        <v>6.9</v>
      </c>
      <c r="F17" s="6">
        <v>3.26</v>
      </c>
      <c r="G17" s="6">
        <v>89.91</v>
      </c>
      <c r="H17" s="6">
        <v>44.28</v>
      </c>
      <c r="I17" s="6">
        <v>10.47</v>
      </c>
      <c r="J17" s="6">
        <v>0.12</v>
      </c>
      <c r="K17" s="6">
        <v>226.72</v>
      </c>
      <c r="L17" s="6">
        <v>12.28</v>
      </c>
      <c r="M17" s="6">
        <v>92.35</v>
      </c>
      <c r="N17" s="6">
        <v>0</v>
      </c>
      <c r="O17" s="6">
        <v>0</v>
      </c>
      <c r="P17" s="6">
        <v>1.0900000000000001</v>
      </c>
      <c r="Q17" s="6">
        <v>5.23</v>
      </c>
    </row>
    <row r="18" spans="1:17" customFormat="1">
      <c r="A18" s="72">
        <v>45318.104166666664</v>
      </c>
      <c r="B18" s="6">
        <v>42.15</v>
      </c>
      <c r="C18" s="6">
        <v>30.38</v>
      </c>
      <c r="D18" s="6">
        <v>51.02</v>
      </c>
      <c r="E18" s="6">
        <v>7.34</v>
      </c>
      <c r="F18" s="6">
        <v>3.1</v>
      </c>
      <c r="G18" s="6">
        <v>89.24</v>
      </c>
      <c r="H18" s="6">
        <v>43.76</v>
      </c>
      <c r="I18" s="6">
        <v>10.49</v>
      </c>
      <c r="J18" s="6">
        <v>0.12</v>
      </c>
      <c r="K18" s="6">
        <v>195.63</v>
      </c>
      <c r="L18" s="6">
        <v>12.37</v>
      </c>
      <c r="M18" s="6">
        <v>93.23</v>
      </c>
      <c r="N18" s="6">
        <v>0</v>
      </c>
      <c r="O18" s="6">
        <v>0</v>
      </c>
      <c r="P18" s="6">
        <v>1.1000000000000001</v>
      </c>
      <c r="Q18" s="6">
        <v>5.24</v>
      </c>
    </row>
    <row r="19" spans="1:17" customFormat="1">
      <c r="A19" s="72">
        <v>45318.114583333336</v>
      </c>
      <c r="B19" s="6">
        <v>40.86</v>
      </c>
      <c r="C19" s="6">
        <v>30.23</v>
      </c>
      <c r="D19" s="6">
        <v>49.91</v>
      </c>
      <c r="E19" s="6">
        <v>7.91</v>
      </c>
      <c r="F19" s="6">
        <v>3.37</v>
      </c>
      <c r="G19" s="6">
        <v>89.16</v>
      </c>
      <c r="H19" s="6">
        <v>43.76</v>
      </c>
      <c r="I19" s="6">
        <v>10.5</v>
      </c>
      <c r="J19" s="6">
        <v>0.24</v>
      </c>
      <c r="K19" s="6">
        <v>183.85</v>
      </c>
      <c r="L19" s="6">
        <v>12.4</v>
      </c>
      <c r="M19" s="6">
        <v>92.35</v>
      </c>
      <c r="N19" s="6">
        <v>0</v>
      </c>
      <c r="O19" s="6">
        <v>0</v>
      </c>
      <c r="P19" s="6">
        <v>1.0900000000000001</v>
      </c>
      <c r="Q19" s="6">
        <v>5.2</v>
      </c>
    </row>
    <row r="20" spans="1:17" customFormat="1">
      <c r="A20" s="72">
        <v>45318.125</v>
      </c>
      <c r="B20" s="6">
        <v>39.44</v>
      </c>
      <c r="C20" s="6">
        <v>30.14</v>
      </c>
      <c r="D20" s="6">
        <v>48.73</v>
      </c>
      <c r="E20" s="6">
        <v>7.76</v>
      </c>
      <c r="F20" s="6">
        <v>3.25</v>
      </c>
      <c r="G20" s="6">
        <v>89.16</v>
      </c>
      <c r="H20" s="6">
        <v>43.76</v>
      </c>
      <c r="I20" s="6">
        <v>10.49</v>
      </c>
      <c r="J20" s="6">
        <v>0.13</v>
      </c>
      <c r="K20" s="6">
        <v>230.97</v>
      </c>
      <c r="L20" s="6">
        <v>12.2</v>
      </c>
      <c r="M20" s="6">
        <v>90.49</v>
      </c>
      <c r="N20" s="6">
        <v>0</v>
      </c>
      <c r="O20" s="6">
        <v>0</v>
      </c>
      <c r="P20" s="6">
        <v>1.0900000000000001</v>
      </c>
      <c r="Q20" s="6">
        <v>5.21</v>
      </c>
    </row>
    <row r="21" spans="1:17" customFormat="1">
      <c r="A21" s="72">
        <v>45318.135416666664</v>
      </c>
      <c r="B21" s="6">
        <v>38.04</v>
      </c>
      <c r="C21" s="6">
        <v>29.99</v>
      </c>
      <c r="D21" s="6">
        <v>47.52</v>
      </c>
      <c r="E21" s="6">
        <v>7.5</v>
      </c>
      <c r="F21" s="6">
        <v>3.53</v>
      </c>
      <c r="G21" s="6">
        <v>89.16</v>
      </c>
      <c r="H21" s="6">
        <v>43.76</v>
      </c>
      <c r="I21" s="6">
        <v>10.46</v>
      </c>
      <c r="J21" s="6">
        <v>0.11</v>
      </c>
      <c r="K21" s="6">
        <v>33.92</v>
      </c>
      <c r="L21" s="6">
        <v>12.35</v>
      </c>
      <c r="M21" s="6">
        <v>89.61</v>
      </c>
      <c r="N21" s="6">
        <v>0</v>
      </c>
      <c r="O21" s="6">
        <v>0</v>
      </c>
      <c r="P21" s="6">
        <v>1.07</v>
      </c>
      <c r="Q21" s="6">
        <v>5.19</v>
      </c>
    </row>
    <row r="22" spans="1:17" customFormat="1">
      <c r="A22" s="72">
        <v>45318.145833333336</v>
      </c>
      <c r="B22" s="6">
        <v>38.74</v>
      </c>
      <c r="C22" s="6">
        <v>30.51</v>
      </c>
      <c r="D22" s="6">
        <v>48.35</v>
      </c>
      <c r="E22" s="6">
        <v>7.74</v>
      </c>
      <c r="F22" s="6">
        <v>3.54</v>
      </c>
      <c r="G22" s="6">
        <v>86.23</v>
      </c>
      <c r="H22" s="6">
        <v>43.4</v>
      </c>
      <c r="I22" s="6">
        <v>10.42</v>
      </c>
      <c r="J22" s="6">
        <v>0.12</v>
      </c>
      <c r="K22" s="6">
        <v>146.80000000000001</v>
      </c>
      <c r="L22" s="6">
        <v>12.55</v>
      </c>
      <c r="M22" s="6">
        <v>86.61</v>
      </c>
      <c r="N22" s="6">
        <v>0</v>
      </c>
      <c r="O22" s="6">
        <v>0</v>
      </c>
      <c r="P22" s="6">
        <v>1.07</v>
      </c>
      <c r="Q22" s="6">
        <v>5.18</v>
      </c>
    </row>
    <row r="23" spans="1:17" customFormat="1">
      <c r="A23" s="72">
        <v>45318.15625</v>
      </c>
      <c r="B23" s="6">
        <v>40.31</v>
      </c>
      <c r="C23" s="6">
        <v>30.68</v>
      </c>
      <c r="D23" s="6">
        <v>49.71</v>
      </c>
      <c r="E23" s="6">
        <v>7.82</v>
      </c>
      <c r="F23" s="6">
        <v>3.24</v>
      </c>
      <c r="G23" s="6">
        <v>85.86</v>
      </c>
      <c r="H23" s="6">
        <v>43.4</v>
      </c>
      <c r="I23" s="6">
        <v>10.4</v>
      </c>
      <c r="J23" s="6">
        <v>0.18</v>
      </c>
      <c r="K23" s="6">
        <v>179.75</v>
      </c>
      <c r="L23" s="6">
        <v>12.5</v>
      </c>
      <c r="M23" s="6">
        <v>88.15</v>
      </c>
      <c r="N23" s="6">
        <v>0</v>
      </c>
      <c r="O23" s="6">
        <v>0</v>
      </c>
      <c r="P23" s="6">
        <v>1.05</v>
      </c>
      <c r="Q23" s="6">
        <v>5.2</v>
      </c>
    </row>
    <row r="24" spans="1:17" customFormat="1">
      <c r="A24" s="72">
        <v>45318.166666666664</v>
      </c>
      <c r="B24" s="6">
        <v>40.409999999999997</v>
      </c>
      <c r="C24" s="6">
        <v>30.51</v>
      </c>
      <c r="D24" s="6">
        <v>49.7</v>
      </c>
      <c r="E24" s="6">
        <v>7.52</v>
      </c>
      <c r="F24" s="6">
        <v>3.11</v>
      </c>
      <c r="G24" s="6">
        <v>85.86</v>
      </c>
      <c r="H24" s="6">
        <v>43.4</v>
      </c>
      <c r="I24" s="6">
        <v>10.32</v>
      </c>
      <c r="J24" s="6">
        <v>0.14000000000000001</v>
      </c>
      <c r="K24" s="6">
        <v>195.37</v>
      </c>
      <c r="L24" s="6">
        <v>12.29</v>
      </c>
      <c r="M24" s="6">
        <v>92.15</v>
      </c>
      <c r="N24" s="6">
        <v>0</v>
      </c>
      <c r="O24" s="6">
        <v>0</v>
      </c>
      <c r="P24" s="6">
        <v>1.03</v>
      </c>
      <c r="Q24" s="6">
        <v>5.2</v>
      </c>
    </row>
    <row r="25" spans="1:17" customFormat="1">
      <c r="A25" s="72">
        <v>45318.177083333336</v>
      </c>
      <c r="B25" s="6">
        <v>38.950000000000003</v>
      </c>
      <c r="C25" s="6">
        <v>30.31</v>
      </c>
      <c r="D25" s="6">
        <v>48.42</v>
      </c>
      <c r="E25" s="6">
        <v>7.91</v>
      </c>
      <c r="F25" s="6">
        <v>3.12</v>
      </c>
      <c r="G25" s="6">
        <v>85.86</v>
      </c>
      <c r="H25" s="6">
        <v>43.4</v>
      </c>
      <c r="I25" s="6">
        <v>10.24</v>
      </c>
      <c r="J25" s="6">
        <v>0.1</v>
      </c>
      <c r="K25" s="6">
        <v>141.02000000000001</v>
      </c>
      <c r="L25" s="6">
        <v>12.11</v>
      </c>
      <c r="M25" s="6">
        <v>91.43</v>
      </c>
      <c r="N25" s="6">
        <v>0</v>
      </c>
      <c r="O25" s="6">
        <v>0</v>
      </c>
      <c r="P25" s="6">
        <v>1.02</v>
      </c>
      <c r="Q25" s="6">
        <v>5.18</v>
      </c>
    </row>
    <row r="26" spans="1:17" customFormat="1">
      <c r="A26" s="72">
        <v>45318.1875</v>
      </c>
      <c r="B26" s="6">
        <v>37.24</v>
      </c>
      <c r="C26" s="6">
        <v>29.75</v>
      </c>
      <c r="D26" s="6">
        <v>46.76</v>
      </c>
      <c r="E26" s="6">
        <v>7.61</v>
      </c>
      <c r="F26" s="6">
        <v>3.28</v>
      </c>
      <c r="G26" s="6">
        <v>81.209999999999994</v>
      </c>
      <c r="H26" s="6">
        <v>40.119999999999997</v>
      </c>
      <c r="I26" s="6">
        <v>10.16</v>
      </c>
      <c r="J26" s="6">
        <v>0.14000000000000001</v>
      </c>
      <c r="K26" s="6">
        <v>126.5</v>
      </c>
      <c r="L26" s="6">
        <v>12</v>
      </c>
      <c r="M26" s="6">
        <v>90.12</v>
      </c>
      <c r="N26" s="6">
        <v>0</v>
      </c>
      <c r="O26" s="6">
        <v>0</v>
      </c>
      <c r="P26" s="6">
        <v>1.01</v>
      </c>
      <c r="Q26" s="6">
        <v>5.17</v>
      </c>
    </row>
    <row r="27" spans="1:17" customFormat="1">
      <c r="A27" s="72">
        <v>45318.197916666664</v>
      </c>
      <c r="B27" s="6">
        <v>36.72</v>
      </c>
      <c r="C27" s="6">
        <v>29.76</v>
      </c>
      <c r="D27" s="6">
        <v>46.35</v>
      </c>
      <c r="E27" s="6">
        <v>7.83</v>
      </c>
      <c r="F27" s="6">
        <v>3.25</v>
      </c>
      <c r="G27" s="6">
        <v>80.63</v>
      </c>
      <c r="H27" s="6">
        <v>40.119999999999997</v>
      </c>
      <c r="I27" s="6">
        <v>10.07</v>
      </c>
      <c r="J27" s="6">
        <v>0.09</v>
      </c>
      <c r="K27" s="6">
        <v>133.35</v>
      </c>
      <c r="L27" s="6">
        <v>12.11</v>
      </c>
      <c r="M27" s="6">
        <v>88.8</v>
      </c>
      <c r="N27" s="6">
        <v>0</v>
      </c>
      <c r="O27" s="6">
        <v>0</v>
      </c>
      <c r="P27" s="6">
        <v>1</v>
      </c>
      <c r="Q27" s="6">
        <v>5.18</v>
      </c>
    </row>
    <row r="28" spans="1:17" customFormat="1">
      <c r="A28" s="72">
        <v>45318.208333333336</v>
      </c>
      <c r="B28" s="6">
        <v>39.21</v>
      </c>
      <c r="C28" s="6">
        <v>30.12</v>
      </c>
      <c r="D28" s="6">
        <v>48.53</v>
      </c>
      <c r="E28" s="6">
        <v>7.33</v>
      </c>
      <c r="F28" s="6">
        <v>3.2</v>
      </c>
      <c r="G28" s="6">
        <v>80.63</v>
      </c>
      <c r="H28" s="6">
        <v>40.119999999999997</v>
      </c>
      <c r="I28" s="6">
        <v>10.01</v>
      </c>
      <c r="J28" s="6">
        <v>7.0000000000000007E-2</v>
      </c>
      <c r="K28" s="6">
        <v>155.63999999999999</v>
      </c>
      <c r="L28" s="6">
        <v>12.22</v>
      </c>
      <c r="M28" s="6">
        <v>88.07</v>
      </c>
      <c r="N28" s="6">
        <v>0</v>
      </c>
      <c r="O28" s="6">
        <v>0</v>
      </c>
      <c r="P28" s="6">
        <v>1</v>
      </c>
      <c r="Q28" s="6">
        <v>5.17</v>
      </c>
    </row>
    <row r="29" spans="1:17" customFormat="1">
      <c r="A29" s="72">
        <v>45318.21875</v>
      </c>
      <c r="B29" s="6">
        <v>43.32</v>
      </c>
      <c r="C29" s="6">
        <v>30.36</v>
      </c>
      <c r="D29" s="6">
        <v>51.95</v>
      </c>
      <c r="E29" s="6">
        <v>7.34</v>
      </c>
      <c r="F29" s="6">
        <v>3.28</v>
      </c>
      <c r="G29" s="6">
        <v>80.63</v>
      </c>
      <c r="H29" s="6">
        <v>40.119999999999997</v>
      </c>
      <c r="I29" s="6">
        <v>10.01</v>
      </c>
      <c r="J29" s="6">
        <v>0.14000000000000001</v>
      </c>
      <c r="K29" s="6">
        <v>233.94</v>
      </c>
      <c r="L29" s="6">
        <v>12.07</v>
      </c>
      <c r="M29" s="6">
        <v>91.48</v>
      </c>
      <c r="N29" s="6">
        <v>0</v>
      </c>
      <c r="O29" s="6">
        <v>0</v>
      </c>
      <c r="P29" s="6">
        <v>0.99</v>
      </c>
      <c r="Q29" s="6">
        <v>5.22</v>
      </c>
    </row>
    <row r="30" spans="1:17" customFormat="1">
      <c r="A30" s="72">
        <v>45318.229166666664</v>
      </c>
      <c r="B30" s="6">
        <v>45.49</v>
      </c>
      <c r="C30" s="6">
        <v>30.18</v>
      </c>
      <c r="D30" s="6">
        <v>53.6</v>
      </c>
      <c r="E30" s="6">
        <v>7.88</v>
      </c>
      <c r="F30" s="6">
        <v>3.16</v>
      </c>
      <c r="G30" s="6">
        <v>85.16</v>
      </c>
      <c r="H30" s="6">
        <v>43.89</v>
      </c>
      <c r="I30" s="6">
        <v>10.039999999999999</v>
      </c>
      <c r="J30" s="6">
        <v>0.18</v>
      </c>
      <c r="K30" s="6">
        <v>241.02</v>
      </c>
      <c r="L30" s="6">
        <v>11.71</v>
      </c>
      <c r="M30" s="6">
        <v>93.13</v>
      </c>
      <c r="N30" s="6">
        <v>0</v>
      </c>
      <c r="O30" s="6">
        <v>0</v>
      </c>
      <c r="P30" s="6">
        <v>0.99</v>
      </c>
      <c r="Q30" s="6">
        <v>5.23</v>
      </c>
    </row>
    <row r="31" spans="1:17" customFormat="1">
      <c r="A31" s="72">
        <v>45318.239583333336</v>
      </c>
      <c r="B31" s="6">
        <v>48.38</v>
      </c>
      <c r="C31" s="6">
        <v>30.58</v>
      </c>
      <c r="D31" s="6">
        <v>56.13</v>
      </c>
      <c r="E31" s="6">
        <v>8.39</v>
      </c>
      <c r="F31" s="6">
        <v>3.17</v>
      </c>
      <c r="G31" s="6">
        <v>85.73</v>
      </c>
      <c r="H31" s="6">
        <v>43.89</v>
      </c>
      <c r="I31" s="6">
        <v>10.08</v>
      </c>
      <c r="J31" s="6">
        <v>0.18</v>
      </c>
      <c r="K31" s="6">
        <v>209.8</v>
      </c>
      <c r="L31" s="6">
        <v>11.62</v>
      </c>
      <c r="M31" s="6">
        <v>91.76</v>
      </c>
      <c r="N31" s="6">
        <v>0</v>
      </c>
      <c r="O31" s="6">
        <v>0</v>
      </c>
      <c r="P31" s="6">
        <v>0.99</v>
      </c>
      <c r="Q31" s="6">
        <v>5.28</v>
      </c>
    </row>
    <row r="32" spans="1:17" customFormat="1">
      <c r="A32" s="72">
        <v>45318.25</v>
      </c>
      <c r="B32" s="6">
        <v>50.49</v>
      </c>
      <c r="C32" s="6">
        <v>30.5</v>
      </c>
      <c r="D32" s="6">
        <v>57.78</v>
      </c>
      <c r="E32" s="6">
        <v>8.2100000000000009</v>
      </c>
      <c r="F32" s="6">
        <v>3.35</v>
      </c>
      <c r="G32" s="6">
        <v>85.73</v>
      </c>
      <c r="H32" s="6">
        <v>43.89</v>
      </c>
      <c r="I32" s="6">
        <v>10.130000000000001</v>
      </c>
      <c r="J32" s="6">
        <v>0.15</v>
      </c>
      <c r="K32" s="6">
        <v>227.48</v>
      </c>
      <c r="L32" s="6">
        <v>11.34</v>
      </c>
      <c r="M32" s="6">
        <v>94.2</v>
      </c>
      <c r="N32" s="6">
        <v>0</v>
      </c>
      <c r="O32" s="6">
        <v>0</v>
      </c>
      <c r="P32" s="6">
        <v>0.99</v>
      </c>
      <c r="Q32" s="6">
        <v>5.3</v>
      </c>
    </row>
    <row r="33" spans="1:17" customFormat="1">
      <c r="A33" s="72">
        <v>45318.260416666664</v>
      </c>
      <c r="B33" s="6">
        <v>50.65</v>
      </c>
      <c r="C33" s="6">
        <v>30.35</v>
      </c>
      <c r="D33" s="6">
        <v>57.83</v>
      </c>
      <c r="E33" s="6">
        <v>8.1</v>
      </c>
      <c r="F33" s="6">
        <v>3.46</v>
      </c>
      <c r="G33" s="6">
        <v>85.73</v>
      </c>
      <c r="H33" s="6">
        <v>43.89</v>
      </c>
      <c r="I33" s="6">
        <v>10.199999999999999</v>
      </c>
      <c r="J33" s="6">
        <v>0.14000000000000001</v>
      </c>
      <c r="K33" s="6">
        <v>159.06</v>
      </c>
      <c r="L33" s="6">
        <v>11.43</v>
      </c>
      <c r="M33" s="6">
        <v>94.45</v>
      </c>
      <c r="N33" s="6">
        <v>0</v>
      </c>
      <c r="O33" s="6">
        <v>0</v>
      </c>
      <c r="P33" s="6">
        <v>0.99</v>
      </c>
      <c r="Q33" s="6">
        <v>5.31</v>
      </c>
    </row>
    <row r="34" spans="1:17" customFormat="1">
      <c r="A34" s="72">
        <v>45318.270833333336</v>
      </c>
      <c r="B34" s="6">
        <v>50.02</v>
      </c>
      <c r="C34" s="6">
        <v>29.96</v>
      </c>
      <c r="D34" s="6">
        <v>57.12</v>
      </c>
      <c r="E34" s="6">
        <v>7.76</v>
      </c>
      <c r="F34" s="6">
        <v>3.45</v>
      </c>
      <c r="G34" s="6">
        <v>81.510000000000005</v>
      </c>
      <c r="H34" s="6">
        <v>43.93</v>
      </c>
      <c r="I34" s="6">
        <v>10.25</v>
      </c>
      <c r="J34" s="6">
        <v>0.17</v>
      </c>
      <c r="K34" s="6">
        <v>179.65</v>
      </c>
      <c r="L34" s="6">
        <v>11.37</v>
      </c>
      <c r="M34" s="6">
        <v>93.72</v>
      </c>
      <c r="N34" s="6">
        <v>0</v>
      </c>
      <c r="O34" s="6">
        <v>0</v>
      </c>
      <c r="P34" s="6">
        <v>0.99</v>
      </c>
      <c r="Q34" s="6">
        <v>5.31</v>
      </c>
    </row>
    <row r="35" spans="1:17" customFormat="1">
      <c r="A35" s="72">
        <v>45318.28125</v>
      </c>
      <c r="B35" s="6">
        <v>49.43</v>
      </c>
      <c r="C35" s="6">
        <v>29.75</v>
      </c>
      <c r="D35" s="6">
        <v>56.54</v>
      </c>
      <c r="E35" s="6">
        <v>7.82</v>
      </c>
      <c r="F35" s="6">
        <v>3.35</v>
      </c>
      <c r="G35" s="6">
        <v>80.98</v>
      </c>
      <c r="H35" s="6">
        <v>43.93</v>
      </c>
      <c r="I35" s="6">
        <v>10.32</v>
      </c>
      <c r="J35" s="6">
        <v>0.2</v>
      </c>
      <c r="K35" s="6">
        <v>194.97</v>
      </c>
      <c r="L35" s="6">
        <v>11.39</v>
      </c>
      <c r="M35" s="6">
        <v>95.06</v>
      </c>
      <c r="N35" s="6">
        <v>0</v>
      </c>
      <c r="O35" s="6">
        <v>0</v>
      </c>
      <c r="P35" s="6">
        <v>0.99</v>
      </c>
      <c r="Q35" s="6">
        <v>5.3</v>
      </c>
    </row>
    <row r="36" spans="1:17" customFormat="1">
      <c r="A36" s="72">
        <v>45318.291666666664</v>
      </c>
      <c r="B36" s="6">
        <v>49.52</v>
      </c>
      <c r="C36" s="6">
        <v>29.09</v>
      </c>
      <c r="D36" s="6">
        <v>56.26</v>
      </c>
      <c r="E36" s="6">
        <v>8.07</v>
      </c>
      <c r="F36" s="6">
        <v>3.35</v>
      </c>
      <c r="G36" s="6">
        <v>80.98</v>
      </c>
      <c r="H36" s="6">
        <v>43.93</v>
      </c>
      <c r="I36" s="6">
        <v>10.38</v>
      </c>
      <c r="J36" s="6">
        <v>0.11</v>
      </c>
      <c r="K36" s="6">
        <v>163.32</v>
      </c>
      <c r="L36" s="6">
        <v>11.33</v>
      </c>
      <c r="M36" s="6">
        <v>95.42</v>
      </c>
      <c r="N36" s="6">
        <v>6.2</v>
      </c>
      <c r="O36" s="6">
        <v>0</v>
      </c>
      <c r="P36" s="6">
        <v>0.99</v>
      </c>
      <c r="Q36" s="6">
        <v>5.3</v>
      </c>
    </row>
    <row r="37" spans="1:17" customFormat="1">
      <c r="A37" s="72">
        <v>45318.302083333336</v>
      </c>
      <c r="B37" s="6">
        <v>50.48</v>
      </c>
      <c r="C37" s="6">
        <v>29.02</v>
      </c>
      <c r="D37" s="6">
        <v>56.99</v>
      </c>
      <c r="E37" s="6">
        <v>8.2100000000000009</v>
      </c>
      <c r="F37" s="6">
        <v>3.44</v>
      </c>
      <c r="G37" s="6">
        <v>80.98</v>
      </c>
      <c r="H37" s="6">
        <v>43.93</v>
      </c>
      <c r="I37" s="6">
        <v>10.46</v>
      </c>
      <c r="J37" s="6">
        <v>0.21</v>
      </c>
      <c r="K37" s="6">
        <v>163.82</v>
      </c>
      <c r="L37" s="6">
        <v>11.91</v>
      </c>
      <c r="M37" s="6">
        <v>93.66</v>
      </c>
      <c r="N37" s="6">
        <v>17.899999999999999</v>
      </c>
      <c r="O37" s="6">
        <v>0</v>
      </c>
      <c r="P37" s="6">
        <v>1.02</v>
      </c>
      <c r="Q37" s="6">
        <v>5.31</v>
      </c>
    </row>
    <row r="38" spans="1:17" customFormat="1">
      <c r="A38" s="72">
        <v>45318.3125</v>
      </c>
      <c r="B38" s="6">
        <v>52.95</v>
      </c>
      <c r="C38" s="6">
        <v>29.11</v>
      </c>
      <c r="D38" s="6">
        <v>59.03</v>
      </c>
      <c r="E38" s="6">
        <v>8.3699999999999992</v>
      </c>
      <c r="F38" s="6">
        <v>3.33</v>
      </c>
      <c r="G38" s="6">
        <v>86.66</v>
      </c>
      <c r="H38" s="6">
        <v>43.74</v>
      </c>
      <c r="I38" s="6">
        <v>10.62</v>
      </c>
      <c r="J38" s="6">
        <v>0.16</v>
      </c>
      <c r="K38" s="6">
        <v>185.99</v>
      </c>
      <c r="L38" s="6">
        <v>12.61</v>
      </c>
      <c r="M38" s="6">
        <v>92.7</v>
      </c>
      <c r="N38" s="6">
        <v>30.9</v>
      </c>
      <c r="O38" s="6">
        <v>0</v>
      </c>
      <c r="P38" s="6">
        <v>1.04</v>
      </c>
      <c r="Q38" s="6">
        <v>5.32</v>
      </c>
    </row>
    <row r="39" spans="1:17" customFormat="1">
      <c r="A39" s="72">
        <v>45318.322916666664</v>
      </c>
      <c r="B39" s="6">
        <v>56.62</v>
      </c>
      <c r="C39" s="6">
        <v>29.3</v>
      </c>
      <c r="D39" s="6">
        <v>62.06</v>
      </c>
      <c r="E39" s="6">
        <v>7.86</v>
      </c>
      <c r="F39" s="6">
        <v>3.44</v>
      </c>
      <c r="G39" s="6">
        <v>87.37</v>
      </c>
      <c r="H39" s="6">
        <v>43.74</v>
      </c>
      <c r="I39" s="6">
        <v>10.88</v>
      </c>
      <c r="J39" s="6">
        <v>0.1</v>
      </c>
      <c r="K39" s="6">
        <v>194.67</v>
      </c>
      <c r="L39" s="6">
        <v>13.45</v>
      </c>
      <c r="M39" s="6">
        <v>90.04</v>
      </c>
      <c r="N39" s="6">
        <v>57</v>
      </c>
      <c r="O39" s="6">
        <v>0</v>
      </c>
      <c r="P39" s="6">
        <v>1.06</v>
      </c>
      <c r="Q39" s="6">
        <v>5.38</v>
      </c>
    </row>
    <row r="40" spans="1:17" customFormat="1">
      <c r="A40" s="72">
        <v>45318.333333333336</v>
      </c>
      <c r="B40" s="6">
        <v>61.14</v>
      </c>
      <c r="C40" s="6">
        <v>30.35</v>
      </c>
      <c r="D40" s="6">
        <v>66.239999999999995</v>
      </c>
      <c r="E40" s="6">
        <v>7.94</v>
      </c>
      <c r="F40" s="6">
        <v>3.43</v>
      </c>
      <c r="G40" s="6">
        <v>87.37</v>
      </c>
      <c r="H40" s="6">
        <v>43.74</v>
      </c>
      <c r="I40" s="6">
        <v>11.15</v>
      </c>
      <c r="J40" s="6">
        <v>0.23</v>
      </c>
      <c r="K40" s="6">
        <v>170.9</v>
      </c>
      <c r="L40" s="6">
        <v>14.45</v>
      </c>
      <c r="M40" s="6">
        <v>86.28</v>
      </c>
      <c r="N40" s="6">
        <v>61</v>
      </c>
      <c r="O40" s="6">
        <v>0</v>
      </c>
      <c r="P40" s="6">
        <v>1.1000000000000001</v>
      </c>
      <c r="Q40" s="6">
        <v>5.38</v>
      </c>
    </row>
    <row r="41" spans="1:17" customFormat="1">
      <c r="A41" s="72">
        <v>45318.34375</v>
      </c>
      <c r="B41" s="6">
        <v>64.75</v>
      </c>
      <c r="C41" s="6">
        <v>32.79</v>
      </c>
      <c r="D41" s="6">
        <v>70.41</v>
      </c>
      <c r="E41" s="6">
        <v>8.2200000000000006</v>
      </c>
      <c r="F41" s="6">
        <v>3.34</v>
      </c>
      <c r="G41" s="6">
        <v>87.37</v>
      </c>
      <c r="H41" s="6">
        <v>43.74</v>
      </c>
      <c r="I41" s="6">
        <v>11.46</v>
      </c>
      <c r="J41" s="6">
        <v>0.19</v>
      </c>
      <c r="K41" s="6">
        <v>182.09</v>
      </c>
      <c r="L41" s="6">
        <v>15.72</v>
      </c>
      <c r="M41" s="6">
        <v>80.38</v>
      </c>
      <c r="N41" s="6">
        <v>132.5</v>
      </c>
      <c r="O41" s="6">
        <v>0</v>
      </c>
      <c r="P41" s="6">
        <v>1.1299999999999999</v>
      </c>
      <c r="Q41" s="6">
        <v>5.41</v>
      </c>
    </row>
    <row r="42" spans="1:17" customFormat="1">
      <c r="A42" s="72">
        <v>45318.354166666664</v>
      </c>
      <c r="B42" s="6">
        <v>66.06</v>
      </c>
      <c r="C42" s="6">
        <v>35.54</v>
      </c>
      <c r="D42" s="6">
        <v>72.89</v>
      </c>
      <c r="E42" s="6">
        <v>8.26</v>
      </c>
      <c r="F42" s="6">
        <v>3.29</v>
      </c>
      <c r="G42" s="6">
        <v>103.02</v>
      </c>
      <c r="H42" s="6">
        <v>51.85</v>
      </c>
      <c r="I42" s="6">
        <v>11.76</v>
      </c>
      <c r="J42" s="6">
        <v>0.09</v>
      </c>
      <c r="K42" s="6">
        <v>186.9</v>
      </c>
      <c r="L42" s="6">
        <v>17.12</v>
      </c>
      <c r="M42" s="6">
        <v>69.48</v>
      </c>
      <c r="N42" s="6">
        <v>201.3</v>
      </c>
      <c r="O42" s="6">
        <v>0</v>
      </c>
      <c r="P42" s="6">
        <v>1.1599999999999999</v>
      </c>
      <c r="Q42" s="6">
        <v>5.46</v>
      </c>
    </row>
    <row r="43" spans="1:17" customFormat="1">
      <c r="A43" s="72">
        <v>45318.364583333336</v>
      </c>
      <c r="B43" s="6">
        <v>64.55</v>
      </c>
      <c r="C43" s="6">
        <v>35.53</v>
      </c>
      <c r="D43" s="6">
        <v>71.680000000000007</v>
      </c>
      <c r="E43" s="6">
        <v>8.9499999999999993</v>
      </c>
      <c r="F43" s="6">
        <v>3.39</v>
      </c>
      <c r="G43" s="6">
        <v>104.98</v>
      </c>
      <c r="H43" s="6">
        <v>51.85</v>
      </c>
      <c r="I43" s="6">
        <v>12</v>
      </c>
      <c r="J43" s="6">
        <v>0.16</v>
      </c>
      <c r="K43" s="6">
        <v>183.9</v>
      </c>
      <c r="L43" s="6">
        <v>18.22</v>
      </c>
      <c r="M43" s="6">
        <v>64.38</v>
      </c>
      <c r="N43" s="6">
        <v>239.6</v>
      </c>
      <c r="O43" s="6">
        <v>0</v>
      </c>
      <c r="P43" s="6">
        <v>1.17</v>
      </c>
      <c r="Q43" s="6">
        <v>5.44</v>
      </c>
    </row>
    <row r="44" spans="1:17" customFormat="1">
      <c r="A44" s="72">
        <v>45318.375</v>
      </c>
      <c r="B44" s="6">
        <v>61.24</v>
      </c>
      <c r="C44" s="6">
        <v>34.43</v>
      </c>
      <c r="D44" s="6">
        <v>68.45</v>
      </c>
      <c r="E44" s="6">
        <v>8.66</v>
      </c>
      <c r="F44" s="6">
        <v>3.41</v>
      </c>
      <c r="G44" s="6">
        <v>104.98</v>
      </c>
      <c r="H44" s="6">
        <v>51.85</v>
      </c>
      <c r="I44" s="6">
        <v>12.17</v>
      </c>
      <c r="J44" s="6">
        <v>0.33</v>
      </c>
      <c r="K44" s="6">
        <v>132.62</v>
      </c>
      <c r="L44" s="6">
        <v>20.04</v>
      </c>
      <c r="M44" s="6">
        <v>52.46</v>
      </c>
      <c r="N44" s="6">
        <v>314.3</v>
      </c>
      <c r="O44" s="6">
        <v>0</v>
      </c>
      <c r="P44" s="6">
        <v>1.17</v>
      </c>
      <c r="Q44" s="6">
        <v>5.42</v>
      </c>
    </row>
    <row r="45" spans="1:17" customFormat="1">
      <c r="A45" s="72">
        <v>45318.385416666664</v>
      </c>
      <c r="B45" s="6">
        <v>56.72</v>
      </c>
      <c r="C45" s="6">
        <v>34.49</v>
      </c>
      <c r="D45" s="6">
        <v>64.849999999999994</v>
      </c>
      <c r="E45" s="6">
        <v>8.64</v>
      </c>
      <c r="F45" s="6">
        <v>3.47</v>
      </c>
      <c r="G45" s="6">
        <v>104.98</v>
      </c>
      <c r="H45" s="6">
        <v>51.85</v>
      </c>
      <c r="I45" s="6">
        <v>12.26</v>
      </c>
      <c r="J45" s="6">
        <v>0.16</v>
      </c>
      <c r="K45" s="6">
        <v>148.6</v>
      </c>
      <c r="L45" s="6">
        <v>21.05</v>
      </c>
      <c r="M45" s="6">
        <v>47.13</v>
      </c>
      <c r="N45" s="6">
        <v>368.5</v>
      </c>
      <c r="O45" s="6">
        <v>0</v>
      </c>
      <c r="P45" s="6">
        <v>1.1499999999999999</v>
      </c>
      <c r="Q45" s="6">
        <v>5.39</v>
      </c>
    </row>
    <row r="46" spans="1:17" customFormat="1">
      <c r="A46" s="72">
        <v>45318.395833333336</v>
      </c>
      <c r="B46" s="6">
        <v>52.07</v>
      </c>
      <c r="C46" s="6">
        <v>34.82</v>
      </c>
      <c r="D46" s="6">
        <v>61.3</v>
      </c>
      <c r="E46" s="6">
        <v>9.32</v>
      </c>
      <c r="F46" s="6">
        <v>3.5</v>
      </c>
      <c r="G46" s="6">
        <v>107.47</v>
      </c>
      <c r="H46" s="6">
        <v>51.97</v>
      </c>
      <c r="I46" s="6">
        <v>12.2</v>
      </c>
      <c r="J46" s="6">
        <v>0.31</v>
      </c>
      <c r="K46" s="6">
        <v>10.88</v>
      </c>
      <c r="L46" s="6">
        <v>21.65</v>
      </c>
      <c r="M46" s="6">
        <v>42.6</v>
      </c>
      <c r="N46" s="6">
        <v>325.39999999999998</v>
      </c>
      <c r="O46" s="6">
        <v>0</v>
      </c>
      <c r="P46" s="6">
        <v>1.1399999999999999</v>
      </c>
      <c r="Q46" s="6">
        <v>5.35</v>
      </c>
    </row>
    <row r="47" spans="1:17" customFormat="1">
      <c r="A47" s="72">
        <v>45318.40625</v>
      </c>
      <c r="B47" s="6">
        <v>47.55</v>
      </c>
      <c r="C47" s="6">
        <v>35.119999999999997</v>
      </c>
      <c r="D47" s="6">
        <v>57.84</v>
      </c>
      <c r="E47" s="6">
        <v>9.11</v>
      </c>
      <c r="F47" s="6">
        <v>3.52</v>
      </c>
      <c r="G47" s="6">
        <v>107.78</v>
      </c>
      <c r="H47" s="6">
        <v>51.97</v>
      </c>
      <c r="I47" s="6">
        <v>12.01</v>
      </c>
      <c r="J47" s="6">
        <v>0.5</v>
      </c>
      <c r="K47" s="6">
        <v>83.13</v>
      </c>
      <c r="L47" s="6">
        <v>22.03</v>
      </c>
      <c r="M47" s="6">
        <v>43.27</v>
      </c>
      <c r="N47" s="6">
        <v>273.5</v>
      </c>
      <c r="O47" s="6">
        <v>0</v>
      </c>
      <c r="P47" s="6">
        <v>1.1200000000000001</v>
      </c>
      <c r="Q47" s="6">
        <v>5.32</v>
      </c>
    </row>
    <row r="48" spans="1:17" customFormat="1">
      <c r="A48" s="72">
        <v>45318.416666666664</v>
      </c>
      <c r="B48" s="6">
        <v>42.99</v>
      </c>
      <c r="C48" s="6">
        <v>35.380000000000003</v>
      </c>
      <c r="D48" s="6">
        <v>54.31</v>
      </c>
      <c r="E48" s="6">
        <v>9.25</v>
      </c>
      <c r="F48" s="6">
        <v>3.56</v>
      </c>
      <c r="G48" s="6">
        <v>107.78</v>
      </c>
      <c r="H48" s="6">
        <v>51.97</v>
      </c>
      <c r="I48" s="6">
        <v>11.77</v>
      </c>
      <c r="J48" s="6">
        <v>0.23</v>
      </c>
      <c r="K48" s="6">
        <v>57.12</v>
      </c>
      <c r="L48" s="6">
        <v>22.99</v>
      </c>
      <c r="M48" s="6">
        <v>39.93</v>
      </c>
      <c r="N48" s="6">
        <v>333.4</v>
      </c>
      <c r="O48" s="6">
        <v>0</v>
      </c>
      <c r="P48" s="6">
        <v>1.0900000000000001</v>
      </c>
      <c r="Q48" s="6">
        <v>5.29</v>
      </c>
    </row>
    <row r="49" spans="1:17" customFormat="1">
      <c r="A49" s="72">
        <v>45318.427083333336</v>
      </c>
      <c r="B49" s="6">
        <v>38.49</v>
      </c>
      <c r="C49" s="6">
        <v>35.71</v>
      </c>
      <c r="D49" s="6">
        <v>50.87</v>
      </c>
      <c r="E49" s="6">
        <v>6.1</v>
      </c>
      <c r="F49" s="6">
        <v>3.62</v>
      </c>
      <c r="G49" s="6">
        <v>107.78</v>
      </c>
      <c r="H49" s="6">
        <v>51.97</v>
      </c>
      <c r="I49" s="6">
        <v>11.54</v>
      </c>
      <c r="J49" s="6">
        <v>0.15</v>
      </c>
      <c r="K49" s="6">
        <v>146.66999999999999</v>
      </c>
      <c r="L49" s="6">
        <v>23.93</v>
      </c>
      <c r="M49" s="6">
        <v>35.42</v>
      </c>
      <c r="N49" s="6">
        <v>482.1</v>
      </c>
      <c r="O49" s="6">
        <v>0</v>
      </c>
      <c r="P49" s="6">
        <v>1.08</v>
      </c>
      <c r="Q49" s="6">
        <v>5.25</v>
      </c>
    </row>
    <row r="50" spans="1:17" customFormat="1">
      <c r="A50" s="72">
        <v>45318.4375</v>
      </c>
      <c r="B50" s="6">
        <v>34.17</v>
      </c>
      <c r="C50" s="6">
        <v>35.840000000000003</v>
      </c>
      <c r="D50" s="6">
        <v>47.48</v>
      </c>
      <c r="E50" s="6">
        <v>7.35</v>
      </c>
      <c r="F50" s="6">
        <v>3.66</v>
      </c>
      <c r="G50" s="6">
        <v>102.99</v>
      </c>
      <c r="H50" s="6">
        <v>47.3</v>
      </c>
      <c r="I50" s="6">
        <v>11.3</v>
      </c>
      <c r="J50" s="6">
        <v>0.03</v>
      </c>
      <c r="K50" s="6">
        <v>149.07</v>
      </c>
      <c r="L50" s="6">
        <v>24.33</v>
      </c>
      <c r="M50" s="6">
        <v>33.36</v>
      </c>
      <c r="N50" s="6">
        <v>520.5</v>
      </c>
      <c r="O50" s="6">
        <v>0</v>
      </c>
      <c r="P50" s="6">
        <v>1.05</v>
      </c>
      <c r="Q50" s="6">
        <v>5.19</v>
      </c>
    </row>
    <row r="51" spans="1:17" customFormat="1">
      <c r="A51" s="72">
        <v>45318.447916666664</v>
      </c>
      <c r="B51" s="6">
        <v>29.97</v>
      </c>
      <c r="C51" s="6">
        <v>35.68</v>
      </c>
      <c r="D51" s="6">
        <v>44.03</v>
      </c>
      <c r="E51" s="6">
        <v>7.23</v>
      </c>
      <c r="F51" s="6">
        <v>3.6</v>
      </c>
      <c r="G51" s="6">
        <v>102.39</v>
      </c>
      <c r="H51" s="6">
        <v>47.3</v>
      </c>
      <c r="I51" s="6">
        <v>11.03</v>
      </c>
      <c r="J51" s="6">
        <v>0.6</v>
      </c>
      <c r="K51" s="6">
        <v>26.75</v>
      </c>
      <c r="L51" s="6">
        <v>24.05</v>
      </c>
      <c r="M51" s="6">
        <v>32.81</v>
      </c>
      <c r="N51" s="6">
        <v>461.9</v>
      </c>
      <c r="O51" s="6">
        <v>0</v>
      </c>
      <c r="P51" s="6">
        <v>1.02</v>
      </c>
      <c r="Q51" s="6">
        <v>5.13</v>
      </c>
    </row>
    <row r="52" spans="1:17" customFormat="1">
      <c r="A52" s="72">
        <v>45318.458333333336</v>
      </c>
      <c r="B52" s="6">
        <v>27.3</v>
      </c>
      <c r="C52" s="6">
        <v>34.869999999999997</v>
      </c>
      <c r="D52" s="6">
        <v>41.46</v>
      </c>
      <c r="E52" s="6">
        <v>6.76</v>
      </c>
      <c r="F52" s="6">
        <v>3.68</v>
      </c>
      <c r="G52" s="6">
        <v>102.39</v>
      </c>
      <c r="H52" s="6">
        <v>47.3</v>
      </c>
      <c r="I52" s="6">
        <v>10.73</v>
      </c>
      <c r="J52" s="6">
        <v>0.11</v>
      </c>
      <c r="K52" s="6">
        <v>250.41</v>
      </c>
      <c r="L52" s="6">
        <v>24.28</v>
      </c>
      <c r="M52" s="6">
        <v>30.37</v>
      </c>
      <c r="N52" s="6">
        <v>438.5</v>
      </c>
      <c r="O52" s="6">
        <v>0</v>
      </c>
      <c r="P52" s="6">
        <v>1.01</v>
      </c>
      <c r="Q52" s="6">
        <v>5.08</v>
      </c>
    </row>
    <row r="53" spans="1:17" customFormat="1">
      <c r="A53" s="72">
        <v>45318.46875</v>
      </c>
      <c r="B53" s="6">
        <v>25.33</v>
      </c>
      <c r="C53" s="6">
        <v>33.11</v>
      </c>
      <c r="D53" s="6">
        <v>38.96</v>
      </c>
      <c r="E53" s="6">
        <v>6.81</v>
      </c>
      <c r="F53" s="6">
        <v>3.76</v>
      </c>
      <c r="G53" s="6">
        <v>102.39</v>
      </c>
      <c r="H53" s="6">
        <v>47.3</v>
      </c>
      <c r="I53" s="6">
        <v>10.45</v>
      </c>
      <c r="J53" s="6">
        <v>0.38</v>
      </c>
      <c r="K53" s="6">
        <v>103.22</v>
      </c>
      <c r="L53" s="6">
        <v>24.58</v>
      </c>
      <c r="M53" s="6">
        <v>30.13</v>
      </c>
      <c r="N53" s="6">
        <v>431.4</v>
      </c>
      <c r="O53" s="6">
        <v>0</v>
      </c>
      <c r="P53" s="6">
        <v>1</v>
      </c>
      <c r="Q53" s="6">
        <v>5.03</v>
      </c>
    </row>
    <row r="54" spans="1:17" customFormat="1">
      <c r="A54" s="72">
        <v>45318.479166666664</v>
      </c>
      <c r="B54" s="6">
        <v>23.4</v>
      </c>
      <c r="C54" s="6">
        <v>31.67</v>
      </c>
      <c r="D54" s="6">
        <v>36.659999999999997</v>
      </c>
      <c r="E54" s="6">
        <v>6.39</v>
      </c>
      <c r="F54" s="6">
        <v>3.75</v>
      </c>
      <c r="G54" s="6">
        <v>88.9</v>
      </c>
      <c r="H54" s="6">
        <v>42.74</v>
      </c>
      <c r="I54" s="6">
        <v>10.25</v>
      </c>
      <c r="J54" s="6">
        <v>0.81</v>
      </c>
      <c r="K54" s="6">
        <v>58.79</v>
      </c>
      <c r="L54" s="6">
        <v>24.88</v>
      </c>
      <c r="M54" s="6">
        <v>29.44</v>
      </c>
      <c r="N54" s="6">
        <v>561.5</v>
      </c>
      <c r="O54" s="6">
        <v>0</v>
      </c>
      <c r="P54" s="6">
        <v>0.98</v>
      </c>
      <c r="Q54" s="6">
        <v>5.03</v>
      </c>
    </row>
    <row r="55" spans="1:17" customFormat="1">
      <c r="A55" s="72">
        <v>45318.489583333336</v>
      </c>
      <c r="B55" s="6">
        <v>21.73</v>
      </c>
      <c r="C55" s="6">
        <v>30.86</v>
      </c>
      <c r="D55" s="6">
        <v>34.9</v>
      </c>
      <c r="E55" s="6">
        <v>6.3</v>
      </c>
      <c r="F55" s="6">
        <v>3.8</v>
      </c>
      <c r="G55" s="6">
        <v>87.22</v>
      </c>
      <c r="H55" s="6">
        <v>42.74</v>
      </c>
      <c r="I55" s="6">
        <v>10.06</v>
      </c>
      <c r="J55" s="6">
        <v>0.27</v>
      </c>
      <c r="K55" s="6">
        <v>124.89</v>
      </c>
      <c r="L55" s="6">
        <v>25.33</v>
      </c>
      <c r="M55" s="6">
        <v>28.7</v>
      </c>
      <c r="N55" s="6">
        <v>638.79999999999995</v>
      </c>
      <c r="O55" s="6">
        <v>0</v>
      </c>
      <c r="P55" s="6">
        <v>0.96</v>
      </c>
      <c r="Q55" s="6">
        <v>5</v>
      </c>
    </row>
    <row r="56" spans="1:17" customFormat="1">
      <c r="A56" s="72">
        <v>45318.5</v>
      </c>
      <c r="B56" s="6">
        <v>19.72</v>
      </c>
      <c r="C56" s="6">
        <v>30.43</v>
      </c>
      <c r="D56" s="6">
        <v>33.06</v>
      </c>
      <c r="E56" s="6">
        <v>6.13</v>
      </c>
      <c r="F56" s="6">
        <v>3.73</v>
      </c>
      <c r="G56" s="6">
        <v>87.22</v>
      </c>
      <c r="H56" s="6">
        <v>42.74</v>
      </c>
      <c r="I56" s="6">
        <v>9.8699999999999992</v>
      </c>
      <c r="J56" s="6">
        <v>0.95</v>
      </c>
      <c r="K56" s="6">
        <v>63.64</v>
      </c>
      <c r="L56" s="6">
        <v>25.48</v>
      </c>
      <c r="M56" s="6">
        <v>28.1</v>
      </c>
      <c r="N56" s="6">
        <v>548.20000000000005</v>
      </c>
      <c r="O56" s="6">
        <v>0</v>
      </c>
      <c r="P56" s="6">
        <v>0.94</v>
      </c>
      <c r="Q56" s="6">
        <v>5</v>
      </c>
    </row>
    <row r="57" spans="1:17" customFormat="1">
      <c r="A57" s="72">
        <v>45318.510416666664</v>
      </c>
      <c r="B57" s="6">
        <v>17.88</v>
      </c>
      <c r="C57" s="6">
        <v>29.96</v>
      </c>
      <c r="D57" s="6">
        <v>31.34</v>
      </c>
      <c r="E57" s="6">
        <v>6.01</v>
      </c>
      <c r="F57" s="6">
        <v>3.63</v>
      </c>
      <c r="G57" s="6">
        <v>87.22</v>
      </c>
      <c r="H57" s="6">
        <v>42.74</v>
      </c>
      <c r="I57" s="6">
        <v>9.7100000000000009</v>
      </c>
      <c r="J57" s="6">
        <v>0.86</v>
      </c>
      <c r="K57" s="6">
        <v>64.39</v>
      </c>
      <c r="L57" s="6">
        <v>25.37</v>
      </c>
      <c r="M57" s="6">
        <v>27.67</v>
      </c>
      <c r="N57" s="6">
        <v>525</v>
      </c>
      <c r="O57" s="6">
        <v>0</v>
      </c>
      <c r="P57" s="6">
        <v>0.93</v>
      </c>
      <c r="Q57" s="6">
        <v>4.9800000000000004</v>
      </c>
    </row>
    <row r="58" spans="1:17" customFormat="1">
      <c r="A58" s="72">
        <v>45318.520833333336</v>
      </c>
      <c r="B58" s="6">
        <v>16.149999999999999</v>
      </c>
      <c r="C58" s="6">
        <v>29.46</v>
      </c>
      <c r="D58" s="6">
        <v>29.69</v>
      </c>
      <c r="E58" s="6">
        <v>5.98</v>
      </c>
      <c r="F58" s="6">
        <v>3.74</v>
      </c>
      <c r="G58" s="6">
        <v>81.45</v>
      </c>
      <c r="H58" s="6">
        <v>36.299999999999997</v>
      </c>
      <c r="I58" s="6">
        <v>9.5299999999999994</v>
      </c>
      <c r="J58" s="6">
        <v>0.67</v>
      </c>
      <c r="K58" s="6">
        <v>77.62</v>
      </c>
      <c r="L58" s="6">
        <v>25.74</v>
      </c>
      <c r="M58" s="6">
        <v>26.79</v>
      </c>
      <c r="N58" s="6">
        <v>514.70000000000005</v>
      </c>
      <c r="O58" s="6">
        <v>0</v>
      </c>
      <c r="P58" s="6">
        <v>0.93</v>
      </c>
      <c r="Q58" s="6">
        <v>4.97</v>
      </c>
    </row>
    <row r="59" spans="1:17" customFormat="1">
      <c r="A59" s="72">
        <v>45318.53125</v>
      </c>
      <c r="B59" s="6">
        <v>14.59</v>
      </c>
      <c r="C59" s="6">
        <v>28.88</v>
      </c>
      <c r="D59" s="6">
        <v>28.14</v>
      </c>
      <c r="E59" s="6">
        <v>5.66</v>
      </c>
      <c r="F59" s="6">
        <v>3.72</v>
      </c>
      <c r="G59" s="6">
        <v>80.73</v>
      </c>
      <c r="H59" s="6">
        <v>36.299999999999997</v>
      </c>
      <c r="I59" s="6">
        <v>9.34</v>
      </c>
      <c r="J59" s="6">
        <v>0.67</v>
      </c>
      <c r="K59" s="6">
        <v>50.23</v>
      </c>
      <c r="L59" s="6">
        <v>25.75</v>
      </c>
      <c r="M59" s="6">
        <v>26.89</v>
      </c>
      <c r="N59" s="6">
        <v>427.4</v>
      </c>
      <c r="O59" s="6">
        <v>0</v>
      </c>
      <c r="P59" s="6">
        <v>0.9</v>
      </c>
      <c r="Q59" s="6">
        <v>4.91</v>
      </c>
    </row>
    <row r="60" spans="1:17" customFormat="1">
      <c r="A60" s="72">
        <v>45318.541666666664</v>
      </c>
      <c r="B60" s="6">
        <v>13.45</v>
      </c>
      <c r="C60" s="6">
        <v>28.23</v>
      </c>
      <c r="D60" s="6">
        <v>26.89</v>
      </c>
      <c r="E60" s="6">
        <v>5.96</v>
      </c>
      <c r="F60" s="6">
        <v>3.74</v>
      </c>
      <c r="G60" s="6">
        <v>80.73</v>
      </c>
      <c r="H60" s="6">
        <v>36.299999999999997</v>
      </c>
      <c r="I60" s="6">
        <v>9.18</v>
      </c>
      <c r="J60" s="6">
        <v>1.0900000000000001</v>
      </c>
      <c r="K60" s="6">
        <v>61.06</v>
      </c>
      <c r="L60" s="6">
        <v>25.68</v>
      </c>
      <c r="M60" s="6">
        <v>27.39</v>
      </c>
      <c r="N60" s="6">
        <v>333.7</v>
      </c>
      <c r="O60" s="6">
        <v>0</v>
      </c>
      <c r="P60" s="6">
        <v>0.89</v>
      </c>
      <c r="Q60" s="6">
        <v>4.9000000000000004</v>
      </c>
    </row>
    <row r="61" spans="1:17" customFormat="1">
      <c r="A61" s="72">
        <v>45318.552083333336</v>
      </c>
      <c r="B61" s="6">
        <v>12.57</v>
      </c>
      <c r="C61" s="6">
        <v>28.05</v>
      </c>
      <c r="D61" s="6">
        <v>26.09</v>
      </c>
      <c r="E61" s="6">
        <v>6.61</v>
      </c>
      <c r="F61" s="6">
        <v>3.73</v>
      </c>
      <c r="G61" s="6">
        <v>80.73</v>
      </c>
      <c r="H61" s="6">
        <v>36.299999999999997</v>
      </c>
      <c r="I61" s="6">
        <v>9.02</v>
      </c>
      <c r="J61" s="6">
        <v>0.62</v>
      </c>
      <c r="K61" s="6">
        <v>56.65</v>
      </c>
      <c r="L61" s="6">
        <v>25.49</v>
      </c>
      <c r="M61" s="6">
        <v>29.08</v>
      </c>
      <c r="N61" s="6">
        <v>203.7</v>
      </c>
      <c r="O61" s="6">
        <v>0</v>
      </c>
      <c r="P61" s="6">
        <v>0.89</v>
      </c>
      <c r="Q61" s="6">
        <v>4.91</v>
      </c>
    </row>
    <row r="62" spans="1:17" customFormat="1">
      <c r="A62" s="72">
        <v>45318.5625</v>
      </c>
      <c r="B62" s="6">
        <v>11.97</v>
      </c>
      <c r="C62" s="6">
        <v>27.5</v>
      </c>
      <c r="D62" s="6">
        <v>25.32</v>
      </c>
      <c r="E62" s="6">
        <v>6.05</v>
      </c>
      <c r="F62" s="6">
        <v>3.69</v>
      </c>
      <c r="G62" s="6">
        <v>77.75</v>
      </c>
      <c r="H62" s="6">
        <v>33.869999999999997</v>
      </c>
      <c r="I62" s="6">
        <v>8.92</v>
      </c>
      <c r="J62" s="6">
        <v>0.59</v>
      </c>
      <c r="K62" s="6">
        <v>42.56</v>
      </c>
      <c r="L62" s="6">
        <v>25.68</v>
      </c>
      <c r="M62" s="6">
        <v>28.8</v>
      </c>
      <c r="N62" s="6">
        <v>233.3</v>
      </c>
      <c r="O62" s="6">
        <v>0</v>
      </c>
      <c r="P62" s="6">
        <v>0.89</v>
      </c>
      <c r="Q62" s="6">
        <v>4.88</v>
      </c>
    </row>
    <row r="63" spans="1:17" customFormat="1">
      <c r="A63" s="72">
        <v>45318.572916666664</v>
      </c>
      <c r="B63" s="6">
        <v>11.51</v>
      </c>
      <c r="C63" s="6">
        <v>27.1</v>
      </c>
      <c r="D63" s="6">
        <v>24.74</v>
      </c>
      <c r="E63" s="6">
        <v>6.77</v>
      </c>
      <c r="F63" s="6">
        <v>3.76</v>
      </c>
      <c r="G63" s="6">
        <v>77.38</v>
      </c>
      <c r="H63" s="6">
        <v>33.869999999999997</v>
      </c>
      <c r="I63" s="6">
        <v>8.82</v>
      </c>
      <c r="J63" s="6">
        <v>0.69</v>
      </c>
      <c r="K63" s="6">
        <v>38.369999999999997</v>
      </c>
      <c r="L63" s="6">
        <v>25.68</v>
      </c>
      <c r="M63" s="6">
        <v>29.5</v>
      </c>
      <c r="N63" s="6">
        <v>274.10000000000002</v>
      </c>
      <c r="O63" s="6">
        <v>0</v>
      </c>
      <c r="P63" s="6">
        <v>0.89</v>
      </c>
      <c r="Q63" s="6">
        <v>4.8600000000000003</v>
      </c>
    </row>
    <row r="64" spans="1:17" customFormat="1">
      <c r="A64" s="72">
        <v>45318.583333333336</v>
      </c>
      <c r="B64" s="6">
        <v>11.16</v>
      </c>
      <c r="C64" s="6">
        <v>26.89</v>
      </c>
      <c r="D64" s="6">
        <v>24.34</v>
      </c>
      <c r="E64" s="6">
        <v>7.42</v>
      </c>
      <c r="F64" s="6">
        <v>3.84</v>
      </c>
      <c r="G64" s="6">
        <v>77.38</v>
      </c>
      <c r="H64" s="6">
        <v>33.869999999999997</v>
      </c>
      <c r="I64" s="6">
        <v>8.74</v>
      </c>
      <c r="J64" s="6">
        <v>0.28000000000000003</v>
      </c>
      <c r="K64" s="6">
        <v>333.66</v>
      </c>
      <c r="L64" s="6">
        <v>25.85</v>
      </c>
      <c r="M64" s="6">
        <v>28.99</v>
      </c>
      <c r="N64" s="6">
        <v>261.2</v>
      </c>
      <c r="O64" s="6">
        <v>0</v>
      </c>
      <c r="P64" s="6">
        <v>0.89</v>
      </c>
      <c r="Q64" s="6">
        <v>4.88</v>
      </c>
    </row>
    <row r="65" spans="1:17" customFormat="1">
      <c r="A65" s="72">
        <v>45318.59375</v>
      </c>
      <c r="B65" s="6">
        <v>10.81</v>
      </c>
      <c r="C65" s="6">
        <v>26.35</v>
      </c>
      <c r="D65" s="6">
        <v>23.79</v>
      </c>
      <c r="E65" s="6">
        <v>6.96</v>
      </c>
      <c r="F65" s="6">
        <v>3.89</v>
      </c>
      <c r="G65" s="6">
        <v>77.38</v>
      </c>
      <c r="H65" s="6">
        <v>33.869999999999997</v>
      </c>
      <c r="I65" s="6">
        <v>8.69</v>
      </c>
      <c r="J65" s="6">
        <v>0.36</v>
      </c>
      <c r="K65" s="6">
        <v>3.41</v>
      </c>
      <c r="L65" s="6">
        <v>26.04</v>
      </c>
      <c r="M65" s="6">
        <v>28.78</v>
      </c>
      <c r="N65" s="6">
        <v>255.4</v>
      </c>
      <c r="O65" s="6">
        <v>0</v>
      </c>
      <c r="P65" s="6">
        <v>0.85</v>
      </c>
      <c r="Q65" s="6">
        <v>4.87</v>
      </c>
    </row>
    <row r="66" spans="1:17" customFormat="1">
      <c r="A66" s="72">
        <v>45318.604166666664</v>
      </c>
      <c r="B66" s="6">
        <v>10.59</v>
      </c>
      <c r="C66" s="6">
        <v>25.69</v>
      </c>
      <c r="D66" s="6">
        <v>23.27</v>
      </c>
      <c r="E66" s="6">
        <v>7.01</v>
      </c>
      <c r="F66" s="6">
        <v>3.99</v>
      </c>
      <c r="G66" s="6">
        <v>88.5</v>
      </c>
      <c r="H66" s="6">
        <v>36.520000000000003</v>
      </c>
      <c r="I66" s="6">
        <v>8.61</v>
      </c>
      <c r="J66" s="6">
        <v>0.91</v>
      </c>
      <c r="K66" s="6">
        <v>37.44</v>
      </c>
      <c r="L66" s="6">
        <v>25.84</v>
      </c>
      <c r="M66" s="6">
        <v>28.38</v>
      </c>
      <c r="N66" s="6">
        <v>236.1</v>
      </c>
      <c r="O66" s="6">
        <v>0</v>
      </c>
      <c r="P66" s="6">
        <v>0.89</v>
      </c>
      <c r="Q66" s="6">
        <v>4.8499999999999996</v>
      </c>
    </row>
    <row r="67" spans="1:17" customFormat="1">
      <c r="A67" s="72">
        <v>45318.614583333336</v>
      </c>
      <c r="B67" s="6">
        <v>10.31</v>
      </c>
      <c r="C67" s="6">
        <v>25.64</v>
      </c>
      <c r="D67" s="6">
        <v>23.02</v>
      </c>
      <c r="E67" s="6">
        <v>7.43</v>
      </c>
      <c r="F67" s="6">
        <v>4.03</v>
      </c>
      <c r="G67" s="6">
        <v>89.9</v>
      </c>
      <c r="H67" s="6">
        <v>36.520000000000003</v>
      </c>
      <c r="I67" s="6">
        <v>8.5399999999999991</v>
      </c>
      <c r="J67" s="6">
        <v>1.18</v>
      </c>
      <c r="K67" s="6">
        <v>46.4</v>
      </c>
      <c r="L67" s="6">
        <v>25.56</v>
      </c>
      <c r="M67" s="6">
        <v>28.54</v>
      </c>
      <c r="N67" s="6">
        <v>171</v>
      </c>
      <c r="O67" s="6">
        <v>0</v>
      </c>
      <c r="P67" s="6">
        <v>0.89</v>
      </c>
      <c r="Q67" s="6">
        <v>4.8499999999999996</v>
      </c>
    </row>
    <row r="68" spans="1:17" customFormat="1">
      <c r="A68" s="72">
        <v>45318.625</v>
      </c>
      <c r="B68" s="6">
        <v>10.11</v>
      </c>
      <c r="C68" s="6">
        <v>25.73</v>
      </c>
      <c r="D68" s="6">
        <v>22.9</v>
      </c>
      <c r="E68" s="6">
        <v>7.69</v>
      </c>
      <c r="F68" s="6">
        <v>4.0999999999999996</v>
      </c>
      <c r="G68" s="6">
        <v>89.9</v>
      </c>
      <c r="H68" s="6">
        <v>36.520000000000003</v>
      </c>
      <c r="I68" s="6">
        <v>8.4499999999999993</v>
      </c>
      <c r="J68" s="6">
        <v>1.26</v>
      </c>
      <c r="K68" s="6">
        <v>51.12</v>
      </c>
      <c r="L68" s="6">
        <v>25.26</v>
      </c>
      <c r="M68" s="6">
        <v>28.77</v>
      </c>
      <c r="N68" s="6">
        <v>142.80000000000001</v>
      </c>
      <c r="O68" s="6">
        <v>0</v>
      </c>
      <c r="P68" s="6">
        <v>0.88</v>
      </c>
      <c r="Q68" s="6">
        <v>4.87</v>
      </c>
    </row>
    <row r="69" spans="1:17" customFormat="1">
      <c r="A69" s="72">
        <v>45318.635416666664</v>
      </c>
      <c r="B69" s="6">
        <v>9.77</v>
      </c>
      <c r="C69" s="6">
        <v>25.63</v>
      </c>
      <c r="D69" s="6">
        <v>22.58</v>
      </c>
      <c r="E69" s="6">
        <v>7.59</v>
      </c>
      <c r="F69" s="6">
        <v>3.89</v>
      </c>
      <c r="G69" s="6">
        <v>89.9</v>
      </c>
      <c r="H69" s="6">
        <v>36.520000000000003</v>
      </c>
      <c r="I69" s="6">
        <v>8.35</v>
      </c>
      <c r="J69" s="6">
        <v>0.64</v>
      </c>
      <c r="K69" s="6">
        <v>34.24</v>
      </c>
      <c r="L69" s="6">
        <v>25.43</v>
      </c>
      <c r="M69" s="6">
        <v>28.87</v>
      </c>
      <c r="N69" s="6">
        <v>134.30000000000001</v>
      </c>
      <c r="O69" s="6">
        <v>0</v>
      </c>
      <c r="P69" s="6">
        <v>0.88</v>
      </c>
      <c r="Q69" s="6">
        <v>4.8600000000000003</v>
      </c>
    </row>
    <row r="70" spans="1:17" customFormat="1">
      <c r="A70" s="72">
        <v>45318.645833333336</v>
      </c>
      <c r="B70" s="6">
        <v>9.67</v>
      </c>
      <c r="C70" s="6">
        <v>26.55</v>
      </c>
      <c r="D70" s="6">
        <v>22.98</v>
      </c>
      <c r="E70" s="6">
        <v>8.8699999999999992</v>
      </c>
      <c r="F70" s="6">
        <v>3.98</v>
      </c>
      <c r="G70" s="6">
        <v>91.81</v>
      </c>
      <c r="H70" s="6">
        <v>38.65</v>
      </c>
      <c r="I70" s="6">
        <v>8.2799999999999994</v>
      </c>
      <c r="J70" s="6">
        <v>0.37</v>
      </c>
      <c r="K70" s="6">
        <v>320.72000000000003</v>
      </c>
      <c r="L70" s="6">
        <v>25.54</v>
      </c>
      <c r="M70" s="6">
        <v>28.65</v>
      </c>
      <c r="N70" s="6">
        <v>116.4</v>
      </c>
      <c r="O70" s="6">
        <v>0</v>
      </c>
      <c r="P70" s="6">
        <v>0.87</v>
      </c>
      <c r="Q70" s="6">
        <v>4.88</v>
      </c>
    </row>
    <row r="71" spans="1:17" customFormat="1">
      <c r="A71" s="72">
        <v>45318.65625</v>
      </c>
      <c r="B71" s="6">
        <v>9.1199999999999992</v>
      </c>
      <c r="C71" s="6">
        <v>27.49</v>
      </c>
      <c r="D71" s="6">
        <v>23.02</v>
      </c>
      <c r="E71" s="6">
        <v>8.8800000000000008</v>
      </c>
      <c r="F71" s="6">
        <v>4.26</v>
      </c>
      <c r="G71" s="6">
        <v>92.05</v>
      </c>
      <c r="H71" s="6">
        <v>38.65</v>
      </c>
      <c r="I71" s="6">
        <v>8.19</v>
      </c>
      <c r="J71" s="6">
        <v>0.46</v>
      </c>
      <c r="K71" s="6">
        <v>55.28</v>
      </c>
      <c r="L71" s="6">
        <v>25.46</v>
      </c>
      <c r="M71" s="6">
        <v>28.61</v>
      </c>
      <c r="N71" s="6">
        <v>92.8</v>
      </c>
      <c r="O71" s="6">
        <v>0</v>
      </c>
      <c r="P71" s="6">
        <v>0.86</v>
      </c>
      <c r="Q71" s="6">
        <v>4.87</v>
      </c>
    </row>
    <row r="72" spans="1:17" customFormat="1">
      <c r="A72" s="72">
        <v>45318.666666666664</v>
      </c>
      <c r="B72" s="6">
        <v>8.43</v>
      </c>
      <c r="C72" s="6">
        <v>28.14</v>
      </c>
      <c r="D72" s="6">
        <v>22.81</v>
      </c>
      <c r="E72" s="6">
        <v>8.4</v>
      </c>
      <c r="F72" s="6">
        <v>4.1399999999999997</v>
      </c>
      <c r="G72" s="6">
        <v>92.05</v>
      </c>
      <c r="H72" s="6">
        <v>38.65</v>
      </c>
      <c r="I72" s="6">
        <v>8.1199999999999992</v>
      </c>
      <c r="J72" s="6">
        <v>0.36</v>
      </c>
      <c r="K72" s="6">
        <v>342</v>
      </c>
      <c r="L72" s="6">
        <v>25.47</v>
      </c>
      <c r="M72" s="6">
        <v>29.13</v>
      </c>
      <c r="N72" s="6">
        <v>81.3</v>
      </c>
      <c r="O72" s="6">
        <v>0</v>
      </c>
      <c r="P72" s="6">
        <v>0.87</v>
      </c>
      <c r="Q72" s="6">
        <v>4.88</v>
      </c>
    </row>
    <row r="73" spans="1:17" customFormat="1">
      <c r="A73" s="72">
        <v>45318.677083333336</v>
      </c>
      <c r="B73" s="6">
        <v>7.91</v>
      </c>
      <c r="C73" s="6">
        <v>29.05</v>
      </c>
      <c r="D73" s="6">
        <v>22.87</v>
      </c>
      <c r="E73" s="6">
        <v>8.4600000000000009</v>
      </c>
      <c r="F73" s="6">
        <v>4.8600000000000003</v>
      </c>
      <c r="G73" s="6">
        <v>92.05</v>
      </c>
      <c r="H73" s="6">
        <v>38.65</v>
      </c>
      <c r="I73" s="6">
        <v>8.01</v>
      </c>
      <c r="J73" s="6">
        <v>0.53</v>
      </c>
      <c r="K73" s="6">
        <v>26.33</v>
      </c>
      <c r="L73" s="6">
        <v>25.33</v>
      </c>
      <c r="M73" s="6">
        <v>29.07</v>
      </c>
      <c r="N73" s="6">
        <v>70.900000000000006</v>
      </c>
      <c r="O73" s="6">
        <v>0</v>
      </c>
      <c r="P73" s="6">
        <v>0.86</v>
      </c>
      <c r="Q73" s="6">
        <v>4.8899999999999997</v>
      </c>
    </row>
    <row r="74" spans="1:17" customFormat="1">
      <c r="A74" s="72">
        <v>45318.6875</v>
      </c>
      <c r="B74" s="6">
        <v>7.55</v>
      </c>
      <c r="C74" s="6">
        <v>29.31</v>
      </c>
      <c r="D74" s="6">
        <v>22.72</v>
      </c>
      <c r="E74" s="6">
        <v>7.73</v>
      </c>
      <c r="F74" s="6">
        <v>4.68</v>
      </c>
      <c r="G74" s="6">
        <v>91.11</v>
      </c>
      <c r="H74" s="6">
        <v>35.630000000000003</v>
      </c>
      <c r="I74" s="6">
        <v>7.87</v>
      </c>
      <c r="J74" s="6">
        <v>0.39</v>
      </c>
      <c r="K74" s="6">
        <v>8.01</v>
      </c>
      <c r="L74" s="6">
        <v>25.15</v>
      </c>
      <c r="M74" s="6">
        <v>29.31</v>
      </c>
      <c r="N74" s="6">
        <v>63.7</v>
      </c>
      <c r="O74" s="6">
        <v>0</v>
      </c>
      <c r="P74" s="6">
        <v>0.85</v>
      </c>
      <c r="Q74" s="6">
        <v>4.87</v>
      </c>
    </row>
    <row r="75" spans="1:17" customFormat="1">
      <c r="A75" s="72">
        <v>45318.697916666664</v>
      </c>
      <c r="B75" s="6">
        <v>7.4</v>
      </c>
      <c r="C75" s="6">
        <v>29.54</v>
      </c>
      <c r="D75" s="6">
        <v>22.71</v>
      </c>
      <c r="E75" s="6">
        <v>7.52</v>
      </c>
      <c r="F75" s="6">
        <v>4.18</v>
      </c>
      <c r="G75" s="6">
        <v>90.99</v>
      </c>
      <c r="H75" s="6">
        <v>35.630000000000003</v>
      </c>
      <c r="I75" s="6">
        <v>7.72</v>
      </c>
      <c r="J75" s="6">
        <v>0.28000000000000003</v>
      </c>
      <c r="K75" s="6">
        <v>350.65</v>
      </c>
      <c r="L75" s="6">
        <v>25.04</v>
      </c>
      <c r="M75" s="6">
        <v>29</v>
      </c>
      <c r="N75" s="6">
        <v>59.1</v>
      </c>
      <c r="O75" s="6">
        <v>0</v>
      </c>
      <c r="P75" s="6">
        <v>0.84</v>
      </c>
      <c r="Q75" s="6">
        <v>4.8600000000000003</v>
      </c>
    </row>
    <row r="76" spans="1:17" customFormat="1">
      <c r="A76" s="72">
        <v>45318.708333333336</v>
      </c>
      <c r="B76" s="6">
        <v>7.49</v>
      </c>
      <c r="C76" s="6">
        <v>30.05</v>
      </c>
      <c r="D76" s="6">
        <v>23.06</v>
      </c>
      <c r="E76" s="6">
        <v>7.74</v>
      </c>
      <c r="F76" s="6">
        <v>4.09</v>
      </c>
      <c r="G76" s="6">
        <v>90.99</v>
      </c>
      <c r="H76" s="6">
        <v>35.630000000000003</v>
      </c>
      <c r="I76" s="6">
        <v>7.58</v>
      </c>
      <c r="J76" s="6">
        <v>0.51</v>
      </c>
      <c r="K76" s="6">
        <v>46.1</v>
      </c>
      <c r="L76" s="6">
        <v>24.76</v>
      </c>
      <c r="M76" s="6">
        <v>29.72</v>
      </c>
      <c r="N76" s="6">
        <v>40.1</v>
      </c>
      <c r="O76" s="6">
        <v>0</v>
      </c>
      <c r="P76" s="6">
        <v>0.84</v>
      </c>
      <c r="Q76" s="6">
        <v>4.8499999999999996</v>
      </c>
    </row>
    <row r="77" spans="1:17" customFormat="1">
      <c r="A77" s="72">
        <v>45318.71875</v>
      </c>
      <c r="B77" s="6">
        <v>7.85</v>
      </c>
      <c r="C77" s="6">
        <v>30.67</v>
      </c>
      <c r="D77" s="6">
        <v>23.67</v>
      </c>
      <c r="E77" s="6">
        <v>6.52</v>
      </c>
      <c r="F77" s="6">
        <v>3.91</v>
      </c>
      <c r="G77" s="6">
        <v>90.99</v>
      </c>
      <c r="H77" s="6">
        <v>35.630000000000003</v>
      </c>
      <c r="I77" s="6">
        <v>7.45</v>
      </c>
      <c r="J77" s="6">
        <v>0.22</v>
      </c>
      <c r="K77" s="6">
        <v>68.39</v>
      </c>
      <c r="L77" s="6">
        <v>24.24</v>
      </c>
      <c r="M77" s="6">
        <v>33.06</v>
      </c>
      <c r="N77" s="6">
        <v>22.2</v>
      </c>
      <c r="O77" s="6">
        <v>0</v>
      </c>
      <c r="P77" s="6">
        <v>0.84</v>
      </c>
      <c r="Q77" s="6">
        <v>4.8600000000000003</v>
      </c>
    </row>
    <row r="78" spans="1:17" customFormat="1">
      <c r="A78" s="72">
        <v>45318.729166666664</v>
      </c>
      <c r="B78" s="6">
        <v>8.32</v>
      </c>
      <c r="C78" s="6">
        <v>30.93</v>
      </c>
      <c r="D78" s="6">
        <v>24.18</v>
      </c>
      <c r="E78" s="6">
        <v>6.61</v>
      </c>
      <c r="F78" s="6">
        <v>3.74</v>
      </c>
      <c r="G78" s="6">
        <v>89.46</v>
      </c>
      <c r="H78" s="6">
        <v>34.92</v>
      </c>
      <c r="I78" s="6">
        <v>7.34</v>
      </c>
      <c r="J78" s="6">
        <v>0.14000000000000001</v>
      </c>
      <c r="K78" s="6">
        <v>125.25</v>
      </c>
      <c r="L78" s="6">
        <v>23.23</v>
      </c>
      <c r="M78" s="6">
        <v>37.47</v>
      </c>
      <c r="N78" s="6">
        <v>3.4</v>
      </c>
      <c r="O78" s="6">
        <v>0</v>
      </c>
      <c r="P78" s="6">
        <v>0.84</v>
      </c>
      <c r="Q78" s="6">
        <v>4.8499999999999996</v>
      </c>
    </row>
    <row r="79" spans="1:17" customFormat="1">
      <c r="A79" s="72">
        <v>45318.739583333336</v>
      </c>
      <c r="B79" s="6">
        <v>8.59</v>
      </c>
      <c r="C79" s="6">
        <v>31.45</v>
      </c>
      <c r="D79" s="6">
        <v>24.67</v>
      </c>
      <c r="E79" s="6">
        <v>6.3</v>
      </c>
      <c r="F79" s="6">
        <v>3.54</v>
      </c>
      <c r="G79" s="6">
        <v>89.27</v>
      </c>
      <c r="H79" s="6">
        <v>34.92</v>
      </c>
      <c r="I79" s="6">
        <v>7.25</v>
      </c>
      <c r="J79" s="6">
        <v>0.27</v>
      </c>
      <c r="K79" s="6">
        <v>166.33</v>
      </c>
      <c r="L79" s="6">
        <v>22.17</v>
      </c>
      <c r="M79" s="6">
        <v>41.65</v>
      </c>
      <c r="N79" s="6">
        <v>0</v>
      </c>
      <c r="O79" s="6">
        <v>0</v>
      </c>
      <c r="P79" s="6">
        <v>0.85</v>
      </c>
      <c r="Q79" s="6">
        <v>4.88</v>
      </c>
    </row>
    <row r="80" spans="1:17" customFormat="1">
      <c r="A80" s="72">
        <v>45318.75</v>
      </c>
      <c r="B80" s="6">
        <v>8.94</v>
      </c>
      <c r="C80" s="6">
        <v>31.9</v>
      </c>
      <c r="D80" s="6">
        <v>25.19</v>
      </c>
      <c r="E80" s="6">
        <v>6.32</v>
      </c>
      <c r="F80" s="6">
        <v>3.6</v>
      </c>
      <c r="G80" s="6">
        <v>89.27</v>
      </c>
      <c r="H80" s="6">
        <v>34.92</v>
      </c>
      <c r="I80" s="6">
        <v>7.19</v>
      </c>
      <c r="J80" s="6">
        <v>0.3</v>
      </c>
      <c r="K80" s="6">
        <v>169.65</v>
      </c>
      <c r="L80" s="6">
        <v>21.29</v>
      </c>
      <c r="M80" s="6">
        <v>45.81</v>
      </c>
      <c r="N80" s="6">
        <v>0</v>
      </c>
      <c r="O80" s="6">
        <v>0</v>
      </c>
      <c r="P80" s="6">
        <v>0.85</v>
      </c>
      <c r="Q80" s="6">
        <v>4.88</v>
      </c>
    </row>
    <row r="81" spans="1:17" customFormat="1">
      <c r="A81" s="72">
        <v>45318.760416666664</v>
      </c>
      <c r="B81" s="6">
        <v>9.4600000000000009</v>
      </c>
      <c r="C81" s="6">
        <v>32.020000000000003</v>
      </c>
      <c r="D81" s="6">
        <v>25.67</v>
      </c>
      <c r="E81" s="6">
        <v>6.71</v>
      </c>
      <c r="F81" s="6">
        <v>3.43</v>
      </c>
      <c r="G81" s="6">
        <v>89.27</v>
      </c>
      <c r="H81" s="6">
        <v>34.92</v>
      </c>
      <c r="I81" s="6">
        <v>7.17</v>
      </c>
      <c r="J81" s="6">
        <v>0.22</v>
      </c>
      <c r="K81" s="6">
        <v>176.22</v>
      </c>
      <c r="L81" s="6">
        <v>20.309999999999999</v>
      </c>
      <c r="M81" s="6">
        <v>56.68</v>
      </c>
      <c r="N81" s="6">
        <v>0</v>
      </c>
      <c r="O81" s="6">
        <v>0</v>
      </c>
      <c r="P81" s="6">
        <v>0.86</v>
      </c>
      <c r="Q81" s="6">
        <v>4.88</v>
      </c>
    </row>
    <row r="82" spans="1:17" customFormat="1">
      <c r="A82" s="72">
        <v>45318.770833333336</v>
      </c>
      <c r="B82" s="6">
        <v>9.85</v>
      </c>
      <c r="C82" s="6">
        <v>32.08</v>
      </c>
      <c r="D82" s="6">
        <v>26.01</v>
      </c>
      <c r="E82" s="6">
        <v>8.11</v>
      </c>
      <c r="F82" s="6">
        <v>3.52</v>
      </c>
      <c r="G82" s="6">
        <v>97.86</v>
      </c>
      <c r="H82" s="6">
        <v>35.99</v>
      </c>
      <c r="I82" s="6">
        <v>7.29</v>
      </c>
      <c r="J82" s="6">
        <v>0.23</v>
      </c>
      <c r="K82" s="6">
        <v>155.07</v>
      </c>
      <c r="L82" s="6">
        <v>19.27</v>
      </c>
      <c r="M82" s="6">
        <v>59.24</v>
      </c>
      <c r="N82" s="6">
        <v>0</v>
      </c>
      <c r="O82" s="6">
        <v>0</v>
      </c>
      <c r="P82" s="6">
        <v>0.88</v>
      </c>
      <c r="Q82" s="6">
        <v>4.91</v>
      </c>
    </row>
    <row r="83" spans="1:17" customFormat="1">
      <c r="A83" s="72">
        <v>45318.78125</v>
      </c>
      <c r="B83" s="6">
        <v>11.06</v>
      </c>
      <c r="C83" s="6">
        <v>32.56</v>
      </c>
      <c r="D83" s="6">
        <v>27.23</v>
      </c>
      <c r="E83" s="6">
        <v>8.24</v>
      </c>
      <c r="F83" s="6">
        <v>3.49</v>
      </c>
      <c r="G83" s="6">
        <v>98.93</v>
      </c>
      <c r="H83" s="6">
        <v>35.99</v>
      </c>
      <c r="I83" s="6">
        <v>7.7</v>
      </c>
      <c r="J83" s="6">
        <v>0.28000000000000003</v>
      </c>
      <c r="K83" s="6">
        <v>179.13</v>
      </c>
      <c r="L83" s="6">
        <v>18.88</v>
      </c>
      <c r="M83" s="6">
        <v>63.02</v>
      </c>
      <c r="N83" s="6">
        <v>0</v>
      </c>
      <c r="O83" s="6">
        <v>0</v>
      </c>
      <c r="P83" s="6">
        <v>0.91</v>
      </c>
      <c r="Q83" s="6">
        <v>4.9000000000000004</v>
      </c>
    </row>
    <row r="84" spans="1:17" customFormat="1">
      <c r="A84" s="72">
        <v>45318.791666666664</v>
      </c>
      <c r="B84" s="6">
        <v>12.33</v>
      </c>
      <c r="C84" s="6">
        <v>33.18</v>
      </c>
      <c r="D84" s="6">
        <v>28.57</v>
      </c>
      <c r="E84" s="6">
        <v>7.93</v>
      </c>
      <c r="F84" s="6">
        <v>3.4</v>
      </c>
      <c r="G84" s="6">
        <v>98.93</v>
      </c>
      <c r="H84" s="6">
        <v>35.99</v>
      </c>
      <c r="I84" s="6">
        <v>8.4</v>
      </c>
      <c r="J84" s="6">
        <v>0.19</v>
      </c>
      <c r="K84" s="6">
        <v>153.22</v>
      </c>
      <c r="L84" s="6">
        <v>18.309999999999999</v>
      </c>
      <c r="M84" s="6">
        <v>64.78</v>
      </c>
      <c r="N84" s="6">
        <v>0</v>
      </c>
      <c r="O84" s="6">
        <v>0</v>
      </c>
      <c r="P84" s="6">
        <v>0.93</v>
      </c>
      <c r="Q84" s="6">
        <v>4.9000000000000004</v>
      </c>
    </row>
    <row r="85" spans="1:17" customFormat="1">
      <c r="A85" s="72">
        <v>45318.802083333336</v>
      </c>
      <c r="B85" s="6">
        <v>14.12</v>
      </c>
      <c r="C85" s="6">
        <v>33.85</v>
      </c>
      <c r="D85" s="6">
        <v>30.36</v>
      </c>
      <c r="E85" s="6">
        <v>8.07</v>
      </c>
      <c r="F85" s="6">
        <v>3.38</v>
      </c>
      <c r="G85" s="6">
        <v>98.93</v>
      </c>
      <c r="H85" s="6">
        <v>35.99</v>
      </c>
      <c r="I85" s="6">
        <v>9.3000000000000007</v>
      </c>
      <c r="J85" s="6">
        <v>0.24</v>
      </c>
      <c r="K85" s="6">
        <v>163.93</v>
      </c>
      <c r="L85" s="6">
        <v>18.37</v>
      </c>
      <c r="M85" s="6">
        <v>60.96</v>
      </c>
      <c r="N85" s="6">
        <v>0</v>
      </c>
      <c r="O85" s="6">
        <v>0</v>
      </c>
      <c r="P85" s="6">
        <v>0.96</v>
      </c>
      <c r="Q85" s="6">
        <v>4.91</v>
      </c>
    </row>
    <row r="86" spans="1:17" customFormat="1">
      <c r="A86" s="72">
        <v>45318.8125</v>
      </c>
      <c r="B86" s="6">
        <v>17.05</v>
      </c>
      <c r="C86" s="6">
        <v>35.020000000000003</v>
      </c>
      <c r="D86" s="6">
        <v>33.31</v>
      </c>
      <c r="E86" s="6">
        <v>7.98</v>
      </c>
      <c r="F86" s="6">
        <v>3.38</v>
      </c>
      <c r="G86" s="6">
        <v>113.19</v>
      </c>
      <c r="H86" s="6">
        <v>40.68</v>
      </c>
      <c r="I86" s="6">
        <v>10.119999999999999</v>
      </c>
      <c r="J86" s="6">
        <v>0.23</v>
      </c>
      <c r="K86" s="6">
        <v>191.14</v>
      </c>
      <c r="L86" s="6">
        <v>17.8</v>
      </c>
      <c r="M86" s="6">
        <v>64.38</v>
      </c>
      <c r="N86" s="6">
        <v>0</v>
      </c>
      <c r="O86" s="6">
        <v>0</v>
      </c>
      <c r="P86" s="6">
        <v>1.01</v>
      </c>
      <c r="Q86" s="6">
        <v>4.96</v>
      </c>
    </row>
    <row r="87" spans="1:17" customFormat="1">
      <c r="A87" s="72">
        <v>45318.822916666664</v>
      </c>
      <c r="B87" s="6">
        <v>19.059999999999999</v>
      </c>
      <c r="C87" s="6">
        <v>35.659999999999997</v>
      </c>
      <c r="D87" s="6">
        <v>35.26</v>
      </c>
      <c r="E87" s="6">
        <v>8.1</v>
      </c>
      <c r="F87" s="6">
        <v>3.34</v>
      </c>
      <c r="G87" s="6">
        <v>114.97</v>
      </c>
      <c r="H87" s="6">
        <v>40.68</v>
      </c>
      <c r="I87" s="6">
        <v>10.72</v>
      </c>
      <c r="J87" s="6">
        <v>0.18</v>
      </c>
      <c r="K87" s="6">
        <v>152.72999999999999</v>
      </c>
      <c r="L87" s="6">
        <v>17.600000000000001</v>
      </c>
      <c r="M87" s="6">
        <v>64.959999999999994</v>
      </c>
      <c r="N87" s="6">
        <v>0</v>
      </c>
      <c r="O87" s="6">
        <v>0</v>
      </c>
      <c r="P87" s="6">
        <v>1.04</v>
      </c>
      <c r="Q87" s="6">
        <v>4.9800000000000004</v>
      </c>
    </row>
    <row r="88" spans="1:17" customFormat="1">
      <c r="A88" s="72">
        <v>45318.833333333336</v>
      </c>
      <c r="B88" s="6">
        <v>20.88</v>
      </c>
      <c r="C88" s="6">
        <v>36.130000000000003</v>
      </c>
      <c r="D88" s="6">
        <v>36.97</v>
      </c>
      <c r="E88" s="6">
        <v>7.6</v>
      </c>
      <c r="F88" s="6">
        <v>3.4</v>
      </c>
      <c r="G88" s="6">
        <v>114.97</v>
      </c>
      <c r="H88" s="6">
        <v>40.68</v>
      </c>
      <c r="I88" s="6">
        <v>11.31</v>
      </c>
      <c r="J88" s="6">
        <v>0.3</v>
      </c>
      <c r="K88" s="6">
        <v>172.55</v>
      </c>
      <c r="L88" s="6">
        <v>17.54</v>
      </c>
      <c r="M88" s="6">
        <v>67.7</v>
      </c>
      <c r="N88" s="6">
        <v>0</v>
      </c>
      <c r="O88" s="6">
        <v>0</v>
      </c>
      <c r="P88" s="6">
        <v>1.07</v>
      </c>
      <c r="Q88" s="6">
        <v>5</v>
      </c>
    </row>
    <row r="89" spans="1:17" customFormat="1">
      <c r="A89" s="72">
        <v>45318.84375</v>
      </c>
      <c r="B89" s="6">
        <v>23.03</v>
      </c>
      <c r="C89" s="6">
        <v>36.56</v>
      </c>
      <c r="D89" s="6">
        <v>38.92</v>
      </c>
      <c r="E89" s="6">
        <v>8.24</v>
      </c>
      <c r="F89" s="6">
        <v>3.37</v>
      </c>
      <c r="G89" s="6">
        <v>114.97</v>
      </c>
      <c r="H89" s="6">
        <v>40.68</v>
      </c>
      <c r="I89" s="6">
        <v>11.74</v>
      </c>
      <c r="J89" s="6">
        <v>0.22</v>
      </c>
      <c r="K89" s="6">
        <v>222.62</v>
      </c>
      <c r="L89" s="6">
        <v>16.87</v>
      </c>
      <c r="M89" s="6">
        <v>72.430000000000007</v>
      </c>
      <c r="N89" s="6">
        <v>0</v>
      </c>
      <c r="O89" s="6">
        <v>0</v>
      </c>
      <c r="P89" s="6">
        <v>1.1100000000000001</v>
      </c>
      <c r="Q89" s="6">
        <v>5.04</v>
      </c>
    </row>
    <row r="90" spans="1:17" customFormat="1">
      <c r="A90" s="72">
        <v>45318.854166666664</v>
      </c>
      <c r="B90" s="6">
        <v>24.76</v>
      </c>
      <c r="C90" s="6">
        <v>36.4</v>
      </c>
      <c r="D90" s="6">
        <v>40.22</v>
      </c>
      <c r="E90" s="6">
        <v>7.83</v>
      </c>
      <c r="F90" s="6">
        <v>3.39</v>
      </c>
      <c r="G90" s="6">
        <v>114.64</v>
      </c>
      <c r="H90" s="6">
        <v>43.43</v>
      </c>
      <c r="I90" s="6">
        <v>12.08</v>
      </c>
      <c r="J90" s="6">
        <v>0.18</v>
      </c>
      <c r="K90" s="6">
        <v>218.64</v>
      </c>
      <c r="L90" s="6">
        <v>16.48</v>
      </c>
      <c r="M90" s="6">
        <v>74.44</v>
      </c>
      <c r="N90" s="6">
        <v>0</v>
      </c>
      <c r="O90" s="6">
        <v>0</v>
      </c>
      <c r="P90" s="6">
        <v>1.1299999999999999</v>
      </c>
      <c r="Q90" s="6">
        <v>5.04</v>
      </c>
    </row>
    <row r="91" spans="1:17" customFormat="1">
      <c r="A91" s="72">
        <v>45318.864583333336</v>
      </c>
      <c r="B91" s="6">
        <v>25.72</v>
      </c>
      <c r="C91" s="6">
        <v>36.130000000000003</v>
      </c>
      <c r="D91" s="6">
        <v>40.86</v>
      </c>
      <c r="E91" s="6">
        <v>7.67</v>
      </c>
      <c r="F91" s="6">
        <v>3.4</v>
      </c>
      <c r="G91" s="6">
        <v>114.59</v>
      </c>
      <c r="H91" s="6">
        <v>43.43</v>
      </c>
      <c r="I91" s="6">
        <v>12.46</v>
      </c>
      <c r="J91" s="6">
        <v>0.15</v>
      </c>
      <c r="K91" s="6">
        <v>173.26</v>
      </c>
      <c r="L91" s="6">
        <v>16.07</v>
      </c>
      <c r="M91" s="6">
        <v>78.8</v>
      </c>
      <c r="N91" s="6">
        <v>0</v>
      </c>
      <c r="O91" s="6">
        <v>0</v>
      </c>
      <c r="P91" s="6">
        <v>1.1499999999999999</v>
      </c>
      <c r="Q91" s="6">
        <v>5.05</v>
      </c>
    </row>
    <row r="92" spans="1:17" customFormat="1">
      <c r="A92" s="72">
        <v>45318.875</v>
      </c>
      <c r="B92" s="6">
        <v>26.16</v>
      </c>
      <c r="C92" s="6">
        <v>33.76</v>
      </c>
      <c r="D92" s="6">
        <v>39.97</v>
      </c>
      <c r="E92" s="6">
        <v>7.2</v>
      </c>
      <c r="F92" s="6">
        <v>3.6</v>
      </c>
      <c r="G92" s="6">
        <v>114.59</v>
      </c>
      <c r="H92" s="6">
        <v>43.43</v>
      </c>
      <c r="I92" s="6">
        <v>12.64</v>
      </c>
      <c r="J92" s="6">
        <v>0.17</v>
      </c>
      <c r="K92" s="6">
        <v>169.28</v>
      </c>
      <c r="L92" s="6">
        <v>16.079999999999998</v>
      </c>
      <c r="M92" s="6">
        <v>79.03</v>
      </c>
      <c r="N92" s="6">
        <v>0</v>
      </c>
      <c r="O92" s="6">
        <v>0</v>
      </c>
      <c r="P92" s="6">
        <v>1.1499999999999999</v>
      </c>
      <c r="Q92" s="6">
        <v>5.05</v>
      </c>
    </row>
    <row r="93" spans="1:17" customFormat="1">
      <c r="A93" s="72">
        <v>45318.885416666664</v>
      </c>
      <c r="B93" s="6">
        <v>26.06</v>
      </c>
      <c r="C93" s="6">
        <v>32.049999999999997</v>
      </c>
      <c r="D93" s="6">
        <v>39</v>
      </c>
      <c r="E93" s="6">
        <v>7.18</v>
      </c>
      <c r="F93" s="6">
        <v>3.49</v>
      </c>
      <c r="G93" s="6">
        <v>114.59</v>
      </c>
      <c r="H93" s="6">
        <v>43.43</v>
      </c>
      <c r="I93" s="6">
        <v>12.65</v>
      </c>
      <c r="J93" s="6">
        <v>0.15</v>
      </c>
      <c r="K93" s="6">
        <v>170.58</v>
      </c>
      <c r="L93" s="6">
        <v>15.74</v>
      </c>
      <c r="M93" s="6">
        <v>83.22</v>
      </c>
      <c r="N93" s="6">
        <v>0</v>
      </c>
      <c r="O93" s="6">
        <v>0</v>
      </c>
      <c r="P93" s="6">
        <v>1.1499999999999999</v>
      </c>
      <c r="Q93" s="6">
        <v>5.07</v>
      </c>
    </row>
    <row r="94" spans="1:17" customFormat="1">
      <c r="A94" s="72">
        <v>45318.895833333336</v>
      </c>
      <c r="B94" s="6">
        <v>26.29</v>
      </c>
      <c r="C94" s="6">
        <v>32.39</v>
      </c>
      <c r="D94" s="6">
        <v>39.35</v>
      </c>
      <c r="E94" s="6">
        <v>7.18</v>
      </c>
      <c r="F94" s="6">
        <v>3.26</v>
      </c>
      <c r="G94" s="6">
        <v>99.55</v>
      </c>
      <c r="H94" s="6">
        <v>41.45</v>
      </c>
      <c r="I94" s="6">
        <v>12.65</v>
      </c>
      <c r="J94" s="6">
        <v>0.14000000000000001</v>
      </c>
      <c r="K94" s="6">
        <v>167.26</v>
      </c>
      <c r="L94" s="6">
        <v>15.55</v>
      </c>
      <c r="M94" s="6">
        <v>80.95</v>
      </c>
      <c r="N94" s="6">
        <v>0</v>
      </c>
      <c r="O94" s="6">
        <v>0</v>
      </c>
      <c r="P94" s="6">
        <v>1.1499999999999999</v>
      </c>
      <c r="Q94" s="6">
        <v>5.05</v>
      </c>
    </row>
    <row r="95" spans="1:17" customFormat="1">
      <c r="A95" s="72">
        <v>45318.90625</v>
      </c>
      <c r="B95" s="6">
        <v>26.55</v>
      </c>
      <c r="C95" s="6">
        <v>32.25</v>
      </c>
      <c r="D95" s="6">
        <v>39.5</v>
      </c>
      <c r="E95" s="6">
        <v>7.13</v>
      </c>
      <c r="F95" s="6">
        <v>3.18</v>
      </c>
      <c r="G95" s="6">
        <v>97.67</v>
      </c>
      <c r="H95" s="6">
        <v>41.45</v>
      </c>
      <c r="I95" s="6">
        <v>12.66</v>
      </c>
      <c r="J95" s="6">
        <v>0.18</v>
      </c>
      <c r="K95" s="6">
        <v>187.38</v>
      </c>
      <c r="L95" s="6">
        <v>15.41</v>
      </c>
      <c r="M95" s="6">
        <v>82.18</v>
      </c>
      <c r="N95" s="6">
        <v>0</v>
      </c>
      <c r="O95" s="6">
        <v>0</v>
      </c>
      <c r="P95" s="6">
        <v>1.1599999999999999</v>
      </c>
      <c r="Q95" s="6">
        <v>5.04</v>
      </c>
    </row>
    <row r="96" spans="1:17" customFormat="1">
      <c r="A96" s="72">
        <v>45318.916666666664</v>
      </c>
      <c r="B96" s="6">
        <v>26.75</v>
      </c>
      <c r="C96" s="6">
        <v>32.4</v>
      </c>
      <c r="D96" s="6">
        <v>39.729999999999997</v>
      </c>
      <c r="E96" s="6">
        <v>7.46</v>
      </c>
      <c r="F96" s="6">
        <v>3.24</v>
      </c>
      <c r="G96" s="6">
        <v>97.67</v>
      </c>
      <c r="H96" s="6">
        <v>41.45</v>
      </c>
      <c r="I96" s="6">
        <v>12.73</v>
      </c>
      <c r="J96" s="6">
        <v>0.14000000000000001</v>
      </c>
      <c r="K96" s="6">
        <v>216.77</v>
      </c>
      <c r="L96" s="6">
        <v>15.25</v>
      </c>
      <c r="M96" s="6">
        <v>81.02</v>
      </c>
      <c r="N96" s="6">
        <v>0</v>
      </c>
      <c r="O96" s="6">
        <v>0</v>
      </c>
      <c r="P96" s="6">
        <v>1.17</v>
      </c>
      <c r="Q96" s="6">
        <v>5.05</v>
      </c>
    </row>
    <row r="97" spans="1:22" customFormat="1">
      <c r="A97" s="72">
        <v>45318.927083333336</v>
      </c>
      <c r="B97" s="6">
        <v>26.97</v>
      </c>
      <c r="C97" s="6">
        <v>32.44</v>
      </c>
      <c r="D97" s="6">
        <v>39.93</v>
      </c>
      <c r="E97" s="6">
        <v>7.34</v>
      </c>
      <c r="F97" s="6">
        <v>3.05</v>
      </c>
      <c r="G97" s="6">
        <v>97.67</v>
      </c>
      <c r="H97" s="6">
        <v>41.45</v>
      </c>
      <c r="I97" s="6">
        <v>12.81</v>
      </c>
      <c r="J97" s="6">
        <v>0.13</v>
      </c>
      <c r="K97" s="6">
        <v>202.12</v>
      </c>
      <c r="L97" s="6">
        <v>15.13</v>
      </c>
      <c r="M97" s="6">
        <v>82.82</v>
      </c>
      <c r="N97" s="6">
        <v>0</v>
      </c>
      <c r="O97" s="6">
        <v>0</v>
      </c>
      <c r="P97" s="6">
        <v>1.19</v>
      </c>
      <c r="Q97" s="6">
        <v>5.07</v>
      </c>
    </row>
    <row r="98" spans="1:22" customFormat="1">
      <c r="A98" s="72">
        <v>45318.9375</v>
      </c>
      <c r="B98" s="6">
        <v>27.36</v>
      </c>
      <c r="C98" s="6">
        <v>32.979999999999997</v>
      </c>
      <c r="D98" s="6">
        <v>40.520000000000003</v>
      </c>
      <c r="E98" s="6">
        <v>7.29</v>
      </c>
      <c r="F98" s="6">
        <v>3.2</v>
      </c>
      <c r="G98" s="6">
        <v>103.64</v>
      </c>
      <c r="H98" s="6">
        <v>44.72</v>
      </c>
      <c r="I98" s="6">
        <v>12.87</v>
      </c>
      <c r="J98" s="6">
        <v>0.13</v>
      </c>
      <c r="K98" s="6">
        <v>168.25</v>
      </c>
      <c r="L98" s="6">
        <v>15.05</v>
      </c>
      <c r="M98" s="6">
        <v>83.9</v>
      </c>
      <c r="N98" s="6">
        <v>0</v>
      </c>
      <c r="O98" s="6">
        <v>0</v>
      </c>
      <c r="P98" s="6">
        <v>1.2</v>
      </c>
      <c r="Q98" s="6">
        <v>5.07</v>
      </c>
    </row>
    <row r="99" spans="1:22" customFormat="1">
      <c r="A99" s="72">
        <v>45318.947916666664</v>
      </c>
      <c r="B99" s="6">
        <v>28.66</v>
      </c>
      <c r="C99" s="6">
        <v>32.729999999999997</v>
      </c>
      <c r="D99" s="6">
        <v>41.44</v>
      </c>
      <c r="E99" s="6">
        <v>7.16</v>
      </c>
      <c r="F99" s="6">
        <v>3.24</v>
      </c>
      <c r="G99" s="6">
        <v>104.39</v>
      </c>
      <c r="H99" s="6">
        <v>44.72</v>
      </c>
      <c r="I99" s="6">
        <v>12.89</v>
      </c>
      <c r="J99" s="6">
        <v>0.14000000000000001</v>
      </c>
      <c r="K99" s="6">
        <v>177.24</v>
      </c>
      <c r="L99" s="6">
        <v>15.14</v>
      </c>
      <c r="M99" s="6">
        <v>78.34</v>
      </c>
      <c r="N99" s="6">
        <v>0</v>
      </c>
      <c r="O99" s="6">
        <v>0</v>
      </c>
      <c r="P99" s="6">
        <v>1.21</v>
      </c>
      <c r="Q99" s="6">
        <v>5.08</v>
      </c>
    </row>
    <row r="100" spans="1:22" customFormat="1">
      <c r="A100" s="72">
        <v>45318.958333333336</v>
      </c>
      <c r="B100" s="6">
        <v>31.26</v>
      </c>
      <c r="C100" s="6">
        <v>33.119999999999997</v>
      </c>
      <c r="D100" s="6">
        <v>43.73</v>
      </c>
      <c r="E100" s="6">
        <v>7.16</v>
      </c>
      <c r="F100" s="6">
        <v>3.34</v>
      </c>
      <c r="G100" s="6">
        <v>104.39</v>
      </c>
      <c r="H100" s="6">
        <v>44.72</v>
      </c>
      <c r="I100" s="6">
        <v>12.95</v>
      </c>
      <c r="J100" s="6">
        <v>0.15</v>
      </c>
      <c r="K100" s="6">
        <v>151.26</v>
      </c>
      <c r="L100" s="6">
        <v>15.16</v>
      </c>
      <c r="M100" s="6">
        <v>80.05</v>
      </c>
      <c r="N100" s="6">
        <v>0</v>
      </c>
      <c r="O100" s="6">
        <v>0</v>
      </c>
      <c r="P100" s="6">
        <v>1.22</v>
      </c>
      <c r="Q100" s="6">
        <v>5.08</v>
      </c>
    </row>
    <row r="101" spans="1:22" customFormat="1">
      <c r="A101" s="72">
        <v>45318.96875</v>
      </c>
      <c r="B101" s="6">
        <v>33.840000000000003</v>
      </c>
      <c r="C101" s="6">
        <v>33.35</v>
      </c>
      <c r="D101" s="6">
        <v>45.91</v>
      </c>
      <c r="E101" s="6">
        <v>7.31</v>
      </c>
      <c r="F101" s="6">
        <v>3.37</v>
      </c>
      <c r="G101" s="6">
        <v>104.39</v>
      </c>
      <c r="H101" s="6">
        <v>44.72</v>
      </c>
      <c r="I101" s="6">
        <v>13.02</v>
      </c>
      <c r="J101" s="6">
        <v>0.21</v>
      </c>
      <c r="K101" s="6">
        <v>159.88</v>
      </c>
      <c r="L101" s="6">
        <v>15.12</v>
      </c>
      <c r="M101" s="6">
        <v>78.459999999999994</v>
      </c>
      <c r="N101" s="6">
        <v>0</v>
      </c>
      <c r="O101" s="6">
        <v>0</v>
      </c>
      <c r="P101" s="6">
        <v>1.23</v>
      </c>
      <c r="Q101" s="6">
        <v>5.0999999999999996</v>
      </c>
    </row>
    <row r="102" spans="1:22" customFormat="1">
      <c r="A102" s="72">
        <v>45318.979166666664</v>
      </c>
      <c r="B102" s="6">
        <v>38.79</v>
      </c>
      <c r="C102" s="6">
        <v>34.11</v>
      </c>
      <c r="D102" s="6">
        <v>50.28</v>
      </c>
      <c r="E102" s="6">
        <v>7.56</v>
      </c>
      <c r="F102" s="6">
        <v>3.35</v>
      </c>
      <c r="G102" s="6">
        <v>114.6</v>
      </c>
      <c r="H102" s="6">
        <v>48.73</v>
      </c>
      <c r="I102" s="6">
        <v>13.04</v>
      </c>
      <c r="J102" s="6">
        <v>0.27</v>
      </c>
      <c r="K102" s="6">
        <v>191.98</v>
      </c>
      <c r="L102" s="6">
        <v>15.22</v>
      </c>
      <c r="M102" s="6">
        <v>79.930000000000007</v>
      </c>
      <c r="N102" s="6">
        <v>0</v>
      </c>
      <c r="O102" s="6">
        <v>0</v>
      </c>
      <c r="P102" s="6">
        <v>1.25</v>
      </c>
      <c r="Q102" s="6">
        <v>5.15</v>
      </c>
    </row>
    <row r="103" spans="1:22" customFormat="1">
      <c r="A103" s="72">
        <v>45318.989583333336</v>
      </c>
      <c r="B103" s="6">
        <v>42.66</v>
      </c>
      <c r="C103" s="6">
        <v>34.64</v>
      </c>
      <c r="D103" s="6">
        <v>53.66</v>
      </c>
      <c r="E103" s="6">
        <v>8.07</v>
      </c>
      <c r="F103" s="6">
        <v>3.5</v>
      </c>
      <c r="G103" s="6">
        <v>115.74</v>
      </c>
      <c r="H103" s="6">
        <v>48.73</v>
      </c>
      <c r="I103" s="6">
        <v>13.05</v>
      </c>
      <c r="J103" s="6">
        <v>0.12</v>
      </c>
      <c r="K103" s="6">
        <v>154.97999999999999</v>
      </c>
      <c r="L103" s="6">
        <v>14.55</v>
      </c>
      <c r="M103" s="6">
        <v>82.7</v>
      </c>
      <c r="N103" s="6">
        <v>0</v>
      </c>
      <c r="O103" s="6">
        <v>0</v>
      </c>
      <c r="P103" s="6">
        <v>1.25</v>
      </c>
      <c r="Q103" s="6">
        <v>5.19</v>
      </c>
    </row>
    <row r="104" spans="1:22" customFormat="1">
      <c r="A104" s="72">
        <v>45319</v>
      </c>
      <c r="B104" s="6">
        <v>44.31</v>
      </c>
      <c r="C104" s="6">
        <v>34.89</v>
      </c>
      <c r="D104" s="6">
        <v>55.11</v>
      </c>
      <c r="E104" s="6">
        <v>7.7</v>
      </c>
      <c r="F104" s="6">
        <v>3.3</v>
      </c>
      <c r="G104" s="6">
        <v>115.74</v>
      </c>
      <c r="H104" s="6">
        <v>48.73</v>
      </c>
      <c r="I104" s="6">
        <v>13.07</v>
      </c>
      <c r="J104" s="6">
        <v>0.19</v>
      </c>
      <c r="K104" s="6">
        <v>180.1</v>
      </c>
      <c r="L104" s="6">
        <v>14.71</v>
      </c>
      <c r="M104" s="6">
        <v>80.430000000000007</v>
      </c>
      <c r="N104" s="6">
        <v>0</v>
      </c>
      <c r="O104" s="6">
        <v>0</v>
      </c>
      <c r="P104" s="6">
        <v>1.25</v>
      </c>
      <c r="Q104" s="6">
        <v>5.21</v>
      </c>
    </row>
    <row r="106" spans="1:22">
      <c r="A106" s="156" t="s">
        <v>48</v>
      </c>
      <c r="B106" s="157">
        <f>MIN(B9:B104)</f>
        <v>7.4</v>
      </c>
      <c r="C106" s="157">
        <f>MIN(C9:C104)</f>
        <v>25.63</v>
      </c>
      <c r="D106" s="157">
        <f t="shared" ref="D106:Q106" si="0">MIN(D9:D104)</f>
        <v>22.58</v>
      </c>
      <c r="E106" s="157">
        <f t="shared" si="0"/>
        <v>5.66</v>
      </c>
      <c r="F106" s="157">
        <f t="shared" si="0"/>
        <v>3.05</v>
      </c>
      <c r="G106" s="157">
        <f t="shared" si="0"/>
        <v>77.38</v>
      </c>
      <c r="H106" s="157">
        <f t="shared" si="0"/>
        <v>33.869999999999997</v>
      </c>
      <c r="I106" s="157">
        <f t="shared" si="0"/>
        <v>7.17</v>
      </c>
      <c r="J106" s="157">
        <f t="shared" si="0"/>
        <v>0.03</v>
      </c>
      <c r="K106" s="157">
        <f t="shared" si="0"/>
        <v>3.41</v>
      </c>
      <c r="L106" s="157">
        <f t="shared" si="0"/>
        <v>11.33</v>
      </c>
      <c r="M106" s="157">
        <f t="shared" si="0"/>
        <v>26.79</v>
      </c>
      <c r="N106" s="157">
        <f t="shared" si="0"/>
        <v>0</v>
      </c>
      <c r="O106" s="157">
        <f t="shared" si="0"/>
        <v>0</v>
      </c>
      <c r="P106" s="157">
        <f t="shared" si="0"/>
        <v>0.84</v>
      </c>
      <c r="Q106" s="157">
        <f t="shared" si="0"/>
        <v>4.8499999999999996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66.06</v>
      </c>
      <c r="C107" s="156">
        <f t="shared" ref="C107:Q107" si="1">MAX(C9:C104)</f>
        <v>36.56</v>
      </c>
      <c r="D107" s="156">
        <f t="shared" si="1"/>
        <v>72.89</v>
      </c>
      <c r="E107" s="156">
        <f t="shared" si="1"/>
        <v>9.32</v>
      </c>
      <c r="F107" s="156">
        <f t="shared" si="1"/>
        <v>4.8600000000000003</v>
      </c>
      <c r="G107" s="156">
        <f t="shared" si="1"/>
        <v>115.74</v>
      </c>
      <c r="H107" s="156">
        <f t="shared" si="1"/>
        <v>51.97</v>
      </c>
      <c r="I107" s="156">
        <f t="shared" si="1"/>
        <v>13.07</v>
      </c>
      <c r="J107" s="156">
        <f t="shared" si="1"/>
        <v>1.26</v>
      </c>
      <c r="K107" s="156">
        <f t="shared" si="1"/>
        <v>350.65</v>
      </c>
      <c r="L107" s="156">
        <f t="shared" si="1"/>
        <v>26.04</v>
      </c>
      <c r="M107" s="156">
        <f t="shared" si="1"/>
        <v>95.42</v>
      </c>
      <c r="N107" s="156">
        <f t="shared" si="1"/>
        <v>638.79999999999995</v>
      </c>
      <c r="O107" s="156">
        <f t="shared" si="1"/>
        <v>0</v>
      </c>
      <c r="P107" s="156">
        <f t="shared" si="1"/>
        <v>1.25</v>
      </c>
      <c r="Q107" s="156">
        <f t="shared" si="1"/>
        <v>5.46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30.769166666666667</v>
      </c>
      <c r="C108" s="157">
        <f t="shared" ref="C108:Q108" si="2">AVERAGE(C9:C104)</f>
        <v>31.377499999999998</v>
      </c>
      <c r="D108" s="157">
        <f t="shared" si="2"/>
        <v>42.419270833333336</v>
      </c>
      <c r="E108" s="157">
        <f t="shared" si="2"/>
        <v>7.5937500000000009</v>
      </c>
      <c r="F108" s="157">
        <f t="shared" si="2"/>
        <v>3.530937499999999</v>
      </c>
      <c r="G108" s="157">
        <f t="shared" si="2"/>
        <v>94.01062499999999</v>
      </c>
      <c r="H108" s="157">
        <f t="shared" si="2"/>
        <v>42.043541666666634</v>
      </c>
      <c r="I108" s="157">
        <f t="shared" si="2"/>
        <v>10.2596875</v>
      </c>
      <c r="J108" s="157">
        <f t="shared" si="2"/>
        <v>0.29531250000000003</v>
      </c>
      <c r="K108" s="157">
        <f t="shared" si="2"/>
        <v>150.83968749999994</v>
      </c>
      <c r="L108" s="157">
        <f t="shared" si="2"/>
        <v>18.226562499999996</v>
      </c>
      <c r="M108" s="157">
        <f t="shared" si="2"/>
        <v>63.662187500000023</v>
      </c>
      <c r="N108" s="157">
        <f t="shared" si="2"/>
        <v>111.53124999999999</v>
      </c>
      <c r="O108" s="157">
        <f t="shared" si="2"/>
        <v>0</v>
      </c>
      <c r="P108" s="157">
        <f t="shared" si="2"/>
        <v>1.0231250000000001</v>
      </c>
      <c r="Q108" s="157">
        <f t="shared" si="2"/>
        <v>5.1001041666666689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16.770226101897737</v>
      </c>
      <c r="C109" s="157">
        <f t="shared" ref="C109:Q109" si="3">STDEV(C9:C104)</f>
        <v>2.7763053828689972</v>
      </c>
      <c r="D109" s="157">
        <f t="shared" si="3"/>
        <v>13.991171445239555</v>
      </c>
      <c r="E109" s="157">
        <f t="shared" si="3"/>
        <v>0.79512097722362751</v>
      </c>
      <c r="F109" s="157">
        <f t="shared" si="3"/>
        <v>0.32080188385389896</v>
      </c>
      <c r="G109" s="157">
        <f t="shared" si="3"/>
        <v>10.873489229604054</v>
      </c>
      <c r="H109" s="157">
        <f t="shared" si="3"/>
        <v>4.8638005454189219</v>
      </c>
      <c r="I109" s="157">
        <f t="shared" si="3"/>
        <v>1.6483481065185019</v>
      </c>
      <c r="J109" s="157">
        <f t="shared" si="3"/>
        <v>0.25286964865425504</v>
      </c>
      <c r="K109" s="157">
        <f t="shared" si="3"/>
        <v>74.340398006002189</v>
      </c>
      <c r="L109" s="157">
        <f t="shared" si="3"/>
        <v>5.4054802266092103</v>
      </c>
      <c r="M109" s="157">
        <f t="shared" si="3"/>
        <v>26.431045390366762</v>
      </c>
      <c r="N109" s="157">
        <f t="shared" si="3"/>
        <v>174.14223062440109</v>
      </c>
      <c r="O109" s="157">
        <f t="shared" si="3"/>
        <v>0</v>
      </c>
      <c r="P109" s="157">
        <f t="shared" si="3"/>
        <v>0.11658574888083506</v>
      </c>
      <c r="Q109" s="157">
        <f t="shared" si="3"/>
        <v>0.17724496751324686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45319.010416666664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45319.010416666664</v>
      </c>
      <c r="B9" s="6">
        <v>44.79</v>
      </c>
      <c r="C9" s="6">
        <v>34.479999999999997</v>
      </c>
      <c r="D9" s="6">
        <v>55.29</v>
      </c>
      <c r="E9" s="6">
        <v>7.93</v>
      </c>
      <c r="F9" s="6">
        <v>3.26</v>
      </c>
      <c r="G9" s="6">
        <v>115.74</v>
      </c>
      <c r="H9" s="6">
        <v>48.73</v>
      </c>
      <c r="I9" s="6">
        <v>13.03</v>
      </c>
      <c r="J9" s="6">
        <v>0.12</v>
      </c>
      <c r="K9" s="6">
        <v>227.22</v>
      </c>
      <c r="L9" s="6">
        <v>14.54</v>
      </c>
      <c r="M9" s="6">
        <v>85.85</v>
      </c>
      <c r="N9" s="6">
        <v>0</v>
      </c>
      <c r="O9" s="6">
        <v>0</v>
      </c>
      <c r="P9" s="6">
        <v>1.24</v>
      </c>
      <c r="Q9" s="6">
        <v>5.24</v>
      </c>
    </row>
    <row r="10" spans="1:21" customFormat="1">
      <c r="A10" s="72">
        <v>45319.020833333336</v>
      </c>
      <c r="B10" s="6">
        <v>46.79</v>
      </c>
      <c r="C10" s="6">
        <v>34.39</v>
      </c>
      <c r="D10" s="6">
        <v>56.84</v>
      </c>
      <c r="E10" s="6">
        <v>7.95</v>
      </c>
      <c r="F10" s="6">
        <v>3.39</v>
      </c>
      <c r="G10" s="6">
        <v>110.96</v>
      </c>
      <c r="H10" s="6">
        <v>46.69</v>
      </c>
      <c r="I10" s="6">
        <v>12.97</v>
      </c>
      <c r="J10" s="6">
        <v>0.08</v>
      </c>
      <c r="K10" s="6">
        <v>188.5</v>
      </c>
      <c r="L10" s="6">
        <v>14.63</v>
      </c>
      <c r="M10" s="6">
        <v>81.47</v>
      </c>
      <c r="N10" s="6">
        <v>0</v>
      </c>
      <c r="O10" s="6">
        <v>0</v>
      </c>
      <c r="P10" s="6">
        <v>1.26</v>
      </c>
      <c r="Q10" s="6">
        <v>5.25</v>
      </c>
    </row>
    <row r="11" spans="1:21" customFormat="1">
      <c r="A11" s="72">
        <v>45319.03125</v>
      </c>
      <c r="B11" s="6">
        <v>53.25</v>
      </c>
      <c r="C11" s="6">
        <v>34.51</v>
      </c>
      <c r="D11" s="6">
        <v>62.09</v>
      </c>
      <c r="E11" s="6">
        <v>7.97</v>
      </c>
      <c r="F11" s="6">
        <v>3.36</v>
      </c>
      <c r="G11" s="6">
        <v>110.36</v>
      </c>
      <c r="H11" s="6">
        <v>46.69</v>
      </c>
      <c r="I11" s="6">
        <v>12.91</v>
      </c>
      <c r="J11" s="6">
        <v>0.17</v>
      </c>
      <c r="K11" s="6">
        <v>181.25</v>
      </c>
      <c r="L11" s="6">
        <v>14.28</v>
      </c>
      <c r="M11" s="6">
        <v>85.86</v>
      </c>
      <c r="N11" s="6">
        <v>0</v>
      </c>
      <c r="O11" s="6">
        <v>0</v>
      </c>
      <c r="P11" s="6">
        <v>1.26</v>
      </c>
      <c r="Q11" s="6">
        <v>5.31</v>
      </c>
    </row>
    <row r="12" spans="1:21" customFormat="1">
      <c r="A12" s="72">
        <v>45319.041666666664</v>
      </c>
      <c r="B12" s="6">
        <v>56.86</v>
      </c>
      <c r="C12" s="6">
        <v>34.46</v>
      </c>
      <c r="D12" s="6">
        <v>64.95</v>
      </c>
      <c r="E12" s="6">
        <v>8.1</v>
      </c>
      <c r="F12" s="6">
        <v>3.23</v>
      </c>
      <c r="G12" s="6">
        <v>110.36</v>
      </c>
      <c r="H12" s="6">
        <v>46.69</v>
      </c>
      <c r="I12" s="6">
        <v>12.89</v>
      </c>
      <c r="J12" s="6">
        <v>0.25</v>
      </c>
      <c r="K12" s="6">
        <v>186.25</v>
      </c>
      <c r="L12" s="6">
        <v>14.09</v>
      </c>
      <c r="M12" s="6">
        <v>87.05</v>
      </c>
      <c r="N12" s="6">
        <v>0</v>
      </c>
      <c r="O12" s="6">
        <v>0</v>
      </c>
      <c r="P12" s="6">
        <v>1.27</v>
      </c>
      <c r="Q12" s="6">
        <v>5.32</v>
      </c>
    </row>
    <row r="13" spans="1:21" customFormat="1">
      <c r="A13" s="72">
        <v>45319.052083333336</v>
      </c>
      <c r="B13" s="6">
        <v>58.43</v>
      </c>
      <c r="C13" s="6">
        <v>34.49</v>
      </c>
      <c r="D13" s="6">
        <v>66.22</v>
      </c>
      <c r="E13" s="6">
        <v>8.1199999999999992</v>
      </c>
      <c r="F13" s="6">
        <v>3.43</v>
      </c>
      <c r="G13" s="6">
        <v>110.36</v>
      </c>
      <c r="H13" s="6">
        <v>46.69</v>
      </c>
      <c r="I13" s="6">
        <v>12.88</v>
      </c>
      <c r="J13" s="6">
        <v>0.14000000000000001</v>
      </c>
      <c r="K13" s="6">
        <v>164.68</v>
      </c>
      <c r="L13" s="6">
        <v>13.76</v>
      </c>
      <c r="M13" s="6">
        <v>87.6</v>
      </c>
      <c r="N13" s="6">
        <v>0</v>
      </c>
      <c r="O13" s="6">
        <v>0</v>
      </c>
      <c r="P13" s="6">
        <v>1.27</v>
      </c>
      <c r="Q13" s="6">
        <v>5.35</v>
      </c>
    </row>
    <row r="14" spans="1:21" customFormat="1">
      <c r="A14" s="72">
        <v>45319.0625</v>
      </c>
      <c r="B14" s="6">
        <v>59.08</v>
      </c>
      <c r="C14" s="6">
        <v>34.25</v>
      </c>
      <c r="D14" s="6">
        <v>66.62</v>
      </c>
      <c r="E14" s="6">
        <v>8.34</v>
      </c>
      <c r="F14" s="6">
        <v>3.29</v>
      </c>
      <c r="G14" s="6">
        <v>107.49</v>
      </c>
      <c r="H14" s="6">
        <v>47.71</v>
      </c>
      <c r="I14" s="6">
        <v>12.93</v>
      </c>
      <c r="J14" s="6">
        <v>0.12</v>
      </c>
      <c r="K14" s="6">
        <v>139.27000000000001</v>
      </c>
      <c r="L14" s="6">
        <v>13.67</v>
      </c>
      <c r="M14" s="6">
        <v>88.3</v>
      </c>
      <c r="N14" s="6">
        <v>0</v>
      </c>
      <c r="O14" s="6">
        <v>0</v>
      </c>
      <c r="P14" s="6">
        <v>1.28</v>
      </c>
      <c r="Q14" s="6">
        <v>5.37</v>
      </c>
    </row>
    <row r="15" spans="1:21" customFormat="1">
      <c r="A15" s="72">
        <v>45319.072916666664</v>
      </c>
      <c r="B15" s="6">
        <v>60.95</v>
      </c>
      <c r="C15" s="6">
        <v>33.94</v>
      </c>
      <c r="D15" s="6">
        <v>67.959999999999994</v>
      </c>
      <c r="E15" s="6">
        <v>8.17</v>
      </c>
      <c r="F15" s="6">
        <v>3.32</v>
      </c>
      <c r="G15" s="6">
        <v>107.13</v>
      </c>
      <c r="H15" s="6">
        <v>47.71</v>
      </c>
      <c r="I15" s="6">
        <v>12.92</v>
      </c>
      <c r="J15" s="6">
        <v>0.18</v>
      </c>
      <c r="K15" s="6">
        <v>135.53</v>
      </c>
      <c r="L15" s="6">
        <v>14.12</v>
      </c>
      <c r="M15" s="6">
        <v>83.74</v>
      </c>
      <c r="N15" s="6">
        <v>0</v>
      </c>
      <c r="O15" s="6">
        <v>0</v>
      </c>
      <c r="P15" s="6">
        <v>1.3</v>
      </c>
      <c r="Q15" s="6">
        <v>5.38</v>
      </c>
    </row>
    <row r="16" spans="1:21" customFormat="1">
      <c r="A16" s="72">
        <v>45319.083333333336</v>
      </c>
      <c r="B16" s="6">
        <v>65.41</v>
      </c>
      <c r="C16" s="6">
        <v>34.340000000000003</v>
      </c>
      <c r="D16" s="6">
        <v>71.739999999999995</v>
      </c>
      <c r="E16" s="6">
        <v>8.3000000000000007</v>
      </c>
      <c r="F16" s="6">
        <v>3.35</v>
      </c>
      <c r="G16" s="6">
        <v>107.13</v>
      </c>
      <c r="H16" s="6">
        <v>47.71</v>
      </c>
      <c r="I16" s="6">
        <v>12.95</v>
      </c>
      <c r="J16" s="6">
        <v>0.12</v>
      </c>
      <c r="K16" s="6">
        <v>128.13</v>
      </c>
      <c r="L16" s="6">
        <v>14.15</v>
      </c>
      <c r="M16" s="6">
        <v>84.28</v>
      </c>
      <c r="N16" s="6">
        <v>0</v>
      </c>
      <c r="O16" s="6">
        <v>0</v>
      </c>
      <c r="P16" s="6">
        <v>1.31</v>
      </c>
      <c r="Q16" s="6">
        <v>5.41</v>
      </c>
    </row>
    <row r="17" spans="1:17" customFormat="1">
      <c r="A17" s="72">
        <v>45319.09375</v>
      </c>
      <c r="B17" s="6">
        <v>71.739999999999995</v>
      </c>
      <c r="C17" s="6">
        <v>34.590000000000003</v>
      </c>
      <c r="D17" s="6">
        <v>76.959999999999994</v>
      </c>
      <c r="E17" s="6">
        <v>6.86</v>
      </c>
      <c r="F17" s="6">
        <v>3.36</v>
      </c>
      <c r="G17" s="6">
        <v>107.13</v>
      </c>
      <c r="H17" s="6">
        <v>47.71</v>
      </c>
      <c r="I17" s="6">
        <v>13.18</v>
      </c>
      <c r="J17" s="6">
        <v>0.13</v>
      </c>
      <c r="K17" s="6">
        <v>198.79</v>
      </c>
      <c r="L17" s="6">
        <v>14.21</v>
      </c>
      <c r="M17" s="6">
        <v>83.97</v>
      </c>
      <c r="N17" s="6">
        <v>0</v>
      </c>
      <c r="O17" s="6">
        <v>0</v>
      </c>
      <c r="P17" s="6">
        <v>1.35</v>
      </c>
      <c r="Q17" s="6">
        <v>5.48</v>
      </c>
    </row>
    <row r="18" spans="1:17" customFormat="1">
      <c r="A18" s="72">
        <v>45319.104166666664</v>
      </c>
      <c r="B18" s="6">
        <v>77.55</v>
      </c>
      <c r="C18" s="6">
        <v>34.840000000000003</v>
      </c>
      <c r="D18" s="6">
        <v>81.739999999999995</v>
      </c>
      <c r="E18" s="6">
        <v>7.96</v>
      </c>
      <c r="F18" s="6">
        <v>3.3</v>
      </c>
      <c r="G18" s="6">
        <v>120.06</v>
      </c>
      <c r="H18" s="6">
        <v>56.59</v>
      </c>
      <c r="I18" s="6">
        <v>13.52</v>
      </c>
      <c r="J18" s="6">
        <v>0.13</v>
      </c>
      <c r="K18" s="6">
        <v>189.21</v>
      </c>
      <c r="L18" s="6">
        <v>13.98</v>
      </c>
      <c r="M18" s="6">
        <v>89.52</v>
      </c>
      <c r="N18" s="6">
        <v>0</v>
      </c>
      <c r="O18" s="6">
        <v>0</v>
      </c>
      <c r="P18" s="6">
        <v>1.38</v>
      </c>
      <c r="Q18" s="6">
        <v>5.54</v>
      </c>
    </row>
    <row r="19" spans="1:17" customFormat="1">
      <c r="A19" s="72">
        <v>45319.114583333336</v>
      </c>
      <c r="B19" s="6">
        <v>80.36</v>
      </c>
      <c r="C19" s="6">
        <v>34.85</v>
      </c>
      <c r="D19" s="6">
        <v>84</v>
      </c>
      <c r="E19" s="6">
        <v>7.83</v>
      </c>
      <c r="F19" s="6">
        <v>3.25</v>
      </c>
      <c r="G19" s="6">
        <v>121.68</v>
      </c>
      <c r="H19" s="6">
        <v>56.59</v>
      </c>
      <c r="I19" s="6">
        <v>13.95</v>
      </c>
      <c r="J19" s="6">
        <v>0.19</v>
      </c>
      <c r="K19" s="6">
        <v>183.22</v>
      </c>
      <c r="L19" s="6">
        <v>13.61</v>
      </c>
      <c r="M19" s="6">
        <v>91.45</v>
      </c>
      <c r="N19" s="6">
        <v>0</v>
      </c>
      <c r="O19" s="6">
        <v>0</v>
      </c>
      <c r="P19" s="6">
        <v>1.4</v>
      </c>
      <c r="Q19" s="6">
        <v>5.58</v>
      </c>
    </row>
    <row r="20" spans="1:17" customFormat="1">
      <c r="A20" s="72">
        <v>45319.125</v>
      </c>
      <c r="B20" s="6">
        <v>81.31</v>
      </c>
      <c r="C20" s="6">
        <v>34.35</v>
      </c>
      <c r="D20" s="6">
        <v>84.5</v>
      </c>
      <c r="E20" s="6">
        <v>7.95</v>
      </c>
      <c r="F20" s="6">
        <v>3.16</v>
      </c>
      <c r="G20" s="6">
        <v>121.68</v>
      </c>
      <c r="H20" s="6">
        <v>56.59</v>
      </c>
      <c r="I20" s="6">
        <v>14.35</v>
      </c>
      <c r="J20" s="6">
        <v>0.2</v>
      </c>
      <c r="K20" s="6">
        <v>216.59</v>
      </c>
      <c r="L20" s="6">
        <v>13.29</v>
      </c>
      <c r="M20" s="6">
        <v>91.63</v>
      </c>
      <c r="N20" s="6">
        <v>0</v>
      </c>
      <c r="O20" s="6">
        <v>0</v>
      </c>
      <c r="P20" s="6">
        <v>1.43</v>
      </c>
      <c r="Q20" s="6">
        <v>5.6</v>
      </c>
    </row>
    <row r="21" spans="1:17" customFormat="1">
      <c r="A21" s="72">
        <v>45319.135416666664</v>
      </c>
      <c r="B21" s="6">
        <v>81.19</v>
      </c>
      <c r="C21" s="6">
        <v>33.659999999999997</v>
      </c>
      <c r="D21" s="6">
        <v>84.04</v>
      </c>
      <c r="E21" s="6">
        <v>8.1300000000000008</v>
      </c>
      <c r="F21" s="6">
        <v>3.23</v>
      </c>
      <c r="G21" s="6">
        <v>121.68</v>
      </c>
      <c r="H21" s="6">
        <v>56.59</v>
      </c>
      <c r="I21" s="6">
        <v>14.61</v>
      </c>
      <c r="J21" s="6">
        <v>0.21</v>
      </c>
      <c r="K21" s="6">
        <v>228.23</v>
      </c>
      <c r="L21" s="6">
        <v>12.92</v>
      </c>
      <c r="M21" s="6">
        <v>92.99</v>
      </c>
      <c r="N21" s="6">
        <v>0</v>
      </c>
      <c r="O21" s="6">
        <v>0</v>
      </c>
      <c r="P21" s="6">
        <v>1.43</v>
      </c>
      <c r="Q21" s="6">
        <v>5.62</v>
      </c>
    </row>
    <row r="22" spans="1:17" customFormat="1">
      <c r="A22" s="72">
        <v>45319.145833333336</v>
      </c>
      <c r="B22" s="6">
        <v>80.17</v>
      </c>
      <c r="C22" s="6">
        <v>33.31</v>
      </c>
      <c r="D22" s="6">
        <v>83.04</v>
      </c>
      <c r="E22" s="6">
        <v>8.16</v>
      </c>
      <c r="F22" s="6">
        <v>3.24</v>
      </c>
      <c r="G22" s="6">
        <v>122.9</v>
      </c>
      <c r="H22" s="6">
        <v>56.55</v>
      </c>
      <c r="I22" s="6">
        <v>14.88</v>
      </c>
      <c r="J22" s="6">
        <v>0.11</v>
      </c>
      <c r="K22" s="6">
        <v>180.36</v>
      </c>
      <c r="L22" s="6">
        <v>12.96</v>
      </c>
      <c r="M22" s="6">
        <v>93.17</v>
      </c>
      <c r="N22" s="6">
        <v>0</v>
      </c>
      <c r="O22" s="6">
        <v>0</v>
      </c>
      <c r="P22" s="6">
        <v>1.44</v>
      </c>
      <c r="Q22" s="6">
        <v>5.59</v>
      </c>
    </row>
    <row r="23" spans="1:17" customFormat="1">
      <c r="A23" s="72">
        <v>45319.15625</v>
      </c>
      <c r="B23" s="6">
        <v>78.22</v>
      </c>
      <c r="C23" s="6">
        <v>32.409999999999997</v>
      </c>
      <c r="D23" s="6">
        <v>81.010000000000005</v>
      </c>
      <c r="E23" s="6">
        <v>8.18</v>
      </c>
      <c r="F23" s="6">
        <v>3.3</v>
      </c>
      <c r="G23" s="6">
        <v>123.05</v>
      </c>
      <c r="H23" s="6">
        <v>56.55</v>
      </c>
      <c r="I23" s="6">
        <v>15.21</v>
      </c>
      <c r="J23" s="6">
        <v>0.15</v>
      </c>
      <c r="K23" s="6">
        <v>191.47</v>
      </c>
      <c r="L23" s="6">
        <v>12.9</v>
      </c>
      <c r="M23" s="6">
        <v>93.44</v>
      </c>
      <c r="N23" s="6">
        <v>0</v>
      </c>
      <c r="O23" s="6">
        <v>0</v>
      </c>
      <c r="P23" s="6">
        <v>1.44</v>
      </c>
      <c r="Q23" s="6">
        <v>5.59</v>
      </c>
    </row>
    <row r="24" spans="1:17" customFormat="1">
      <c r="A24" s="72">
        <v>45319.166666666664</v>
      </c>
      <c r="B24" s="6">
        <v>76</v>
      </c>
      <c r="C24" s="6">
        <v>31.87</v>
      </c>
      <c r="D24" s="6">
        <v>78.95</v>
      </c>
      <c r="E24" s="6">
        <v>7.95</v>
      </c>
      <c r="F24" s="6">
        <v>3.35</v>
      </c>
      <c r="G24" s="6">
        <v>123.05</v>
      </c>
      <c r="H24" s="6">
        <v>56.55</v>
      </c>
      <c r="I24" s="6">
        <v>15.47</v>
      </c>
      <c r="J24" s="6">
        <v>0.1</v>
      </c>
      <c r="K24" s="6">
        <v>189.36</v>
      </c>
      <c r="L24" s="6">
        <v>12.76</v>
      </c>
      <c r="M24" s="6">
        <v>93.29</v>
      </c>
      <c r="N24" s="6">
        <v>0</v>
      </c>
      <c r="O24" s="6">
        <v>0</v>
      </c>
      <c r="P24" s="6">
        <v>1.44</v>
      </c>
      <c r="Q24" s="6">
        <v>5.57</v>
      </c>
    </row>
    <row r="25" spans="1:17" customFormat="1">
      <c r="A25" s="72">
        <v>45319.177083333336</v>
      </c>
      <c r="B25" s="6">
        <v>74.02</v>
      </c>
      <c r="C25" s="6">
        <v>31.37</v>
      </c>
      <c r="D25" s="6">
        <v>77.099999999999994</v>
      </c>
      <c r="E25" s="6">
        <v>8.06</v>
      </c>
      <c r="F25" s="6">
        <v>3.42</v>
      </c>
      <c r="G25" s="6">
        <v>123.05</v>
      </c>
      <c r="H25" s="6">
        <v>56.55</v>
      </c>
      <c r="I25" s="6">
        <v>15.66</v>
      </c>
      <c r="J25" s="6">
        <v>0.08</v>
      </c>
      <c r="K25" s="6">
        <v>221.52</v>
      </c>
      <c r="L25" s="6">
        <v>12.73</v>
      </c>
      <c r="M25" s="6">
        <v>93.24</v>
      </c>
      <c r="N25" s="6">
        <v>0</v>
      </c>
      <c r="O25" s="6">
        <v>0</v>
      </c>
      <c r="P25" s="6">
        <v>1.44</v>
      </c>
      <c r="Q25" s="6">
        <v>5.55</v>
      </c>
    </row>
    <row r="26" spans="1:17" customFormat="1">
      <c r="A26" s="72">
        <v>45319.1875</v>
      </c>
      <c r="B26" s="6">
        <v>72.59</v>
      </c>
      <c r="C26" s="6">
        <v>31.07</v>
      </c>
      <c r="D26" s="6">
        <v>75.8</v>
      </c>
      <c r="E26" s="6">
        <v>7.8</v>
      </c>
      <c r="F26" s="6">
        <v>3.36</v>
      </c>
      <c r="G26" s="6">
        <v>117.78</v>
      </c>
      <c r="H26" s="6">
        <v>53.79</v>
      </c>
      <c r="I26" s="6">
        <v>15.79</v>
      </c>
      <c r="J26" s="6">
        <v>0.13</v>
      </c>
      <c r="K26" s="6">
        <v>173.95</v>
      </c>
      <c r="L26" s="6">
        <v>12.81</v>
      </c>
      <c r="M26" s="6">
        <v>92.76</v>
      </c>
      <c r="N26" s="6">
        <v>0</v>
      </c>
      <c r="O26" s="6">
        <v>0</v>
      </c>
      <c r="P26" s="6">
        <v>1.48</v>
      </c>
      <c r="Q26" s="6">
        <v>5.51</v>
      </c>
    </row>
    <row r="27" spans="1:17" customFormat="1">
      <c r="A27" s="72">
        <v>45319.197916666664</v>
      </c>
      <c r="B27" s="6">
        <v>71.510000000000005</v>
      </c>
      <c r="C27" s="6">
        <v>31.02</v>
      </c>
      <c r="D27" s="6">
        <v>74.91</v>
      </c>
      <c r="E27" s="6">
        <v>8.24</v>
      </c>
      <c r="F27" s="6">
        <v>3.3</v>
      </c>
      <c r="G27" s="6">
        <v>117.12</v>
      </c>
      <c r="H27" s="6">
        <v>53.79</v>
      </c>
      <c r="I27" s="6">
        <v>16.04</v>
      </c>
      <c r="J27" s="6">
        <v>0.09</v>
      </c>
      <c r="K27" s="6">
        <v>225.01</v>
      </c>
      <c r="L27" s="6">
        <v>12.7</v>
      </c>
      <c r="M27" s="6">
        <v>93.06</v>
      </c>
      <c r="N27" s="6">
        <v>0</v>
      </c>
      <c r="O27" s="6">
        <v>0</v>
      </c>
      <c r="P27" s="6">
        <v>1.52</v>
      </c>
      <c r="Q27" s="6">
        <v>5.49</v>
      </c>
    </row>
    <row r="28" spans="1:17" customFormat="1">
      <c r="A28" s="72">
        <v>45319.208333333336</v>
      </c>
      <c r="B28" s="6">
        <v>70.58</v>
      </c>
      <c r="C28" s="6">
        <v>30.95</v>
      </c>
      <c r="D28" s="6">
        <v>74.12</v>
      </c>
      <c r="E28" s="6">
        <v>8.34</v>
      </c>
      <c r="F28" s="6">
        <v>3.28</v>
      </c>
      <c r="G28" s="6">
        <v>117.12</v>
      </c>
      <c r="H28" s="6">
        <v>53.79</v>
      </c>
      <c r="I28" s="6">
        <v>16.440000000000001</v>
      </c>
      <c r="J28" s="6">
        <v>0.16</v>
      </c>
      <c r="K28" s="6">
        <v>146.38</v>
      </c>
      <c r="L28" s="6">
        <v>12.71</v>
      </c>
      <c r="M28" s="6">
        <v>92.26</v>
      </c>
      <c r="N28" s="6">
        <v>0</v>
      </c>
      <c r="O28" s="6">
        <v>0</v>
      </c>
      <c r="P28" s="6">
        <v>1.53</v>
      </c>
      <c r="Q28" s="6">
        <v>5.48</v>
      </c>
    </row>
    <row r="29" spans="1:17" customFormat="1">
      <c r="A29" s="72">
        <v>45319.21875</v>
      </c>
      <c r="B29" s="6">
        <v>70.17</v>
      </c>
      <c r="C29" s="6">
        <v>30.84</v>
      </c>
      <c r="D29" s="6">
        <v>73.73</v>
      </c>
      <c r="E29" s="6">
        <v>8.15</v>
      </c>
      <c r="F29" s="6">
        <v>3.26</v>
      </c>
      <c r="G29" s="6">
        <v>117.12</v>
      </c>
      <c r="H29" s="6">
        <v>53.79</v>
      </c>
      <c r="I29" s="6">
        <v>16.829999999999998</v>
      </c>
      <c r="J29" s="6">
        <v>0.15</v>
      </c>
      <c r="K29" s="6">
        <v>129.44999999999999</v>
      </c>
      <c r="L29" s="6">
        <v>12.75</v>
      </c>
      <c r="M29" s="6">
        <v>91.17</v>
      </c>
      <c r="N29" s="6">
        <v>0</v>
      </c>
      <c r="O29" s="6">
        <v>0</v>
      </c>
      <c r="P29" s="6">
        <v>1.57</v>
      </c>
      <c r="Q29" s="6">
        <v>5.48</v>
      </c>
    </row>
    <row r="30" spans="1:17" customFormat="1">
      <c r="A30" s="72">
        <v>45319.229166666664</v>
      </c>
      <c r="B30" s="6">
        <v>70.290000000000006</v>
      </c>
      <c r="C30" s="6">
        <v>30.68</v>
      </c>
      <c r="D30" s="6">
        <v>73.739999999999995</v>
      </c>
      <c r="E30" s="6">
        <v>8.42</v>
      </c>
      <c r="F30" s="6">
        <v>3.35</v>
      </c>
      <c r="G30" s="6">
        <v>118.46</v>
      </c>
      <c r="H30" s="6">
        <v>55.66</v>
      </c>
      <c r="I30" s="6">
        <v>17.2</v>
      </c>
      <c r="J30" s="6">
        <v>0.17</v>
      </c>
      <c r="K30" s="6">
        <v>162.13</v>
      </c>
      <c r="L30" s="6">
        <v>12.94</v>
      </c>
      <c r="M30" s="6">
        <v>89.76</v>
      </c>
      <c r="N30" s="6">
        <v>0</v>
      </c>
      <c r="O30" s="6">
        <v>0</v>
      </c>
      <c r="P30" s="6">
        <v>1.61</v>
      </c>
      <c r="Q30" s="6">
        <v>5.47</v>
      </c>
    </row>
    <row r="31" spans="1:17" customFormat="1">
      <c r="A31" s="72">
        <v>45319.239583333336</v>
      </c>
      <c r="B31" s="6">
        <v>72.72</v>
      </c>
      <c r="C31" s="6">
        <v>30.69</v>
      </c>
      <c r="D31" s="6">
        <v>75.7</v>
      </c>
      <c r="E31" s="6">
        <v>7.8</v>
      </c>
      <c r="F31" s="6">
        <v>3.42</v>
      </c>
      <c r="G31" s="6">
        <v>118.63</v>
      </c>
      <c r="H31" s="6">
        <v>55.66</v>
      </c>
      <c r="I31" s="6">
        <v>17.579999999999998</v>
      </c>
      <c r="J31" s="6">
        <v>0.09</v>
      </c>
      <c r="K31" s="6">
        <v>146.03</v>
      </c>
      <c r="L31" s="6">
        <v>12.84</v>
      </c>
      <c r="M31" s="6">
        <v>90.54</v>
      </c>
      <c r="N31" s="6">
        <v>0</v>
      </c>
      <c r="O31" s="6">
        <v>0</v>
      </c>
      <c r="P31" s="6">
        <v>1.64</v>
      </c>
      <c r="Q31" s="6">
        <v>5.48</v>
      </c>
    </row>
    <row r="32" spans="1:17" customFormat="1">
      <c r="A32" s="72">
        <v>45319.25</v>
      </c>
      <c r="B32" s="6">
        <v>79.599999999999994</v>
      </c>
      <c r="C32" s="6">
        <v>31.33</v>
      </c>
      <c r="D32" s="6">
        <v>81.55</v>
      </c>
      <c r="E32" s="6">
        <v>8.2799999999999994</v>
      </c>
      <c r="F32" s="6">
        <v>3.21</v>
      </c>
      <c r="G32" s="6">
        <v>118.63</v>
      </c>
      <c r="H32" s="6">
        <v>55.66</v>
      </c>
      <c r="I32" s="6">
        <v>17.97</v>
      </c>
      <c r="J32" s="6">
        <v>0.22</v>
      </c>
      <c r="K32" s="6">
        <v>74.900000000000006</v>
      </c>
      <c r="L32" s="6">
        <v>12.99</v>
      </c>
      <c r="M32" s="6">
        <v>88.91</v>
      </c>
      <c r="N32" s="6">
        <v>0</v>
      </c>
      <c r="O32" s="6">
        <v>0</v>
      </c>
      <c r="P32" s="6">
        <v>1.7</v>
      </c>
      <c r="Q32" s="6">
        <v>5.51</v>
      </c>
    </row>
    <row r="33" spans="1:17" customFormat="1">
      <c r="A33" s="72">
        <v>45319.260416666664</v>
      </c>
      <c r="B33" s="6">
        <v>87.02</v>
      </c>
      <c r="C33" s="6">
        <v>32.119999999999997</v>
      </c>
      <c r="D33" s="6">
        <v>87.92</v>
      </c>
      <c r="E33" s="6">
        <v>8.08</v>
      </c>
      <c r="F33" s="6">
        <v>3.18</v>
      </c>
      <c r="G33" s="6">
        <v>118.63</v>
      </c>
      <c r="H33" s="6">
        <v>55.66</v>
      </c>
      <c r="I33" s="6">
        <v>18.440000000000001</v>
      </c>
      <c r="J33" s="6">
        <v>0.16</v>
      </c>
      <c r="K33" s="6">
        <v>230.4</v>
      </c>
      <c r="L33" s="6">
        <v>13.08</v>
      </c>
      <c r="M33" s="6">
        <v>88.91</v>
      </c>
      <c r="N33" s="6">
        <v>0</v>
      </c>
      <c r="O33" s="6">
        <v>0</v>
      </c>
      <c r="P33" s="6">
        <v>1.75</v>
      </c>
      <c r="Q33" s="6">
        <v>5.59</v>
      </c>
    </row>
    <row r="34" spans="1:17" customFormat="1">
      <c r="A34" s="72">
        <v>45319.270833333336</v>
      </c>
      <c r="B34" s="6">
        <v>93.07</v>
      </c>
      <c r="C34" s="6">
        <v>32.78</v>
      </c>
      <c r="D34" s="6">
        <v>93.12</v>
      </c>
      <c r="E34" s="6">
        <v>8.3000000000000007</v>
      </c>
      <c r="F34" s="6">
        <v>3.31</v>
      </c>
      <c r="G34" s="6">
        <v>131.71</v>
      </c>
      <c r="H34" s="6">
        <v>57.69</v>
      </c>
      <c r="I34" s="6">
        <v>19.010000000000002</v>
      </c>
      <c r="J34" s="6">
        <v>0.12</v>
      </c>
      <c r="K34" s="6">
        <v>227.68</v>
      </c>
      <c r="L34" s="6">
        <v>12.65</v>
      </c>
      <c r="M34" s="6">
        <v>91.9</v>
      </c>
      <c r="N34" s="6">
        <v>0</v>
      </c>
      <c r="O34" s="6">
        <v>0</v>
      </c>
      <c r="P34" s="6">
        <v>1.81</v>
      </c>
      <c r="Q34" s="6">
        <v>5.66</v>
      </c>
    </row>
    <row r="35" spans="1:17" customFormat="1">
      <c r="A35" s="72">
        <v>45319.28125</v>
      </c>
      <c r="B35" s="6">
        <v>99.5</v>
      </c>
      <c r="C35" s="6">
        <v>31.88</v>
      </c>
      <c r="D35" s="6">
        <v>97.8</v>
      </c>
      <c r="E35" s="6">
        <v>8.92</v>
      </c>
      <c r="F35" s="6">
        <v>3.51</v>
      </c>
      <c r="G35" s="6">
        <v>133.34</v>
      </c>
      <c r="H35" s="6">
        <v>57.69</v>
      </c>
      <c r="I35" s="6">
        <v>19.579999999999998</v>
      </c>
      <c r="J35" s="6">
        <v>0.16</v>
      </c>
      <c r="K35" s="6">
        <v>189.23</v>
      </c>
      <c r="L35" s="6">
        <v>12.52</v>
      </c>
      <c r="M35" s="6">
        <v>92.62</v>
      </c>
      <c r="N35" s="6">
        <v>0</v>
      </c>
      <c r="O35" s="6">
        <v>0</v>
      </c>
      <c r="P35" s="6">
        <v>1.85</v>
      </c>
      <c r="Q35" s="6">
        <v>5.72</v>
      </c>
    </row>
    <row r="36" spans="1:17" customFormat="1">
      <c r="A36" s="72">
        <v>45319.291666666664</v>
      </c>
      <c r="B36" s="6">
        <v>104.25</v>
      </c>
      <c r="C36" s="6">
        <v>30.62</v>
      </c>
      <c r="D36" s="6">
        <v>100.95</v>
      </c>
      <c r="E36" s="6">
        <v>8.48</v>
      </c>
      <c r="F36" s="6">
        <v>3.53</v>
      </c>
      <c r="G36" s="6">
        <v>133.34</v>
      </c>
      <c r="H36" s="6">
        <v>57.69</v>
      </c>
      <c r="I36" s="6">
        <v>20.07</v>
      </c>
      <c r="J36" s="6">
        <v>0.2</v>
      </c>
      <c r="K36" s="6">
        <v>173.52</v>
      </c>
      <c r="L36" s="6">
        <v>12.59</v>
      </c>
      <c r="M36" s="6">
        <v>93.7</v>
      </c>
      <c r="N36" s="6">
        <v>6</v>
      </c>
      <c r="O36" s="6">
        <v>0</v>
      </c>
      <c r="P36" s="6">
        <v>1.88</v>
      </c>
      <c r="Q36" s="6">
        <v>5.72</v>
      </c>
    </row>
    <row r="37" spans="1:17" customFormat="1">
      <c r="A37" s="72">
        <v>45319.302083333336</v>
      </c>
      <c r="B37" s="6">
        <v>107.21</v>
      </c>
      <c r="C37" s="6">
        <v>31.02</v>
      </c>
      <c r="D37" s="6">
        <v>103.53</v>
      </c>
      <c r="E37" s="6">
        <v>8.3000000000000007</v>
      </c>
      <c r="F37" s="6">
        <v>3.31</v>
      </c>
      <c r="G37" s="6">
        <v>133.34</v>
      </c>
      <c r="H37" s="6">
        <v>57.69</v>
      </c>
      <c r="I37" s="6">
        <v>20.47</v>
      </c>
      <c r="J37" s="6">
        <v>0.16</v>
      </c>
      <c r="K37" s="6">
        <v>193.39</v>
      </c>
      <c r="L37" s="6">
        <v>12.89</v>
      </c>
      <c r="M37" s="6">
        <v>94.7</v>
      </c>
      <c r="N37" s="6">
        <v>20.2</v>
      </c>
      <c r="O37" s="6">
        <v>0</v>
      </c>
      <c r="P37" s="6">
        <v>1.9</v>
      </c>
      <c r="Q37" s="6">
        <v>5.76</v>
      </c>
    </row>
    <row r="38" spans="1:17" customFormat="1">
      <c r="A38" s="72">
        <v>45319.3125</v>
      </c>
      <c r="B38" s="6">
        <v>109.78</v>
      </c>
      <c r="C38" s="6">
        <v>32.64</v>
      </c>
      <c r="D38" s="6">
        <v>106.44</v>
      </c>
      <c r="E38" s="6">
        <v>8.27</v>
      </c>
      <c r="F38" s="6">
        <v>3.36</v>
      </c>
      <c r="G38" s="6">
        <v>137.83000000000001</v>
      </c>
      <c r="H38" s="6">
        <v>64.349999999999994</v>
      </c>
      <c r="I38" s="6">
        <v>20.86</v>
      </c>
      <c r="J38" s="6">
        <v>0.13</v>
      </c>
      <c r="K38" s="6">
        <v>225.72</v>
      </c>
      <c r="L38" s="6">
        <v>13.39</v>
      </c>
      <c r="M38" s="6">
        <v>91.84</v>
      </c>
      <c r="N38" s="6">
        <v>28.2</v>
      </c>
      <c r="O38" s="6">
        <v>0</v>
      </c>
      <c r="P38" s="6">
        <v>1.93</v>
      </c>
      <c r="Q38" s="6">
        <v>5.81</v>
      </c>
    </row>
    <row r="39" spans="1:17" customFormat="1">
      <c r="A39" s="72">
        <v>45319.322916666664</v>
      </c>
      <c r="B39" s="6">
        <v>113.91</v>
      </c>
      <c r="C39" s="6">
        <v>33.630000000000003</v>
      </c>
      <c r="D39" s="6">
        <v>110.27</v>
      </c>
      <c r="E39" s="6">
        <v>8.7799999999999994</v>
      </c>
      <c r="F39" s="6">
        <v>3.38</v>
      </c>
      <c r="G39" s="6">
        <v>138.38999999999999</v>
      </c>
      <c r="H39" s="6">
        <v>64.349999999999994</v>
      </c>
      <c r="I39" s="6">
        <v>21.16</v>
      </c>
      <c r="J39" s="6">
        <v>0.14000000000000001</v>
      </c>
      <c r="K39" s="6">
        <v>42.63</v>
      </c>
      <c r="L39" s="6">
        <v>14.01</v>
      </c>
      <c r="M39" s="6">
        <v>86.25</v>
      </c>
      <c r="N39" s="6">
        <v>43.8</v>
      </c>
      <c r="O39" s="6">
        <v>0</v>
      </c>
      <c r="P39" s="6">
        <v>1.97</v>
      </c>
      <c r="Q39" s="6">
        <v>5.84</v>
      </c>
    </row>
    <row r="40" spans="1:17" customFormat="1">
      <c r="A40" s="72">
        <v>45319.333333333336</v>
      </c>
      <c r="B40" s="6">
        <v>118.32</v>
      </c>
      <c r="C40" s="6">
        <v>34.82</v>
      </c>
      <c r="D40" s="6">
        <v>114.43</v>
      </c>
      <c r="E40" s="6">
        <v>8.8800000000000008</v>
      </c>
      <c r="F40" s="6">
        <v>3.3</v>
      </c>
      <c r="G40" s="6">
        <v>138.38999999999999</v>
      </c>
      <c r="H40" s="6">
        <v>64.349999999999994</v>
      </c>
      <c r="I40" s="6">
        <v>21.52</v>
      </c>
      <c r="J40" s="6">
        <v>0.4</v>
      </c>
      <c r="K40" s="6">
        <v>45.55</v>
      </c>
      <c r="L40" s="6">
        <v>15.08</v>
      </c>
      <c r="M40" s="6">
        <v>79.62</v>
      </c>
      <c r="N40" s="6">
        <v>53.7</v>
      </c>
      <c r="O40" s="6">
        <v>0</v>
      </c>
      <c r="P40" s="6">
        <v>2.02</v>
      </c>
      <c r="Q40" s="6">
        <v>5.89</v>
      </c>
    </row>
    <row r="41" spans="1:17" customFormat="1">
      <c r="A41" s="72">
        <v>45319.34375</v>
      </c>
      <c r="B41" s="6">
        <v>119.51</v>
      </c>
      <c r="C41" s="6">
        <v>37.119999999999997</v>
      </c>
      <c r="D41" s="6">
        <v>116.58</v>
      </c>
      <c r="E41" s="6">
        <v>8.9499999999999993</v>
      </c>
      <c r="F41" s="6">
        <v>3.23</v>
      </c>
      <c r="G41" s="6">
        <v>138.38999999999999</v>
      </c>
      <c r="H41" s="6">
        <v>64.349999999999994</v>
      </c>
      <c r="I41" s="6">
        <v>21.98</v>
      </c>
      <c r="J41" s="6">
        <v>0.47</v>
      </c>
      <c r="K41" s="6">
        <v>73.58</v>
      </c>
      <c r="L41" s="6">
        <v>15.96</v>
      </c>
      <c r="M41" s="6">
        <v>73.48</v>
      </c>
      <c r="N41" s="6">
        <v>119.2</v>
      </c>
      <c r="O41" s="6">
        <v>0</v>
      </c>
      <c r="P41" s="6">
        <v>2.06</v>
      </c>
      <c r="Q41" s="6">
        <v>5.93</v>
      </c>
    </row>
    <row r="42" spans="1:17" customFormat="1">
      <c r="A42" s="72">
        <v>45319.354166666664</v>
      </c>
      <c r="B42" s="6">
        <v>117.8</v>
      </c>
      <c r="C42" s="6">
        <v>38.65</v>
      </c>
      <c r="D42" s="6">
        <v>116.01</v>
      </c>
      <c r="E42" s="6">
        <v>8.9</v>
      </c>
      <c r="F42" s="6">
        <v>3.38</v>
      </c>
      <c r="G42" s="6">
        <v>163.13</v>
      </c>
      <c r="H42" s="6">
        <v>81.19</v>
      </c>
      <c r="I42" s="6">
        <v>22.55</v>
      </c>
      <c r="J42" s="6">
        <v>0.34</v>
      </c>
      <c r="K42" s="6">
        <v>31.63</v>
      </c>
      <c r="L42" s="6">
        <v>16.920000000000002</v>
      </c>
      <c r="M42" s="6">
        <v>69.11</v>
      </c>
      <c r="N42" s="6">
        <v>174.5</v>
      </c>
      <c r="O42" s="6">
        <v>0</v>
      </c>
      <c r="P42" s="6">
        <v>2.09</v>
      </c>
      <c r="Q42" s="6">
        <v>5.93</v>
      </c>
    </row>
    <row r="43" spans="1:17" customFormat="1">
      <c r="A43" s="72">
        <v>45319.364583333336</v>
      </c>
      <c r="B43" s="6">
        <v>114.26</v>
      </c>
      <c r="C43" s="6">
        <v>40.74</v>
      </c>
      <c r="D43" s="6">
        <v>114.26</v>
      </c>
      <c r="E43" s="6">
        <v>8.9600000000000009</v>
      </c>
      <c r="F43" s="6">
        <v>3.37</v>
      </c>
      <c r="G43" s="6">
        <v>166.23</v>
      </c>
      <c r="H43" s="6">
        <v>81.19</v>
      </c>
      <c r="I43" s="6">
        <v>23.06</v>
      </c>
      <c r="J43" s="6">
        <v>0.37</v>
      </c>
      <c r="K43" s="6">
        <v>66.849999999999994</v>
      </c>
      <c r="L43" s="6">
        <v>18.21</v>
      </c>
      <c r="M43" s="6">
        <v>63.23</v>
      </c>
      <c r="N43" s="6">
        <v>216</v>
      </c>
      <c r="O43" s="6">
        <v>0</v>
      </c>
      <c r="P43" s="6">
        <v>2.11</v>
      </c>
      <c r="Q43" s="6">
        <v>5.93</v>
      </c>
    </row>
    <row r="44" spans="1:17" customFormat="1">
      <c r="A44" s="72">
        <v>45319.375</v>
      </c>
      <c r="B44" s="6">
        <v>109.76</v>
      </c>
      <c r="C44" s="6">
        <v>42.28</v>
      </c>
      <c r="D44" s="6">
        <v>111.46</v>
      </c>
      <c r="E44" s="6">
        <v>9.57</v>
      </c>
      <c r="F44" s="6">
        <v>3.39</v>
      </c>
      <c r="G44" s="6">
        <v>166.23</v>
      </c>
      <c r="H44" s="6">
        <v>81.19</v>
      </c>
      <c r="I44" s="6">
        <v>23.45</v>
      </c>
      <c r="J44" s="6">
        <v>0.51</v>
      </c>
      <c r="K44" s="6">
        <v>53.11</v>
      </c>
      <c r="L44" s="6">
        <v>19.14</v>
      </c>
      <c r="M44" s="6">
        <v>60.38</v>
      </c>
      <c r="N44" s="6">
        <v>242.2</v>
      </c>
      <c r="O44" s="6">
        <v>0</v>
      </c>
      <c r="P44" s="6">
        <v>2.13</v>
      </c>
      <c r="Q44" s="6">
        <v>5.89</v>
      </c>
    </row>
    <row r="45" spans="1:17" customFormat="1">
      <c r="A45" s="72">
        <v>45319.385416666664</v>
      </c>
      <c r="B45" s="6">
        <v>104.7</v>
      </c>
      <c r="C45" s="6">
        <v>41.39</v>
      </c>
      <c r="D45" s="6">
        <v>106.94</v>
      </c>
      <c r="E45" s="6">
        <v>9.25</v>
      </c>
      <c r="F45" s="6">
        <v>3.55</v>
      </c>
      <c r="G45" s="6">
        <v>166.23</v>
      </c>
      <c r="H45" s="6">
        <v>81.19</v>
      </c>
      <c r="I45" s="6">
        <v>23.72</v>
      </c>
      <c r="J45" s="6">
        <v>0.27</v>
      </c>
      <c r="K45" s="6">
        <v>113.29</v>
      </c>
      <c r="L45" s="6">
        <v>20.38</v>
      </c>
      <c r="M45" s="6">
        <v>52.64</v>
      </c>
      <c r="N45" s="6">
        <v>289.5</v>
      </c>
      <c r="O45" s="6">
        <v>0</v>
      </c>
      <c r="P45" s="6">
        <v>2.14</v>
      </c>
      <c r="Q45" s="6">
        <v>5.85</v>
      </c>
    </row>
    <row r="46" spans="1:17" customFormat="1">
      <c r="A46" s="72">
        <v>45319.395833333336</v>
      </c>
      <c r="B46" s="6">
        <v>99.16</v>
      </c>
      <c r="C46" s="6">
        <v>41.64</v>
      </c>
      <c r="D46" s="6">
        <v>102.63</v>
      </c>
      <c r="E46" s="6">
        <v>9.61</v>
      </c>
      <c r="F46" s="6">
        <v>3.32</v>
      </c>
      <c r="G46" s="6">
        <v>187.36</v>
      </c>
      <c r="H46" s="6">
        <v>94.68</v>
      </c>
      <c r="I46" s="6">
        <v>23.91</v>
      </c>
      <c r="J46" s="6">
        <v>0.37</v>
      </c>
      <c r="K46" s="6">
        <v>100.42</v>
      </c>
      <c r="L46" s="6">
        <v>21.53</v>
      </c>
      <c r="M46" s="6">
        <v>49.11</v>
      </c>
      <c r="N46" s="6">
        <v>303.39999999999998</v>
      </c>
      <c r="O46" s="6">
        <v>0</v>
      </c>
      <c r="P46" s="6">
        <v>2.13</v>
      </c>
      <c r="Q46" s="6">
        <v>5.8</v>
      </c>
    </row>
    <row r="47" spans="1:17" customFormat="1">
      <c r="A47" s="72">
        <v>45319.40625</v>
      </c>
      <c r="B47" s="6">
        <v>93.87</v>
      </c>
      <c r="C47" s="6">
        <v>40.82</v>
      </c>
      <c r="D47" s="6">
        <v>97.96</v>
      </c>
      <c r="E47" s="6">
        <v>9.31</v>
      </c>
      <c r="F47" s="6">
        <v>3.47</v>
      </c>
      <c r="G47" s="6">
        <v>190</v>
      </c>
      <c r="H47" s="6">
        <v>94.68</v>
      </c>
      <c r="I47" s="6">
        <v>23.9</v>
      </c>
      <c r="J47" s="6">
        <v>0.28000000000000003</v>
      </c>
      <c r="K47" s="6">
        <v>121.59</v>
      </c>
      <c r="L47" s="6">
        <v>22.2</v>
      </c>
      <c r="M47" s="6">
        <v>46.74</v>
      </c>
      <c r="N47" s="6">
        <v>267.8</v>
      </c>
      <c r="O47" s="6">
        <v>0</v>
      </c>
      <c r="P47" s="6">
        <v>2.09</v>
      </c>
      <c r="Q47" s="6">
        <v>5.78</v>
      </c>
    </row>
    <row r="48" spans="1:17" customFormat="1">
      <c r="A48" s="72">
        <v>45319.416666666664</v>
      </c>
      <c r="B48" s="6">
        <v>88.82</v>
      </c>
      <c r="C48" s="6">
        <v>38.799999999999997</v>
      </c>
      <c r="D48" s="6">
        <v>92.85</v>
      </c>
      <c r="E48" s="6">
        <v>9.1300000000000008</v>
      </c>
      <c r="F48" s="6">
        <v>3.44</v>
      </c>
      <c r="G48" s="6">
        <v>190</v>
      </c>
      <c r="H48" s="6">
        <v>94.68</v>
      </c>
      <c r="I48" s="6">
        <v>23.65</v>
      </c>
      <c r="J48" s="6">
        <v>0.5</v>
      </c>
      <c r="K48" s="6">
        <v>106.72</v>
      </c>
      <c r="L48" s="6">
        <v>22.74</v>
      </c>
      <c r="M48" s="6">
        <v>43.7</v>
      </c>
      <c r="N48" s="6">
        <v>279.3</v>
      </c>
      <c r="O48" s="6">
        <v>0</v>
      </c>
      <c r="P48" s="6">
        <v>2.0499999999999998</v>
      </c>
      <c r="Q48" s="6">
        <v>5.72</v>
      </c>
    </row>
    <row r="49" spans="1:17" customFormat="1">
      <c r="A49" s="72">
        <v>45319.427083333336</v>
      </c>
      <c r="B49" s="6">
        <v>83.11</v>
      </c>
      <c r="C49" s="6">
        <v>38.33</v>
      </c>
      <c r="D49" s="6">
        <v>88.03</v>
      </c>
      <c r="E49" s="6">
        <v>7.89</v>
      </c>
      <c r="F49" s="6">
        <v>3.38</v>
      </c>
      <c r="G49" s="6">
        <v>190</v>
      </c>
      <c r="H49" s="6">
        <v>94.68</v>
      </c>
      <c r="I49" s="6">
        <v>23.27</v>
      </c>
      <c r="J49" s="6">
        <v>0.55000000000000004</v>
      </c>
      <c r="K49" s="6">
        <v>85.16</v>
      </c>
      <c r="L49" s="6">
        <v>23.23</v>
      </c>
      <c r="M49" s="6">
        <v>39.75</v>
      </c>
      <c r="N49" s="6">
        <v>459.8</v>
      </c>
      <c r="O49" s="6">
        <v>0</v>
      </c>
      <c r="P49" s="6">
        <v>1.99</v>
      </c>
      <c r="Q49" s="6">
        <v>5.66</v>
      </c>
    </row>
    <row r="50" spans="1:17" customFormat="1">
      <c r="A50" s="72">
        <v>45319.4375</v>
      </c>
      <c r="B50" s="6">
        <v>76.569999999999993</v>
      </c>
      <c r="C50" s="6">
        <v>38.33</v>
      </c>
      <c r="D50" s="6">
        <v>82.78</v>
      </c>
      <c r="E50" s="6">
        <v>8.3000000000000007</v>
      </c>
      <c r="F50" s="6">
        <v>3.39</v>
      </c>
      <c r="G50" s="6">
        <v>167.29</v>
      </c>
      <c r="H50" s="6">
        <v>76.75</v>
      </c>
      <c r="I50" s="6">
        <v>22.79</v>
      </c>
      <c r="J50" s="6">
        <v>0.87</v>
      </c>
      <c r="K50" s="6">
        <v>70.88</v>
      </c>
      <c r="L50" s="6">
        <v>23.37</v>
      </c>
      <c r="M50" s="6">
        <v>38.67</v>
      </c>
      <c r="N50" s="6">
        <v>480.5</v>
      </c>
      <c r="O50" s="6">
        <v>0</v>
      </c>
      <c r="P50" s="6">
        <v>1.93</v>
      </c>
      <c r="Q50" s="6">
        <v>5.6</v>
      </c>
    </row>
    <row r="51" spans="1:17" customFormat="1">
      <c r="A51" s="72">
        <v>45319.447916666664</v>
      </c>
      <c r="B51" s="6">
        <v>70.8</v>
      </c>
      <c r="C51" s="6">
        <v>38.979999999999997</v>
      </c>
      <c r="D51" s="6">
        <v>78.489999999999995</v>
      </c>
      <c r="E51" s="6">
        <v>8.19</v>
      </c>
      <c r="F51" s="6">
        <v>3.45</v>
      </c>
      <c r="G51" s="6">
        <v>164.45</v>
      </c>
      <c r="H51" s="6">
        <v>76.75</v>
      </c>
      <c r="I51" s="6">
        <v>22.14</v>
      </c>
      <c r="J51" s="6">
        <v>0.33</v>
      </c>
      <c r="K51" s="6">
        <v>124.21</v>
      </c>
      <c r="L51" s="6">
        <v>23.95</v>
      </c>
      <c r="M51" s="6">
        <v>37.39</v>
      </c>
      <c r="N51" s="6">
        <v>515.20000000000005</v>
      </c>
      <c r="O51" s="6">
        <v>0</v>
      </c>
      <c r="P51" s="6">
        <v>1.86</v>
      </c>
      <c r="Q51" s="6">
        <v>5.54</v>
      </c>
    </row>
    <row r="52" spans="1:17" customFormat="1">
      <c r="A52" s="72">
        <v>45319.458333333336</v>
      </c>
      <c r="B52" s="6">
        <v>65.77</v>
      </c>
      <c r="C52" s="6">
        <v>37.54</v>
      </c>
      <c r="D52" s="6">
        <v>73.709999999999994</v>
      </c>
      <c r="E52" s="6">
        <v>8</v>
      </c>
      <c r="F52" s="6">
        <v>3.42</v>
      </c>
      <c r="G52" s="6">
        <v>164.45</v>
      </c>
      <c r="H52" s="6">
        <v>76.75</v>
      </c>
      <c r="I52" s="6">
        <v>21.41</v>
      </c>
      <c r="J52" s="6">
        <v>0.28000000000000003</v>
      </c>
      <c r="K52" s="6">
        <v>84.74</v>
      </c>
      <c r="L52" s="6">
        <v>24.68</v>
      </c>
      <c r="M52" s="6">
        <v>35.21</v>
      </c>
      <c r="N52" s="6">
        <v>565.29999999999995</v>
      </c>
      <c r="O52" s="6">
        <v>0</v>
      </c>
      <c r="P52" s="6">
        <v>1.81</v>
      </c>
      <c r="Q52" s="6">
        <v>5.46</v>
      </c>
    </row>
    <row r="53" spans="1:17" customFormat="1">
      <c r="A53" s="72">
        <v>45319.46875</v>
      </c>
      <c r="B53" s="6">
        <v>60.68</v>
      </c>
      <c r="C53" s="6">
        <v>36.340000000000003</v>
      </c>
      <c r="D53" s="6">
        <v>69</v>
      </c>
      <c r="E53" s="6">
        <v>7.86</v>
      </c>
      <c r="F53" s="6">
        <v>3.57</v>
      </c>
      <c r="G53" s="6">
        <v>164.45</v>
      </c>
      <c r="H53" s="6">
        <v>76.75</v>
      </c>
      <c r="I53" s="6">
        <v>20.75</v>
      </c>
      <c r="J53" s="6">
        <v>0.19</v>
      </c>
      <c r="K53" s="6">
        <v>225.58</v>
      </c>
      <c r="L53" s="6">
        <v>25.42</v>
      </c>
      <c r="M53" s="6">
        <v>34.42</v>
      </c>
      <c r="N53" s="6">
        <v>572.29999999999995</v>
      </c>
      <c r="O53" s="6">
        <v>0</v>
      </c>
      <c r="P53" s="6">
        <v>1.75</v>
      </c>
      <c r="Q53" s="6">
        <v>5.41</v>
      </c>
    </row>
    <row r="54" spans="1:17" customFormat="1">
      <c r="A54" s="72">
        <v>45319.479166666664</v>
      </c>
      <c r="B54" s="6">
        <v>54.42</v>
      </c>
      <c r="C54" s="6">
        <v>36.79</v>
      </c>
      <c r="D54" s="6">
        <v>64.209999999999994</v>
      </c>
      <c r="E54" s="6">
        <v>8.11</v>
      </c>
      <c r="F54" s="6">
        <v>3.53</v>
      </c>
      <c r="G54" s="6">
        <v>74.67</v>
      </c>
      <c r="H54" s="6">
        <v>51.84</v>
      </c>
      <c r="I54" s="6">
        <v>20.149999999999999</v>
      </c>
      <c r="J54" s="6">
        <v>0.19</v>
      </c>
      <c r="K54" s="6">
        <v>239.7</v>
      </c>
      <c r="L54" s="6">
        <v>25.7</v>
      </c>
      <c r="M54" s="6">
        <v>32.799999999999997</v>
      </c>
      <c r="N54" s="6">
        <v>550.70000000000005</v>
      </c>
      <c r="O54" s="6">
        <v>0</v>
      </c>
      <c r="P54" s="6">
        <v>1.69</v>
      </c>
      <c r="Q54" s="6">
        <v>5.37</v>
      </c>
    </row>
    <row r="55" spans="1:17" customFormat="1">
      <c r="A55" s="72">
        <v>45319.489583333336</v>
      </c>
      <c r="B55" s="6">
        <v>48.13</v>
      </c>
      <c r="C55" s="6">
        <v>37.61</v>
      </c>
      <c r="D55" s="6">
        <v>59.6</v>
      </c>
      <c r="E55" s="6">
        <v>7.92</v>
      </c>
      <c r="F55" s="6">
        <v>3.56</v>
      </c>
      <c r="G55" s="6">
        <v>63.45</v>
      </c>
      <c r="H55" s="6">
        <v>51.84</v>
      </c>
      <c r="I55" s="6">
        <v>19.510000000000002</v>
      </c>
      <c r="J55" s="6">
        <v>0.5</v>
      </c>
      <c r="K55" s="6">
        <v>52.02</v>
      </c>
      <c r="L55" s="6">
        <v>25.83</v>
      </c>
      <c r="M55" s="6">
        <v>32.700000000000003</v>
      </c>
      <c r="N55" s="6">
        <v>570.6</v>
      </c>
      <c r="O55" s="6">
        <v>0</v>
      </c>
      <c r="P55" s="6">
        <v>1.62</v>
      </c>
      <c r="Q55" s="6">
        <v>5.32</v>
      </c>
    </row>
    <row r="56" spans="1:17" customFormat="1">
      <c r="A56" s="72">
        <v>45319.5</v>
      </c>
      <c r="B56" s="6">
        <v>42.17</v>
      </c>
      <c r="C56" s="6">
        <v>38.51</v>
      </c>
      <c r="D56" s="6">
        <v>55.28</v>
      </c>
      <c r="E56" s="6">
        <v>8.2799999999999994</v>
      </c>
      <c r="F56" s="6">
        <v>3.65</v>
      </c>
      <c r="G56" s="6">
        <v>63.45</v>
      </c>
      <c r="H56" s="6">
        <v>51.84</v>
      </c>
      <c r="I56" s="6">
        <v>18.87</v>
      </c>
      <c r="J56" s="6">
        <v>0.47</v>
      </c>
      <c r="K56" s="6">
        <v>98.16</v>
      </c>
      <c r="L56" s="6">
        <v>26.37</v>
      </c>
      <c r="M56" s="6">
        <v>32.5</v>
      </c>
      <c r="N56" s="6">
        <v>571.4</v>
      </c>
      <c r="O56" s="6">
        <v>0</v>
      </c>
      <c r="P56" s="6">
        <v>1.56</v>
      </c>
      <c r="Q56" s="6">
        <v>5.27</v>
      </c>
    </row>
    <row r="57" spans="1:17" customFormat="1">
      <c r="A57" s="72">
        <v>45319.510416666664</v>
      </c>
      <c r="B57" s="6">
        <v>36.380000000000003</v>
      </c>
      <c r="C57" s="6">
        <v>38.94</v>
      </c>
      <c r="D57" s="6">
        <v>50.87</v>
      </c>
      <c r="E57" s="6">
        <v>7.94</v>
      </c>
      <c r="F57" s="6">
        <v>3.81</v>
      </c>
      <c r="G57" s="6">
        <v>63.45</v>
      </c>
      <c r="H57" s="6">
        <v>51.84</v>
      </c>
      <c r="I57" s="6">
        <v>18.16</v>
      </c>
      <c r="J57" s="6">
        <v>0.3</v>
      </c>
      <c r="K57" s="6">
        <v>8.4</v>
      </c>
      <c r="L57" s="6">
        <v>26.24</v>
      </c>
      <c r="M57" s="6">
        <v>31.7</v>
      </c>
      <c r="N57" s="6">
        <v>549.20000000000005</v>
      </c>
      <c r="O57" s="6">
        <v>0</v>
      </c>
      <c r="P57" s="6">
        <v>1.5</v>
      </c>
      <c r="Q57" s="6">
        <v>5.22</v>
      </c>
    </row>
    <row r="58" spans="1:17" customFormat="1">
      <c r="A58" s="72">
        <v>45319.520833333336</v>
      </c>
      <c r="B58" s="6">
        <v>30.84</v>
      </c>
      <c r="C58" s="6">
        <v>39.4</v>
      </c>
      <c r="D58" s="6">
        <v>46.67</v>
      </c>
      <c r="E58" s="6">
        <v>7.71</v>
      </c>
      <c r="F58" s="6">
        <v>3.82</v>
      </c>
      <c r="G58" s="6">
        <v>51.72</v>
      </c>
      <c r="H58" s="6">
        <v>34.6</v>
      </c>
      <c r="I58" s="6">
        <v>17.440000000000001</v>
      </c>
      <c r="J58" s="6">
        <v>0.15</v>
      </c>
      <c r="K58" s="6">
        <v>189.88</v>
      </c>
      <c r="L58" s="6">
        <v>27.16</v>
      </c>
      <c r="M58" s="6">
        <v>30.38</v>
      </c>
      <c r="N58" s="6">
        <v>594</v>
      </c>
      <c r="O58" s="6">
        <v>0</v>
      </c>
      <c r="P58" s="6">
        <v>1.44</v>
      </c>
      <c r="Q58" s="6">
        <v>5.15</v>
      </c>
    </row>
    <row r="59" spans="1:17" customFormat="1">
      <c r="A59" s="72">
        <v>45319.53125</v>
      </c>
      <c r="B59" s="6">
        <v>25.83</v>
      </c>
      <c r="C59" s="6">
        <v>39.18</v>
      </c>
      <c r="D59" s="6">
        <v>42.54</v>
      </c>
      <c r="E59" s="6">
        <v>7.38</v>
      </c>
      <c r="F59" s="6">
        <v>3.72</v>
      </c>
      <c r="G59" s="6">
        <v>50.24</v>
      </c>
      <c r="H59" s="6">
        <v>34.6</v>
      </c>
      <c r="I59" s="6">
        <v>16.75</v>
      </c>
      <c r="J59" s="6">
        <v>0.47</v>
      </c>
      <c r="K59" s="6">
        <v>124.84</v>
      </c>
      <c r="L59" s="6">
        <v>27.68</v>
      </c>
      <c r="M59" s="6">
        <v>28.31</v>
      </c>
      <c r="N59" s="6">
        <v>610.70000000000005</v>
      </c>
      <c r="O59" s="6">
        <v>0</v>
      </c>
      <c r="P59" s="6">
        <v>1.39</v>
      </c>
      <c r="Q59" s="6">
        <v>5.0999999999999996</v>
      </c>
    </row>
    <row r="60" spans="1:17" customFormat="1">
      <c r="A60" s="72">
        <v>45319.541666666664</v>
      </c>
      <c r="B60" s="6">
        <v>21.44</v>
      </c>
      <c r="C60" s="6">
        <v>38.659999999999997</v>
      </c>
      <c r="D60" s="6">
        <v>38.74</v>
      </c>
      <c r="E60" s="6">
        <v>7.81</v>
      </c>
      <c r="F60" s="6">
        <v>3.79</v>
      </c>
      <c r="G60" s="6">
        <v>50.24</v>
      </c>
      <c r="H60" s="6">
        <v>34.6</v>
      </c>
      <c r="I60" s="6">
        <v>16.12</v>
      </c>
      <c r="J60" s="6">
        <v>0.26</v>
      </c>
      <c r="K60" s="6">
        <v>211.74</v>
      </c>
      <c r="L60" s="6">
        <v>27.51</v>
      </c>
      <c r="M60" s="6">
        <v>28.35</v>
      </c>
      <c r="N60" s="6">
        <v>577.20000000000005</v>
      </c>
      <c r="O60" s="6">
        <v>0</v>
      </c>
      <c r="P60" s="6">
        <v>1.32</v>
      </c>
      <c r="Q60" s="6">
        <v>5.04</v>
      </c>
    </row>
    <row r="61" spans="1:17" customFormat="1">
      <c r="A61" s="72">
        <v>45319.552083333336</v>
      </c>
      <c r="B61" s="6">
        <v>17.8</v>
      </c>
      <c r="C61" s="6">
        <v>37.67</v>
      </c>
      <c r="D61" s="6">
        <v>35.31</v>
      </c>
      <c r="E61" s="6">
        <v>7.93</v>
      </c>
      <c r="F61" s="6">
        <v>3.91</v>
      </c>
      <c r="G61" s="6">
        <v>50.24</v>
      </c>
      <c r="H61" s="6">
        <v>34.6</v>
      </c>
      <c r="I61" s="6">
        <v>15.51</v>
      </c>
      <c r="J61" s="6">
        <v>0.14000000000000001</v>
      </c>
      <c r="K61" s="6">
        <v>214.23</v>
      </c>
      <c r="L61" s="6">
        <v>27.47</v>
      </c>
      <c r="M61" s="6">
        <v>28.67</v>
      </c>
      <c r="N61" s="6">
        <v>529.70000000000005</v>
      </c>
      <c r="O61" s="6">
        <v>0</v>
      </c>
      <c r="P61" s="6">
        <v>1.28</v>
      </c>
      <c r="Q61" s="6">
        <v>5.01</v>
      </c>
    </row>
    <row r="62" spans="1:17" customFormat="1">
      <c r="A62" s="72">
        <v>45319.5625</v>
      </c>
      <c r="B62" s="6">
        <v>14.48</v>
      </c>
      <c r="C62" s="6">
        <v>36.64</v>
      </c>
      <c r="D62" s="6">
        <v>32.11</v>
      </c>
      <c r="E62" s="6">
        <v>7.52</v>
      </c>
      <c r="F62" s="6">
        <v>4.08</v>
      </c>
      <c r="G62" s="6">
        <v>43.68</v>
      </c>
      <c r="H62" s="6">
        <v>26.37</v>
      </c>
      <c r="I62" s="6">
        <v>14.9</v>
      </c>
      <c r="J62" s="6">
        <v>0.36</v>
      </c>
      <c r="K62" s="6">
        <v>59.73</v>
      </c>
      <c r="L62" s="6">
        <v>27.59</v>
      </c>
      <c r="M62" s="6">
        <v>28.79</v>
      </c>
      <c r="N62" s="6">
        <v>484.6</v>
      </c>
      <c r="O62" s="6">
        <v>0</v>
      </c>
      <c r="P62" s="6">
        <v>1.24</v>
      </c>
      <c r="Q62" s="6">
        <v>4.97</v>
      </c>
    </row>
    <row r="63" spans="1:17" customFormat="1">
      <c r="A63" s="72">
        <v>45319.572916666664</v>
      </c>
      <c r="B63" s="6">
        <v>11.64</v>
      </c>
      <c r="C63" s="6">
        <v>35.58</v>
      </c>
      <c r="D63" s="6">
        <v>29.28</v>
      </c>
      <c r="E63" s="6">
        <v>7.16</v>
      </c>
      <c r="F63" s="6">
        <v>4.25</v>
      </c>
      <c r="G63" s="6">
        <v>42.87</v>
      </c>
      <c r="H63" s="6">
        <v>26.37</v>
      </c>
      <c r="I63" s="6">
        <v>14.36</v>
      </c>
      <c r="J63" s="6">
        <v>0.45</v>
      </c>
      <c r="K63" s="6">
        <v>308.2</v>
      </c>
      <c r="L63" s="6">
        <v>27.58</v>
      </c>
      <c r="M63" s="6">
        <v>27.74</v>
      </c>
      <c r="N63" s="6">
        <v>498.5</v>
      </c>
      <c r="O63" s="6">
        <v>0</v>
      </c>
      <c r="P63" s="6">
        <v>1.18</v>
      </c>
      <c r="Q63" s="6">
        <v>4.96</v>
      </c>
    </row>
    <row r="64" spans="1:17" customFormat="1">
      <c r="A64" s="72">
        <v>45319.583333333336</v>
      </c>
      <c r="B64" s="6">
        <v>9.64</v>
      </c>
      <c r="C64" s="6">
        <v>34.590000000000003</v>
      </c>
      <c r="D64" s="6">
        <v>27.15</v>
      </c>
      <c r="E64" s="6">
        <v>7.07</v>
      </c>
      <c r="F64" s="6">
        <v>4.3499999999999996</v>
      </c>
      <c r="G64" s="6">
        <v>42.87</v>
      </c>
      <c r="H64" s="6">
        <v>26.37</v>
      </c>
      <c r="I64" s="6">
        <v>13.81</v>
      </c>
      <c r="J64" s="6">
        <v>0.19</v>
      </c>
      <c r="K64" s="6">
        <v>215.09</v>
      </c>
      <c r="L64" s="6">
        <v>28.03</v>
      </c>
      <c r="M64" s="6">
        <v>27.72</v>
      </c>
      <c r="N64" s="6">
        <v>486.7</v>
      </c>
      <c r="O64" s="6">
        <v>0</v>
      </c>
      <c r="P64" s="6">
        <v>1.1399999999999999</v>
      </c>
      <c r="Q64" s="6">
        <v>4.91</v>
      </c>
    </row>
    <row r="65" spans="1:17" customFormat="1">
      <c r="A65" s="72">
        <v>45319.59375</v>
      </c>
      <c r="B65" s="6">
        <v>8.08</v>
      </c>
      <c r="C65" s="6">
        <v>33.4</v>
      </c>
      <c r="D65" s="6">
        <v>25.28</v>
      </c>
      <c r="E65" s="6">
        <v>7.33</v>
      </c>
      <c r="F65" s="6">
        <v>4.55</v>
      </c>
      <c r="G65" s="6">
        <v>42.87</v>
      </c>
      <c r="H65" s="6">
        <v>26.37</v>
      </c>
      <c r="I65" s="6">
        <v>13.28</v>
      </c>
      <c r="J65" s="6">
        <v>0.21</v>
      </c>
      <c r="K65" s="6">
        <v>95.07</v>
      </c>
      <c r="L65" s="6">
        <v>28.39</v>
      </c>
      <c r="M65" s="6">
        <v>27.43</v>
      </c>
      <c r="N65" s="6">
        <v>430.9</v>
      </c>
      <c r="O65" s="6">
        <v>0</v>
      </c>
      <c r="P65" s="6">
        <v>0.99</v>
      </c>
      <c r="Q65" s="6">
        <v>4.88</v>
      </c>
    </row>
    <row r="66" spans="1:17" customFormat="1">
      <c r="A66" s="72">
        <v>45319.604166666664</v>
      </c>
      <c r="B66" s="6">
        <v>6.87</v>
      </c>
      <c r="C66" s="6">
        <v>31.9</v>
      </c>
      <c r="D66" s="6">
        <v>23.53</v>
      </c>
      <c r="E66" s="6">
        <v>6.87</v>
      </c>
      <c r="F66" s="6">
        <v>4.7699999999999996</v>
      </c>
      <c r="G66" s="6">
        <v>49.06</v>
      </c>
      <c r="H66" s="6">
        <v>23.03</v>
      </c>
      <c r="I66" s="6">
        <v>12.8</v>
      </c>
      <c r="J66" s="6">
        <v>0.4</v>
      </c>
      <c r="K66" s="6">
        <v>69.67</v>
      </c>
      <c r="L66" s="6">
        <v>27.96</v>
      </c>
      <c r="M66" s="6">
        <v>26.88</v>
      </c>
      <c r="N66" s="6">
        <v>335</v>
      </c>
      <c r="O66" s="6">
        <v>0</v>
      </c>
      <c r="P66" s="6">
        <v>1.02</v>
      </c>
      <c r="Q66" s="6">
        <v>4.8600000000000003</v>
      </c>
    </row>
    <row r="67" spans="1:17" customFormat="1">
      <c r="A67" s="72">
        <v>45319.614583333336</v>
      </c>
      <c r="B67" s="6">
        <v>6</v>
      </c>
      <c r="C67" s="6">
        <v>30.48</v>
      </c>
      <c r="D67" s="6">
        <v>22.09</v>
      </c>
      <c r="E67" s="6">
        <v>6.85</v>
      </c>
      <c r="F67" s="6">
        <v>5.17</v>
      </c>
      <c r="G67" s="6">
        <v>49.84</v>
      </c>
      <c r="H67" s="6">
        <v>23.03</v>
      </c>
      <c r="I67" s="6">
        <v>12.37</v>
      </c>
      <c r="J67" s="6">
        <v>0.28000000000000003</v>
      </c>
      <c r="K67" s="6">
        <v>307.52999999999997</v>
      </c>
      <c r="L67" s="6">
        <v>27.45</v>
      </c>
      <c r="M67" s="6">
        <v>27.67</v>
      </c>
      <c r="N67" s="6">
        <v>188.4</v>
      </c>
      <c r="O67" s="6">
        <v>0</v>
      </c>
      <c r="P67" s="6">
        <v>0.98</v>
      </c>
      <c r="Q67" s="6">
        <v>4.8499999999999996</v>
      </c>
    </row>
    <row r="68" spans="1:17" customFormat="1">
      <c r="A68" s="72">
        <v>45319.625</v>
      </c>
      <c r="B68" s="6">
        <v>5.43</v>
      </c>
      <c r="C68" s="6">
        <v>28.97</v>
      </c>
      <c r="D68" s="6">
        <v>20.84</v>
      </c>
      <c r="E68" s="6">
        <v>7.12</v>
      </c>
      <c r="F68" s="6">
        <v>5.35</v>
      </c>
      <c r="G68" s="6">
        <v>49.84</v>
      </c>
      <c r="H68" s="6">
        <v>23.03</v>
      </c>
      <c r="I68" s="6">
        <v>11.97</v>
      </c>
      <c r="J68" s="6">
        <v>0.28000000000000003</v>
      </c>
      <c r="K68" s="6">
        <v>277.67</v>
      </c>
      <c r="L68" s="6">
        <v>27.41</v>
      </c>
      <c r="M68" s="6">
        <v>26.61</v>
      </c>
      <c r="N68" s="6">
        <v>137.69999999999999</v>
      </c>
      <c r="O68" s="6">
        <v>0</v>
      </c>
      <c r="P68" s="6">
        <v>0.95</v>
      </c>
      <c r="Q68" s="6">
        <v>4.8600000000000003</v>
      </c>
    </row>
    <row r="69" spans="1:17" customFormat="1">
      <c r="A69" s="72">
        <v>45319.635416666664</v>
      </c>
      <c r="B69" s="6">
        <v>5</v>
      </c>
      <c r="C69" s="6">
        <v>27.63</v>
      </c>
      <c r="D69" s="6">
        <v>19.8</v>
      </c>
      <c r="E69" s="6">
        <v>6.62</v>
      </c>
      <c r="F69" s="6">
        <v>5.47</v>
      </c>
      <c r="G69" s="6">
        <v>49.84</v>
      </c>
      <c r="H69" s="6">
        <v>23.03</v>
      </c>
      <c r="I69" s="6">
        <v>11.55</v>
      </c>
      <c r="J69" s="6">
        <v>0.63</v>
      </c>
      <c r="K69" s="6">
        <v>297.83999999999997</v>
      </c>
      <c r="L69" s="6">
        <v>27.2</v>
      </c>
      <c r="M69" s="6">
        <v>25.55</v>
      </c>
      <c r="N69" s="6">
        <v>122.4</v>
      </c>
      <c r="O69" s="6">
        <v>0</v>
      </c>
      <c r="P69" s="6">
        <v>0.91</v>
      </c>
      <c r="Q69" s="6">
        <v>4.83</v>
      </c>
    </row>
    <row r="70" spans="1:17" customFormat="1">
      <c r="A70" s="72">
        <v>45319.645833333336</v>
      </c>
      <c r="B70" s="6">
        <v>4.84</v>
      </c>
      <c r="C70" s="6">
        <v>26.49</v>
      </c>
      <c r="D70" s="6">
        <v>19.079999999999998</v>
      </c>
      <c r="E70" s="6">
        <v>7.23</v>
      </c>
      <c r="F70" s="6">
        <v>5.58</v>
      </c>
      <c r="G70" s="6">
        <v>26.08</v>
      </c>
      <c r="H70" s="6">
        <v>23.46</v>
      </c>
      <c r="I70" s="6">
        <v>11.12</v>
      </c>
      <c r="J70" s="6">
        <v>0.18</v>
      </c>
      <c r="K70" s="6">
        <v>47.66</v>
      </c>
      <c r="L70" s="6">
        <v>27.28</v>
      </c>
      <c r="M70" s="6">
        <v>24.94</v>
      </c>
      <c r="N70" s="6">
        <v>111.4</v>
      </c>
      <c r="O70" s="6">
        <v>0</v>
      </c>
      <c r="P70" s="6">
        <v>0.88</v>
      </c>
      <c r="Q70" s="6">
        <v>4.8099999999999996</v>
      </c>
    </row>
    <row r="71" spans="1:17" customFormat="1">
      <c r="A71" s="72">
        <v>45319.65625</v>
      </c>
      <c r="B71" s="6">
        <v>5.01</v>
      </c>
      <c r="C71" s="6">
        <v>25.73</v>
      </c>
      <c r="D71" s="6">
        <v>18.809999999999999</v>
      </c>
      <c r="E71" s="6">
        <v>6.79</v>
      </c>
      <c r="F71" s="6">
        <v>5.35</v>
      </c>
      <c r="G71" s="6">
        <v>23.11</v>
      </c>
      <c r="H71" s="6">
        <v>23.46</v>
      </c>
      <c r="I71" s="6">
        <v>10.71</v>
      </c>
      <c r="J71" s="6">
        <v>0.35</v>
      </c>
      <c r="K71" s="6">
        <v>59.51</v>
      </c>
      <c r="L71" s="6">
        <v>27.35</v>
      </c>
      <c r="M71" s="6">
        <v>25.6</v>
      </c>
      <c r="N71" s="6">
        <v>106.3</v>
      </c>
      <c r="O71" s="6">
        <v>0</v>
      </c>
      <c r="P71" s="6">
        <v>0.86</v>
      </c>
      <c r="Q71" s="6">
        <v>4.8099999999999996</v>
      </c>
    </row>
    <row r="72" spans="1:17" customFormat="1">
      <c r="A72" s="72">
        <v>45319.666666666664</v>
      </c>
      <c r="B72" s="6">
        <v>5.01</v>
      </c>
      <c r="C72" s="6">
        <v>25.12</v>
      </c>
      <c r="D72" s="6">
        <v>18.5</v>
      </c>
      <c r="E72" s="6">
        <v>6.81</v>
      </c>
      <c r="F72" s="6">
        <v>5.14</v>
      </c>
      <c r="G72" s="6">
        <v>23.11</v>
      </c>
      <c r="H72" s="6">
        <v>23.46</v>
      </c>
      <c r="I72" s="6">
        <v>10.32</v>
      </c>
      <c r="J72" s="6">
        <v>0.13</v>
      </c>
      <c r="K72" s="6">
        <v>193.26</v>
      </c>
      <c r="L72" s="6">
        <v>27.08</v>
      </c>
      <c r="M72" s="6">
        <v>28.62</v>
      </c>
      <c r="N72" s="6">
        <v>97.9</v>
      </c>
      <c r="O72" s="6">
        <v>0</v>
      </c>
      <c r="P72" s="6">
        <v>0.83</v>
      </c>
      <c r="Q72" s="6">
        <v>4.79</v>
      </c>
    </row>
    <row r="73" spans="1:17" customFormat="1">
      <c r="A73" s="72">
        <v>45319.677083333336</v>
      </c>
      <c r="B73" s="6">
        <v>4.8600000000000003</v>
      </c>
      <c r="C73" s="6">
        <v>24.41</v>
      </c>
      <c r="D73" s="6">
        <v>18</v>
      </c>
      <c r="E73" s="6">
        <v>7.37</v>
      </c>
      <c r="F73" s="6">
        <v>5.21</v>
      </c>
      <c r="G73" s="6">
        <v>23.11</v>
      </c>
      <c r="H73" s="6">
        <v>23.46</v>
      </c>
      <c r="I73" s="6">
        <v>10</v>
      </c>
      <c r="J73" s="6">
        <v>0.26</v>
      </c>
      <c r="K73" s="6">
        <v>255.93</v>
      </c>
      <c r="L73" s="6">
        <v>26.66</v>
      </c>
      <c r="M73" s="6">
        <v>31.63</v>
      </c>
      <c r="N73" s="6">
        <v>79.099999999999994</v>
      </c>
      <c r="O73" s="6">
        <v>0</v>
      </c>
      <c r="P73" s="6">
        <v>0.8</v>
      </c>
      <c r="Q73" s="6">
        <v>4.79</v>
      </c>
    </row>
    <row r="74" spans="1:17" customFormat="1">
      <c r="A74" s="72">
        <v>45319.6875</v>
      </c>
      <c r="B74" s="6">
        <v>4.9400000000000004</v>
      </c>
      <c r="C74" s="6">
        <v>23.67</v>
      </c>
      <c r="D74" s="6">
        <v>17.690000000000001</v>
      </c>
      <c r="E74" s="6">
        <v>6.39</v>
      </c>
      <c r="F74" s="6">
        <v>4.88</v>
      </c>
      <c r="G74" s="6">
        <v>41.27</v>
      </c>
      <c r="H74" s="6">
        <v>25.21</v>
      </c>
      <c r="I74" s="6">
        <v>9.7100000000000009</v>
      </c>
      <c r="J74" s="6">
        <v>0.31</v>
      </c>
      <c r="K74" s="6">
        <v>265.94</v>
      </c>
      <c r="L74" s="6">
        <v>26.33</v>
      </c>
      <c r="M74" s="6">
        <v>31.65</v>
      </c>
      <c r="N74" s="6">
        <v>61.4</v>
      </c>
      <c r="O74" s="6">
        <v>0</v>
      </c>
      <c r="P74" s="6">
        <v>0.8</v>
      </c>
      <c r="Q74" s="6">
        <v>4.78</v>
      </c>
    </row>
    <row r="75" spans="1:17" customFormat="1">
      <c r="A75" s="72">
        <v>45319.697916666664</v>
      </c>
      <c r="B75" s="6">
        <v>5.01</v>
      </c>
      <c r="C75" s="6">
        <v>22.65</v>
      </c>
      <c r="D75" s="6">
        <v>17.2</v>
      </c>
      <c r="E75" s="6">
        <v>6.04</v>
      </c>
      <c r="F75" s="6">
        <v>4.3600000000000003</v>
      </c>
      <c r="G75" s="6">
        <v>43.54</v>
      </c>
      <c r="H75" s="6">
        <v>25.21</v>
      </c>
      <c r="I75" s="6">
        <v>9.51</v>
      </c>
      <c r="J75" s="6">
        <v>0.27</v>
      </c>
      <c r="K75" s="6">
        <v>282.48</v>
      </c>
      <c r="L75" s="6">
        <v>25.85</v>
      </c>
      <c r="M75" s="6">
        <v>31.69</v>
      </c>
      <c r="N75" s="6">
        <v>38.299999999999997</v>
      </c>
      <c r="O75" s="6">
        <v>0</v>
      </c>
      <c r="P75" s="6">
        <v>0.8</v>
      </c>
      <c r="Q75" s="6">
        <v>4.78</v>
      </c>
    </row>
    <row r="76" spans="1:17" customFormat="1">
      <c r="A76" s="72">
        <v>45319.708333333336</v>
      </c>
      <c r="B76" s="6">
        <v>5.12</v>
      </c>
      <c r="C76" s="6">
        <v>21.84</v>
      </c>
      <c r="D76" s="6">
        <v>16.87</v>
      </c>
      <c r="E76" s="6">
        <v>5.98</v>
      </c>
      <c r="F76" s="6">
        <v>4.1100000000000003</v>
      </c>
      <c r="G76" s="6">
        <v>43.54</v>
      </c>
      <c r="H76" s="6">
        <v>25.21</v>
      </c>
      <c r="I76" s="6">
        <v>9.3800000000000008</v>
      </c>
      <c r="J76" s="6">
        <v>0.1</v>
      </c>
      <c r="K76" s="6">
        <v>276.44</v>
      </c>
      <c r="L76" s="6">
        <v>25.47</v>
      </c>
      <c r="M76" s="6">
        <v>33.380000000000003</v>
      </c>
      <c r="N76" s="6">
        <v>33</v>
      </c>
      <c r="O76" s="6">
        <v>0</v>
      </c>
      <c r="P76" s="6">
        <v>0.79</v>
      </c>
      <c r="Q76" s="6">
        <v>4.7699999999999996</v>
      </c>
    </row>
    <row r="77" spans="1:17" customFormat="1">
      <c r="A77" s="72">
        <v>45319.71875</v>
      </c>
      <c r="B77" s="6">
        <v>5.46</v>
      </c>
      <c r="C77" s="6">
        <v>21.16</v>
      </c>
      <c r="D77" s="6">
        <v>16.78</v>
      </c>
      <c r="E77" s="6">
        <v>5.57</v>
      </c>
      <c r="F77" s="6">
        <v>3.91</v>
      </c>
      <c r="G77" s="6">
        <v>43.54</v>
      </c>
      <c r="H77" s="6">
        <v>25.21</v>
      </c>
      <c r="I77" s="6">
        <v>9.2799999999999994</v>
      </c>
      <c r="J77" s="6">
        <v>0.28999999999999998</v>
      </c>
      <c r="K77" s="6">
        <v>177.67</v>
      </c>
      <c r="L77" s="6">
        <v>24.65</v>
      </c>
      <c r="M77" s="6">
        <v>37.82</v>
      </c>
      <c r="N77" s="6">
        <v>18.399999999999999</v>
      </c>
      <c r="O77" s="6">
        <v>0</v>
      </c>
      <c r="P77" s="6">
        <v>0.78</v>
      </c>
      <c r="Q77" s="6">
        <v>4.76</v>
      </c>
    </row>
    <row r="78" spans="1:17" customFormat="1">
      <c r="A78" s="72">
        <v>45319.729166666664</v>
      </c>
      <c r="B78" s="6">
        <v>5.61</v>
      </c>
      <c r="C78" s="6">
        <v>20.86</v>
      </c>
      <c r="D78" s="6">
        <v>16.75</v>
      </c>
      <c r="E78" s="6">
        <v>5.5</v>
      </c>
      <c r="F78" s="6">
        <v>3.86</v>
      </c>
      <c r="G78" s="6">
        <v>67.930000000000007</v>
      </c>
      <c r="H78" s="6">
        <v>26.65</v>
      </c>
      <c r="I78" s="6">
        <v>9.19</v>
      </c>
      <c r="J78" s="6">
        <v>0.26</v>
      </c>
      <c r="K78" s="6">
        <v>171.72</v>
      </c>
      <c r="L78" s="6">
        <v>23.78</v>
      </c>
      <c r="M78" s="6">
        <v>41.5</v>
      </c>
      <c r="N78" s="6">
        <v>4.9000000000000004</v>
      </c>
      <c r="O78" s="6">
        <v>0</v>
      </c>
      <c r="P78" s="6">
        <v>0.78</v>
      </c>
      <c r="Q78" s="6">
        <v>4.7699999999999996</v>
      </c>
    </row>
    <row r="79" spans="1:17" customFormat="1">
      <c r="A79" s="72">
        <v>45319.739583333336</v>
      </c>
      <c r="B79" s="6">
        <v>5.85</v>
      </c>
      <c r="C79" s="6">
        <v>21.1</v>
      </c>
      <c r="D79" s="6">
        <v>17.07</v>
      </c>
      <c r="E79" s="6">
        <v>5.7</v>
      </c>
      <c r="F79" s="6">
        <v>3.74</v>
      </c>
      <c r="G79" s="6">
        <v>70.98</v>
      </c>
      <c r="H79" s="6">
        <v>26.65</v>
      </c>
      <c r="I79" s="6">
        <v>9.1</v>
      </c>
      <c r="J79" s="6">
        <v>0.22</v>
      </c>
      <c r="K79" s="6">
        <v>141.06</v>
      </c>
      <c r="L79" s="6">
        <v>23.05</v>
      </c>
      <c r="M79" s="6">
        <v>43.66</v>
      </c>
      <c r="N79" s="6">
        <v>0</v>
      </c>
      <c r="O79" s="6">
        <v>0</v>
      </c>
      <c r="P79" s="6">
        <v>0.78</v>
      </c>
      <c r="Q79" s="6">
        <v>4.7699999999999996</v>
      </c>
    </row>
    <row r="80" spans="1:17" customFormat="1">
      <c r="A80" s="72">
        <v>45319.75</v>
      </c>
      <c r="B80" s="6">
        <v>6.17</v>
      </c>
      <c r="C80" s="6">
        <v>22.84</v>
      </c>
      <c r="D80" s="6">
        <v>18.239999999999998</v>
      </c>
      <c r="E80" s="6">
        <v>5.99</v>
      </c>
      <c r="F80" s="6">
        <v>3.46</v>
      </c>
      <c r="G80" s="6">
        <v>70.98</v>
      </c>
      <c r="H80" s="6">
        <v>26.65</v>
      </c>
      <c r="I80" s="6">
        <v>9.09</v>
      </c>
      <c r="J80" s="6">
        <v>0.31</v>
      </c>
      <c r="K80" s="6">
        <v>169.48</v>
      </c>
      <c r="L80" s="6">
        <v>22.15</v>
      </c>
      <c r="M80" s="6">
        <v>49.8</v>
      </c>
      <c r="N80" s="6">
        <v>0</v>
      </c>
      <c r="O80" s="6">
        <v>0</v>
      </c>
      <c r="P80" s="6">
        <v>0.8</v>
      </c>
      <c r="Q80" s="6">
        <v>4.78</v>
      </c>
    </row>
    <row r="81" spans="1:17" customFormat="1">
      <c r="A81" s="72">
        <v>45319.760416666664</v>
      </c>
      <c r="B81" s="6">
        <v>6.62</v>
      </c>
      <c r="C81" s="6">
        <v>24.77</v>
      </c>
      <c r="D81" s="6">
        <v>19.61</v>
      </c>
      <c r="E81" s="6">
        <v>5.01</v>
      </c>
      <c r="F81" s="6">
        <v>3.24</v>
      </c>
      <c r="G81" s="6">
        <v>70.98</v>
      </c>
      <c r="H81" s="6">
        <v>26.65</v>
      </c>
      <c r="I81" s="6">
        <v>9.18</v>
      </c>
      <c r="J81" s="6">
        <v>0.33</v>
      </c>
      <c r="K81" s="6">
        <v>169.91</v>
      </c>
      <c r="L81" s="6">
        <v>21.27</v>
      </c>
      <c r="M81" s="6">
        <v>57.51</v>
      </c>
      <c r="N81" s="6">
        <v>0</v>
      </c>
      <c r="O81" s="6">
        <v>0</v>
      </c>
      <c r="P81" s="6">
        <v>0.82</v>
      </c>
      <c r="Q81" s="6">
        <v>4.78</v>
      </c>
    </row>
    <row r="82" spans="1:17" customFormat="1">
      <c r="A82" s="72">
        <v>45319.770833333336</v>
      </c>
      <c r="B82" s="6">
        <v>6.99</v>
      </c>
      <c r="C82" s="6">
        <v>25.38</v>
      </c>
      <c r="D82" s="6">
        <v>20.22</v>
      </c>
      <c r="E82" s="6">
        <v>5.8</v>
      </c>
      <c r="F82" s="6">
        <v>3.31</v>
      </c>
      <c r="G82" s="6">
        <v>96.42</v>
      </c>
      <c r="H82" s="6">
        <v>31.28</v>
      </c>
      <c r="I82" s="6">
        <v>9.31</v>
      </c>
      <c r="J82" s="6">
        <v>0.25</v>
      </c>
      <c r="K82" s="6">
        <v>155.30000000000001</v>
      </c>
      <c r="L82" s="6">
        <v>20.71</v>
      </c>
      <c r="M82" s="6">
        <v>58.09</v>
      </c>
      <c r="N82" s="6">
        <v>0</v>
      </c>
      <c r="O82" s="6">
        <v>0</v>
      </c>
      <c r="P82" s="6">
        <v>0.84</v>
      </c>
      <c r="Q82" s="6">
        <v>4.8</v>
      </c>
    </row>
    <row r="83" spans="1:17" customFormat="1">
      <c r="A83" s="72">
        <v>45319.78125</v>
      </c>
      <c r="B83" s="6">
        <v>7.94</v>
      </c>
      <c r="C83" s="6">
        <v>25.13</v>
      </c>
      <c r="D83" s="6">
        <v>20.85</v>
      </c>
      <c r="E83" s="6">
        <v>5.17</v>
      </c>
      <c r="F83" s="6">
        <v>3.39</v>
      </c>
      <c r="G83" s="6">
        <v>99.6</v>
      </c>
      <c r="H83" s="6">
        <v>31.28</v>
      </c>
      <c r="I83" s="6">
        <v>9.4700000000000006</v>
      </c>
      <c r="J83" s="6">
        <v>0.37</v>
      </c>
      <c r="K83" s="6">
        <v>87.75</v>
      </c>
      <c r="L83" s="6">
        <v>20.37</v>
      </c>
      <c r="M83" s="6">
        <v>56.01</v>
      </c>
      <c r="N83" s="6">
        <v>0</v>
      </c>
      <c r="O83" s="6">
        <v>0</v>
      </c>
      <c r="P83" s="6">
        <v>0.85</v>
      </c>
      <c r="Q83" s="6">
        <v>4.82</v>
      </c>
    </row>
    <row r="84" spans="1:17" customFormat="1">
      <c r="A84" s="72">
        <v>45319.791666666664</v>
      </c>
      <c r="B84" s="6">
        <v>9.43</v>
      </c>
      <c r="C84" s="6">
        <v>26.01</v>
      </c>
      <c r="D84" s="6">
        <v>22.5</v>
      </c>
      <c r="E84" s="6">
        <v>5.49</v>
      </c>
      <c r="F84" s="6">
        <v>3.32</v>
      </c>
      <c r="G84" s="6">
        <v>99.6</v>
      </c>
      <c r="H84" s="6">
        <v>31.28</v>
      </c>
      <c r="I84" s="6">
        <v>9.6199999999999992</v>
      </c>
      <c r="J84" s="6">
        <v>0.38</v>
      </c>
      <c r="K84" s="6">
        <v>72.97</v>
      </c>
      <c r="L84" s="6">
        <v>21.24</v>
      </c>
      <c r="M84" s="6">
        <v>49.44</v>
      </c>
      <c r="N84" s="6">
        <v>0</v>
      </c>
      <c r="O84" s="6">
        <v>0</v>
      </c>
      <c r="P84" s="6">
        <v>0.87</v>
      </c>
      <c r="Q84" s="6">
        <v>4.84</v>
      </c>
    </row>
    <row r="85" spans="1:17" customFormat="1">
      <c r="A85" s="72">
        <v>45319.802083333336</v>
      </c>
      <c r="B85" s="6">
        <v>10.44</v>
      </c>
      <c r="C85" s="6">
        <v>28.38</v>
      </c>
      <c r="D85" s="6">
        <v>24.55</v>
      </c>
      <c r="E85" s="6">
        <v>5.63</v>
      </c>
      <c r="F85" s="6">
        <v>3.17</v>
      </c>
      <c r="G85" s="6">
        <v>99.6</v>
      </c>
      <c r="H85" s="6">
        <v>31.28</v>
      </c>
      <c r="I85" s="6">
        <v>9.81</v>
      </c>
      <c r="J85" s="6">
        <v>0.3</v>
      </c>
      <c r="K85" s="6">
        <v>171.58</v>
      </c>
      <c r="L85" s="6">
        <v>20.37</v>
      </c>
      <c r="M85" s="6">
        <v>62.19</v>
      </c>
      <c r="N85" s="6">
        <v>0</v>
      </c>
      <c r="O85" s="6">
        <v>0</v>
      </c>
      <c r="P85" s="6">
        <v>0.9</v>
      </c>
      <c r="Q85" s="6">
        <v>4.83</v>
      </c>
    </row>
    <row r="86" spans="1:17" customFormat="1">
      <c r="A86" s="72">
        <v>45319.8125</v>
      </c>
      <c r="B86" s="6">
        <v>11.03</v>
      </c>
      <c r="C86" s="6">
        <v>29.83</v>
      </c>
      <c r="D86" s="6">
        <v>25.78</v>
      </c>
      <c r="E86" s="6">
        <v>5.55</v>
      </c>
      <c r="F86" s="6">
        <v>3.16</v>
      </c>
      <c r="G86" s="6">
        <v>136.97999999999999</v>
      </c>
      <c r="H86" s="6">
        <v>41.72</v>
      </c>
      <c r="I86" s="6">
        <v>10.06</v>
      </c>
      <c r="J86" s="6">
        <v>0.33</v>
      </c>
      <c r="K86" s="6">
        <v>78.31</v>
      </c>
      <c r="L86" s="6">
        <v>19.82</v>
      </c>
      <c r="M86" s="6">
        <v>60.89</v>
      </c>
      <c r="N86" s="6">
        <v>0</v>
      </c>
      <c r="O86" s="6">
        <v>0</v>
      </c>
      <c r="P86" s="6">
        <v>0.95</v>
      </c>
      <c r="Q86" s="6">
        <v>4.8499999999999996</v>
      </c>
    </row>
    <row r="87" spans="1:17" customFormat="1">
      <c r="A87" s="72">
        <v>45319.822916666664</v>
      </c>
      <c r="B87" s="6">
        <v>11.97</v>
      </c>
      <c r="C87" s="6">
        <v>30.99</v>
      </c>
      <c r="D87" s="6">
        <v>27.15</v>
      </c>
      <c r="E87" s="6">
        <v>5.88</v>
      </c>
      <c r="F87" s="6">
        <v>3.27</v>
      </c>
      <c r="G87" s="6">
        <v>141.65</v>
      </c>
      <c r="H87" s="6">
        <v>41.72</v>
      </c>
      <c r="I87" s="6">
        <v>10.44</v>
      </c>
      <c r="J87" s="6">
        <v>0.39</v>
      </c>
      <c r="K87" s="6">
        <v>79.08</v>
      </c>
      <c r="L87" s="6">
        <v>20.21</v>
      </c>
      <c r="M87" s="6">
        <v>57.85</v>
      </c>
      <c r="N87" s="6">
        <v>0</v>
      </c>
      <c r="O87" s="6">
        <v>0</v>
      </c>
      <c r="P87" s="6">
        <v>0.98</v>
      </c>
      <c r="Q87" s="6">
        <v>4.88</v>
      </c>
    </row>
    <row r="88" spans="1:17" customFormat="1">
      <c r="A88" s="72">
        <v>45319.833333333336</v>
      </c>
      <c r="B88" s="6">
        <v>12.89</v>
      </c>
      <c r="C88" s="6">
        <v>30.44</v>
      </c>
      <c r="D88" s="6">
        <v>27.59</v>
      </c>
      <c r="E88" s="6">
        <v>5.39</v>
      </c>
      <c r="F88" s="6">
        <v>3.57</v>
      </c>
      <c r="G88" s="6">
        <v>141.65</v>
      </c>
      <c r="H88" s="6">
        <v>41.72</v>
      </c>
      <c r="I88" s="6">
        <v>10.91</v>
      </c>
      <c r="J88" s="6">
        <v>0.21</v>
      </c>
      <c r="K88" s="6">
        <v>122.1</v>
      </c>
      <c r="L88" s="6">
        <v>19.88</v>
      </c>
      <c r="M88" s="6">
        <v>63.88</v>
      </c>
      <c r="N88" s="6">
        <v>0</v>
      </c>
      <c r="O88" s="6">
        <v>0</v>
      </c>
      <c r="P88" s="6">
        <v>1</v>
      </c>
      <c r="Q88" s="6">
        <v>4.8899999999999997</v>
      </c>
    </row>
    <row r="89" spans="1:17" customFormat="1">
      <c r="A89" s="72">
        <v>45319.84375</v>
      </c>
      <c r="B89" s="6">
        <v>13.47</v>
      </c>
      <c r="C89" s="6">
        <v>29.08</v>
      </c>
      <c r="D89" s="6">
        <v>27.34</v>
      </c>
      <c r="E89" s="6">
        <v>5.71</v>
      </c>
      <c r="F89" s="6">
        <v>3.4</v>
      </c>
      <c r="G89" s="6">
        <v>141.65</v>
      </c>
      <c r="H89" s="6">
        <v>41.72</v>
      </c>
      <c r="I89" s="6">
        <v>11.38</v>
      </c>
      <c r="J89" s="6">
        <v>0.6</v>
      </c>
      <c r="K89" s="6">
        <v>63.3</v>
      </c>
      <c r="L89" s="6">
        <v>19.940000000000001</v>
      </c>
      <c r="M89" s="6">
        <v>58.79</v>
      </c>
      <c r="N89" s="6">
        <v>0</v>
      </c>
      <c r="O89" s="6">
        <v>0</v>
      </c>
      <c r="P89" s="6">
        <v>1.02</v>
      </c>
      <c r="Q89" s="6">
        <v>4.91</v>
      </c>
    </row>
    <row r="90" spans="1:17" customFormat="1">
      <c r="A90" s="72">
        <v>45319.854166666664</v>
      </c>
      <c r="B90" s="6">
        <v>13.93</v>
      </c>
      <c r="C90" s="6">
        <v>29.27</v>
      </c>
      <c r="D90" s="6">
        <v>27.81</v>
      </c>
      <c r="E90" s="6">
        <v>5.57</v>
      </c>
      <c r="F90" s="6">
        <v>3.38</v>
      </c>
      <c r="G90" s="6">
        <v>147.91</v>
      </c>
      <c r="H90" s="6">
        <v>48.33</v>
      </c>
      <c r="I90" s="6">
        <v>11.83</v>
      </c>
      <c r="J90" s="6">
        <v>0.62</v>
      </c>
      <c r="K90" s="6">
        <v>64.73</v>
      </c>
      <c r="L90" s="6">
        <v>20.5</v>
      </c>
      <c r="M90" s="6">
        <v>56.32</v>
      </c>
      <c r="N90" s="6">
        <v>0</v>
      </c>
      <c r="O90" s="6">
        <v>0</v>
      </c>
      <c r="P90" s="6">
        <v>1.03</v>
      </c>
      <c r="Q90" s="6">
        <v>4.92</v>
      </c>
    </row>
    <row r="91" spans="1:17" customFormat="1">
      <c r="A91" s="72">
        <v>45319.864583333336</v>
      </c>
      <c r="B91" s="6">
        <v>14.48</v>
      </c>
      <c r="C91" s="6">
        <v>30.86</v>
      </c>
      <c r="D91" s="6">
        <v>29.08</v>
      </c>
      <c r="E91" s="6">
        <v>5.68</v>
      </c>
      <c r="F91" s="6">
        <v>3.29</v>
      </c>
      <c r="G91" s="6">
        <v>148.69</v>
      </c>
      <c r="H91" s="6">
        <v>48.33</v>
      </c>
      <c r="I91" s="6">
        <v>12.13</v>
      </c>
      <c r="J91" s="6">
        <v>0.13</v>
      </c>
      <c r="K91" s="6">
        <v>83.17</v>
      </c>
      <c r="L91" s="6">
        <v>19.7</v>
      </c>
      <c r="M91" s="6">
        <v>63.73</v>
      </c>
      <c r="N91" s="6">
        <v>0</v>
      </c>
      <c r="O91" s="6">
        <v>0</v>
      </c>
      <c r="P91" s="6">
        <v>1.05</v>
      </c>
      <c r="Q91" s="6">
        <v>4.91</v>
      </c>
    </row>
    <row r="92" spans="1:17" customFormat="1">
      <c r="A92" s="72">
        <v>45319.875</v>
      </c>
      <c r="B92" s="6">
        <v>15.19</v>
      </c>
      <c r="C92" s="6">
        <v>31.67</v>
      </c>
      <c r="D92" s="6">
        <v>30.08</v>
      </c>
      <c r="E92" s="6">
        <v>5.95</v>
      </c>
      <c r="F92" s="6">
        <v>3.17</v>
      </c>
      <c r="G92" s="6">
        <v>148.69</v>
      </c>
      <c r="H92" s="6">
        <v>48.33</v>
      </c>
      <c r="I92" s="6">
        <v>12.27</v>
      </c>
      <c r="J92" s="6">
        <v>0.24</v>
      </c>
      <c r="K92" s="6">
        <v>160.91</v>
      </c>
      <c r="L92" s="6">
        <v>19.13</v>
      </c>
      <c r="M92" s="6">
        <v>68.89</v>
      </c>
      <c r="N92" s="6">
        <v>0</v>
      </c>
      <c r="O92" s="6">
        <v>0</v>
      </c>
      <c r="P92" s="6">
        <v>1.07</v>
      </c>
      <c r="Q92" s="6">
        <v>4.91</v>
      </c>
    </row>
    <row r="93" spans="1:17" customFormat="1">
      <c r="A93" s="72">
        <v>45319.885416666664</v>
      </c>
      <c r="B93" s="6">
        <v>15.57</v>
      </c>
      <c r="C93" s="6">
        <v>31.94</v>
      </c>
      <c r="D93" s="6">
        <v>30.52</v>
      </c>
      <c r="E93" s="6">
        <v>6.12</v>
      </c>
      <c r="F93" s="6">
        <v>3.21</v>
      </c>
      <c r="G93" s="6">
        <v>148.69</v>
      </c>
      <c r="H93" s="6">
        <v>48.33</v>
      </c>
      <c r="I93" s="6">
        <v>12.52</v>
      </c>
      <c r="J93" s="6">
        <v>0.21</v>
      </c>
      <c r="K93" s="6">
        <v>183.77</v>
      </c>
      <c r="L93" s="6">
        <v>18.23</v>
      </c>
      <c r="M93" s="6">
        <v>77.5</v>
      </c>
      <c r="N93" s="6">
        <v>0</v>
      </c>
      <c r="O93" s="6">
        <v>0</v>
      </c>
      <c r="P93" s="6">
        <v>1.08</v>
      </c>
      <c r="Q93" s="6">
        <v>4.95</v>
      </c>
    </row>
    <row r="94" spans="1:17" customFormat="1">
      <c r="A94" s="72">
        <v>45319.895833333336</v>
      </c>
      <c r="B94" s="6">
        <v>15.36</v>
      </c>
      <c r="C94" s="6">
        <v>32.03</v>
      </c>
      <c r="D94" s="6">
        <v>30.41</v>
      </c>
      <c r="E94" s="6">
        <v>6.53</v>
      </c>
      <c r="F94" s="6">
        <v>3.28</v>
      </c>
      <c r="G94" s="6">
        <v>128.51</v>
      </c>
      <c r="H94" s="6">
        <v>56.48</v>
      </c>
      <c r="I94" s="6">
        <v>12.78</v>
      </c>
      <c r="J94" s="6">
        <v>0.2</v>
      </c>
      <c r="K94" s="6">
        <v>171.82</v>
      </c>
      <c r="L94" s="6">
        <v>17.649999999999999</v>
      </c>
      <c r="M94" s="6">
        <v>79.87</v>
      </c>
      <c r="N94" s="6">
        <v>0</v>
      </c>
      <c r="O94" s="6">
        <v>0</v>
      </c>
      <c r="P94" s="6">
        <v>1.0900000000000001</v>
      </c>
      <c r="Q94" s="6">
        <v>4.9400000000000004</v>
      </c>
    </row>
    <row r="95" spans="1:17" customFormat="1">
      <c r="A95" s="72">
        <v>45319.90625</v>
      </c>
      <c r="B95" s="6">
        <v>15.25</v>
      </c>
      <c r="C95" s="6">
        <v>31.86</v>
      </c>
      <c r="D95" s="6">
        <v>30.23</v>
      </c>
      <c r="E95" s="6">
        <v>6.34</v>
      </c>
      <c r="F95" s="6">
        <v>3.43</v>
      </c>
      <c r="G95" s="6">
        <v>125.98</v>
      </c>
      <c r="H95" s="6">
        <v>56.48</v>
      </c>
      <c r="I95" s="6">
        <v>13.13</v>
      </c>
      <c r="J95" s="6">
        <v>0.19</v>
      </c>
      <c r="K95" s="6">
        <v>176.96</v>
      </c>
      <c r="L95" s="6">
        <v>17.45</v>
      </c>
      <c r="M95" s="6">
        <v>81.459999999999994</v>
      </c>
      <c r="N95" s="6">
        <v>0</v>
      </c>
      <c r="O95" s="6">
        <v>0</v>
      </c>
      <c r="P95" s="6">
        <v>1.1000000000000001</v>
      </c>
      <c r="Q95" s="6">
        <v>4.9400000000000004</v>
      </c>
    </row>
    <row r="96" spans="1:17" customFormat="1">
      <c r="A96" s="72">
        <v>45319.916666666664</v>
      </c>
      <c r="B96" s="6">
        <v>15.11</v>
      </c>
      <c r="C96" s="6">
        <v>32.07</v>
      </c>
      <c r="D96" s="6">
        <v>30.22</v>
      </c>
      <c r="E96" s="6">
        <v>6</v>
      </c>
      <c r="F96" s="6">
        <v>3.42</v>
      </c>
      <c r="G96" s="6">
        <v>125.98</v>
      </c>
      <c r="H96" s="6">
        <v>56.48</v>
      </c>
      <c r="I96" s="6">
        <v>13.49</v>
      </c>
      <c r="J96" s="6">
        <v>0.19</v>
      </c>
      <c r="K96" s="6">
        <v>175.71</v>
      </c>
      <c r="L96" s="6">
        <v>17.239999999999998</v>
      </c>
      <c r="M96" s="6">
        <v>82.39</v>
      </c>
      <c r="N96" s="6">
        <v>0</v>
      </c>
      <c r="O96" s="6">
        <v>0</v>
      </c>
      <c r="P96" s="6">
        <v>1.1100000000000001</v>
      </c>
      <c r="Q96" s="6">
        <v>4.9400000000000004</v>
      </c>
    </row>
    <row r="97" spans="1:22" customFormat="1">
      <c r="A97" s="72">
        <v>45319.927083333336</v>
      </c>
      <c r="B97" s="6">
        <v>14.93</v>
      </c>
      <c r="C97" s="6">
        <v>32.08</v>
      </c>
      <c r="D97" s="6">
        <v>30.08</v>
      </c>
      <c r="E97" s="6">
        <v>6.29</v>
      </c>
      <c r="F97" s="6">
        <v>3.43</v>
      </c>
      <c r="G97" s="6">
        <v>125.98</v>
      </c>
      <c r="H97" s="6">
        <v>56.48</v>
      </c>
      <c r="I97" s="6">
        <v>13.78</v>
      </c>
      <c r="J97" s="6">
        <v>0.23</v>
      </c>
      <c r="K97" s="6">
        <v>200.51</v>
      </c>
      <c r="L97" s="6">
        <v>16.75</v>
      </c>
      <c r="M97" s="6">
        <v>83.89</v>
      </c>
      <c r="N97" s="6">
        <v>0</v>
      </c>
      <c r="O97" s="6">
        <v>0</v>
      </c>
      <c r="P97" s="6">
        <v>1.1200000000000001</v>
      </c>
      <c r="Q97" s="6">
        <v>4.92</v>
      </c>
    </row>
    <row r="98" spans="1:22" customFormat="1">
      <c r="A98" s="72">
        <v>45319.9375</v>
      </c>
      <c r="B98" s="6">
        <v>14.9</v>
      </c>
      <c r="C98" s="6">
        <v>31.97</v>
      </c>
      <c r="D98" s="6">
        <v>30.01</v>
      </c>
      <c r="E98" s="6">
        <v>6.13</v>
      </c>
      <c r="F98" s="6">
        <v>3.3</v>
      </c>
      <c r="G98" s="6">
        <v>115.21</v>
      </c>
      <c r="H98" s="6">
        <v>50.65</v>
      </c>
      <c r="I98" s="6">
        <v>14.07</v>
      </c>
      <c r="J98" s="6">
        <v>0.18</v>
      </c>
      <c r="K98" s="6">
        <v>192.93</v>
      </c>
      <c r="L98" s="6">
        <v>16.71</v>
      </c>
      <c r="M98" s="6">
        <v>82.24</v>
      </c>
      <c r="N98" s="6">
        <v>0</v>
      </c>
      <c r="O98" s="6">
        <v>0</v>
      </c>
      <c r="P98" s="6">
        <v>1.1299999999999999</v>
      </c>
      <c r="Q98" s="6">
        <v>4.9400000000000004</v>
      </c>
    </row>
    <row r="99" spans="1:22" customFormat="1">
      <c r="A99" s="72">
        <v>45319.947916666664</v>
      </c>
      <c r="B99" s="6">
        <v>14.9</v>
      </c>
      <c r="C99" s="6">
        <v>31.79</v>
      </c>
      <c r="D99" s="6">
        <v>29.9</v>
      </c>
      <c r="E99" s="6">
        <v>5.87</v>
      </c>
      <c r="F99" s="6">
        <v>3.27</v>
      </c>
      <c r="G99" s="6">
        <v>113.86</v>
      </c>
      <c r="H99" s="6">
        <v>50.65</v>
      </c>
      <c r="I99" s="6">
        <v>14.38</v>
      </c>
      <c r="J99" s="6">
        <v>0.17</v>
      </c>
      <c r="K99" s="6">
        <v>222.14</v>
      </c>
      <c r="L99" s="6">
        <v>16.489999999999998</v>
      </c>
      <c r="M99" s="6">
        <v>81.99</v>
      </c>
      <c r="N99" s="6">
        <v>0</v>
      </c>
      <c r="O99" s="6">
        <v>0</v>
      </c>
      <c r="P99" s="6">
        <v>1.1200000000000001</v>
      </c>
      <c r="Q99" s="6">
        <v>4.95</v>
      </c>
    </row>
    <row r="100" spans="1:22" customFormat="1">
      <c r="A100" s="72">
        <v>45319.958333333336</v>
      </c>
      <c r="B100" s="6">
        <v>14.61</v>
      </c>
      <c r="C100" s="6">
        <v>31.65</v>
      </c>
      <c r="D100" s="6">
        <v>29.61</v>
      </c>
      <c r="E100" s="6">
        <v>6.25</v>
      </c>
      <c r="F100" s="6">
        <v>3.34</v>
      </c>
      <c r="G100" s="6">
        <v>113.86</v>
      </c>
      <c r="H100" s="6">
        <v>50.65</v>
      </c>
      <c r="I100" s="6">
        <v>14.61</v>
      </c>
      <c r="J100" s="6">
        <v>0.17</v>
      </c>
      <c r="K100" s="6">
        <v>225.77</v>
      </c>
      <c r="L100" s="6">
        <v>16.27</v>
      </c>
      <c r="M100" s="6">
        <v>84.11</v>
      </c>
      <c r="N100" s="6">
        <v>0</v>
      </c>
      <c r="O100" s="6">
        <v>0</v>
      </c>
      <c r="P100" s="6">
        <v>1.1100000000000001</v>
      </c>
      <c r="Q100" s="6">
        <v>4.95</v>
      </c>
    </row>
    <row r="101" spans="1:22" customFormat="1">
      <c r="A101" s="72">
        <v>45319.96875</v>
      </c>
      <c r="B101" s="6">
        <v>14.27</v>
      </c>
      <c r="C101" s="6">
        <v>31.63</v>
      </c>
      <c r="D101" s="6">
        <v>29.33</v>
      </c>
      <c r="E101" s="6">
        <v>5.88</v>
      </c>
      <c r="F101" s="6">
        <v>3.23</v>
      </c>
      <c r="G101" s="6">
        <v>113.86</v>
      </c>
      <c r="H101" s="6">
        <v>50.65</v>
      </c>
      <c r="I101" s="6">
        <v>14.76</v>
      </c>
      <c r="J101" s="6">
        <v>0.14000000000000001</v>
      </c>
      <c r="K101" s="6">
        <v>240.41</v>
      </c>
      <c r="L101" s="6">
        <v>15.84</v>
      </c>
      <c r="M101" s="6">
        <v>85.81</v>
      </c>
      <c r="N101" s="6">
        <v>0</v>
      </c>
      <c r="O101" s="6">
        <v>0</v>
      </c>
      <c r="P101" s="6">
        <v>1.1100000000000001</v>
      </c>
      <c r="Q101" s="6">
        <v>4.9400000000000004</v>
      </c>
    </row>
    <row r="102" spans="1:22" customFormat="1">
      <c r="A102" s="72">
        <v>45319.979166666664</v>
      </c>
      <c r="B102" s="6">
        <v>14.41</v>
      </c>
      <c r="C102" s="6">
        <v>31.61</v>
      </c>
      <c r="D102" s="6">
        <v>29.42</v>
      </c>
      <c r="E102" s="6">
        <v>6.12</v>
      </c>
      <c r="F102" s="6">
        <v>3.27</v>
      </c>
      <c r="G102" s="6">
        <v>103.11</v>
      </c>
      <c r="H102" s="6">
        <v>44.34</v>
      </c>
      <c r="I102" s="6">
        <v>14.78</v>
      </c>
      <c r="J102" s="6">
        <v>0.11</v>
      </c>
      <c r="K102" s="6">
        <v>215.57</v>
      </c>
      <c r="L102" s="6">
        <v>15.76</v>
      </c>
      <c r="M102" s="6">
        <v>84.24</v>
      </c>
      <c r="N102" s="6">
        <v>0</v>
      </c>
      <c r="O102" s="6">
        <v>0</v>
      </c>
      <c r="P102" s="6">
        <v>1.1100000000000001</v>
      </c>
      <c r="Q102" s="6">
        <v>4.93</v>
      </c>
    </row>
    <row r="103" spans="1:22" customFormat="1">
      <c r="A103" s="72">
        <v>45319.989583333336</v>
      </c>
      <c r="B103" s="6">
        <v>16.68</v>
      </c>
      <c r="C103" s="6">
        <v>32.5</v>
      </c>
      <c r="D103" s="6">
        <v>31.71</v>
      </c>
      <c r="E103" s="6">
        <v>6.18</v>
      </c>
      <c r="F103" s="6">
        <v>3.4</v>
      </c>
      <c r="G103" s="6">
        <v>101.77</v>
      </c>
      <c r="H103" s="6">
        <v>44.34</v>
      </c>
      <c r="I103" s="6">
        <v>14.74</v>
      </c>
      <c r="J103" s="6">
        <v>0.22</v>
      </c>
      <c r="K103" s="6">
        <v>169.28</v>
      </c>
      <c r="L103" s="6">
        <v>15.9</v>
      </c>
      <c r="M103" s="6">
        <v>83</v>
      </c>
      <c r="N103" s="6">
        <v>0</v>
      </c>
      <c r="O103" s="6">
        <v>0</v>
      </c>
      <c r="P103" s="6">
        <v>1.1200000000000001</v>
      </c>
      <c r="Q103" s="6">
        <v>4.9400000000000004</v>
      </c>
    </row>
    <row r="104" spans="1:22" customFormat="1">
      <c r="A104" s="72">
        <v>45320</v>
      </c>
      <c r="B104" s="6">
        <v>18.86</v>
      </c>
      <c r="C104" s="6">
        <v>33.15</v>
      </c>
      <c r="D104" s="6">
        <v>33.79</v>
      </c>
      <c r="E104" s="6">
        <v>5.86</v>
      </c>
      <c r="F104" s="6">
        <v>3.41</v>
      </c>
      <c r="G104" s="6">
        <v>101.77</v>
      </c>
      <c r="H104" s="6">
        <v>44.34</v>
      </c>
      <c r="I104" s="6">
        <v>14.64</v>
      </c>
      <c r="J104" s="6">
        <v>0.16</v>
      </c>
      <c r="K104" s="6">
        <v>176.34</v>
      </c>
      <c r="L104" s="6">
        <v>15.75</v>
      </c>
      <c r="M104" s="6">
        <v>86.79</v>
      </c>
      <c r="N104" s="6">
        <v>0</v>
      </c>
      <c r="O104" s="6">
        <v>0</v>
      </c>
      <c r="P104" s="6">
        <v>1.1100000000000001</v>
      </c>
      <c r="Q104" s="6">
        <v>4.96</v>
      </c>
    </row>
    <row r="106" spans="1:22">
      <c r="A106" s="156" t="s">
        <v>48</v>
      </c>
      <c r="B106" s="157">
        <f>MIN(B9:B104)</f>
        <v>4.84</v>
      </c>
      <c r="C106" s="157">
        <f>MIN(C9:C104)</f>
        <v>20.86</v>
      </c>
      <c r="D106" s="157">
        <f t="shared" ref="D106:Q106" si="0">MIN(D9:D104)</f>
        <v>16.75</v>
      </c>
      <c r="E106" s="157">
        <f t="shared" si="0"/>
        <v>5.01</v>
      </c>
      <c r="F106" s="157">
        <f t="shared" si="0"/>
        <v>3.16</v>
      </c>
      <c r="G106" s="157">
        <f t="shared" si="0"/>
        <v>23.11</v>
      </c>
      <c r="H106" s="157">
        <f t="shared" si="0"/>
        <v>23.03</v>
      </c>
      <c r="I106" s="157">
        <f t="shared" si="0"/>
        <v>9.09</v>
      </c>
      <c r="J106" s="157">
        <f t="shared" si="0"/>
        <v>0.08</v>
      </c>
      <c r="K106" s="157">
        <f t="shared" si="0"/>
        <v>8.4</v>
      </c>
      <c r="L106" s="157">
        <f t="shared" si="0"/>
        <v>12.52</v>
      </c>
      <c r="M106" s="157">
        <f t="shared" si="0"/>
        <v>24.94</v>
      </c>
      <c r="N106" s="157">
        <f t="shared" si="0"/>
        <v>0</v>
      </c>
      <c r="O106" s="157">
        <f t="shared" si="0"/>
        <v>0</v>
      </c>
      <c r="P106" s="157">
        <f t="shared" si="0"/>
        <v>0.78</v>
      </c>
      <c r="Q106" s="157">
        <f t="shared" si="0"/>
        <v>4.76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119.51</v>
      </c>
      <c r="C107" s="156">
        <f t="shared" ref="C107:Q107" si="1">MAX(C9:C104)</f>
        <v>42.28</v>
      </c>
      <c r="D107" s="156">
        <f t="shared" si="1"/>
        <v>116.58</v>
      </c>
      <c r="E107" s="156">
        <f t="shared" si="1"/>
        <v>9.61</v>
      </c>
      <c r="F107" s="156">
        <f t="shared" si="1"/>
        <v>5.58</v>
      </c>
      <c r="G107" s="156">
        <f t="shared" si="1"/>
        <v>190</v>
      </c>
      <c r="H107" s="156">
        <f t="shared" si="1"/>
        <v>94.68</v>
      </c>
      <c r="I107" s="156">
        <f t="shared" si="1"/>
        <v>23.91</v>
      </c>
      <c r="J107" s="156">
        <f t="shared" si="1"/>
        <v>0.87</v>
      </c>
      <c r="K107" s="156">
        <f t="shared" si="1"/>
        <v>308.2</v>
      </c>
      <c r="L107" s="156">
        <f t="shared" si="1"/>
        <v>28.39</v>
      </c>
      <c r="M107" s="156">
        <f t="shared" si="1"/>
        <v>94.7</v>
      </c>
      <c r="N107" s="156">
        <f t="shared" si="1"/>
        <v>610.70000000000005</v>
      </c>
      <c r="O107" s="156">
        <f t="shared" si="1"/>
        <v>0</v>
      </c>
      <c r="P107" s="156">
        <f t="shared" si="1"/>
        <v>2.14</v>
      </c>
      <c r="Q107" s="156">
        <f t="shared" si="1"/>
        <v>5.93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45.965729166666669</v>
      </c>
      <c r="C108" s="157">
        <f t="shared" ref="C108:Q108" si="2">AVERAGE(C9:C104)</f>
        <v>32.40697916666668</v>
      </c>
      <c r="D108" s="157">
        <f t="shared" si="2"/>
        <v>55.144166666666656</v>
      </c>
      <c r="E108" s="157">
        <f t="shared" si="2"/>
        <v>7.3365624999999994</v>
      </c>
      <c r="F108" s="157">
        <f t="shared" si="2"/>
        <v>3.6218749999999993</v>
      </c>
      <c r="G108" s="157">
        <f t="shared" si="2"/>
        <v>107.07677083333333</v>
      </c>
      <c r="H108" s="157">
        <f t="shared" si="2"/>
        <v>49.029479166666647</v>
      </c>
      <c r="I108" s="157">
        <f t="shared" si="2"/>
        <v>15.196874999999997</v>
      </c>
      <c r="J108" s="157">
        <f t="shared" si="2"/>
        <v>0.25593750000000004</v>
      </c>
      <c r="K108" s="157">
        <f t="shared" si="2"/>
        <v>159.00572916666661</v>
      </c>
      <c r="L108" s="157">
        <f t="shared" si="2"/>
        <v>19.423750000000002</v>
      </c>
      <c r="M108" s="157">
        <f t="shared" si="2"/>
        <v>63.121354166666656</v>
      </c>
      <c r="N108" s="157">
        <f t="shared" si="2"/>
        <v>129.43020833333333</v>
      </c>
      <c r="O108" s="157">
        <f t="shared" si="2"/>
        <v>0</v>
      </c>
      <c r="P108" s="157">
        <f t="shared" si="2"/>
        <v>1.344166666666667</v>
      </c>
      <c r="Q108" s="157">
        <f t="shared" si="2"/>
        <v>5.2344791666666657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37.565844137707145</v>
      </c>
      <c r="C109" s="157">
        <f t="shared" ref="C109:Q109" si="3">STDEV(C9:C104)</f>
        <v>4.9431160255112001</v>
      </c>
      <c r="D109" s="157">
        <f t="shared" si="3"/>
        <v>31.67496709313011</v>
      </c>
      <c r="E109" s="157">
        <f t="shared" si="3"/>
        <v>1.1842313324195624</v>
      </c>
      <c r="F109" s="157">
        <f t="shared" si="3"/>
        <v>0.5868852887108863</v>
      </c>
      <c r="G109" s="157">
        <f t="shared" si="3"/>
        <v>43.016980551620811</v>
      </c>
      <c r="H109" s="157">
        <f t="shared" si="3"/>
        <v>18.301721941983228</v>
      </c>
      <c r="I109" s="157">
        <f t="shared" si="3"/>
        <v>4.3414958160814514</v>
      </c>
      <c r="J109" s="157">
        <f t="shared" si="3"/>
        <v>0.14474353453427088</v>
      </c>
      <c r="K109" s="157">
        <f t="shared" si="3"/>
        <v>69.766982610835527</v>
      </c>
      <c r="L109" s="157">
        <f t="shared" si="3"/>
        <v>5.4865568245916716</v>
      </c>
      <c r="M109" s="157">
        <f t="shared" si="3"/>
        <v>25.284004788540322</v>
      </c>
      <c r="N109" s="157">
        <f t="shared" si="3"/>
        <v>204.1287700498423</v>
      </c>
      <c r="O109" s="157">
        <f t="shared" si="3"/>
        <v>0</v>
      </c>
      <c r="P109" s="157">
        <f t="shared" si="3"/>
        <v>0.4077142101926069</v>
      </c>
      <c r="Q109" s="157">
        <f t="shared" si="3"/>
        <v>0.37606513935100089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workbookViewId="0">
      <selection activeCell="A9" sqref="A9:XFD104"/>
    </sheetView>
  </sheetViews>
  <sheetFormatPr defaultColWidth="9" defaultRowHeight="15"/>
  <cols>
    <col min="1" max="1" width="18.570312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45320.010416666664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72">
        <v>45320.010416666664</v>
      </c>
      <c r="B9" s="6">
        <v>18.940000000000001</v>
      </c>
      <c r="C9" s="6">
        <v>32.42</v>
      </c>
      <c r="D9" s="6">
        <v>33.479999999999997</v>
      </c>
      <c r="E9" s="6">
        <v>6.27</v>
      </c>
      <c r="F9" s="6">
        <v>3.4</v>
      </c>
      <c r="G9" s="6">
        <v>101.77</v>
      </c>
      <c r="H9" s="6">
        <v>44.34</v>
      </c>
      <c r="I9" s="6">
        <v>14.53</v>
      </c>
      <c r="J9" s="6">
        <v>0.15</v>
      </c>
      <c r="K9" s="6">
        <v>189.6</v>
      </c>
      <c r="L9" s="6">
        <v>15.61</v>
      </c>
      <c r="M9" s="6">
        <v>88.81</v>
      </c>
      <c r="N9" s="6">
        <v>0</v>
      </c>
      <c r="O9" s="6">
        <v>0</v>
      </c>
      <c r="P9" s="6">
        <v>1.1100000000000001</v>
      </c>
      <c r="Q9" s="6">
        <v>4.9800000000000004</v>
      </c>
    </row>
    <row r="10" spans="1:21">
      <c r="A10" s="72">
        <v>45320.020833333336</v>
      </c>
      <c r="B10" s="6">
        <v>18.97</v>
      </c>
      <c r="C10" s="6">
        <v>32.520000000000003</v>
      </c>
      <c r="D10" s="6">
        <v>33.549999999999997</v>
      </c>
      <c r="E10" s="6">
        <v>6.45</v>
      </c>
      <c r="F10" s="6">
        <v>3.27</v>
      </c>
      <c r="G10" s="6">
        <v>89.78</v>
      </c>
      <c r="H10" s="6">
        <v>42.48</v>
      </c>
      <c r="I10" s="6">
        <v>14.52</v>
      </c>
      <c r="J10" s="6">
        <v>0.09</v>
      </c>
      <c r="K10" s="6">
        <v>215.25</v>
      </c>
      <c r="L10" s="6">
        <v>15.54</v>
      </c>
      <c r="M10" s="6">
        <v>86.08</v>
      </c>
      <c r="N10" s="6">
        <v>0</v>
      </c>
      <c r="O10" s="6">
        <v>0</v>
      </c>
      <c r="P10" s="6">
        <v>1.1000000000000001</v>
      </c>
      <c r="Q10" s="6">
        <v>4.96</v>
      </c>
    </row>
    <row r="11" spans="1:21">
      <c r="A11" s="72">
        <v>45320.03125</v>
      </c>
      <c r="B11" s="6">
        <v>22.31</v>
      </c>
      <c r="C11" s="6">
        <v>33.049999999999997</v>
      </c>
      <c r="D11" s="6">
        <v>36.51</v>
      </c>
      <c r="E11" s="6">
        <v>6.28</v>
      </c>
      <c r="F11" s="6">
        <v>3.23</v>
      </c>
      <c r="G11" s="6">
        <v>88.45</v>
      </c>
      <c r="H11" s="6">
        <v>42.48</v>
      </c>
      <c r="I11" s="6">
        <v>14.54</v>
      </c>
      <c r="J11" s="6">
        <v>0.14000000000000001</v>
      </c>
      <c r="K11" s="6">
        <v>198.43</v>
      </c>
      <c r="L11" s="6">
        <v>15.58</v>
      </c>
      <c r="M11" s="6">
        <v>85.75</v>
      </c>
      <c r="N11" s="6">
        <v>0</v>
      </c>
      <c r="O11" s="6">
        <v>0</v>
      </c>
      <c r="P11" s="6">
        <v>1.0900000000000001</v>
      </c>
      <c r="Q11" s="6">
        <v>4.97</v>
      </c>
    </row>
    <row r="12" spans="1:21">
      <c r="A12" s="72">
        <v>45320.041666666664</v>
      </c>
      <c r="B12" s="6">
        <v>27.24</v>
      </c>
      <c r="C12" s="6">
        <v>33.979999999999997</v>
      </c>
      <c r="D12" s="6">
        <v>40.950000000000003</v>
      </c>
      <c r="E12" s="6">
        <v>6.5</v>
      </c>
      <c r="F12" s="6">
        <v>3.18</v>
      </c>
      <c r="G12" s="6">
        <v>88.45</v>
      </c>
      <c r="H12" s="6">
        <v>42.48</v>
      </c>
      <c r="I12" s="6">
        <v>14.45</v>
      </c>
      <c r="J12" s="6">
        <v>0.18</v>
      </c>
      <c r="K12" s="6">
        <v>243.07</v>
      </c>
      <c r="L12" s="6">
        <v>15.44</v>
      </c>
      <c r="M12" s="6">
        <v>85.82</v>
      </c>
      <c r="N12" s="6">
        <v>0</v>
      </c>
      <c r="O12" s="6">
        <v>0</v>
      </c>
      <c r="P12" s="6">
        <v>1.1100000000000001</v>
      </c>
      <c r="Q12" s="6">
        <v>5.03</v>
      </c>
    </row>
    <row r="13" spans="1:21">
      <c r="A13" s="72">
        <v>45320.052083333336</v>
      </c>
      <c r="B13" s="6">
        <v>33.14</v>
      </c>
      <c r="C13" s="6">
        <v>34.78</v>
      </c>
      <c r="D13" s="6">
        <v>46.1</v>
      </c>
      <c r="E13" s="6">
        <v>6.1</v>
      </c>
      <c r="F13" s="6">
        <v>3.29</v>
      </c>
      <c r="G13" s="6">
        <v>88.45</v>
      </c>
      <c r="H13" s="6">
        <v>42.48</v>
      </c>
      <c r="I13" s="6">
        <v>14.32</v>
      </c>
      <c r="J13" s="6">
        <v>0.21</v>
      </c>
      <c r="K13" s="6">
        <v>188.05</v>
      </c>
      <c r="L13" s="6">
        <v>15.31</v>
      </c>
      <c r="M13" s="6">
        <v>86.76</v>
      </c>
      <c r="N13" s="6">
        <v>0</v>
      </c>
      <c r="O13" s="6">
        <v>0</v>
      </c>
      <c r="P13" s="6">
        <v>1.1299999999999999</v>
      </c>
      <c r="Q13" s="6">
        <v>5.08</v>
      </c>
    </row>
    <row r="14" spans="1:21">
      <c r="A14" s="72">
        <v>45320.0625</v>
      </c>
      <c r="B14" s="6">
        <v>38.08</v>
      </c>
      <c r="C14" s="6">
        <v>35.200000000000003</v>
      </c>
      <c r="D14" s="6">
        <v>50.28</v>
      </c>
      <c r="E14" s="6">
        <v>6.76</v>
      </c>
      <c r="F14" s="6">
        <v>3.28</v>
      </c>
      <c r="G14" s="6">
        <v>106.76</v>
      </c>
      <c r="H14" s="6">
        <v>46.06</v>
      </c>
      <c r="I14" s="6">
        <v>14.33</v>
      </c>
      <c r="J14" s="6">
        <v>0.1</v>
      </c>
      <c r="K14" s="6">
        <v>188.63</v>
      </c>
      <c r="L14" s="6">
        <v>14.98</v>
      </c>
      <c r="M14" s="6">
        <v>89.19</v>
      </c>
      <c r="N14" s="6">
        <v>0</v>
      </c>
      <c r="O14" s="6">
        <v>0</v>
      </c>
      <c r="P14" s="6">
        <v>1.1499999999999999</v>
      </c>
      <c r="Q14" s="6">
        <v>5.1100000000000003</v>
      </c>
    </row>
    <row r="15" spans="1:21">
      <c r="A15" s="72">
        <v>45320.072916666664</v>
      </c>
      <c r="B15" s="6">
        <v>39.79</v>
      </c>
      <c r="C15" s="6">
        <v>34.92</v>
      </c>
      <c r="D15" s="6">
        <v>51.51</v>
      </c>
      <c r="E15" s="6">
        <v>6.43</v>
      </c>
      <c r="F15" s="6">
        <v>3.25</v>
      </c>
      <c r="G15" s="6">
        <v>109.05</v>
      </c>
      <c r="H15" s="6">
        <v>46.06</v>
      </c>
      <c r="I15" s="6">
        <v>14.33</v>
      </c>
      <c r="J15" s="6">
        <v>0.11</v>
      </c>
      <c r="K15" s="6">
        <v>112.96</v>
      </c>
      <c r="L15" s="6">
        <v>14.96</v>
      </c>
      <c r="M15" s="6">
        <v>87.83</v>
      </c>
      <c r="N15" s="6">
        <v>0</v>
      </c>
      <c r="O15" s="6">
        <v>0</v>
      </c>
      <c r="P15" s="6">
        <v>1.1399999999999999</v>
      </c>
      <c r="Q15" s="6">
        <v>5.15</v>
      </c>
    </row>
    <row r="16" spans="1:21">
      <c r="A16" s="72">
        <v>45320.083333333336</v>
      </c>
      <c r="B16" s="6">
        <v>43.05</v>
      </c>
      <c r="C16" s="6">
        <v>34.83</v>
      </c>
      <c r="D16" s="6">
        <v>54.08</v>
      </c>
      <c r="E16" s="6">
        <v>6.37</v>
      </c>
      <c r="F16" s="6">
        <v>3.31</v>
      </c>
      <c r="G16" s="6">
        <v>109.05</v>
      </c>
      <c r="H16" s="6">
        <v>46.06</v>
      </c>
      <c r="I16" s="6">
        <v>14.24</v>
      </c>
      <c r="J16" s="6">
        <v>0.15</v>
      </c>
      <c r="K16" s="6">
        <v>161.01</v>
      </c>
      <c r="L16" s="6">
        <v>15.3</v>
      </c>
      <c r="M16" s="6">
        <v>85.49</v>
      </c>
      <c r="N16" s="6">
        <v>0</v>
      </c>
      <c r="O16" s="6">
        <v>0</v>
      </c>
      <c r="P16" s="6">
        <v>1.1499999999999999</v>
      </c>
      <c r="Q16" s="6">
        <v>5.2</v>
      </c>
    </row>
    <row r="17" spans="1:17">
      <c r="A17" s="72">
        <v>45320.09375</v>
      </c>
      <c r="B17" s="6">
        <v>46.28</v>
      </c>
      <c r="C17" s="6">
        <v>34.57</v>
      </c>
      <c r="D17" s="6">
        <v>56.53</v>
      </c>
      <c r="E17" s="6">
        <v>4.67</v>
      </c>
      <c r="F17" s="6">
        <v>3.31</v>
      </c>
      <c r="G17" s="6">
        <v>109.05</v>
      </c>
      <c r="H17" s="6">
        <v>46.06</v>
      </c>
      <c r="I17" s="6">
        <v>14.13</v>
      </c>
      <c r="J17" s="6">
        <v>0.15</v>
      </c>
      <c r="K17" s="6">
        <v>162.24</v>
      </c>
      <c r="L17" s="6">
        <v>15.02</v>
      </c>
      <c r="M17" s="6">
        <v>89.87</v>
      </c>
      <c r="N17" s="6">
        <v>0</v>
      </c>
      <c r="O17" s="6">
        <v>0</v>
      </c>
      <c r="P17" s="6">
        <v>1.1499999999999999</v>
      </c>
      <c r="Q17" s="6">
        <v>5.21</v>
      </c>
    </row>
    <row r="18" spans="1:17">
      <c r="A18" s="72">
        <v>45320.104166666664</v>
      </c>
      <c r="B18" s="6">
        <v>47.88</v>
      </c>
      <c r="C18" s="6">
        <v>33.32</v>
      </c>
      <c r="D18" s="6">
        <v>57.16</v>
      </c>
      <c r="E18" s="6">
        <v>5.01</v>
      </c>
      <c r="F18" s="6">
        <v>3.43</v>
      </c>
      <c r="G18" s="6">
        <v>102.19</v>
      </c>
      <c r="H18" s="6">
        <v>48.72</v>
      </c>
      <c r="I18" s="6">
        <v>14.04</v>
      </c>
      <c r="J18" s="6">
        <v>0.21</v>
      </c>
      <c r="K18" s="6">
        <v>175.13</v>
      </c>
      <c r="L18" s="6">
        <v>14.91</v>
      </c>
      <c r="M18" s="6">
        <v>90.35</v>
      </c>
      <c r="N18" s="6">
        <v>0</v>
      </c>
      <c r="O18" s="6">
        <v>0</v>
      </c>
      <c r="P18" s="6">
        <v>1.1599999999999999</v>
      </c>
      <c r="Q18" s="6">
        <v>5.2</v>
      </c>
    </row>
    <row r="19" spans="1:17">
      <c r="A19" s="72">
        <v>45320.114583333336</v>
      </c>
      <c r="B19" s="6">
        <v>48.6</v>
      </c>
      <c r="C19" s="6">
        <v>31.41</v>
      </c>
      <c r="D19" s="6">
        <v>56.74</v>
      </c>
      <c r="E19" s="6">
        <v>4.93</v>
      </c>
      <c r="F19" s="6">
        <v>3.54</v>
      </c>
      <c r="G19" s="6">
        <v>101.33</v>
      </c>
      <c r="H19" s="6">
        <v>48.72</v>
      </c>
      <c r="I19" s="6">
        <v>13.96</v>
      </c>
      <c r="J19" s="6">
        <v>0.26</v>
      </c>
      <c r="K19" s="6">
        <v>186.94</v>
      </c>
      <c r="L19" s="6">
        <v>14.31</v>
      </c>
      <c r="M19" s="6">
        <v>92.31</v>
      </c>
      <c r="N19" s="6">
        <v>0</v>
      </c>
      <c r="O19" s="6">
        <v>0</v>
      </c>
      <c r="P19" s="6">
        <v>1.1499999999999999</v>
      </c>
      <c r="Q19" s="6">
        <v>5.22</v>
      </c>
    </row>
    <row r="20" spans="1:17">
      <c r="A20" s="72">
        <v>45320.125</v>
      </c>
      <c r="B20" s="6">
        <v>47.82</v>
      </c>
      <c r="C20" s="6">
        <v>31.72</v>
      </c>
      <c r="D20" s="6">
        <v>56.27</v>
      </c>
      <c r="E20" s="6">
        <v>5.01</v>
      </c>
      <c r="F20" s="6">
        <v>3.44</v>
      </c>
      <c r="G20" s="6">
        <v>101.33</v>
      </c>
      <c r="H20" s="6">
        <v>48.72</v>
      </c>
      <c r="I20" s="6">
        <v>13.85</v>
      </c>
      <c r="J20" s="6">
        <v>0.31</v>
      </c>
      <c r="K20" s="6">
        <v>172.78</v>
      </c>
      <c r="L20" s="6">
        <v>14.09</v>
      </c>
      <c r="M20" s="6">
        <v>93.05</v>
      </c>
      <c r="N20" s="6">
        <v>0</v>
      </c>
      <c r="O20" s="6">
        <v>0</v>
      </c>
      <c r="P20" s="6">
        <v>1.1399999999999999</v>
      </c>
      <c r="Q20" s="6">
        <v>5.22</v>
      </c>
    </row>
    <row r="21" spans="1:17">
      <c r="A21" s="72">
        <v>45320.135416666664</v>
      </c>
      <c r="B21" s="6">
        <v>46.35</v>
      </c>
      <c r="C21" s="6">
        <v>31.35</v>
      </c>
      <c r="D21" s="6">
        <v>54.9</v>
      </c>
      <c r="E21" s="6">
        <v>5.19</v>
      </c>
      <c r="F21" s="6">
        <v>3.2</v>
      </c>
      <c r="G21" s="6">
        <v>101.33</v>
      </c>
      <c r="H21" s="6">
        <v>48.72</v>
      </c>
      <c r="I21" s="6">
        <v>13.73</v>
      </c>
      <c r="J21" s="6">
        <v>0.15</v>
      </c>
      <c r="K21" s="6">
        <v>216.5</v>
      </c>
      <c r="L21" s="6">
        <v>13.84</v>
      </c>
      <c r="M21" s="6">
        <v>93.73</v>
      </c>
      <c r="N21" s="6">
        <v>0</v>
      </c>
      <c r="O21" s="6">
        <v>0</v>
      </c>
      <c r="P21" s="6">
        <v>1.1299999999999999</v>
      </c>
      <c r="Q21" s="6">
        <v>5.23</v>
      </c>
    </row>
    <row r="22" spans="1:17">
      <c r="A22" s="72">
        <v>45320.145833333336</v>
      </c>
      <c r="B22" s="6">
        <v>44.47</v>
      </c>
      <c r="C22" s="6">
        <v>31.54</v>
      </c>
      <c r="D22" s="6">
        <v>53.49</v>
      </c>
      <c r="E22" s="6">
        <v>5.13</v>
      </c>
      <c r="F22" s="6">
        <v>3.18</v>
      </c>
      <c r="G22" s="6">
        <v>99.74</v>
      </c>
      <c r="H22" s="6">
        <v>45.64</v>
      </c>
      <c r="I22" s="6">
        <v>13.58</v>
      </c>
      <c r="J22" s="6">
        <v>0.17</v>
      </c>
      <c r="K22" s="6">
        <v>246.51</v>
      </c>
      <c r="L22" s="6">
        <v>13.65</v>
      </c>
      <c r="M22" s="6">
        <v>94.8</v>
      </c>
      <c r="N22" s="6">
        <v>0</v>
      </c>
      <c r="O22" s="6">
        <v>0</v>
      </c>
      <c r="P22" s="6">
        <v>1.1299999999999999</v>
      </c>
      <c r="Q22" s="6">
        <v>5.21</v>
      </c>
    </row>
    <row r="23" spans="1:17">
      <c r="A23" s="72">
        <v>45320.15625</v>
      </c>
      <c r="B23" s="6">
        <v>42.56</v>
      </c>
      <c r="C23" s="6">
        <v>30.99</v>
      </c>
      <c r="D23" s="6">
        <v>51.68</v>
      </c>
      <c r="E23" s="6">
        <v>5.1100000000000003</v>
      </c>
      <c r="F23" s="6">
        <v>3.25</v>
      </c>
      <c r="G23" s="6">
        <v>99.54</v>
      </c>
      <c r="H23" s="6">
        <v>45.64</v>
      </c>
      <c r="I23" s="6">
        <v>13.45</v>
      </c>
      <c r="J23" s="6">
        <v>0.21</v>
      </c>
      <c r="K23" s="6">
        <v>211.34</v>
      </c>
      <c r="L23" s="6">
        <v>13.34</v>
      </c>
      <c r="M23" s="6">
        <v>95.29</v>
      </c>
      <c r="N23" s="6">
        <v>0</v>
      </c>
      <c r="O23" s="6">
        <v>0</v>
      </c>
      <c r="P23" s="6">
        <v>1.1200000000000001</v>
      </c>
      <c r="Q23" s="6">
        <v>5.17</v>
      </c>
    </row>
    <row r="24" spans="1:17">
      <c r="A24" s="72">
        <v>45320.166666666664</v>
      </c>
      <c r="B24" s="6">
        <v>40.409999999999997</v>
      </c>
      <c r="C24" s="6">
        <v>30.47</v>
      </c>
      <c r="D24" s="6">
        <v>49.68</v>
      </c>
      <c r="E24" s="6">
        <v>5.4</v>
      </c>
      <c r="F24" s="6">
        <v>3.27</v>
      </c>
      <c r="G24" s="6">
        <v>99.54</v>
      </c>
      <c r="H24" s="6">
        <v>45.64</v>
      </c>
      <c r="I24" s="6">
        <v>13.37</v>
      </c>
      <c r="J24" s="6">
        <v>0.1</v>
      </c>
      <c r="K24" s="6">
        <v>221.3</v>
      </c>
      <c r="L24" s="6">
        <v>13.16</v>
      </c>
      <c r="M24" s="6">
        <v>95.86</v>
      </c>
      <c r="N24" s="6">
        <v>0</v>
      </c>
      <c r="O24" s="6">
        <v>0</v>
      </c>
      <c r="P24" s="6">
        <v>1.1000000000000001</v>
      </c>
      <c r="Q24" s="6">
        <v>5.15</v>
      </c>
    </row>
    <row r="25" spans="1:17">
      <c r="A25" s="72">
        <v>45320.177083333336</v>
      </c>
      <c r="B25" s="6">
        <v>38.28</v>
      </c>
      <c r="C25" s="6">
        <v>29.88</v>
      </c>
      <c r="D25" s="6">
        <v>47.66</v>
      </c>
      <c r="E25" s="6">
        <v>5.13</v>
      </c>
      <c r="F25" s="6">
        <v>3.2</v>
      </c>
      <c r="G25" s="6">
        <v>99.54</v>
      </c>
      <c r="H25" s="6">
        <v>45.64</v>
      </c>
      <c r="I25" s="6">
        <v>13.27</v>
      </c>
      <c r="J25" s="6">
        <v>0.12</v>
      </c>
      <c r="K25" s="6">
        <v>158.59</v>
      </c>
      <c r="L25" s="6">
        <v>13.26</v>
      </c>
      <c r="M25" s="6">
        <v>94.84</v>
      </c>
      <c r="N25" s="6">
        <v>0</v>
      </c>
      <c r="O25" s="6">
        <v>0</v>
      </c>
      <c r="P25" s="6">
        <v>1.08</v>
      </c>
      <c r="Q25" s="6">
        <v>5.12</v>
      </c>
    </row>
    <row r="26" spans="1:17">
      <c r="A26" s="72">
        <v>45320.1875</v>
      </c>
      <c r="B26" s="6">
        <v>36.270000000000003</v>
      </c>
      <c r="C26" s="6">
        <v>29.65</v>
      </c>
      <c r="D26" s="6">
        <v>45.93</v>
      </c>
      <c r="E26" s="6">
        <v>4.88</v>
      </c>
      <c r="F26" s="6">
        <v>3.08</v>
      </c>
      <c r="G26" s="6">
        <v>74.42</v>
      </c>
      <c r="H26" s="6">
        <v>42.63</v>
      </c>
      <c r="I26" s="6">
        <v>13.1</v>
      </c>
      <c r="J26" s="6">
        <v>0.13</v>
      </c>
      <c r="K26" s="6">
        <v>198.71</v>
      </c>
      <c r="L26" s="6">
        <v>13.27</v>
      </c>
      <c r="M26" s="6">
        <v>95.06</v>
      </c>
      <c r="N26" s="6">
        <v>0</v>
      </c>
      <c r="O26" s="6">
        <v>0</v>
      </c>
      <c r="P26" s="6">
        <v>1.06</v>
      </c>
      <c r="Q26" s="6">
        <v>5.12</v>
      </c>
    </row>
    <row r="27" spans="1:17">
      <c r="A27" s="72">
        <v>45320.197916666664</v>
      </c>
      <c r="B27" s="6">
        <v>34.35</v>
      </c>
      <c r="C27" s="6">
        <v>29.24</v>
      </c>
      <c r="D27" s="6">
        <v>44.18</v>
      </c>
      <c r="E27" s="6">
        <v>4.5199999999999996</v>
      </c>
      <c r="F27" s="6">
        <v>3.11</v>
      </c>
      <c r="G27" s="6">
        <v>71.28</v>
      </c>
      <c r="H27" s="6">
        <v>42.63</v>
      </c>
      <c r="I27" s="6">
        <v>12.88</v>
      </c>
      <c r="J27" s="6">
        <v>0.16</v>
      </c>
      <c r="K27" s="6">
        <v>194.23</v>
      </c>
      <c r="L27" s="6">
        <v>13.07</v>
      </c>
      <c r="M27" s="6">
        <v>95.96</v>
      </c>
      <c r="N27" s="6">
        <v>0</v>
      </c>
      <c r="O27" s="6">
        <v>0</v>
      </c>
      <c r="P27" s="6">
        <v>1.05</v>
      </c>
      <c r="Q27" s="6">
        <v>5.0999999999999996</v>
      </c>
    </row>
    <row r="28" spans="1:17">
      <c r="A28" s="72">
        <v>45320.208333333336</v>
      </c>
      <c r="B28" s="6">
        <v>32.53</v>
      </c>
      <c r="C28" s="6">
        <v>28.62</v>
      </c>
      <c r="D28" s="6">
        <v>42.39</v>
      </c>
      <c r="E28" s="6">
        <v>4.71</v>
      </c>
      <c r="F28" s="6">
        <v>3.12</v>
      </c>
      <c r="G28" s="6">
        <v>71.28</v>
      </c>
      <c r="H28" s="6">
        <v>42.63</v>
      </c>
      <c r="I28" s="6">
        <v>12.67</v>
      </c>
      <c r="J28" s="6">
        <v>0.12</v>
      </c>
      <c r="K28" s="6">
        <v>132.86000000000001</v>
      </c>
      <c r="L28" s="6">
        <v>12.9</v>
      </c>
      <c r="M28" s="6">
        <v>96.29</v>
      </c>
      <c r="N28" s="6">
        <v>0</v>
      </c>
      <c r="O28" s="6">
        <v>0</v>
      </c>
      <c r="P28" s="6">
        <v>1.04</v>
      </c>
      <c r="Q28" s="6">
        <v>5.0999999999999996</v>
      </c>
    </row>
    <row r="29" spans="1:17">
      <c r="A29" s="72">
        <v>45320.21875</v>
      </c>
      <c r="B29" s="6">
        <v>30.76</v>
      </c>
      <c r="C29" s="6">
        <v>28.64</v>
      </c>
      <c r="D29" s="6">
        <v>40.98</v>
      </c>
      <c r="E29" s="6">
        <v>4.76</v>
      </c>
      <c r="F29" s="6">
        <v>3.13</v>
      </c>
      <c r="G29" s="6">
        <v>71.28</v>
      </c>
      <c r="H29" s="6">
        <v>42.63</v>
      </c>
      <c r="I29" s="6">
        <v>12.49</v>
      </c>
      <c r="J29" s="6">
        <v>0.11</v>
      </c>
      <c r="K29" s="6">
        <v>211.55</v>
      </c>
      <c r="L29" s="6">
        <v>12.94</v>
      </c>
      <c r="M29" s="6">
        <v>96.09</v>
      </c>
      <c r="N29" s="6">
        <v>0</v>
      </c>
      <c r="O29" s="6">
        <v>0</v>
      </c>
      <c r="P29" s="6">
        <v>1.03</v>
      </c>
      <c r="Q29" s="6">
        <v>5.04</v>
      </c>
    </row>
    <row r="30" spans="1:17">
      <c r="A30" s="72">
        <v>45320.229166666664</v>
      </c>
      <c r="B30" s="6">
        <v>29.38</v>
      </c>
      <c r="C30" s="6">
        <v>28.11</v>
      </c>
      <c r="D30" s="6">
        <v>39.6</v>
      </c>
      <c r="E30" s="6">
        <v>4.8099999999999996</v>
      </c>
      <c r="F30" s="6">
        <v>3.19</v>
      </c>
      <c r="G30" s="6">
        <v>71.55</v>
      </c>
      <c r="H30" s="6">
        <v>40.68</v>
      </c>
      <c r="I30" s="6">
        <v>12.32</v>
      </c>
      <c r="J30" s="6">
        <v>0.08</v>
      </c>
      <c r="K30" s="6">
        <v>196.87</v>
      </c>
      <c r="L30" s="6">
        <v>12.97</v>
      </c>
      <c r="M30" s="6">
        <v>96.75</v>
      </c>
      <c r="N30" s="6">
        <v>0</v>
      </c>
      <c r="O30" s="6">
        <v>0</v>
      </c>
      <c r="P30" s="6">
        <v>1.01</v>
      </c>
      <c r="Q30" s="6">
        <v>5.03</v>
      </c>
    </row>
    <row r="31" spans="1:17">
      <c r="A31" s="72">
        <v>45320.239583333336</v>
      </c>
      <c r="B31" s="6">
        <v>28.39</v>
      </c>
      <c r="C31" s="6">
        <v>28.26</v>
      </c>
      <c r="D31" s="6">
        <v>38.880000000000003</v>
      </c>
      <c r="E31" s="6">
        <v>4.76</v>
      </c>
      <c r="F31" s="6">
        <v>3.13</v>
      </c>
      <c r="G31" s="6">
        <v>71.59</v>
      </c>
      <c r="H31" s="6">
        <v>40.68</v>
      </c>
      <c r="I31" s="6">
        <v>12.15</v>
      </c>
      <c r="J31" s="6">
        <v>0.09</v>
      </c>
      <c r="K31" s="6">
        <v>60.52</v>
      </c>
      <c r="L31" s="6">
        <v>12.91</v>
      </c>
      <c r="M31" s="6">
        <v>96.86</v>
      </c>
      <c r="N31" s="6">
        <v>0</v>
      </c>
      <c r="O31" s="6">
        <v>0</v>
      </c>
      <c r="P31" s="6">
        <v>0.99</v>
      </c>
      <c r="Q31" s="6">
        <v>5.0199999999999996</v>
      </c>
    </row>
    <row r="32" spans="1:17">
      <c r="A32" s="72">
        <v>45320.25</v>
      </c>
      <c r="B32" s="6">
        <v>30.06</v>
      </c>
      <c r="C32" s="6">
        <v>28.38</v>
      </c>
      <c r="D32" s="6">
        <v>40.29</v>
      </c>
      <c r="E32" s="6">
        <v>5.34</v>
      </c>
      <c r="F32" s="6">
        <v>3.22</v>
      </c>
      <c r="G32" s="6">
        <v>71.59</v>
      </c>
      <c r="H32" s="6">
        <v>40.68</v>
      </c>
      <c r="I32" s="6">
        <v>11.98</v>
      </c>
      <c r="J32" s="6">
        <v>0.17</v>
      </c>
      <c r="K32" s="6">
        <v>40.090000000000003</v>
      </c>
      <c r="L32" s="6">
        <v>13.16</v>
      </c>
      <c r="M32" s="6">
        <v>96.12</v>
      </c>
      <c r="N32" s="6">
        <v>0</v>
      </c>
      <c r="O32" s="6">
        <v>0</v>
      </c>
      <c r="P32" s="6">
        <v>0.99</v>
      </c>
      <c r="Q32" s="6">
        <v>5.03</v>
      </c>
    </row>
    <row r="33" spans="1:17">
      <c r="A33" s="72">
        <v>45320.260416666664</v>
      </c>
      <c r="B33" s="6">
        <v>33.49</v>
      </c>
      <c r="C33" s="6">
        <v>28.56</v>
      </c>
      <c r="D33" s="6">
        <v>43.12</v>
      </c>
      <c r="E33" s="6">
        <v>4.78</v>
      </c>
      <c r="F33" s="6">
        <v>3.18</v>
      </c>
      <c r="G33" s="6">
        <v>71.59</v>
      </c>
      <c r="H33" s="6">
        <v>40.68</v>
      </c>
      <c r="I33" s="6">
        <v>11.84</v>
      </c>
      <c r="J33" s="6">
        <v>0.15</v>
      </c>
      <c r="K33" s="6">
        <v>220.62</v>
      </c>
      <c r="L33" s="6">
        <v>13.25</v>
      </c>
      <c r="M33" s="6">
        <v>95.35</v>
      </c>
      <c r="N33" s="6">
        <v>0</v>
      </c>
      <c r="O33" s="6">
        <v>0</v>
      </c>
      <c r="P33" s="6">
        <v>1</v>
      </c>
      <c r="Q33" s="6">
        <v>5.0599999999999996</v>
      </c>
    </row>
    <row r="34" spans="1:17">
      <c r="A34" s="72">
        <v>45320.270833333336</v>
      </c>
      <c r="B34" s="6">
        <v>36.56</v>
      </c>
      <c r="C34" s="6">
        <v>29.24</v>
      </c>
      <c r="D34" s="6">
        <v>45.95</v>
      </c>
      <c r="E34" s="6">
        <v>4.9400000000000004</v>
      </c>
      <c r="F34" s="6">
        <v>3.22</v>
      </c>
      <c r="G34" s="6">
        <v>75.05</v>
      </c>
      <c r="H34" s="6">
        <v>39.49</v>
      </c>
      <c r="I34" s="6">
        <v>11.79</v>
      </c>
      <c r="J34" s="6">
        <v>0.2</v>
      </c>
      <c r="K34" s="6">
        <v>89.23</v>
      </c>
      <c r="L34" s="6">
        <v>13.15</v>
      </c>
      <c r="M34" s="6">
        <v>95.71</v>
      </c>
      <c r="N34" s="6">
        <v>0</v>
      </c>
      <c r="O34" s="6">
        <v>0</v>
      </c>
      <c r="P34" s="6">
        <v>1.01</v>
      </c>
      <c r="Q34" s="6">
        <v>5.09</v>
      </c>
    </row>
    <row r="35" spans="1:17">
      <c r="A35" s="72">
        <v>45320.28125</v>
      </c>
      <c r="B35" s="6">
        <v>38.96</v>
      </c>
      <c r="C35" s="6">
        <v>28.67</v>
      </c>
      <c r="D35" s="6">
        <v>47.58</v>
      </c>
      <c r="E35" s="6">
        <v>5.18</v>
      </c>
      <c r="F35" s="6">
        <v>3.3</v>
      </c>
      <c r="G35" s="6">
        <v>75.5</v>
      </c>
      <c r="H35" s="6">
        <v>39.49</v>
      </c>
      <c r="I35" s="6">
        <v>11.84</v>
      </c>
      <c r="J35" s="6">
        <v>0.6</v>
      </c>
      <c r="K35" s="6">
        <v>63.82</v>
      </c>
      <c r="L35" s="6">
        <v>13.74</v>
      </c>
      <c r="M35" s="6">
        <v>92.41</v>
      </c>
      <c r="N35" s="6">
        <v>0</v>
      </c>
      <c r="O35" s="6">
        <v>0</v>
      </c>
      <c r="P35" s="6">
        <v>1.02</v>
      </c>
      <c r="Q35" s="6">
        <v>5.1100000000000003</v>
      </c>
    </row>
    <row r="36" spans="1:17">
      <c r="A36" s="72">
        <v>45320.291666666664</v>
      </c>
      <c r="B36" s="6">
        <v>41.29</v>
      </c>
      <c r="C36" s="6">
        <v>29.42</v>
      </c>
      <c r="D36" s="6">
        <v>49.84</v>
      </c>
      <c r="E36" s="6">
        <v>5.45</v>
      </c>
      <c r="F36" s="6">
        <v>3.3</v>
      </c>
      <c r="G36" s="6">
        <v>75.5</v>
      </c>
      <c r="H36" s="6">
        <v>39.49</v>
      </c>
      <c r="I36" s="6">
        <v>11.93</v>
      </c>
      <c r="J36" s="6">
        <v>0.28999999999999998</v>
      </c>
      <c r="K36" s="6">
        <v>67.56</v>
      </c>
      <c r="L36" s="6">
        <v>13.98</v>
      </c>
      <c r="M36" s="6">
        <v>89.61</v>
      </c>
      <c r="N36" s="6">
        <v>3.4</v>
      </c>
      <c r="O36" s="6">
        <v>0</v>
      </c>
      <c r="P36" s="6">
        <v>1.05</v>
      </c>
      <c r="Q36" s="6">
        <v>5.15</v>
      </c>
    </row>
    <row r="37" spans="1:17">
      <c r="A37" s="72">
        <v>45320.302083333336</v>
      </c>
      <c r="B37" s="6">
        <v>42.95</v>
      </c>
      <c r="C37" s="6">
        <v>29.57</v>
      </c>
      <c r="D37" s="6">
        <v>51.24</v>
      </c>
      <c r="E37" s="6">
        <v>5.44</v>
      </c>
      <c r="F37" s="6">
        <v>3.29</v>
      </c>
      <c r="G37" s="6">
        <v>75.5</v>
      </c>
      <c r="H37" s="6">
        <v>39.49</v>
      </c>
      <c r="I37" s="6">
        <v>12.18</v>
      </c>
      <c r="J37" s="6">
        <v>0.18</v>
      </c>
      <c r="K37" s="6">
        <v>106.29</v>
      </c>
      <c r="L37" s="6">
        <v>13.95</v>
      </c>
      <c r="M37" s="6">
        <v>91.92</v>
      </c>
      <c r="N37" s="6">
        <v>19.5</v>
      </c>
      <c r="O37" s="6">
        <v>0</v>
      </c>
      <c r="P37" s="6">
        <v>1.08</v>
      </c>
      <c r="Q37" s="6">
        <v>5.16</v>
      </c>
    </row>
    <row r="38" spans="1:17">
      <c r="A38" s="72">
        <v>45320.3125</v>
      </c>
      <c r="B38" s="6">
        <v>43.38</v>
      </c>
      <c r="C38" s="6">
        <v>29.73</v>
      </c>
      <c r="D38" s="6">
        <v>51.67</v>
      </c>
      <c r="E38" s="6">
        <v>5.67</v>
      </c>
      <c r="F38" s="6">
        <v>3.32</v>
      </c>
      <c r="G38" s="6">
        <v>113.99</v>
      </c>
      <c r="H38" s="6">
        <v>48.23</v>
      </c>
      <c r="I38" s="6">
        <v>12.65</v>
      </c>
      <c r="J38" s="6">
        <v>0.16</v>
      </c>
      <c r="K38" s="6">
        <v>158.11000000000001</v>
      </c>
      <c r="L38" s="6">
        <v>14.33</v>
      </c>
      <c r="M38" s="6">
        <v>90.83</v>
      </c>
      <c r="N38" s="6">
        <v>33.299999999999997</v>
      </c>
      <c r="O38" s="6">
        <v>0</v>
      </c>
      <c r="P38" s="6">
        <v>1.1200000000000001</v>
      </c>
      <c r="Q38" s="6">
        <v>5.18</v>
      </c>
    </row>
    <row r="39" spans="1:17">
      <c r="A39" s="72">
        <v>45320.322916666664</v>
      </c>
      <c r="B39" s="6">
        <v>42.94</v>
      </c>
      <c r="C39" s="6">
        <v>30.1</v>
      </c>
      <c r="D39" s="6">
        <v>51.51</v>
      </c>
      <c r="E39" s="6">
        <v>5.84</v>
      </c>
      <c r="F39" s="6">
        <v>3.28</v>
      </c>
      <c r="G39" s="6">
        <v>118.8</v>
      </c>
      <c r="H39" s="6">
        <v>48.23</v>
      </c>
      <c r="I39" s="6">
        <v>13.13</v>
      </c>
      <c r="J39" s="6">
        <v>0.33</v>
      </c>
      <c r="K39" s="6">
        <v>175.59</v>
      </c>
      <c r="L39" s="6">
        <v>14.56</v>
      </c>
      <c r="M39" s="6">
        <v>92.32</v>
      </c>
      <c r="N39" s="6">
        <v>45.4</v>
      </c>
      <c r="O39" s="6">
        <v>0</v>
      </c>
      <c r="P39" s="6">
        <v>1.1200000000000001</v>
      </c>
      <c r="Q39" s="6">
        <v>5.19</v>
      </c>
    </row>
    <row r="40" spans="1:17">
      <c r="A40" s="72">
        <v>45320.333333333336</v>
      </c>
      <c r="B40" s="6">
        <v>42.04</v>
      </c>
      <c r="C40" s="6">
        <v>30.87</v>
      </c>
      <c r="D40" s="6">
        <v>51.19</v>
      </c>
      <c r="E40" s="6">
        <v>5.35</v>
      </c>
      <c r="F40" s="6">
        <v>3.34</v>
      </c>
      <c r="G40" s="6">
        <v>118.8</v>
      </c>
      <c r="H40" s="6">
        <v>48.23</v>
      </c>
      <c r="I40" s="6">
        <v>13.52</v>
      </c>
      <c r="J40" s="6">
        <v>0.33</v>
      </c>
      <c r="K40" s="6">
        <v>172.11</v>
      </c>
      <c r="L40" s="6">
        <v>14.98</v>
      </c>
      <c r="M40" s="6">
        <v>89.57</v>
      </c>
      <c r="N40" s="6">
        <v>52.4</v>
      </c>
      <c r="O40" s="6">
        <v>0</v>
      </c>
      <c r="P40" s="6">
        <v>1.1399999999999999</v>
      </c>
      <c r="Q40" s="6">
        <v>5.19</v>
      </c>
    </row>
    <row r="41" spans="1:17">
      <c r="A41" s="72">
        <v>45320.34375</v>
      </c>
      <c r="B41" s="6">
        <v>40.92</v>
      </c>
      <c r="C41" s="6">
        <v>31.58</v>
      </c>
      <c r="D41" s="6">
        <v>50.66</v>
      </c>
      <c r="E41" s="6">
        <v>5.59</v>
      </c>
      <c r="F41" s="6">
        <v>3.32</v>
      </c>
      <c r="G41" s="6">
        <v>118.8</v>
      </c>
      <c r="H41" s="6">
        <v>48.23</v>
      </c>
      <c r="I41" s="6">
        <v>13.85</v>
      </c>
      <c r="J41" s="6">
        <v>0.08</v>
      </c>
      <c r="K41" s="6">
        <v>208.07</v>
      </c>
      <c r="L41" s="6">
        <v>15.62</v>
      </c>
      <c r="M41" s="6">
        <v>86.57</v>
      </c>
      <c r="N41" s="6">
        <v>125.1</v>
      </c>
      <c r="O41" s="6">
        <v>0</v>
      </c>
      <c r="P41" s="6">
        <v>1.1499999999999999</v>
      </c>
      <c r="Q41" s="6">
        <v>5.15</v>
      </c>
    </row>
    <row r="42" spans="1:17">
      <c r="A42" s="72">
        <v>45320.354166666664</v>
      </c>
      <c r="B42" s="6">
        <v>39.56</v>
      </c>
      <c r="C42" s="6">
        <v>33.14</v>
      </c>
      <c r="D42" s="6">
        <v>50.39</v>
      </c>
      <c r="E42" s="6">
        <v>5.22</v>
      </c>
      <c r="F42" s="6">
        <v>3.28</v>
      </c>
      <c r="G42" s="6">
        <v>123.47</v>
      </c>
      <c r="H42" s="6">
        <v>52.27</v>
      </c>
      <c r="I42" s="6">
        <v>14.06</v>
      </c>
      <c r="J42" s="6">
        <v>0.32</v>
      </c>
      <c r="K42" s="6">
        <v>73.23</v>
      </c>
      <c r="L42" s="6">
        <v>16.91</v>
      </c>
      <c r="M42" s="6">
        <v>77.459999999999994</v>
      </c>
      <c r="N42" s="6">
        <v>177</v>
      </c>
      <c r="O42" s="6">
        <v>0</v>
      </c>
      <c r="P42" s="6">
        <v>1.1599999999999999</v>
      </c>
      <c r="Q42" s="6">
        <v>5.15</v>
      </c>
    </row>
    <row r="43" spans="1:17">
      <c r="A43" s="72">
        <v>45320.364583333336</v>
      </c>
      <c r="B43" s="6">
        <v>38.44</v>
      </c>
      <c r="C43" s="6">
        <v>34.020000000000003</v>
      </c>
      <c r="D43" s="6">
        <v>49.95</v>
      </c>
      <c r="E43" s="6">
        <v>5.51</v>
      </c>
      <c r="F43" s="6">
        <v>3.32</v>
      </c>
      <c r="G43" s="6">
        <v>124.05</v>
      </c>
      <c r="H43" s="6">
        <v>52.27</v>
      </c>
      <c r="I43" s="6">
        <v>14.22</v>
      </c>
      <c r="J43" s="6">
        <v>0.62</v>
      </c>
      <c r="K43" s="6">
        <v>61.36</v>
      </c>
      <c r="L43" s="6">
        <v>17.829999999999998</v>
      </c>
      <c r="M43" s="6">
        <v>72.37</v>
      </c>
      <c r="N43" s="6">
        <v>227</v>
      </c>
      <c r="O43" s="6">
        <v>0</v>
      </c>
      <c r="P43" s="6">
        <v>1.17</v>
      </c>
      <c r="Q43" s="6">
        <v>5.13</v>
      </c>
    </row>
    <row r="44" spans="1:17">
      <c r="A44" s="72">
        <v>45320.375</v>
      </c>
      <c r="B44" s="6">
        <v>37.01</v>
      </c>
      <c r="C44" s="6">
        <v>34.06</v>
      </c>
      <c r="D44" s="6">
        <v>48.83</v>
      </c>
      <c r="E44" s="6">
        <v>5.73</v>
      </c>
      <c r="F44" s="6">
        <v>3.33</v>
      </c>
      <c r="G44" s="6">
        <v>124.05</v>
      </c>
      <c r="H44" s="6">
        <v>52.27</v>
      </c>
      <c r="I44" s="6">
        <v>14.37</v>
      </c>
      <c r="J44" s="6">
        <v>0.57999999999999996</v>
      </c>
      <c r="K44" s="6">
        <v>41.88</v>
      </c>
      <c r="L44" s="6">
        <v>18.649999999999999</v>
      </c>
      <c r="M44" s="6">
        <v>70.42</v>
      </c>
      <c r="N44" s="6">
        <v>240.1</v>
      </c>
      <c r="O44" s="6">
        <v>0</v>
      </c>
      <c r="P44" s="6">
        <v>1.17</v>
      </c>
      <c r="Q44" s="6">
        <v>5.13</v>
      </c>
    </row>
    <row r="45" spans="1:17">
      <c r="A45" s="72">
        <v>45320.385416666664</v>
      </c>
      <c r="B45" s="6">
        <v>35.119999999999997</v>
      </c>
      <c r="C45" s="6">
        <v>33.35</v>
      </c>
      <c r="D45" s="6">
        <v>46.94</v>
      </c>
      <c r="E45" s="6">
        <v>5.83</v>
      </c>
      <c r="F45" s="6">
        <v>3.43</v>
      </c>
      <c r="G45" s="6">
        <v>124.05</v>
      </c>
      <c r="H45" s="6">
        <v>52.27</v>
      </c>
      <c r="I45" s="6">
        <v>14.38</v>
      </c>
      <c r="J45" s="6">
        <v>0.27</v>
      </c>
      <c r="K45" s="6">
        <v>27.15</v>
      </c>
      <c r="L45" s="6">
        <v>19.600000000000001</v>
      </c>
      <c r="M45" s="6">
        <v>66.239999999999995</v>
      </c>
      <c r="N45" s="6">
        <v>296.39999999999998</v>
      </c>
      <c r="O45" s="6">
        <v>0</v>
      </c>
      <c r="P45" s="6">
        <v>1.17</v>
      </c>
      <c r="Q45" s="6">
        <v>5.12</v>
      </c>
    </row>
    <row r="46" spans="1:17">
      <c r="A46" s="72">
        <v>45320.395833333336</v>
      </c>
      <c r="B46" s="6">
        <v>33.020000000000003</v>
      </c>
      <c r="C46" s="6">
        <v>33.44</v>
      </c>
      <c r="D46" s="6">
        <v>45.3</v>
      </c>
      <c r="E46" s="6">
        <v>6</v>
      </c>
      <c r="F46" s="6">
        <v>3.4</v>
      </c>
      <c r="G46" s="6">
        <v>116.36</v>
      </c>
      <c r="H46" s="6">
        <v>58.47</v>
      </c>
      <c r="I46" s="6">
        <v>14.33</v>
      </c>
      <c r="J46" s="6">
        <v>0.37</v>
      </c>
      <c r="K46" s="6">
        <v>51.55</v>
      </c>
      <c r="L46" s="6">
        <v>20.47</v>
      </c>
      <c r="M46" s="6">
        <v>61.34</v>
      </c>
      <c r="N46" s="6">
        <v>325.10000000000002</v>
      </c>
      <c r="O46" s="6">
        <v>0</v>
      </c>
      <c r="P46" s="6">
        <v>1.18</v>
      </c>
      <c r="Q46" s="6">
        <v>5.1100000000000003</v>
      </c>
    </row>
    <row r="47" spans="1:17">
      <c r="A47" s="72">
        <v>45320.40625</v>
      </c>
      <c r="B47" s="6">
        <v>30.68</v>
      </c>
      <c r="C47" s="6">
        <v>33.93</v>
      </c>
      <c r="D47" s="6">
        <v>43.68</v>
      </c>
      <c r="E47" s="6">
        <v>6.53</v>
      </c>
      <c r="F47" s="6">
        <v>3.41</v>
      </c>
      <c r="G47" s="6">
        <v>115.4</v>
      </c>
      <c r="H47" s="6">
        <v>58.47</v>
      </c>
      <c r="I47" s="6">
        <v>14.25</v>
      </c>
      <c r="J47" s="6">
        <v>0.28999999999999998</v>
      </c>
      <c r="K47" s="6">
        <v>96.93</v>
      </c>
      <c r="L47" s="6">
        <v>21.76</v>
      </c>
      <c r="M47" s="6">
        <v>57.15</v>
      </c>
      <c r="N47" s="6">
        <v>290.3</v>
      </c>
      <c r="O47" s="6">
        <v>0</v>
      </c>
      <c r="P47" s="6">
        <v>1.19</v>
      </c>
      <c r="Q47" s="6">
        <v>5.0999999999999996</v>
      </c>
    </row>
    <row r="48" spans="1:17">
      <c r="A48" s="72">
        <v>45320.416666666664</v>
      </c>
      <c r="B48" s="6">
        <v>28.02</v>
      </c>
      <c r="C48" s="6">
        <v>34.43</v>
      </c>
      <c r="D48" s="6">
        <v>41.8</v>
      </c>
      <c r="E48" s="6">
        <v>6.06</v>
      </c>
      <c r="F48" s="6">
        <v>3.43</v>
      </c>
      <c r="G48" s="6">
        <v>115.4</v>
      </c>
      <c r="H48" s="6">
        <v>58.47</v>
      </c>
      <c r="I48" s="6">
        <v>14.14</v>
      </c>
      <c r="J48" s="6">
        <v>0.41</v>
      </c>
      <c r="K48" s="6">
        <v>271.99</v>
      </c>
      <c r="L48" s="6">
        <v>22.43</v>
      </c>
      <c r="M48" s="6">
        <v>54.41</v>
      </c>
      <c r="N48" s="6">
        <v>281.5</v>
      </c>
      <c r="O48" s="6">
        <v>0</v>
      </c>
      <c r="P48" s="6">
        <v>1.18</v>
      </c>
      <c r="Q48" s="6">
        <v>5.07</v>
      </c>
    </row>
    <row r="49" spans="1:17">
      <c r="A49" s="72">
        <v>45320.427083333336</v>
      </c>
      <c r="B49" s="6">
        <v>24.97</v>
      </c>
      <c r="C49" s="6">
        <v>34.729999999999997</v>
      </c>
      <c r="D49" s="6">
        <v>39.520000000000003</v>
      </c>
      <c r="E49" s="6">
        <v>7.2</v>
      </c>
      <c r="F49" s="6">
        <v>3.49</v>
      </c>
      <c r="G49" s="6">
        <v>115.4</v>
      </c>
      <c r="H49" s="6">
        <v>58.47</v>
      </c>
      <c r="I49" s="6">
        <v>14.05</v>
      </c>
      <c r="J49" s="6">
        <v>0.41</v>
      </c>
      <c r="K49" s="6">
        <v>292.39999999999998</v>
      </c>
      <c r="L49" s="6">
        <v>22.71</v>
      </c>
      <c r="M49" s="6">
        <v>52.88</v>
      </c>
      <c r="N49" s="6">
        <v>383.2</v>
      </c>
      <c r="O49" s="6">
        <v>0</v>
      </c>
      <c r="P49" s="6">
        <v>1.18</v>
      </c>
      <c r="Q49" s="6">
        <v>5.04</v>
      </c>
    </row>
    <row r="50" spans="1:17">
      <c r="A50" s="72">
        <v>45320.4375</v>
      </c>
      <c r="B50" s="6">
        <v>21.84</v>
      </c>
      <c r="C50" s="6">
        <v>34.94</v>
      </c>
      <c r="D50" s="6">
        <v>37.130000000000003</v>
      </c>
      <c r="E50" s="6">
        <v>8.19</v>
      </c>
      <c r="F50" s="6">
        <v>3.47</v>
      </c>
      <c r="G50" s="6">
        <v>129.69999999999999</v>
      </c>
      <c r="H50" s="6">
        <v>60.44</v>
      </c>
      <c r="I50" s="6">
        <v>13.94</v>
      </c>
      <c r="J50" s="6">
        <v>0.44</v>
      </c>
      <c r="K50" s="6">
        <v>264.52</v>
      </c>
      <c r="L50" s="6">
        <v>23.56</v>
      </c>
      <c r="M50" s="6">
        <v>50.06</v>
      </c>
      <c r="N50" s="6">
        <v>421.8</v>
      </c>
      <c r="O50" s="6">
        <v>0</v>
      </c>
      <c r="P50" s="6">
        <v>1.18</v>
      </c>
      <c r="Q50" s="6">
        <v>5.03</v>
      </c>
    </row>
    <row r="51" spans="1:17">
      <c r="A51" s="72">
        <v>45320.447916666664</v>
      </c>
      <c r="B51" s="6">
        <v>18.829999999999998</v>
      </c>
      <c r="C51" s="6">
        <v>35.03</v>
      </c>
      <c r="D51" s="6">
        <v>34.76</v>
      </c>
      <c r="E51" s="6">
        <v>8.7200000000000006</v>
      </c>
      <c r="F51" s="6">
        <v>3.72</v>
      </c>
      <c r="G51" s="6">
        <v>131.49</v>
      </c>
      <c r="H51" s="6">
        <v>60.44</v>
      </c>
      <c r="I51" s="6">
        <v>13.77</v>
      </c>
      <c r="J51" s="6">
        <v>0.56000000000000005</v>
      </c>
      <c r="K51" s="6">
        <v>273.54000000000002</v>
      </c>
      <c r="L51" s="6">
        <v>24.06</v>
      </c>
      <c r="M51" s="6">
        <v>48.29</v>
      </c>
      <c r="N51" s="6">
        <v>453.5</v>
      </c>
      <c r="O51" s="6">
        <v>0</v>
      </c>
      <c r="P51" s="6">
        <v>1.1599999999999999</v>
      </c>
      <c r="Q51" s="6">
        <v>4.99</v>
      </c>
    </row>
    <row r="52" spans="1:17">
      <c r="A52" s="72">
        <v>45320.458333333336</v>
      </c>
      <c r="B52" s="6">
        <v>15.88</v>
      </c>
      <c r="C52" s="6">
        <v>34.72</v>
      </c>
      <c r="D52" s="6">
        <v>32.229999999999997</v>
      </c>
      <c r="E52" s="6">
        <v>8.69</v>
      </c>
      <c r="F52" s="6">
        <v>3.94</v>
      </c>
      <c r="G52" s="6">
        <v>131.49</v>
      </c>
      <c r="H52" s="6">
        <v>60.44</v>
      </c>
      <c r="I52" s="6">
        <v>13.59</v>
      </c>
      <c r="J52" s="6">
        <v>0.49</v>
      </c>
      <c r="K52" s="6">
        <v>277.33999999999997</v>
      </c>
      <c r="L52" s="6">
        <v>24.87</v>
      </c>
      <c r="M52" s="6">
        <v>46.31</v>
      </c>
      <c r="N52" s="6">
        <v>458.3</v>
      </c>
      <c r="O52" s="6">
        <v>0</v>
      </c>
      <c r="P52" s="6">
        <v>1.1499999999999999</v>
      </c>
      <c r="Q52" s="6">
        <v>4.96</v>
      </c>
    </row>
    <row r="53" spans="1:17">
      <c r="A53" s="72">
        <v>45320.46875</v>
      </c>
      <c r="B53" s="6">
        <v>13.23</v>
      </c>
      <c r="C53" s="6">
        <v>34.25</v>
      </c>
      <c r="D53" s="6">
        <v>29.86</v>
      </c>
      <c r="E53" s="6">
        <v>9.1</v>
      </c>
      <c r="F53" s="6">
        <v>3.99</v>
      </c>
      <c r="G53" s="6">
        <v>131.49</v>
      </c>
      <c r="H53" s="6">
        <v>60.44</v>
      </c>
      <c r="I53" s="6">
        <v>13.41</v>
      </c>
      <c r="J53" s="6">
        <v>0.32</v>
      </c>
      <c r="K53" s="6">
        <v>283.68</v>
      </c>
      <c r="L53" s="6">
        <v>25.55</v>
      </c>
      <c r="M53" s="6">
        <v>43.24</v>
      </c>
      <c r="N53" s="6">
        <v>465.7</v>
      </c>
      <c r="O53" s="6">
        <v>0</v>
      </c>
      <c r="P53" s="6">
        <v>1.1399999999999999</v>
      </c>
      <c r="Q53" s="6">
        <v>4.96</v>
      </c>
    </row>
    <row r="54" spans="1:17">
      <c r="A54" s="72">
        <v>45320.479166666664</v>
      </c>
      <c r="B54" s="6">
        <v>10.92</v>
      </c>
      <c r="C54" s="6">
        <v>33.950000000000003</v>
      </c>
      <c r="D54" s="6">
        <v>27.85</v>
      </c>
      <c r="E54" s="6">
        <v>7.89</v>
      </c>
      <c r="F54" s="6">
        <v>4.13</v>
      </c>
      <c r="G54" s="6">
        <v>116.89</v>
      </c>
      <c r="H54" s="6">
        <v>59.62</v>
      </c>
      <c r="I54" s="6">
        <v>13.22</v>
      </c>
      <c r="J54" s="6">
        <v>0.53</v>
      </c>
      <c r="K54" s="6">
        <v>274.72000000000003</v>
      </c>
      <c r="L54" s="6">
        <v>25.78</v>
      </c>
      <c r="M54" s="6">
        <v>42.39</v>
      </c>
      <c r="N54" s="6">
        <v>465.6</v>
      </c>
      <c r="O54" s="6">
        <v>0</v>
      </c>
      <c r="P54" s="6">
        <v>1.1299999999999999</v>
      </c>
      <c r="Q54" s="6">
        <v>4.92</v>
      </c>
    </row>
    <row r="55" spans="1:17">
      <c r="A55" s="72">
        <v>45320.489583333336</v>
      </c>
      <c r="B55" s="6">
        <v>8.8699999999999992</v>
      </c>
      <c r="C55" s="6">
        <v>33.22</v>
      </c>
      <c r="D55" s="6">
        <v>25.82</v>
      </c>
      <c r="E55" s="6">
        <v>8.4499999999999993</v>
      </c>
      <c r="F55" s="6">
        <v>4.34</v>
      </c>
      <c r="G55" s="6">
        <v>115.06</v>
      </c>
      <c r="H55" s="6">
        <v>59.62</v>
      </c>
      <c r="I55" s="6">
        <v>13.04</v>
      </c>
      <c r="J55" s="6">
        <v>0.42</v>
      </c>
      <c r="K55" s="6">
        <v>275.77999999999997</v>
      </c>
      <c r="L55" s="6">
        <v>26.52</v>
      </c>
      <c r="M55" s="6">
        <v>40.409999999999997</v>
      </c>
      <c r="N55" s="6">
        <v>512.5</v>
      </c>
      <c r="O55" s="6">
        <v>0</v>
      </c>
      <c r="P55" s="6">
        <v>1.1200000000000001</v>
      </c>
      <c r="Q55" s="6">
        <v>4.9000000000000004</v>
      </c>
    </row>
    <row r="56" spans="1:17">
      <c r="A56" s="72">
        <v>45320.5</v>
      </c>
      <c r="B56" s="6">
        <v>7.06</v>
      </c>
      <c r="C56" s="6">
        <v>32.03</v>
      </c>
      <c r="D56" s="6">
        <v>23.75</v>
      </c>
      <c r="E56" s="6">
        <v>8.15</v>
      </c>
      <c r="F56" s="6">
        <v>4.7300000000000004</v>
      </c>
      <c r="G56" s="6">
        <v>115.06</v>
      </c>
      <c r="H56" s="6">
        <v>59.62</v>
      </c>
      <c r="I56" s="6">
        <v>12.87</v>
      </c>
      <c r="J56" s="6">
        <v>0.68</v>
      </c>
      <c r="K56" s="6">
        <v>287.43</v>
      </c>
      <c r="L56" s="6">
        <v>26.51</v>
      </c>
      <c r="M56" s="6">
        <v>39.49</v>
      </c>
      <c r="N56" s="6">
        <v>557.9</v>
      </c>
      <c r="O56" s="6">
        <v>0</v>
      </c>
      <c r="P56" s="6">
        <v>1.1000000000000001</v>
      </c>
      <c r="Q56" s="6">
        <v>4.88</v>
      </c>
    </row>
    <row r="57" spans="1:17">
      <c r="A57" s="72">
        <v>45320.510416666664</v>
      </c>
      <c r="B57" s="6">
        <v>5.9</v>
      </c>
      <c r="C57" s="6">
        <v>30.8</v>
      </c>
      <c r="D57" s="6">
        <v>22.17</v>
      </c>
      <c r="E57" s="6">
        <v>7.43</v>
      </c>
      <c r="F57" s="6">
        <v>4.7</v>
      </c>
      <c r="G57" s="6">
        <v>115.06</v>
      </c>
      <c r="H57" s="6">
        <v>59.62</v>
      </c>
      <c r="I57" s="6">
        <v>12.66</v>
      </c>
      <c r="J57" s="6">
        <v>0.55000000000000004</v>
      </c>
      <c r="K57" s="6">
        <v>281.52</v>
      </c>
      <c r="L57" s="6">
        <v>26.94</v>
      </c>
      <c r="M57" s="6">
        <v>37.56</v>
      </c>
      <c r="N57" s="6">
        <v>581.1</v>
      </c>
      <c r="O57" s="6">
        <v>0</v>
      </c>
      <c r="P57" s="6">
        <v>1.0900000000000001</v>
      </c>
      <c r="Q57" s="6">
        <v>4.84</v>
      </c>
    </row>
    <row r="58" spans="1:17">
      <c r="A58" s="72">
        <v>45320.520833333336</v>
      </c>
      <c r="B58" s="6">
        <v>5.42</v>
      </c>
      <c r="C58" s="6">
        <v>28.23</v>
      </c>
      <c r="D58" s="6">
        <v>20.45</v>
      </c>
      <c r="E58" s="6">
        <v>7.43</v>
      </c>
      <c r="F58" s="6">
        <v>4.58</v>
      </c>
      <c r="G58" s="6">
        <v>103.65</v>
      </c>
      <c r="H58" s="6">
        <v>54.57</v>
      </c>
      <c r="I58" s="6">
        <v>12.42</v>
      </c>
      <c r="J58" s="6">
        <v>0.37</v>
      </c>
      <c r="K58" s="6">
        <v>265.77999999999997</v>
      </c>
      <c r="L58" s="6">
        <v>27.56</v>
      </c>
      <c r="M58" s="6">
        <v>34.26</v>
      </c>
      <c r="N58" s="6">
        <v>593.79999999999995</v>
      </c>
      <c r="O58" s="6">
        <v>0</v>
      </c>
      <c r="P58" s="6">
        <v>1.07</v>
      </c>
      <c r="Q58" s="6">
        <v>4.79</v>
      </c>
    </row>
    <row r="59" spans="1:17">
      <c r="A59" s="72">
        <v>45320.53125</v>
      </c>
      <c r="B59" s="6">
        <v>5.09</v>
      </c>
      <c r="C59" s="6">
        <v>25.92</v>
      </c>
      <c r="D59" s="6">
        <v>18.97</v>
      </c>
      <c r="E59" s="6">
        <v>7.14</v>
      </c>
      <c r="F59" s="6">
        <v>4.5199999999999996</v>
      </c>
      <c r="G59" s="6">
        <v>102.23</v>
      </c>
      <c r="H59" s="6">
        <v>54.57</v>
      </c>
      <c r="I59" s="6">
        <v>12.22</v>
      </c>
      <c r="J59" s="6">
        <v>0.43</v>
      </c>
      <c r="K59" s="6">
        <v>253.59</v>
      </c>
      <c r="L59" s="6">
        <v>28.05</v>
      </c>
      <c r="M59" s="6">
        <v>30.4</v>
      </c>
      <c r="N59" s="6">
        <v>599.9</v>
      </c>
      <c r="O59" s="6">
        <v>0</v>
      </c>
      <c r="P59" s="6">
        <v>1.05</v>
      </c>
      <c r="Q59" s="6">
        <v>4.78</v>
      </c>
    </row>
    <row r="60" spans="1:17">
      <c r="A60" s="72">
        <v>45320.541666666664</v>
      </c>
      <c r="B60" s="6">
        <v>4.76</v>
      </c>
      <c r="C60" s="6">
        <v>24.28</v>
      </c>
      <c r="D60" s="6">
        <v>17.86</v>
      </c>
      <c r="E60" s="6">
        <v>7.32</v>
      </c>
      <c r="F60" s="6">
        <v>4.59</v>
      </c>
      <c r="G60" s="6">
        <v>102.23</v>
      </c>
      <c r="H60" s="6">
        <v>54.57</v>
      </c>
      <c r="I60" s="6">
        <v>12.02</v>
      </c>
      <c r="J60" s="6">
        <v>0.28000000000000003</v>
      </c>
      <c r="K60" s="6">
        <v>259.75</v>
      </c>
      <c r="L60" s="6">
        <v>28.47</v>
      </c>
      <c r="M60" s="6">
        <v>29.48</v>
      </c>
      <c r="N60" s="6">
        <v>578.5</v>
      </c>
      <c r="O60" s="6">
        <v>0</v>
      </c>
      <c r="P60" s="6">
        <v>1.02</v>
      </c>
      <c r="Q60" s="6">
        <v>4.78</v>
      </c>
    </row>
    <row r="61" spans="1:17">
      <c r="A61" s="72">
        <v>45320.552083333336</v>
      </c>
      <c r="B61" s="6">
        <v>4.62</v>
      </c>
      <c r="C61" s="6">
        <v>23.24</v>
      </c>
      <c r="D61" s="6">
        <v>17.2</v>
      </c>
      <c r="E61" s="6">
        <v>7.1</v>
      </c>
      <c r="F61" s="6">
        <v>4.53</v>
      </c>
      <c r="G61" s="6">
        <v>102.23</v>
      </c>
      <c r="H61" s="6">
        <v>54.57</v>
      </c>
      <c r="I61" s="6">
        <v>11.77</v>
      </c>
      <c r="J61" s="6">
        <v>0.48</v>
      </c>
      <c r="K61" s="6">
        <v>268.77999999999997</v>
      </c>
      <c r="L61" s="6">
        <v>28.38</v>
      </c>
      <c r="M61" s="6">
        <v>28.43</v>
      </c>
      <c r="N61" s="6">
        <v>560.4</v>
      </c>
      <c r="O61" s="6">
        <v>0</v>
      </c>
      <c r="P61" s="6">
        <v>1</v>
      </c>
      <c r="Q61" s="6">
        <v>4.78</v>
      </c>
    </row>
    <row r="62" spans="1:17">
      <c r="A62" s="72">
        <v>45320.5625</v>
      </c>
      <c r="B62" s="6">
        <v>4.68</v>
      </c>
      <c r="C62" s="6">
        <v>22.13</v>
      </c>
      <c r="D62" s="6">
        <v>16.670000000000002</v>
      </c>
      <c r="E62" s="6">
        <v>7.3</v>
      </c>
      <c r="F62" s="6">
        <v>4.55</v>
      </c>
      <c r="G62" s="6">
        <v>81.94</v>
      </c>
      <c r="H62" s="6">
        <v>42.77</v>
      </c>
      <c r="I62" s="6">
        <v>11.52</v>
      </c>
      <c r="J62" s="6">
        <v>0.41</v>
      </c>
      <c r="K62" s="6">
        <v>249.5</v>
      </c>
      <c r="L62" s="6">
        <v>28.66</v>
      </c>
      <c r="M62" s="6">
        <v>27.96</v>
      </c>
      <c r="N62" s="6">
        <v>518.70000000000005</v>
      </c>
      <c r="O62" s="6">
        <v>0</v>
      </c>
      <c r="P62" s="6">
        <v>0.98</v>
      </c>
      <c r="Q62" s="6">
        <v>4.7699999999999996</v>
      </c>
    </row>
    <row r="63" spans="1:17">
      <c r="A63" s="72">
        <v>45320.572916666664</v>
      </c>
      <c r="B63" s="6">
        <v>4.5</v>
      </c>
      <c r="C63" s="6">
        <v>21.42</v>
      </c>
      <c r="D63" s="6">
        <v>16.149999999999999</v>
      </c>
      <c r="E63" s="6">
        <v>7.32</v>
      </c>
      <c r="F63" s="6">
        <v>4.5</v>
      </c>
      <c r="G63" s="6">
        <v>79.400000000000006</v>
      </c>
      <c r="H63" s="6">
        <v>42.77</v>
      </c>
      <c r="I63" s="6">
        <v>11.3</v>
      </c>
      <c r="J63" s="6">
        <v>0.16</v>
      </c>
      <c r="K63" s="6">
        <v>204.37</v>
      </c>
      <c r="L63" s="6">
        <v>29.01</v>
      </c>
      <c r="M63" s="6">
        <v>27.79</v>
      </c>
      <c r="N63" s="6">
        <v>489.9</v>
      </c>
      <c r="O63" s="6">
        <v>0</v>
      </c>
      <c r="P63" s="6">
        <v>0.96</v>
      </c>
      <c r="Q63" s="6">
        <v>4.7699999999999996</v>
      </c>
    </row>
    <row r="64" spans="1:17">
      <c r="A64" s="72">
        <v>45320.583333333336</v>
      </c>
      <c r="B64" s="6">
        <v>4.43</v>
      </c>
      <c r="C64" s="6">
        <v>20.59</v>
      </c>
      <c r="D64" s="6">
        <v>15.66</v>
      </c>
      <c r="E64" s="6">
        <v>6.68</v>
      </c>
      <c r="F64" s="6">
        <v>4.7</v>
      </c>
      <c r="G64" s="6">
        <v>79.400000000000006</v>
      </c>
      <c r="H64" s="6">
        <v>42.77</v>
      </c>
      <c r="I64" s="6">
        <v>11.1</v>
      </c>
      <c r="J64" s="6">
        <v>0.39</v>
      </c>
      <c r="K64" s="6">
        <v>253.63</v>
      </c>
      <c r="L64" s="6">
        <v>28.85</v>
      </c>
      <c r="M64" s="6">
        <v>27.66</v>
      </c>
      <c r="N64" s="6">
        <v>438.8</v>
      </c>
      <c r="O64" s="6">
        <v>0</v>
      </c>
      <c r="P64" s="6">
        <v>0.94</v>
      </c>
      <c r="Q64" s="6">
        <v>4.75</v>
      </c>
    </row>
    <row r="65" spans="1:17">
      <c r="A65" s="72">
        <v>45320.59375</v>
      </c>
      <c r="B65" s="6">
        <v>4.3499999999999996</v>
      </c>
      <c r="C65" s="6">
        <v>20.2</v>
      </c>
      <c r="D65" s="6">
        <v>15.39</v>
      </c>
      <c r="E65" s="6">
        <v>6.98</v>
      </c>
      <c r="F65" s="6">
        <v>4.7</v>
      </c>
      <c r="G65" s="6">
        <v>79.400000000000006</v>
      </c>
      <c r="H65" s="6">
        <v>42.77</v>
      </c>
      <c r="I65" s="6">
        <v>10.87</v>
      </c>
      <c r="J65" s="6">
        <v>0.71</v>
      </c>
      <c r="K65" s="6">
        <v>279</v>
      </c>
      <c r="L65" s="6">
        <v>28.37</v>
      </c>
      <c r="M65" s="6">
        <v>27.38</v>
      </c>
      <c r="N65" s="6">
        <v>348.1</v>
      </c>
      <c r="O65" s="6">
        <v>0</v>
      </c>
      <c r="P65" s="6">
        <v>0.9</v>
      </c>
      <c r="Q65" s="6">
        <v>4.75</v>
      </c>
    </row>
    <row r="66" spans="1:17">
      <c r="A66" s="72">
        <v>45320.604166666664</v>
      </c>
      <c r="B66" s="6">
        <v>4.41</v>
      </c>
      <c r="C66" s="6">
        <v>19.489999999999998</v>
      </c>
      <c r="D66" s="6">
        <v>15.07</v>
      </c>
      <c r="E66" s="6">
        <v>7.03</v>
      </c>
      <c r="F66" s="6">
        <v>4.42</v>
      </c>
      <c r="G66" s="6">
        <v>66.23</v>
      </c>
      <c r="H66" s="6">
        <v>37.93</v>
      </c>
      <c r="I66" s="6">
        <v>10.66</v>
      </c>
      <c r="J66" s="6">
        <v>0.33</v>
      </c>
      <c r="K66" s="6">
        <v>244.09</v>
      </c>
      <c r="L66" s="6">
        <v>28.43</v>
      </c>
      <c r="M66" s="6">
        <v>30.04</v>
      </c>
      <c r="N66" s="6">
        <v>265.7</v>
      </c>
      <c r="O66" s="6">
        <v>0</v>
      </c>
      <c r="P66" s="6">
        <v>0.9</v>
      </c>
      <c r="Q66" s="6">
        <v>4.76</v>
      </c>
    </row>
    <row r="67" spans="1:17">
      <c r="A67" s="72">
        <v>45320.614583333336</v>
      </c>
      <c r="B67" s="6">
        <v>4.32</v>
      </c>
      <c r="C67" s="6">
        <v>19.11</v>
      </c>
      <c r="D67" s="6">
        <v>14.8</v>
      </c>
      <c r="E67" s="6">
        <v>6.92</v>
      </c>
      <c r="F67" s="6">
        <v>4.46</v>
      </c>
      <c r="G67" s="6">
        <v>64.58</v>
      </c>
      <c r="H67" s="6">
        <v>37.93</v>
      </c>
      <c r="I67" s="6">
        <v>10.44</v>
      </c>
      <c r="J67" s="6">
        <v>0.34</v>
      </c>
      <c r="K67" s="6">
        <v>234.37</v>
      </c>
      <c r="L67" s="6">
        <v>28.11</v>
      </c>
      <c r="M67" s="6">
        <v>31.28</v>
      </c>
      <c r="N67" s="6">
        <v>171.2</v>
      </c>
      <c r="O67" s="6">
        <v>0</v>
      </c>
      <c r="P67" s="6">
        <v>0.89</v>
      </c>
      <c r="Q67" s="6">
        <v>4.74</v>
      </c>
    </row>
    <row r="68" spans="1:17">
      <c r="A68" s="72">
        <v>45320.625</v>
      </c>
      <c r="B68" s="6">
        <v>4.37</v>
      </c>
      <c r="C68" s="6">
        <v>18.489999999999998</v>
      </c>
      <c r="D68" s="6">
        <v>14.52</v>
      </c>
      <c r="E68" s="6">
        <v>7.1</v>
      </c>
      <c r="F68" s="6">
        <v>4.58</v>
      </c>
      <c r="G68" s="6">
        <v>64.58</v>
      </c>
      <c r="H68" s="6">
        <v>37.93</v>
      </c>
      <c r="I68" s="6">
        <v>10.26</v>
      </c>
      <c r="J68" s="6">
        <v>0.24</v>
      </c>
      <c r="K68" s="6">
        <v>243.06</v>
      </c>
      <c r="L68" s="6">
        <v>28.25</v>
      </c>
      <c r="M68" s="6">
        <v>31.45</v>
      </c>
      <c r="N68" s="6">
        <v>120.7</v>
      </c>
      <c r="O68" s="6">
        <v>0</v>
      </c>
      <c r="P68" s="6">
        <v>0.87</v>
      </c>
      <c r="Q68" s="6">
        <v>4.75</v>
      </c>
    </row>
    <row r="69" spans="1:17">
      <c r="A69" s="72">
        <v>45320.635416666664</v>
      </c>
      <c r="B69" s="6">
        <v>4.37</v>
      </c>
      <c r="C69" s="6">
        <v>17.88</v>
      </c>
      <c r="D69" s="6">
        <v>14.2</v>
      </c>
      <c r="E69" s="6">
        <v>6.76</v>
      </c>
      <c r="F69" s="6">
        <v>4.57</v>
      </c>
      <c r="G69" s="6">
        <v>64.58</v>
      </c>
      <c r="H69" s="6">
        <v>37.93</v>
      </c>
      <c r="I69" s="6">
        <v>10.09</v>
      </c>
      <c r="J69" s="6">
        <v>0.2</v>
      </c>
      <c r="K69" s="6">
        <v>262.92</v>
      </c>
      <c r="L69" s="6">
        <v>27.91</v>
      </c>
      <c r="M69" s="6">
        <v>32.51</v>
      </c>
      <c r="N69" s="6">
        <v>90</v>
      </c>
      <c r="O69" s="6">
        <v>0</v>
      </c>
      <c r="P69" s="6">
        <v>0.86</v>
      </c>
      <c r="Q69" s="6">
        <v>4.76</v>
      </c>
    </row>
    <row r="70" spans="1:17">
      <c r="A70" s="72">
        <v>45320.645833333336</v>
      </c>
      <c r="B70" s="6">
        <v>4.43</v>
      </c>
      <c r="C70" s="6">
        <v>17.309999999999999</v>
      </c>
      <c r="D70" s="6">
        <v>13.95</v>
      </c>
      <c r="E70" s="6">
        <v>6.34</v>
      </c>
      <c r="F70" s="6">
        <v>4.55</v>
      </c>
      <c r="G70" s="6">
        <v>55.59</v>
      </c>
      <c r="H70" s="6">
        <v>34.78</v>
      </c>
      <c r="I70" s="6">
        <v>9.94</v>
      </c>
      <c r="J70" s="6">
        <v>0.33</v>
      </c>
      <c r="K70" s="6">
        <v>274.02</v>
      </c>
      <c r="L70" s="6">
        <v>27.73</v>
      </c>
      <c r="M70" s="6">
        <v>32.42</v>
      </c>
      <c r="N70" s="6">
        <v>99.3</v>
      </c>
      <c r="O70" s="6">
        <v>0</v>
      </c>
      <c r="P70" s="6">
        <v>0.85</v>
      </c>
      <c r="Q70" s="6">
        <v>4.75</v>
      </c>
    </row>
    <row r="71" spans="1:17">
      <c r="A71" s="72">
        <v>45320.65625</v>
      </c>
      <c r="B71" s="6">
        <v>4.46</v>
      </c>
      <c r="C71" s="6">
        <v>17.25</v>
      </c>
      <c r="D71" s="6">
        <v>13.94</v>
      </c>
      <c r="E71" s="6">
        <v>6.55</v>
      </c>
      <c r="F71" s="6">
        <v>4.41</v>
      </c>
      <c r="G71" s="6">
        <v>54.46</v>
      </c>
      <c r="H71" s="6">
        <v>34.78</v>
      </c>
      <c r="I71" s="6">
        <v>9.77</v>
      </c>
      <c r="J71" s="6">
        <v>0.25</v>
      </c>
      <c r="K71" s="6">
        <v>216.86</v>
      </c>
      <c r="L71" s="6">
        <v>27.62</v>
      </c>
      <c r="M71" s="6">
        <v>32.79</v>
      </c>
      <c r="N71" s="6">
        <v>85.7</v>
      </c>
      <c r="O71" s="6">
        <v>0</v>
      </c>
      <c r="P71" s="6">
        <v>0.83</v>
      </c>
      <c r="Q71" s="6">
        <v>4.7300000000000004</v>
      </c>
    </row>
    <row r="72" spans="1:17">
      <c r="A72" s="72">
        <v>45320.666666666664</v>
      </c>
      <c r="B72" s="6">
        <v>4.54</v>
      </c>
      <c r="C72" s="6">
        <v>17</v>
      </c>
      <c r="D72" s="6">
        <v>13.87</v>
      </c>
      <c r="E72" s="6">
        <v>6.81</v>
      </c>
      <c r="F72" s="6">
        <v>4.45</v>
      </c>
      <c r="G72" s="6">
        <v>54.46</v>
      </c>
      <c r="H72" s="6">
        <v>34.78</v>
      </c>
      <c r="I72" s="6">
        <v>9.64</v>
      </c>
      <c r="J72" s="6">
        <v>0.3</v>
      </c>
      <c r="K72" s="6">
        <v>169.03</v>
      </c>
      <c r="L72" s="6">
        <v>27.29</v>
      </c>
      <c r="M72" s="6">
        <v>33.26</v>
      </c>
      <c r="N72" s="6">
        <v>70.900000000000006</v>
      </c>
      <c r="O72" s="6">
        <v>0</v>
      </c>
      <c r="P72" s="6">
        <v>0.82</v>
      </c>
      <c r="Q72" s="6">
        <v>4.74</v>
      </c>
    </row>
    <row r="73" spans="1:17">
      <c r="A73" s="72">
        <v>45320.677083333336</v>
      </c>
      <c r="B73" s="6">
        <v>4.5999999999999996</v>
      </c>
      <c r="C73" s="6">
        <v>16.87</v>
      </c>
      <c r="D73" s="6">
        <v>13.85</v>
      </c>
      <c r="E73" s="6">
        <v>6.81</v>
      </c>
      <c r="F73" s="6">
        <v>4.47</v>
      </c>
      <c r="G73" s="6">
        <v>54.46</v>
      </c>
      <c r="H73" s="6">
        <v>34.78</v>
      </c>
      <c r="I73" s="6">
        <v>9.5299999999999994</v>
      </c>
      <c r="J73" s="6">
        <v>0.18</v>
      </c>
      <c r="K73" s="6">
        <v>217.48</v>
      </c>
      <c r="L73" s="6">
        <v>27.06</v>
      </c>
      <c r="M73" s="6">
        <v>33.26</v>
      </c>
      <c r="N73" s="6">
        <v>62</v>
      </c>
      <c r="O73" s="6">
        <v>0</v>
      </c>
      <c r="P73" s="6">
        <v>0.81</v>
      </c>
      <c r="Q73" s="6">
        <v>4.75</v>
      </c>
    </row>
    <row r="74" spans="1:17">
      <c r="A74" s="72">
        <v>45320.6875</v>
      </c>
      <c r="B74" s="6">
        <v>4.6500000000000004</v>
      </c>
      <c r="C74" s="6">
        <v>16.62</v>
      </c>
      <c r="D74" s="6">
        <v>13.76</v>
      </c>
      <c r="E74" s="6">
        <v>6.96</v>
      </c>
      <c r="F74" s="6">
        <v>4.7300000000000004</v>
      </c>
      <c r="G74" s="6">
        <v>45.8</v>
      </c>
      <c r="H74" s="6">
        <v>29.9</v>
      </c>
      <c r="I74" s="6">
        <v>9.42</v>
      </c>
      <c r="J74" s="6">
        <v>0.12</v>
      </c>
      <c r="K74" s="6">
        <v>209.53</v>
      </c>
      <c r="L74" s="6">
        <v>27.05</v>
      </c>
      <c r="M74" s="6">
        <v>33.21</v>
      </c>
      <c r="N74" s="6">
        <v>61.1</v>
      </c>
      <c r="O74" s="6">
        <v>0</v>
      </c>
      <c r="P74" s="6">
        <v>0.8</v>
      </c>
      <c r="Q74" s="6">
        <v>4.75</v>
      </c>
    </row>
    <row r="75" spans="1:17">
      <c r="A75" s="72">
        <v>45320.697916666664</v>
      </c>
      <c r="B75" s="6">
        <v>4.6500000000000004</v>
      </c>
      <c r="C75" s="6">
        <v>16.7</v>
      </c>
      <c r="D75" s="6">
        <v>13.81</v>
      </c>
      <c r="E75" s="6">
        <v>7.32</v>
      </c>
      <c r="F75" s="6">
        <v>4.1100000000000003</v>
      </c>
      <c r="G75" s="6">
        <v>44.72</v>
      </c>
      <c r="H75" s="6">
        <v>29.9</v>
      </c>
      <c r="I75" s="6">
        <v>9.31</v>
      </c>
      <c r="J75" s="6">
        <v>0.15</v>
      </c>
      <c r="K75" s="6">
        <v>188.96</v>
      </c>
      <c r="L75" s="6">
        <v>26.66</v>
      </c>
      <c r="M75" s="6">
        <v>34.549999999999997</v>
      </c>
      <c r="N75" s="6">
        <v>39.1</v>
      </c>
      <c r="O75" s="6">
        <v>0</v>
      </c>
      <c r="P75" s="6">
        <v>0.79</v>
      </c>
      <c r="Q75" s="6">
        <v>4.76</v>
      </c>
    </row>
    <row r="76" spans="1:17">
      <c r="A76" s="72">
        <v>45320.708333333336</v>
      </c>
      <c r="B76" s="6">
        <v>4.72</v>
      </c>
      <c r="C76" s="6">
        <v>16.82</v>
      </c>
      <c r="D76" s="6">
        <v>13.93</v>
      </c>
      <c r="E76" s="6">
        <v>7.55</v>
      </c>
      <c r="F76" s="6">
        <v>4.42</v>
      </c>
      <c r="G76" s="6">
        <v>44.72</v>
      </c>
      <c r="H76" s="6">
        <v>29.9</v>
      </c>
      <c r="I76" s="6">
        <v>9.25</v>
      </c>
      <c r="J76" s="6">
        <v>0.2</v>
      </c>
      <c r="K76" s="6">
        <v>183.82</v>
      </c>
      <c r="L76" s="6">
        <v>26.28</v>
      </c>
      <c r="M76" s="6">
        <v>36.92</v>
      </c>
      <c r="N76" s="6">
        <v>28</v>
      </c>
      <c r="O76" s="6">
        <v>0</v>
      </c>
      <c r="P76" s="6">
        <v>0.79</v>
      </c>
      <c r="Q76" s="6">
        <v>4.75</v>
      </c>
    </row>
    <row r="77" spans="1:17">
      <c r="A77" s="72">
        <v>45320.71875</v>
      </c>
      <c r="B77" s="6">
        <v>4.63</v>
      </c>
      <c r="C77" s="6">
        <v>17.260000000000002</v>
      </c>
      <c r="D77" s="6">
        <v>14.08</v>
      </c>
      <c r="E77" s="6">
        <v>7.8</v>
      </c>
      <c r="F77" s="6">
        <v>5.14</v>
      </c>
      <c r="G77" s="6">
        <v>44.72</v>
      </c>
      <c r="H77" s="6">
        <v>29.9</v>
      </c>
      <c r="I77" s="6">
        <v>9.24</v>
      </c>
      <c r="J77" s="6">
        <v>0.21</v>
      </c>
      <c r="K77" s="6">
        <v>185.31</v>
      </c>
      <c r="L77" s="6">
        <v>25.66</v>
      </c>
      <c r="M77" s="6">
        <v>37.770000000000003</v>
      </c>
      <c r="N77" s="6">
        <v>10.5</v>
      </c>
      <c r="O77" s="6">
        <v>0</v>
      </c>
      <c r="P77" s="6">
        <v>0.78</v>
      </c>
      <c r="Q77" s="6">
        <v>4.76</v>
      </c>
    </row>
    <row r="78" spans="1:17">
      <c r="A78" s="72">
        <v>45320.729166666664</v>
      </c>
      <c r="B78" s="6">
        <v>4.62</v>
      </c>
      <c r="C78" s="6">
        <v>17.93</v>
      </c>
      <c r="D78" s="6">
        <v>14.42</v>
      </c>
      <c r="E78" s="6">
        <v>8.11</v>
      </c>
      <c r="F78" s="6">
        <v>4.9800000000000004</v>
      </c>
      <c r="G78" s="6">
        <v>47.46</v>
      </c>
      <c r="H78" s="6">
        <v>31.06</v>
      </c>
      <c r="I78" s="6">
        <v>9.23</v>
      </c>
      <c r="J78" s="6">
        <v>0.27</v>
      </c>
      <c r="K78" s="6">
        <v>167.82</v>
      </c>
      <c r="L78" s="6">
        <v>24.71</v>
      </c>
      <c r="M78" s="6">
        <v>42.14</v>
      </c>
      <c r="N78" s="6">
        <v>0.9</v>
      </c>
      <c r="O78" s="6">
        <v>0</v>
      </c>
      <c r="P78" s="6">
        <v>0.78</v>
      </c>
      <c r="Q78" s="6">
        <v>4.7699999999999996</v>
      </c>
    </row>
    <row r="79" spans="1:17">
      <c r="A79" s="72">
        <v>45320.739583333336</v>
      </c>
      <c r="B79" s="6">
        <v>4.7699999999999996</v>
      </c>
      <c r="C79" s="6">
        <v>18.79</v>
      </c>
      <c r="D79" s="6">
        <v>14.99</v>
      </c>
      <c r="E79" s="6">
        <v>8.01</v>
      </c>
      <c r="F79" s="6">
        <v>4.45</v>
      </c>
      <c r="G79" s="6">
        <v>47.8</v>
      </c>
      <c r="H79" s="6">
        <v>31.06</v>
      </c>
      <c r="I79" s="6">
        <v>9.19</v>
      </c>
      <c r="J79" s="6">
        <v>0.22</v>
      </c>
      <c r="K79" s="6">
        <v>176.01</v>
      </c>
      <c r="L79" s="6">
        <v>23.39</v>
      </c>
      <c r="M79" s="6">
        <v>53.09</v>
      </c>
      <c r="N79" s="6">
        <v>0</v>
      </c>
      <c r="O79" s="6">
        <v>0</v>
      </c>
      <c r="P79" s="6">
        <v>0.79</v>
      </c>
      <c r="Q79" s="6">
        <v>4.76</v>
      </c>
    </row>
    <row r="80" spans="1:17">
      <c r="A80" s="72">
        <v>45320.75</v>
      </c>
      <c r="B80" s="6">
        <v>4.91</v>
      </c>
      <c r="C80" s="6">
        <v>19.38</v>
      </c>
      <c r="D80" s="6">
        <v>15.41</v>
      </c>
      <c r="E80" s="6">
        <v>7.34</v>
      </c>
      <c r="F80" s="6">
        <v>4.17</v>
      </c>
      <c r="G80" s="6">
        <v>47.8</v>
      </c>
      <c r="H80" s="6">
        <v>31.06</v>
      </c>
      <c r="I80" s="6">
        <v>9.19</v>
      </c>
      <c r="J80" s="6">
        <v>0.25</v>
      </c>
      <c r="K80" s="6">
        <v>163.55000000000001</v>
      </c>
      <c r="L80" s="6">
        <v>22.61</v>
      </c>
      <c r="M80" s="6">
        <v>55.46</v>
      </c>
      <c r="N80" s="6">
        <v>0</v>
      </c>
      <c r="O80" s="6">
        <v>0</v>
      </c>
      <c r="P80" s="6">
        <v>0.8</v>
      </c>
      <c r="Q80" s="6">
        <v>4.78</v>
      </c>
    </row>
    <row r="81" spans="1:17">
      <c r="A81" s="72">
        <v>45320.760416666664</v>
      </c>
      <c r="B81" s="6">
        <v>5.07</v>
      </c>
      <c r="C81" s="6">
        <v>19.899999999999999</v>
      </c>
      <c r="D81" s="6">
        <v>15.81</v>
      </c>
      <c r="E81" s="6">
        <v>5.59</v>
      </c>
      <c r="F81" s="6">
        <v>4.26</v>
      </c>
      <c r="G81" s="6">
        <v>47.8</v>
      </c>
      <c r="H81" s="6">
        <v>31.06</v>
      </c>
      <c r="I81" s="6">
        <v>9.26</v>
      </c>
      <c r="J81" s="6">
        <v>0.24</v>
      </c>
      <c r="K81" s="6">
        <v>169.81</v>
      </c>
      <c r="L81" s="6">
        <v>21.89</v>
      </c>
      <c r="M81" s="6">
        <v>60.52</v>
      </c>
      <c r="N81" s="6">
        <v>0</v>
      </c>
      <c r="O81" s="6">
        <v>0</v>
      </c>
      <c r="P81" s="6">
        <v>0.8</v>
      </c>
      <c r="Q81" s="6">
        <v>4.8</v>
      </c>
    </row>
    <row r="82" spans="1:17">
      <c r="A82" s="72">
        <v>45320.770833333336</v>
      </c>
      <c r="B82" s="6">
        <v>5.1100000000000003</v>
      </c>
      <c r="C82" s="6">
        <v>20.350000000000001</v>
      </c>
      <c r="D82" s="6">
        <v>16.079999999999998</v>
      </c>
      <c r="E82" s="6">
        <v>6.82</v>
      </c>
      <c r="F82" s="6">
        <v>4.1100000000000003</v>
      </c>
      <c r="G82" s="6">
        <v>55.65</v>
      </c>
      <c r="H82" s="6">
        <v>25.96</v>
      </c>
      <c r="I82" s="6">
        <v>9.34</v>
      </c>
      <c r="J82" s="6">
        <v>0.25</v>
      </c>
      <c r="K82" s="6">
        <v>170.32</v>
      </c>
      <c r="L82" s="6">
        <v>21.26</v>
      </c>
      <c r="M82" s="6">
        <v>64.349999999999994</v>
      </c>
      <c r="N82" s="6">
        <v>0</v>
      </c>
      <c r="O82" s="6">
        <v>0</v>
      </c>
      <c r="P82" s="6">
        <v>0.81</v>
      </c>
      <c r="Q82" s="6">
        <v>4.8</v>
      </c>
    </row>
    <row r="83" spans="1:17">
      <c r="A83" s="72">
        <v>45320.78125</v>
      </c>
      <c r="B83" s="6">
        <v>5.41</v>
      </c>
      <c r="C83" s="6">
        <v>20.46</v>
      </c>
      <c r="D83" s="6">
        <v>16.38</v>
      </c>
      <c r="E83" s="6">
        <v>6.22</v>
      </c>
      <c r="F83" s="6">
        <v>3.82</v>
      </c>
      <c r="G83" s="6">
        <v>56.63</v>
      </c>
      <c r="H83" s="6">
        <v>25.96</v>
      </c>
      <c r="I83" s="6">
        <v>9.48</v>
      </c>
      <c r="J83" s="6">
        <v>0.18</v>
      </c>
      <c r="K83" s="6">
        <v>171.4</v>
      </c>
      <c r="L83" s="6">
        <v>20.66</v>
      </c>
      <c r="M83" s="6">
        <v>65.760000000000005</v>
      </c>
      <c r="N83" s="6">
        <v>0</v>
      </c>
      <c r="O83" s="6">
        <v>0</v>
      </c>
      <c r="P83" s="6">
        <v>0.83</v>
      </c>
      <c r="Q83" s="6">
        <v>4.78</v>
      </c>
    </row>
    <row r="84" spans="1:17">
      <c r="A84" s="72">
        <v>45320.791666666664</v>
      </c>
      <c r="B84" s="6">
        <v>5.52</v>
      </c>
      <c r="C84" s="6">
        <v>21.08</v>
      </c>
      <c r="D84" s="6">
        <v>16.79</v>
      </c>
      <c r="E84" s="6">
        <v>6.5</v>
      </c>
      <c r="F84" s="6">
        <v>3.8</v>
      </c>
      <c r="G84" s="6">
        <v>56.63</v>
      </c>
      <c r="H84" s="6">
        <v>25.96</v>
      </c>
      <c r="I84" s="6">
        <v>9.66</v>
      </c>
      <c r="J84" s="6">
        <v>0.28999999999999998</v>
      </c>
      <c r="K84" s="6">
        <v>164.59</v>
      </c>
      <c r="L84" s="6">
        <v>20.21</v>
      </c>
      <c r="M84" s="6">
        <v>62.92</v>
      </c>
      <c r="N84" s="6">
        <v>0</v>
      </c>
      <c r="O84" s="6">
        <v>0</v>
      </c>
      <c r="P84" s="6">
        <v>0.84</v>
      </c>
      <c r="Q84" s="6">
        <v>4.79</v>
      </c>
    </row>
    <row r="85" spans="1:17">
      <c r="A85" s="72">
        <v>45320.802083333336</v>
      </c>
      <c r="B85" s="6">
        <v>5.65</v>
      </c>
      <c r="C85" s="6">
        <v>21.49</v>
      </c>
      <c r="D85" s="6">
        <v>17.11</v>
      </c>
      <c r="E85" s="6">
        <v>6.51</v>
      </c>
      <c r="F85" s="6">
        <v>3.78</v>
      </c>
      <c r="G85" s="6">
        <v>56.63</v>
      </c>
      <c r="H85" s="6">
        <v>25.96</v>
      </c>
      <c r="I85" s="6">
        <v>9.84</v>
      </c>
      <c r="J85" s="6">
        <v>0.22</v>
      </c>
      <c r="K85" s="6">
        <v>145.63</v>
      </c>
      <c r="L85" s="6">
        <v>20.03</v>
      </c>
      <c r="M85" s="6">
        <v>63.74</v>
      </c>
      <c r="N85" s="6">
        <v>0</v>
      </c>
      <c r="O85" s="6">
        <v>0</v>
      </c>
      <c r="P85" s="6">
        <v>0.86</v>
      </c>
      <c r="Q85" s="6">
        <v>4.79</v>
      </c>
    </row>
    <row r="86" spans="1:17">
      <c r="A86" s="72">
        <v>45320.8125</v>
      </c>
      <c r="B86" s="6">
        <v>5.72</v>
      </c>
      <c r="C86" s="6">
        <v>22.06</v>
      </c>
      <c r="D86" s="6">
        <v>17.46</v>
      </c>
      <c r="E86" s="6">
        <v>6.5</v>
      </c>
      <c r="F86" s="6">
        <v>3.76</v>
      </c>
      <c r="G86" s="6">
        <v>59.62</v>
      </c>
      <c r="H86" s="6">
        <v>29.1</v>
      </c>
      <c r="I86" s="6">
        <v>9.98</v>
      </c>
      <c r="J86" s="6">
        <v>0.26</v>
      </c>
      <c r="K86" s="6">
        <v>155.1</v>
      </c>
      <c r="L86" s="6">
        <v>19.97</v>
      </c>
      <c r="M86" s="6">
        <v>64.709999999999994</v>
      </c>
      <c r="N86" s="6">
        <v>0</v>
      </c>
      <c r="O86" s="6">
        <v>0</v>
      </c>
      <c r="P86" s="6">
        <v>0.87</v>
      </c>
      <c r="Q86" s="6">
        <v>4.8</v>
      </c>
    </row>
    <row r="87" spans="1:17">
      <c r="A87" s="72">
        <v>45320.822916666664</v>
      </c>
      <c r="B87" s="6">
        <v>5.91</v>
      </c>
      <c r="C87" s="6">
        <v>22.31</v>
      </c>
      <c r="D87" s="6">
        <v>17.75</v>
      </c>
      <c r="E87" s="6">
        <v>6.4</v>
      </c>
      <c r="F87" s="6">
        <v>3.59</v>
      </c>
      <c r="G87" s="6">
        <v>59.99</v>
      </c>
      <c r="H87" s="6">
        <v>29.1</v>
      </c>
      <c r="I87" s="6">
        <v>10.11</v>
      </c>
      <c r="J87" s="6">
        <v>0.2</v>
      </c>
      <c r="K87" s="6">
        <v>176.5</v>
      </c>
      <c r="L87" s="6">
        <v>19.78</v>
      </c>
      <c r="M87" s="6">
        <v>70.17</v>
      </c>
      <c r="N87" s="6">
        <v>0</v>
      </c>
      <c r="O87" s="6">
        <v>0</v>
      </c>
      <c r="P87" s="6">
        <v>0.88</v>
      </c>
      <c r="Q87" s="6">
        <v>4.79</v>
      </c>
    </row>
    <row r="88" spans="1:17">
      <c r="A88" s="72">
        <v>45320.833333333336</v>
      </c>
      <c r="B88" s="6">
        <v>6.08</v>
      </c>
      <c r="C88" s="6">
        <v>22.61</v>
      </c>
      <c r="D88" s="6">
        <v>18.04</v>
      </c>
      <c r="E88" s="6">
        <v>6.61</v>
      </c>
      <c r="F88" s="6">
        <v>3.51</v>
      </c>
      <c r="G88" s="6">
        <v>59.99</v>
      </c>
      <c r="H88" s="6">
        <v>29.1</v>
      </c>
      <c r="I88" s="6">
        <v>10.26</v>
      </c>
      <c r="J88" s="6">
        <v>0.2</v>
      </c>
      <c r="K88" s="6">
        <v>180.68</v>
      </c>
      <c r="L88" s="6">
        <v>19.3</v>
      </c>
      <c r="M88" s="6">
        <v>68.83</v>
      </c>
      <c r="N88" s="6">
        <v>0</v>
      </c>
      <c r="O88" s="6">
        <v>0</v>
      </c>
      <c r="P88" s="6">
        <v>0.89</v>
      </c>
      <c r="Q88" s="6">
        <v>4.8</v>
      </c>
    </row>
    <row r="89" spans="1:17">
      <c r="A89" s="72">
        <v>45320.84375</v>
      </c>
      <c r="B89" s="6">
        <v>6.21</v>
      </c>
      <c r="C89" s="6">
        <v>22.87</v>
      </c>
      <c r="D89" s="6">
        <v>18.28</v>
      </c>
      <c r="E89" s="6">
        <v>6.96</v>
      </c>
      <c r="F89" s="6">
        <v>3.4</v>
      </c>
      <c r="G89" s="6">
        <v>59.99</v>
      </c>
      <c r="H89" s="6">
        <v>29.1</v>
      </c>
      <c r="I89" s="6">
        <v>10.42</v>
      </c>
      <c r="J89" s="6">
        <v>0.17</v>
      </c>
      <c r="K89" s="6">
        <v>183.49</v>
      </c>
      <c r="L89" s="6">
        <v>19.059999999999999</v>
      </c>
      <c r="M89" s="6">
        <v>68.59</v>
      </c>
      <c r="N89" s="6">
        <v>0</v>
      </c>
      <c r="O89" s="6">
        <v>0</v>
      </c>
      <c r="P89" s="6">
        <v>0.9</v>
      </c>
      <c r="Q89" s="6">
        <v>4.8</v>
      </c>
    </row>
    <row r="90" spans="1:17">
      <c r="A90" s="72">
        <v>45320.854166666664</v>
      </c>
      <c r="B90" s="6">
        <v>6.26</v>
      </c>
      <c r="C90" s="6">
        <v>23.44</v>
      </c>
      <c r="D90" s="6">
        <v>18.62</v>
      </c>
      <c r="E90" s="6">
        <v>6.17</v>
      </c>
      <c r="F90" s="6">
        <v>3.46</v>
      </c>
      <c r="G90" s="6">
        <v>67.63</v>
      </c>
      <c r="H90" s="6">
        <v>31.68</v>
      </c>
      <c r="I90" s="6">
        <v>10.57</v>
      </c>
      <c r="J90" s="6">
        <v>0.21</v>
      </c>
      <c r="K90" s="6">
        <v>167.93</v>
      </c>
      <c r="L90" s="6">
        <v>19.010000000000002</v>
      </c>
      <c r="M90" s="6">
        <v>72.260000000000005</v>
      </c>
      <c r="N90" s="6">
        <v>0</v>
      </c>
      <c r="O90" s="6">
        <v>0</v>
      </c>
      <c r="P90" s="6">
        <v>0.91</v>
      </c>
      <c r="Q90" s="6">
        <v>4.8</v>
      </c>
    </row>
    <row r="91" spans="1:17">
      <c r="A91" s="72">
        <v>45320.864583333336</v>
      </c>
      <c r="B91" s="6">
        <v>6.35</v>
      </c>
      <c r="C91" s="6">
        <v>23.7</v>
      </c>
      <c r="D91" s="6">
        <v>18.82</v>
      </c>
      <c r="E91" s="6">
        <v>6.6</v>
      </c>
      <c r="F91" s="6">
        <v>3.36</v>
      </c>
      <c r="G91" s="6">
        <v>68.59</v>
      </c>
      <c r="H91" s="6">
        <v>31.68</v>
      </c>
      <c r="I91" s="6">
        <v>10.71</v>
      </c>
      <c r="J91" s="6">
        <v>0.21</v>
      </c>
      <c r="K91" s="6">
        <v>177.4</v>
      </c>
      <c r="L91" s="6">
        <v>18.7</v>
      </c>
      <c r="M91" s="6">
        <v>75.33</v>
      </c>
      <c r="N91" s="6">
        <v>0</v>
      </c>
      <c r="O91" s="6">
        <v>0</v>
      </c>
      <c r="P91" s="6">
        <v>0.91</v>
      </c>
      <c r="Q91" s="6">
        <v>4.8</v>
      </c>
    </row>
    <row r="92" spans="1:17">
      <c r="A92" s="72">
        <v>45320.875</v>
      </c>
      <c r="B92" s="6">
        <v>6.61</v>
      </c>
      <c r="C92" s="6">
        <v>23.84</v>
      </c>
      <c r="D92" s="6">
        <v>19.11</v>
      </c>
      <c r="E92" s="6">
        <v>6.38</v>
      </c>
      <c r="F92" s="6">
        <v>3.41</v>
      </c>
      <c r="G92" s="6">
        <v>68.59</v>
      </c>
      <c r="H92" s="6">
        <v>31.68</v>
      </c>
      <c r="I92" s="6">
        <v>10.84</v>
      </c>
      <c r="J92" s="6">
        <v>0.18</v>
      </c>
      <c r="K92" s="6">
        <v>163.35</v>
      </c>
      <c r="L92" s="6">
        <v>18.3</v>
      </c>
      <c r="M92" s="6">
        <v>74.05</v>
      </c>
      <c r="N92" s="6">
        <v>0</v>
      </c>
      <c r="O92" s="6">
        <v>0</v>
      </c>
      <c r="P92" s="6">
        <v>0.93</v>
      </c>
      <c r="Q92" s="6">
        <v>4.79</v>
      </c>
    </row>
    <row r="93" spans="1:17">
      <c r="A93" s="72">
        <v>45320.885416666664</v>
      </c>
      <c r="B93" s="6">
        <v>6.92</v>
      </c>
      <c r="C93" s="6">
        <v>24.18</v>
      </c>
      <c r="D93" s="6">
        <v>19.53</v>
      </c>
      <c r="E93" s="6">
        <v>6.83</v>
      </c>
      <c r="F93" s="6">
        <v>3.41</v>
      </c>
      <c r="G93" s="6">
        <v>68.59</v>
      </c>
      <c r="H93" s="6">
        <v>31.68</v>
      </c>
      <c r="I93" s="6">
        <v>10.97</v>
      </c>
      <c r="J93" s="6">
        <v>0.17</v>
      </c>
      <c r="K93" s="6">
        <v>168.93</v>
      </c>
      <c r="L93" s="6">
        <v>18.37</v>
      </c>
      <c r="M93" s="6">
        <v>71.08</v>
      </c>
      <c r="N93" s="6">
        <v>0</v>
      </c>
      <c r="O93" s="6">
        <v>0</v>
      </c>
      <c r="P93" s="6">
        <v>0.94</v>
      </c>
      <c r="Q93" s="6">
        <v>4.8</v>
      </c>
    </row>
    <row r="94" spans="1:17">
      <c r="A94" s="72">
        <v>45320.895833333336</v>
      </c>
      <c r="B94" s="6">
        <v>7.69</v>
      </c>
      <c r="C94" s="6">
        <v>25.08</v>
      </c>
      <c r="D94" s="6">
        <v>20.62</v>
      </c>
      <c r="E94" s="6">
        <v>6.72</v>
      </c>
      <c r="F94" s="6">
        <v>3.31</v>
      </c>
      <c r="G94" s="6">
        <v>72.099999999999994</v>
      </c>
      <c r="H94" s="6">
        <v>35.119999999999997</v>
      </c>
      <c r="I94" s="6">
        <v>11.07</v>
      </c>
      <c r="J94" s="6">
        <v>0.21</v>
      </c>
      <c r="K94" s="6">
        <v>191.64</v>
      </c>
      <c r="L94" s="6">
        <v>18.34</v>
      </c>
      <c r="M94" s="6">
        <v>73.23</v>
      </c>
      <c r="N94" s="6">
        <v>0</v>
      </c>
      <c r="O94" s="6">
        <v>0</v>
      </c>
      <c r="P94" s="6">
        <v>0.96</v>
      </c>
      <c r="Q94" s="6">
        <v>4.8099999999999996</v>
      </c>
    </row>
    <row r="95" spans="1:17">
      <c r="A95" s="72">
        <v>45320.90625</v>
      </c>
      <c r="B95" s="6">
        <v>8.11</v>
      </c>
      <c r="C95" s="6">
        <v>25.75</v>
      </c>
      <c r="D95" s="6">
        <v>21.31</v>
      </c>
      <c r="E95" s="6">
        <v>6.91</v>
      </c>
      <c r="F95" s="6">
        <v>3.3</v>
      </c>
      <c r="G95" s="6">
        <v>72.540000000000006</v>
      </c>
      <c r="H95" s="6">
        <v>35.119999999999997</v>
      </c>
      <c r="I95" s="6">
        <v>11.16</v>
      </c>
      <c r="J95" s="6">
        <v>0.19</v>
      </c>
      <c r="K95" s="6">
        <v>216.28</v>
      </c>
      <c r="L95" s="6">
        <v>17.989999999999998</v>
      </c>
      <c r="M95" s="6">
        <v>73.7</v>
      </c>
      <c r="N95" s="6">
        <v>0</v>
      </c>
      <c r="O95" s="6">
        <v>0</v>
      </c>
      <c r="P95" s="6">
        <v>0.97</v>
      </c>
      <c r="Q95" s="6">
        <v>4.8099999999999996</v>
      </c>
    </row>
    <row r="96" spans="1:17">
      <c r="A96" s="72">
        <v>45320.916666666664</v>
      </c>
      <c r="B96" s="6">
        <v>8.2899999999999991</v>
      </c>
      <c r="C96" s="6">
        <v>26.43</v>
      </c>
      <c r="D96" s="6">
        <v>21.81</v>
      </c>
      <c r="E96" s="6">
        <v>6.83</v>
      </c>
      <c r="F96" s="6">
        <v>3.38</v>
      </c>
      <c r="G96" s="6">
        <v>72.540000000000006</v>
      </c>
      <c r="H96" s="6">
        <v>35.119999999999997</v>
      </c>
      <c r="I96" s="6">
        <v>11.32</v>
      </c>
      <c r="J96" s="6">
        <v>0.19</v>
      </c>
      <c r="K96" s="6">
        <v>187.19</v>
      </c>
      <c r="L96" s="6">
        <v>17.920000000000002</v>
      </c>
      <c r="M96" s="6">
        <v>74.59</v>
      </c>
      <c r="N96" s="6">
        <v>0</v>
      </c>
      <c r="O96" s="6">
        <v>0</v>
      </c>
      <c r="P96" s="6">
        <v>0.99</v>
      </c>
      <c r="Q96" s="6">
        <v>4.8099999999999996</v>
      </c>
    </row>
    <row r="97" spans="1:21">
      <c r="A97" s="72">
        <v>45320.927083333336</v>
      </c>
      <c r="B97" s="6">
        <v>8.4700000000000006</v>
      </c>
      <c r="C97" s="6">
        <v>26.76</v>
      </c>
      <c r="D97" s="6">
        <v>22.12</v>
      </c>
      <c r="E97" s="6">
        <v>6.01</v>
      </c>
      <c r="F97" s="6">
        <v>3.46</v>
      </c>
      <c r="G97" s="6">
        <v>72.540000000000006</v>
      </c>
      <c r="H97" s="6">
        <v>35.119999999999997</v>
      </c>
      <c r="I97" s="6">
        <v>11.56</v>
      </c>
      <c r="J97" s="6">
        <v>0.2</v>
      </c>
      <c r="K97" s="6">
        <v>166.32</v>
      </c>
      <c r="L97" s="6">
        <v>17.670000000000002</v>
      </c>
      <c r="M97" s="6">
        <v>78.739999999999995</v>
      </c>
      <c r="N97" s="6">
        <v>0</v>
      </c>
      <c r="O97" s="6">
        <v>0</v>
      </c>
      <c r="P97" s="6">
        <v>1.01</v>
      </c>
      <c r="Q97" s="6">
        <v>4.8099999999999996</v>
      </c>
    </row>
    <row r="98" spans="1:21">
      <c r="A98" s="72">
        <v>45320.9375</v>
      </c>
      <c r="B98" s="6">
        <v>8.75</v>
      </c>
      <c r="C98" s="6">
        <v>24.21</v>
      </c>
      <c r="D98" s="6">
        <v>21.02</v>
      </c>
      <c r="E98" s="6">
        <v>6.64</v>
      </c>
      <c r="F98" s="6">
        <v>3.57</v>
      </c>
      <c r="G98" s="6">
        <v>76.739999999999995</v>
      </c>
      <c r="H98" s="6">
        <v>37.049999999999997</v>
      </c>
      <c r="I98" s="6">
        <v>11.82</v>
      </c>
      <c r="J98" s="6">
        <v>0.22</v>
      </c>
      <c r="K98" s="6">
        <v>166.82</v>
      </c>
      <c r="L98" s="6">
        <v>17.48</v>
      </c>
      <c r="M98" s="6">
        <v>80.59</v>
      </c>
      <c r="N98" s="6">
        <v>0</v>
      </c>
      <c r="O98" s="6">
        <v>0</v>
      </c>
      <c r="P98" s="6">
        <v>1.02</v>
      </c>
      <c r="Q98" s="6">
        <v>4.8099999999999996</v>
      </c>
    </row>
    <row r="99" spans="1:21">
      <c r="A99" s="72">
        <v>45320.947916666664</v>
      </c>
      <c r="B99" s="6">
        <v>8.8699999999999992</v>
      </c>
      <c r="C99" s="6">
        <v>23.33</v>
      </c>
      <c r="D99" s="6">
        <v>20.65</v>
      </c>
      <c r="E99" s="6">
        <v>6.27</v>
      </c>
      <c r="F99" s="6">
        <v>3.41</v>
      </c>
      <c r="G99" s="6">
        <v>77.27</v>
      </c>
      <c r="H99" s="6">
        <v>37.049999999999997</v>
      </c>
      <c r="I99" s="6">
        <v>12.04</v>
      </c>
      <c r="J99" s="6">
        <v>0.15</v>
      </c>
      <c r="K99" s="6">
        <v>182.02</v>
      </c>
      <c r="L99" s="6">
        <v>17.350000000000001</v>
      </c>
      <c r="M99" s="6">
        <v>79.19</v>
      </c>
      <c r="N99" s="6">
        <v>0</v>
      </c>
      <c r="O99" s="6">
        <v>0</v>
      </c>
      <c r="P99" s="6">
        <v>1.04</v>
      </c>
      <c r="Q99" s="6">
        <v>4.8099999999999996</v>
      </c>
    </row>
    <row r="100" spans="1:21">
      <c r="A100" s="72">
        <v>45320.958333333336</v>
      </c>
      <c r="B100" s="6">
        <v>8.98</v>
      </c>
      <c r="C100" s="6">
        <v>24.12</v>
      </c>
      <c r="D100" s="6">
        <v>21.15</v>
      </c>
      <c r="E100" s="6">
        <v>6.31</v>
      </c>
      <c r="F100" s="6">
        <v>3.4</v>
      </c>
      <c r="G100" s="6">
        <v>77.27</v>
      </c>
      <c r="H100" s="6">
        <v>37.049999999999997</v>
      </c>
      <c r="I100" s="6">
        <v>12.37</v>
      </c>
      <c r="J100" s="6">
        <v>0.17</v>
      </c>
      <c r="K100" s="6">
        <v>178.05</v>
      </c>
      <c r="L100" s="6">
        <v>17.36</v>
      </c>
      <c r="M100" s="6">
        <v>80.260000000000005</v>
      </c>
      <c r="N100" s="6">
        <v>0</v>
      </c>
      <c r="O100" s="6">
        <v>0</v>
      </c>
      <c r="P100" s="6">
        <v>1.05</v>
      </c>
      <c r="Q100" s="6">
        <v>4.82</v>
      </c>
    </row>
    <row r="101" spans="1:21">
      <c r="A101" s="72">
        <v>45320.96875</v>
      </c>
      <c r="B101" s="6">
        <v>9.0500000000000007</v>
      </c>
      <c r="C101" s="6">
        <v>24.75</v>
      </c>
      <c r="D101" s="6">
        <v>21.54</v>
      </c>
      <c r="E101" s="6">
        <v>6.07</v>
      </c>
      <c r="F101" s="6">
        <v>3.34</v>
      </c>
      <c r="G101" s="6">
        <v>77.27</v>
      </c>
      <c r="H101" s="6">
        <v>37.049999999999997</v>
      </c>
      <c r="I101" s="6">
        <v>12.76</v>
      </c>
      <c r="J101" s="6">
        <v>0.15</v>
      </c>
      <c r="K101" s="6">
        <v>174.1</v>
      </c>
      <c r="L101" s="6">
        <v>17.29</v>
      </c>
      <c r="M101" s="6">
        <v>79.790000000000006</v>
      </c>
      <c r="N101" s="6">
        <v>0</v>
      </c>
      <c r="O101" s="6">
        <v>0</v>
      </c>
      <c r="P101" s="6">
        <v>1.07</v>
      </c>
      <c r="Q101" s="6">
        <v>4.82</v>
      </c>
    </row>
    <row r="102" spans="1:21">
      <c r="A102" s="72">
        <v>45320.979166666664</v>
      </c>
      <c r="B102" s="6">
        <v>9.06</v>
      </c>
      <c r="C102" s="6">
        <v>24.65</v>
      </c>
      <c r="D102" s="6">
        <v>21.5</v>
      </c>
      <c r="E102" s="6">
        <v>6.6</v>
      </c>
      <c r="F102" s="6">
        <v>3.28</v>
      </c>
      <c r="G102" s="6">
        <v>79.11</v>
      </c>
      <c r="H102" s="6">
        <v>40.04</v>
      </c>
      <c r="I102" s="6">
        <v>13</v>
      </c>
      <c r="J102" s="6">
        <v>0.2</v>
      </c>
      <c r="K102" s="6">
        <v>159.65</v>
      </c>
      <c r="L102" s="6">
        <v>17.2</v>
      </c>
      <c r="M102" s="6">
        <v>80.150000000000006</v>
      </c>
      <c r="N102" s="6">
        <v>0</v>
      </c>
      <c r="O102" s="6">
        <v>0</v>
      </c>
      <c r="P102" s="6">
        <v>1.08</v>
      </c>
      <c r="Q102" s="6">
        <v>4.8499999999999996</v>
      </c>
    </row>
    <row r="103" spans="1:21">
      <c r="A103" s="72">
        <v>45320.989583333336</v>
      </c>
      <c r="B103" s="6">
        <v>9.1300000000000008</v>
      </c>
      <c r="C103" s="6">
        <v>25.23</v>
      </c>
      <c r="D103" s="6">
        <v>21.85</v>
      </c>
      <c r="E103" s="6">
        <v>6.26</v>
      </c>
      <c r="F103" s="6">
        <v>3.3</v>
      </c>
      <c r="G103" s="6">
        <v>79.34</v>
      </c>
      <c r="H103" s="6">
        <v>40.04</v>
      </c>
      <c r="I103" s="6">
        <v>13.1</v>
      </c>
      <c r="J103" s="6">
        <v>0.15</v>
      </c>
      <c r="K103" s="6">
        <v>177.72</v>
      </c>
      <c r="L103" s="6">
        <v>17</v>
      </c>
      <c r="M103" s="6">
        <v>80.959999999999994</v>
      </c>
      <c r="N103" s="6">
        <v>0</v>
      </c>
      <c r="O103" s="6">
        <v>0</v>
      </c>
      <c r="P103" s="6">
        <v>1.07</v>
      </c>
      <c r="Q103" s="6">
        <v>4.83</v>
      </c>
    </row>
    <row r="104" spans="1:21">
      <c r="A104" s="72">
        <v>45321</v>
      </c>
      <c r="B104" s="6">
        <v>9.17</v>
      </c>
      <c r="C104" s="6">
        <v>24.49</v>
      </c>
      <c r="D104" s="6">
        <v>21.5</v>
      </c>
      <c r="E104" s="6">
        <v>6.2</v>
      </c>
      <c r="F104" s="6">
        <v>3.34</v>
      </c>
      <c r="G104" s="6">
        <v>79.34</v>
      </c>
      <c r="H104" s="6">
        <v>40.04</v>
      </c>
      <c r="I104" s="6">
        <v>13.12</v>
      </c>
      <c r="J104" s="6">
        <v>0.18</v>
      </c>
      <c r="K104" s="6">
        <v>195.79</v>
      </c>
      <c r="L104" s="6">
        <v>16.95</v>
      </c>
      <c r="M104" s="6">
        <v>81.680000000000007</v>
      </c>
      <c r="N104" s="6">
        <v>0</v>
      </c>
      <c r="O104" s="6">
        <v>0</v>
      </c>
      <c r="P104" s="6">
        <v>1.08</v>
      </c>
      <c r="Q104" s="6">
        <v>4.82</v>
      </c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6" t="s">
        <v>48</v>
      </c>
      <c r="B106" s="157">
        <f>MIN(B9:B104)</f>
        <v>4.32</v>
      </c>
      <c r="C106" s="157">
        <f>MIN(C9:C104)</f>
        <v>16.62</v>
      </c>
      <c r="D106" s="157">
        <f t="shared" ref="D106:Q106" si="0">MIN(D9:D104)</f>
        <v>13.76</v>
      </c>
      <c r="E106" s="157">
        <f t="shared" si="0"/>
        <v>4.5199999999999996</v>
      </c>
      <c r="F106" s="157">
        <f t="shared" si="0"/>
        <v>3.08</v>
      </c>
      <c r="G106" s="157">
        <f t="shared" si="0"/>
        <v>44.72</v>
      </c>
      <c r="H106" s="157">
        <f t="shared" si="0"/>
        <v>25.96</v>
      </c>
      <c r="I106" s="157">
        <f t="shared" si="0"/>
        <v>9.19</v>
      </c>
      <c r="J106" s="157">
        <f t="shared" si="0"/>
        <v>0.08</v>
      </c>
      <c r="K106" s="157">
        <f t="shared" si="0"/>
        <v>27.15</v>
      </c>
      <c r="L106" s="157">
        <f t="shared" si="0"/>
        <v>12.9</v>
      </c>
      <c r="M106" s="157">
        <f t="shared" si="0"/>
        <v>27.38</v>
      </c>
      <c r="N106" s="157">
        <f t="shared" si="0"/>
        <v>0</v>
      </c>
      <c r="O106" s="157">
        <f t="shared" si="0"/>
        <v>0</v>
      </c>
      <c r="P106" s="157">
        <f t="shared" si="0"/>
        <v>0.78</v>
      </c>
      <c r="Q106" s="157">
        <f t="shared" si="0"/>
        <v>4.7300000000000004</v>
      </c>
      <c r="R106" s="157"/>
      <c r="S106" s="157"/>
      <c r="T106" s="157"/>
      <c r="U106" s="157"/>
    </row>
    <row r="107" spans="1:21">
      <c r="A107" s="156" t="s">
        <v>49</v>
      </c>
      <c r="B107" s="156">
        <f>MAX(B9:B104)</f>
        <v>48.6</v>
      </c>
      <c r="C107" s="156">
        <f t="shared" ref="C107:Q107" si="1">MAX(C9:C104)</f>
        <v>35.200000000000003</v>
      </c>
      <c r="D107" s="156">
        <f t="shared" si="1"/>
        <v>57.16</v>
      </c>
      <c r="E107" s="156">
        <f t="shared" si="1"/>
        <v>9.1</v>
      </c>
      <c r="F107" s="156">
        <f t="shared" si="1"/>
        <v>5.14</v>
      </c>
      <c r="G107" s="156">
        <f t="shared" si="1"/>
        <v>131.49</v>
      </c>
      <c r="H107" s="156">
        <f t="shared" si="1"/>
        <v>60.44</v>
      </c>
      <c r="I107" s="156">
        <f t="shared" si="1"/>
        <v>14.54</v>
      </c>
      <c r="J107" s="156">
        <f t="shared" si="1"/>
        <v>0.71</v>
      </c>
      <c r="K107" s="156">
        <f t="shared" si="1"/>
        <v>292.39999999999998</v>
      </c>
      <c r="L107" s="156">
        <f t="shared" si="1"/>
        <v>29.01</v>
      </c>
      <c r="M107" s="156">
        <f t="shared" si="1"/>
        <v>96.86</v>
      </c>
      <c r="N107" s="156">
        <f t="shared" si="1"/>
        <v>599.9</v>
      </c>
      <c r="O107" s="156">
        <f t="shared" si="1"/>
        <v>0</v>
      </c>
      <c r="P107" s="156">
        <f t="shared" si="1"/>
        <v>1.19</v>
      </c>
      <c r="Q107" s="156">
        <f t="shared" si="1"/>
        <v>5.23</v>
      </c>
      <c r="R107" s="156"/>
      <c r="S107" s="156"/>
      <c r="T107" s="156"/>
      <c r="U107" s="156"/>
    </row>
    <row r="108" spans="1:21">
      <c r="A108" s="156" t="s">
        <v>50</v>
      </c>
      <c r="B108" s="157">
        <f>AVERAGE(B9:B104)</f>
        <v>19.546666666666663</v>
      </c>
      <c r="C108" s="157">
        <f t="shared" ref="C108:Q108" si="2">AVERAGE(C9:C104)</f>
        <v>26.891979166666662</v>
      </c>
      <c r="D108" s="157">
        <f t="shared" si="2"/>
        <v>31.076666666666657</v>
      </c>
      <c r="E108" s="157">
        <f t="shared" si="2"/>
        <v>6.3859374999999998</v>
      </c>
      <c r="F108" s="157">
        <f t="shared" si="2"/>
        <v>3.7188541666666652</v>
      </c>
      <c r="G108" s="157">
        <f t="shared" si="2"/>
        <v>84.803333333333342</v>
      </c>
      <c r="H108" s="157">
        <f t="shared" si="2"/>
        <v>42.323541666666664</v>
      </c>
      <c r="I108" s="157">
        <f t="shared" si="2"/>
        <v>12.108333333333327</v>
      </c>
      <c r="J108" s="157">
        <f t="shared" si="2"/>
        <v>0.25895833333333323</v>
      </c>
      <c r="K108" s="157">
        <f t="shared" si="2"/>
        <v>187.9325</v>
      </c>
      <c r="L108" s="157">
        <f t="shared" si="2"/>
        <v>19.85864583333333</v>
      </c>
      <c r="M108" s="157">
        <f t="shared" si="2"/>
        <v>66.89552083333335</v>
      </c>
      <c r="N108" s="157">
        <f t="shared" si="2"/>
        <v>121.34687500000003</v>
      </c>
      <c r="O108" s="157">
        <f t="shared" si="2"/>
        <v>0</v>
      </c>
      <c r="P108" s="157">
        <f t="shared" si="2"/>
        <v>1.015208333333333</v>
      </c>
      <c r="Q108" s="157">
        <f t="shared" si="2"/>
        <v>4.9383333333333335</v>
      </c>
      <c r="R108" s="157"/>
      <c r="S108" s="157"/>
      <c r="T108" s="157"/>
      <c r="U108" s="157"/>
    </row>
    <row r="109" spans="1:21">
      <c r="A109" s="156" t="s">
        <v>51</v>
      </c>
      <c r="B109" s="157">
        <f>STDEV(B9:B104)</f>
        <v>15.747734919273922</v>
      </c>
      <c r="C109" s="157">
        <f t="shared" ref="C109:Q109" si="3">STDEV(C9:C104)</f>
        <v>5.8857153783843987</v>
      </c>
      <c r="D109" s="157">
        <f t="shared" si="3"/>
        <v>15.044538205759652</v>
      </c>
      <c r="E109" s="157">
        <f t="shared" si="3"/>
        <v>1.0291136483964272</v>
      </c>
      <c r="F109" s="157">
        <f t="shared" si="3"/>
        <v>0.56353185085656954</v>
      </c>
      <c r="G109" s="157">
        <f t="shared" si="3"/>
        <v>24.921848020801558</v>
      </c>
      <c r="H109" s="157">
        <f t="shared" si="3"/>
        <v>9.7262736932569283</v>
      </c>
      <c r="I109" s="157">
        <f t="shared" si="3"/>
        <v>1.7225059264533304</v>
      </c>
      <c r="J109" s="157">
        <f t="shared" si="3"/>
        <v>0.14126853239704207</v>
      </c>
      <c r="K109" s="157">
        <f t="shared" si="3"/>
        <v>62.186576060314358</v>
      </c>
      <c r="L109" s="157">
        <f t="shared" si="3"/>
        <v>5.4165224073232796</v>
      </c>
      <c r="M109" s="157">
        <f t="shared" si="3"/>
        <v>23.857399155455298</v>
      </c>
      <c r="N109" s="157">
        <f t="shared" si="3"/>
        <v>192.7744261009552</v>
      </c>
      <c r="O109" s="157">
        <f t="shared" si="3"/>
        <v>0</v>
      </c>
      <c r="P109" s="157">
        <f t="shared" si="3"/>
        <v>0.12606580709811419</v>
      </c>
      <c r="Q109" s="157">
        <f t="shared" si="3"/>
        <v>0.1686020956769716</v>
      </c>
      <c r="R109" s="157"/>
      <c r="S109" s="157"/>
      <c r="T109" s="157"/>
      <c r="U109" s="157"/>
    </row>
    <row r="110" spans="1:21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59"/>
      <c r="O113" s="159"/>
      <c r="P113" s="159"/>
      <c r="Q113" s="159"/>
      <c r="R113" s="159"/>
      <c r="S113" s="159"/>
      <c r="T113" s="159"/>
      <c r="U113" s="159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1" t="s">
        <v>56</v>
      </c>
      <c r="C115" s="161"/>
      <c r="D115" s="16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17"/>
  <sheetViews>
    <sheetView zoomScale="85" zoomScaleNormal="85" workbookViewId="0">
      <pane ySplit="1" topLeftCell="A101" activePane="bottomLeft" state="frozen"/>
      <selection pane="bottomLeft" activeCell="B110" sqref="B110:Q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45321.010416666664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45321.010416666664</v>
      </c>
      <c r="B9" s="6">
        <v>9.7100000000000009</v>
      </c>
      <c r="C9" s="6">
        <v>24.78</v>
      </c>
      <c r="D9" s="6">
        <v>22.08</v>
      </c>
      <c r="E9" s="6">
        <v>6.04</v>
      </c>
      <c r="F9" s="6">
        <v>3.3</v>
      </c>
      <c r="G9" s="6">
        <v>79.34</v>
      </c>
      <c r="H9" s="6">
        <v>40.04</v>
      </c>
      <c r="I9" s="6">
        <v>13.08</v>
      </c>
      <c r="J9" s="6">
        <v>0.13</v>
      </c>
      <c r="K9" s="6">
        <v>225.21</v>
      </c>
      <c r="L9" s="6">
        <v>16.63</v>
      </c>
      <c r="M9" s="6">
        <v>81.12</v>
      </c>
      <c r="N9" s="6">
        <v>0</v>
      </c>
      <c r="O9" s="6">
        <v>0</v>
      </c>
      <c r="P9" s="6">
        <v>1.07</v>
      </c>
      <c r="Q9" s="6">
        <v>4.82</v>
      </c>
    </row>
    <row r="10" spans="1:21" customFormat="1">
      <c r="A10" s="72">
        <v>45321.020833333336</v>
      </c>
      <c r="B10" s="6">
        <v>9.5</v>
      </c>
      <c r="C10" s="6">
        <v>23.98</v>
      </c>
      <c r="D10" s="6">
        <v>21.5</v>
      </c>
      <c r="E10" s="6">
        <v>6.55</v>
      </c>
      <c r="F10" s="6">
        <v>3.33</v>
      </c>
      <c r="G10" s="6">
        <v>70.83</v>
      </c>
      <c r="H10" s="6">
        <v>36.729999999999997</v>
      </c>
      <c r="I10" s="6">
        <v>13.02</v>
      </c>
      <c r="J10" s="6">
        <v>0.18</v>
      </c>
      <c r="K10" s="6">
        <v>178.34</v>
      </c>
      <c r="L10" s="6">
        <v>16.600000000000001</v>
      </c>
      <c r="M10" s="6">
        <v>82.18</v>
      </c>
      <c r="N10" s="6">
        <v>0</v>
      </c>
      <c r="O10" s="6">
        <v>0</v>
      </c>
      <c r="P10" s="6">
        <v>1.07</v>
      </c>
      <c r="Q10" s="6">
        <v>4.82</v>
      </c>
    </row>
    <row r="11" spans="1:21" customFormat="1">
      <c r="A11" s="72">
        <v>45321.03125</v>
      </c>
      <c r="B11" s="6">
        <v>9.49</v>
      </c>
      <c r="C11" s="6">
        <v>24.34</v>
      </c>
      <c r="D11" s="6">
        <v>21.68</v>
      </c>
      <c r="E11" s="6">
        <v>6.75</v>
      </c>
      <c r="F11" s="6">
        <v>3.13</v>
      </c>
      <c r="G11" s="6">
        <v>69.89</v>
      </c>
      <c r="H11" s="6">
        <v>36.729999999999997</v>
      </c>
      <c r="I11" s="6">
        <v>12.93</v>
      </c>
      <c r="J11" s="6">
        <v>0.12</v>
      </c>
      <c r="K11" s="6">
        <v>166.97</v>
      </c>
      <c r="L11" s="6">
        <v>16.46</v>
      </c>
      <c r="M11" s="6">
        <v>84.15</v>
      </c>
      <c r="N11" s="6">
        <v>0</v>
      </c>
      <c r="O11" s="6">
        <v>0</v>
      </c>
      <c r="P11" s="6">
        <v>1.06</v>
      </c>
      <c r="Q11" s="6">
        <v>4.82</v>
      </c>
    </row>
    <row r="12" spans="1:21" customFormat="1">
      <c r="A12" s="72">
        <v>45321.041666666664</v>
      </c>
      <c r="B12" s="6">
        <v>9.4700000000000006</v>
      </c>
      <c r="C12" s="6">
        <v>23.49</v>
      </c>
      <c r="D12" s="6">
        <v>21.22</v>
      </c>
      <c r="E12" s="6">
        <v>6.46</v>
      </c>
      <c r="F12" s="6">
        <v>3.36</v>
      </c>
      <c r="G12" s="6">
        <v>69.89</v>
      </c>
      <c r="H12" s="6">
        <v>36.729999999999997</v>
      </c>
      <c r="I12" s="6">
        <v>12.83</v>
      </c>
      <c r="J12" s="6">
        <v>0.09</v>
      </c>
      <c r="K12" s="6">
        <v>167.2</v>
      </c>
      <c r="L12" s="6">
        <v>16.55</v>
      </c>
      <c r="M12" s="6">
        <v>82.18</v>
      </c>
      <c r="N12" s="6">
        <v>0</v>
      </c>
      <c r="O12" s="6">
        <v>0</v>
      </c>
      <c r="P12" s="6">
        <v>1.06</v>
      </c>
      <c r="Q12" s="6">
        <v>4.84</v>
      </c>
    </row>
    <row r="13" spans="1:21" customFormat="1">
      <c r="A13" s="72">
        <v>45321.052083333336</v>
      </c>
      <c r="B13" s="6">
        <v>9.51</v>
      </c>
      <c r="C13" s="6">
        <v>23.63</v>
      </c>
      <c r="D13" s="6">
        <v>21.32</v>
      </c>
      <c r="E13" s="6">
        <v>6.33</v>
      </c>
      <c r="F13" s="6">
        <v>3.34</v>
      </c>
      <c r="G13" s="6">
        <v>69.89</v>
      </c>
      <c r="H13" s="6">
        <v>36.729999999999997</v>
      </c>
      <c r="I13" s="6">
        <v>12.74</v>
      </c>
      <c r="J13" s="6">
        <v>0.13</v>
      </c>
      <c r="K13" s="6">
        <v>187.34</v>
      </c>
      <c r="L13" s="6">
        <v>16.510000000000002</v>
      </c>
      <c r="M13" s="6">
        <v>82.17</v>
      </c>
      <c r="N13" s="6">
        <v>0</v>
      </c>
      <c r="O13" s="6">
        <v>0</v>
      </c>
      <c r="P13" s="6">
        <v>1.05</v>
      </c>
      <c r="Q13" s="6">
        <v>4.82</v>
      </c>
    </row>
    <row r="14" spans="1:21" customFormat="1">
      <c r="A14" s="72">
        <v>45321.0625</v>
      </c>
      <c r="B14" s="6">
        <v>9.5299999999999994</v>
      </c>
      <c r="C14" s="6">
        <v>23.08</v>
      </c>
      <c r="D14" s="6">
        <v>21.05</v>
      </c>
      <c r="E14" s="6">
        <v>6.3</v>
      </c>
      <c r="F14" s="6">
        <v>3.31</v>
      </c>
      <c r="G14" s="6">
        <v>67.81</v>
      </c>
      <c r="H14" s="6">
        <v>35.630000000000003</v>
      </c>
      <c r="I14" s="6">
        <v>12.64</v>
      </c>
      <c r="J14" s="6">
        <v>0.16</v>
      </c>
      <c r="K14" s="6">
        <v>167.63</v>
      </c>
      <c r="L14" s="6">
        <v>16.36</v>
      </c>
      <c r="M14" s="6">
        <v>84.61</v>
      </c>
      <c r="N14" s="6">
        <v>0</v>
      </c>
      <c r="O14" s="6">
        <v>0</v>
      </c>
      <c r="P14" s="6">
        <v>1.04</v>
      </c>
      <c r="Q14" s="6">
        <v>4.82</v>
      </c>
    </row>
    <row r="15" spans="1:21" customFormat="1">
      <c r="A15" s="72">
        <v>45321.072916666664</v>
      </c>
      <c r="B15" s="6">
        <v>9.48</v>
      </c>
      <c r="C15" s="6">
        <v>22.96</v>
      </c>
      <c r="D15" s="6">
        <v>20.95</v>
      </c>
      <c r="E15" s="6">
        <v>6.8</v>
      </c>
      <c r="F15" s="6">
        <v>3.36</v>
      </c>
      <c r="G15" s="6">
        <v>67.55</v>
      </c>
      <c r="H15" s="6">
        <v>35.630000000000003</v>
      </c>
      <c r="I15" s="6">
        <v>12.47</v>
      </c>
      <c r="J15" s="6">
        <v>0.16</v>
      </c>
      <c r="K15" s="6">
        <v>154.16</v>
      </c>
      <c r="L15" s="6">
        <v>16.04</v>
      </c>
      <c r="M15" s="6">
        <v>87.22</v>
      </c>
      <c r="N15" s="6">
        <v>0</v>
      </c>
      <c r="O15" s="6">
        <v>0</v>
      </c>
      <c r="P15" s="6">
        <v>1.02</v>
      </c>
      <c r="Q15" s="6">
        <v>4.82</v>
      </c>
    </row>
    <row r="16" spans="1:21" customFormat="1">
      <c r="A16" s="72">
        <v>45321.083333333336</v>
      </c>
      <c r="B16" s="6">
        <v>9.56</v>
      </c>
      <c r="C16" s="6">
        <v>22.94</v>
      </c>
      <c r="D16" s="6">
        <v>21</v>
      </c>
      <c r="E16" s="6">
        <v>6.55</v>
      </c>
      <c r="F16" s="6">
        <v>3.32</v>
      </c>
      <c r="G16" s="6">
        <v>67.55</v>
      </c>
      <c r="H16" s="6">
        <v>35.630000000000003</v>
      </c>
      <c r="I16" s="6">
        <v>12.26</v>
      </c>
      <c r="J16" s="6">
        <v>0.14000000000000001</v>
      </c>
      <c r="K16" s="6">
        <v>155.66999999999999</v>
      </c>
      <c r="L16" s="6">
        <v>16.28</v>
      </c>
      <c r="M16" s="6">
        <v>84.63</v>
      </c>
      <c r="N16" s="6">
        <v>0</v>
      </c>
      <c r="O16" s="6">
        <v>0</v>
      </c>
      <c r="P16" s="6">
        <v>1.01</v>
      </c>
      <c r="Q16" s="6">
        <v>4.82</v>
      </c>
    </row>
    <row r="17" spans="1:17" customFormat="1">
      <c r="A17" s="72">
        <v>45321.09375</v>
      </c>
      <c r="B17" s="6">
        <v>9.4700000000000006</v>
      </c>
      <c r="C17" s="6">
        <v>22.92</v>
      </c>
      <c r="D17" s="6">
        <v>20.92</v>
      </c>
      <c r="E17" s="6">
        <v>4.25</v>
      </c>
      <c r="F17" s="6">
        <v>3.32</v>
      </c>
      <c r="G17" s="6">
        <v>67.55</v>
      </c>
      <c r="H17" s="6">
        <v>35.630000000000003</v>
      </c>
      <c r="I17" s="6">
        <v>12.08</v>
      </c>
      <c r="J17" s="6">
        <v>0.15</v>
      </c>
      <c r="K17" s="6">
        <v>174.04</v>
      </c>
      <c r="L17" s="6">
        <v>16.23</v>
      </c>
      <c r="M17" s="6">
        <v>84.53</v>
      </c>
      <c r="N17" s="6">
        <v>0</v>
      </c>
      <c r="O17" s="6">
        <v>0</v>
      </c>
      <c r="P17" s="6">
        <v>0.99</v>
      </c>
      <c r="Q17" s="6">
        <v>4.8099999999999996</v>
      </c>
    </row>
    <row r="18" spans="1:17" customFormat="1">
      <c r="A18" s="72">
        <v>45321.104166666664</v>
      </c>
      <c r="B18" s="6">
        <v>9.43</v>
      </c>
      <c r="C18" s="6">
        <v>22.18</v>
      </c>
      <c r="D18" s="6">
        <v>20.51</v>
      </c>
      <c r="E18" s="6">
        <v>5.12</v>
      </c>
      <c r="F18" s="6">
        <v>3.39</v>
      </c>
      <c r="G18" s="6">
        <v>61.18</v>
      </c>
      <c r="H18" s="6">
        <v>37.090000000000003</v>
      </c>
      <c r="I18" s="6">
        <v>11.9</v>
      </c>
      <c r="J18" s="6">
        <v>0.11</v>
      </c>
      <c r="K18" s="6">
        <v>159.63</v>
      </c>
      <c r="L18" s="6">
        <v>16.13</v>
      </c>
      <c r="M18" s="6">
        <v>83</v>
      </c>
      <c r="N18" s="6">
        <v>0</v>
      </c>
      <c r="O18" s="6">
        <v>0</v>
      </c>
      <c r="P18" s="6">
        <v>0.98</v>
      </c>
      <c r="Q18" s="6">
        <v>4.8099999999999996</v>
      </c>
    </row>
    <row r="19" spans="1:17" customFormat="1">
      <c r="A19" s="72">
        <v>45321.114583333336</v>
      </c>
      <c r="B19" s="6">
        <v>9.33</v>
      </c>
      <c r="C19" s="6">
        <v>22.24</v>
      </c>
      <c r="D19" s="6">
        <v>20.45</v>
      </c>
      <c r="E19" s="6">
        <v>5.33</v>
      </c>
      <c r="F19" s="6">
        <v>3.36</v>
      </c>
      <c r="G19" s="6">
        <v>60.39</v>
      </c>
      <c r="H19" s="6">
        <v>37.090000000000003</v>
      </c>
      <c r="I19" s="6">
        <v>11.66</v>
      </c>
      <c r="J19" s="6">
        <v>0.18</v>
      </c>
      <c r="K19" s="6">
        <v>164.54</v>
      </c>
      <c r="L19" s="6">
        <v>16.07</v>
      </c>
      <c r="M19" s="6">
        <v>85.63</v>
      </c>
      <c r="N19" s="6">
        <v>0</v>
      </c>
      <c r="O19" s="6">
        <v>0</v>
      </c>
      <c r="P19" s="6">
        <v>0.96</v>
      </c>
      <c r="Q19" s="6">
        <v>4.83</v>
      </c>
    </row>
    <row r="20" spans="1:17" customFormat="1">
      <c r="A20" s="72">
        <v>45321.125</v>
      </c>
      <c r="B20" s="6">
        <v>9.14</v>
      </c>
      <c r="C20" s="6">
        <v>21.44</v>
      </c>
      <c r="D20" s="6">
        <v>19.89</v>
      </c>
      <c r="E20" s="6">
        <v>5.34</v>
      </c>
      <c r="F20" s="6">
        <v>3.49</v>
      </c>
      <c r="G20" s="6">
        <v>60.39</v>
      </c>
      <c r="H20" s="6">
        <v>37.090000000000003</v>
      </c>
      <c r="I20" s="6">
        <v>11.46</v>
      </c>
      <c r="J20" s="6">
        <v>0.15</v>
      </c>
      <c r="K20" s="6">
        <v>190.43</v>
      </c>
      <c r="L20" s="6">
        <v>15.92</v>
      </c>
      <c r="M20" s="6">
        <v>85.67</v>
      </c>
      <c r="N20" s="6">
        <v>0</v>
      </c>
      <c r="O20" s="6">
        <v>0</v>
      </c>
      <c r="P20" s="6">
        <v>0.94</v>
      </c>
      <c r="Q20" s="6">
        <v>4.82</v>
      </c>
    </row>
    <row r="21" spans="1:17" customFormat="1">
      <c r="A21" s="72">
        <v>45321.135416666664</v>
      </c>
      <c r="B21" s="6">
        <v>8.9700000000000006</v>
      </c>
      <c r="C21" s="6">
        <v>21.45</v>
      </c>
      <c r="D21" s="6">
        <v>19.75</v>
      </c>
      <c r="E21" s="6">
        <v>5.56</v>
      </c>
      <c r="F21" s="6">
        <v>3.54</v>
      </c>
      <c r="G21" s="6">
        <v>60.39</v>
      </c>
      <c r="H21" s="6">
        <v>37.090000000000003</v>
      </c>
      <c r="I21" s="6">
        <v>11.29</v>
      </c>
      <c r="J21" s="6">
        <v>0.1</v>
      </c>
      <c r="K21" s="6">
        <v>182.69</v>
      </c>
      <c r="L21" s="6">
        <v>15.63</v>
      </c>
      <c r="M21" s="6">
        <v>86.53</v>
      </c>
      <c r="N21" s="6">
        <v>0</v>
      </c>
      <c r="O21" s="6">
        <v>0</v>
      </c>
      <c r="P21" s="6">
        <v>0.93</v>
      </c>
      <c r="Q21" s="6">
        <v>4.8099999999999996</v>
      </c>
    </row>
    <row r="22" spans="1:17" customFormat="1">
      <c r="A22" s="72">
        <v>45321.145833333336</v>
      </c>
      <c r="B22" s="6">
        <v>9.0299999999999994</v>
      </c>
      <c r="C22" s="6">
        <v>21.74</v>
      </c>
      <c r="D22" s="6">
        <v>19.96</v>
      </c>
      <c r="E22" s="6">
        <v>5.25</v>
      </c>
      <c r="F22" s="6">
        <v>3.35</v>
      </c>
      <c r="G22" s="6">
        <v>58.85</v>
      </c>
      <c r="H22" s="6">
        <v>35.31</v>
      </c>
      <c r="I22" s="6">
        <v>11.08</v>
      </c>
      <c r="J22" s="6">
        <v>0.18</v>
      </c>
      <c r="K22" s="6">
        <v>88.08</v>
      </c>
      <c r="L22" s="6">
        <v>15.67</v>
      </c>
      <c r="M22" s="6">
        <v>84.77</v>
      </c>
      <c r="N22" s="6">
        <v>0</v>
      </c>
      <c r="O22" s="6">
        <v>0</v>
      </c>
      <c r="P22" s="6">
        <v>0.93</v>
      </c>
      <c r="Q22" s="6">
        <v>4.82</v>
      </c>
    </row>
    <row r="23" spans="1:17" customFormat="1">
      <c r="A23" s="72">
        <v>45321.15625</v>
      </c>
      <c r="B23" s="6">
        <v>10.43</v>
      </c>
      <c r="C23" s="6">
        <v>22.88</v>
      </c>
      <c r="D23" s="6">
        <v>21.67</v>
      </c>
      <c r="E23" s="6">
        <v>5.37</v>
      </c>
      <c r="F23" s="6">
        <v>3.19</v>
      </c>
      <c r="G23" s="6">
        <v>58.65</v>
      </c>
      <c r="H23" s="6">
        <v>35.31</v>
      </c>
      <c r="I23" s="6">
        <v>10.88</v>
      </c>
      <c r="J23" s="6">
        <v>0.16</v>
      </c>
      <c r="K23" s="6">
        <v>170.35</v>
      </c>
      <c r="L23" s="6">
        <v>16.11</v>
      </c>
      <c r="M23" s="6">
        <v>83.07</v>
      </c>
      <c r="N23" s="6">
        <v>0</v>
      </c>
      <c r="O23" s="6">
        <v>0</v>
      </c>
      <c r="P23" s="6">
        <v>0.91</v>
      </c>
      <c r="Q23" s="6">
        <v>4.82</v>
      </c>
    </row>
    <row r="24" spans="1:17" customFormat="1">
      <c r="A24" s="72">
        <v>45321.166666666664</v>
      </c>
      <c r="B24" s="6">
        <v>12.21</v>
      </c>
      <c r="C24" s="6">
        <v>23.96</v>
      </c>
      <c r="D24" s="6">
        <v>23.66</v>
      </c>
      <c r="E24" s="6">
        <v>5.38</v>
      </c>
      <c r="F24" s="6">
        <v>3.21</v>
      </c>
      <c r="G24" s="6">
        <v>58.65</v>
      </c>
      <c r="H24" s="6">
        <v>35.31</v>
      </c>
      <c r="I24" s="6">
        <v>10.7</v>
      </c>
      <c r="J24" s="6">
        <v>0.51</v>
      </c>
      <c r="K24" s="6">
        <v>33.049999999999997</v>
      </c>
      <c r="L24" s="6">
        <v>16.12</v>
      </c>
      <c r="M24" s="6">
        <v>81.150000000000006</v>
      </c>
      <c r="N24" s="6">
        <v>0</v>
      </c>
      <c r="O24" s="6">
        <v>0</v>
      </c>
      <c r="P24" s="6">
        <v>0.9</v>
      </c>
      <c r="Q24" s="6">
        <v>4.84</v>
      </c>
    </row>
    <row r="25" spans="1:17" customFormat="1">
      <c r="A25" s="72">
        <v>45321.177083333336</v>
      </c>
      <c r="B25" s="6">
        <v>13.02</v>
      </c>
      <c r="C25" s="6">
        <v>24.58</v>
      </c>
      <c r="D25" s="6">
        <v>24.64</v>
      </c>
      <c r="E25" s="6">
        <v>5.13</v>
      </c>
      <c r="F25" s="6">
        <v>3.32</v>
      </c>
      <c r="G25" s="6">
        <v>58.65</v>
      </c>
      <c r="H25" s="6">
        <v>35.31</v>
      </c>
      <c r="I25" s="6">
        <v>10.53</v>
      </c>
      <c r="J25" s="6">
        <v>0.46</v>
      </c>
      <c r="K25" s="6">
        <v>61.99</v>
      </c>
      <c r="L25" s="6">
        <v>16.32</v>
      </c>
      <c r="M25" s="6">
        <v>79.099999999999994</v>
      </c>
      <c r="N25" s="6">
        <v>0</v>
      </c>
      <c r="O25" s="6">
        <v>0</v>
      </c>
      <c r="P25" s="6">
        <v>0.89</v>
      </c>
      <c r="Q25" s="6">
        <v>4.8499999999999996</v>
      </c>
    </row>
    <row r="26" spans="1:17" customFormat="1">
      <c r="A26" s="72">
        <v>45321.1875</v>
      </c>
      <c r="B26" s="6">
        <v>13.75</v>
      </c>
      <c r="C26" s="6">
        <v>25.69</v>
      </c>
      <c r="D26" s="6">
        <v>25.8</v>
      </c>
      <c r="E26" s="6">
        <v>5.77</v>
      </c>
      <c r="F26" s="6">
        <v>3.24</v>
      </c>
      <c r="G26" s="6">
        <v>59.6</v>
      </c>
      <c r="H26" s="6">
        <v>35.24</v>
      </c>
      <c r="I26" s="6">
        <v>10.38</v>
      </c>
      <c r="J26" s="6">
        <v>0.3</v>
      </c>
      <c r="K26" s="6">
        <v>58.26</v>
      </c>
      <c r="L26" s="6">
        <v>16.75</v>
      </c>
      <c r="M26" s="6">
        <v>77.34</v>
      </c>
      <c r="N26" s="6">
        <v>0</v>
      </c>
      <c r="O26" s="6">
        <v>0</v>
      </c>
      <c r="P26" s="6">
        <v>0.9</v>
      </c>
      <c r="Q26" s="6">
        <v>4.8600000000000003</v>
      </c>
    </row>
    <row r="27" spans="1:17" customFormat="1">
      <c r="A27" s="72">
        <v>45321.197916666664</v>
      </c>
      <c r="B27" s="6">
        <v>14.33</v>
      </c>
      <c r="C27" s="6">
        <v>26.36</v>
      </c>
      <c r="D27" s="6">
        <v>26.62</v>
      </c>
      <c r="E27" s="6">
        <v>5.6</v>
      </c>
      <c r="F27" s="6">
        <v>3.27</v>
      </c>
      <c r="G27" s="6">
        <v>59.72</v>
      </c>
      <c r="H27" s="6">
        <v>35.24</v>
      </c>
      <c r="I27" s="6">
        <v>10.25</v>
      </c>
      <c r="J27" s="6">
        <v>0.2</v>
      </c>
      <c r="K27" s="6">
        <v>171.5</v>
      </c>
      <c r="L27" s="6">
        <v>16.64</v>
      </c>
      <c r="M27" s="6">
        <v>79.16</v>
      </c>
      <c r="N27" s="6">
        <v>0</v>
      </c>
      <c r="O27" s="6">
        <v>0</v>
      </c>
      <c r="P27" s="6">
        <v>0.89</v>
      </c>
      <c r="Q27" s="6">
        <v>4.88</v>
      </c>
    </row>
    <row r="28" spans="1:17" customFormat="1">
      <c r="A28" s="72">
        <v>45321.208333333336</v>
      </c>
      <c r="B28" s="6">
        <v>14.93</v>
      </c>
      <c r="C28" s="6">
        <v>26.85</v>
      </c>
      <c r="D28" s="6">
        <v>27.35</v>
      </c>
      <c r="E28" s="6">
        <v>5.88</v>
      </c>
      <c r="F28" s="6">
        <v>3.37</v>
      </c>
      <c r="G28" s="6">
        <v>59.72</v>
      </c>
      <c r="H28" s="6">
        <v>35.24</v>
      </c>
      <c r="I28" s="6">
        <v>10.15</v>
      </c>
      <c r="J28" s="6">
        <v>0.13</v>
      </c>
      <c r="K28" s="6">
        <v>54.01</v>
      </c>
      <c r="L28" s="6">
        <v>16.64</v>
      </c>
      <c r="M28" s="6">
        <v>77.989999999999995</v>
      </c>
      <c r="N28" s="6">
        <v>0</v>
      </c>
      <c r="O28" s="6">
        <v>0</v>
      </c>
      <c r="P28" s="6">
        <v>0.88</v>
      </c>
      <c r="Q28" s="6">
        <v>4.9000000000000004</v>
      </c>
    </row>
    <row r="29" spans="1:17" customFormat="1">
      <c r="A29" s="72">
        <v>45321.21875</v>
      </c>
      <c r="B29" s="6">
        <v>16.68</v>
      </c>
      <c r="C29" s="6">
        <v>27.78</v>
      </c>
      <c r="D29" s="6">
        <v>29.24</v>
      </c>
      <c r="E29" s="6">
        <v>5.56</v>
      </c>
      <c r="F29" s="6">
        <v>3.3</v>
      </c>
      <c r="G29" s="6">
        <v>59.72</v>
      </c>
      <c r="H29" s="6">
        <v>35.24</v>
      </c>
      <c r="I29" s="6">
        <v>10.15</v>
      </c>
      <c r="J29" s="6">
        <v>0.49</v>
      </c>
      <c r="K29" s="6">
        <v>67.3</v>
      </c>
      <c r="L29" s="6">
        <v>16.829999999999998</v>
      </c>
      <c r="M29" s="6">
        <v>75.81</v>
      </c>
      <c r="N29" s="6">
        <v>0</v>
      </c>
      <c r="O29" s="6">
        <v>0</v>
      </c>
      <c r="P29" s="6">
        <v>0.89</v>
      </c>
      <c r="Q29" s="6">
        <v>4.92</v>
      </c>
    </row>
    <row r="30" spans="1:17" customFormat="1">
      <c r="A30" s="72">
        <v>45321.229166666664</v>
      </c>
      <c r="B30" s="6">
        <v>18.28</v>
      </c>
      <c r="C30" s="6">
        <v>28.83</v>
      </c>
      <c r="D30" s="6">
        <v>31.08</v>
      </c>
      <c r="E30" s="6">
        <v>5.74</v>
      </c>
      <c r="F30" s="6">
        <v>3.21</v>
      </c>
      <c r="G30" s="6">
        <v>63.31</v>
      </c>
      <c r="H30" s="6">
        <v>36.9</v>
      </c>
      <c r="I30" s="6">
        <v>10.210000000000001</v>
      </c>
      <c r="J30" s="6">
        <v>0.21</v>
      </c>
      <c r="K30" s="6">
        <v>168.75</v>
      </c>
      <c r="L30" s="6">
        <v>16.690000000000001</v>
      </c>
      <c r="M30" s="6">
        <v>78.77</v>
      </c>
      <c r="N30" s="6">
        <v>0</v>
      </c>
      <c r="O30" s="6">
        <v>0</v>
      </c>
      <c r="P30" s="6">
        <v>0.9</v>
      </c>
      <c r="Q30" s="6">
        <v>4.93</v>
      </c>
    </row>
    <row r="31" spans="1:17" customFormat="1">
      <c r="A31" s="72">
        <v>45321.239583333336</v>
      </c>
      <c r="B31" s="6">
        <v>19.18</v>
      </c>
      <c r="C31" s="6">
        <v>28.98</v>
      </c>
      <c r="D31" s="6">
        <v>31.88</v>
      </c>
      <c r="E31" s="6">
        <v>5.87</v>
      </c>
      <c r="F31" s="6">
        <v>3.26</v>
      </c>
      <c r="G31" s="6">
        <v>63.76</v>
      </c>
      <c r="H31" s="6">
        <v>36.9</v>
      </c>
      <c r="I31" s="6">
        <v>10.3</v>
      </c>
      <c r="J31" s="6">
        <v>0.43</v>
      </c>
      <c r="K31" s="6">
        <v>174.98</v>
      </c>
      <c r="L31" s="6">
        <v>15.74</v>
      </c>
      <c r="M31" s="6">
        <v>85.5</v>
      </c>
      <c r="N31" s="6">
        <v>0</v>
      </c>
      <c r="O31" s="6">
        <v>0</v>
      </c>
      <c r="P31" s="6">
        <v>0.9</v>
      </c>
      <c r="Q31" s="6">
        <v>4.9400000000000004</v>
      </c>
    </row>
    <row r="32" spans="1:17" customFormat="1">
      <c r="A32" s="72">
        <v>45321.25</v>
      </c>
      <c r="B32" s="6">
        <v>18.93</v>
      </c>
      <c r="C32" s="6">
        <v>28.83</v>
      </c>
      <c r="D32" s="6">
        <v>31.59</v>
      </c>
      <c r="E32" s="6">
        <v>5.77</v>
      </c>
      <c r="F32" s="6">
        <v>3.29</v>
      </c>
      <c r="G32" s="6">
        <v>63.76</v>
      </c>
      <c r="H32" s="6">
        <v>36.9</v>
      </c>
      <c r="I32" s="6">
        <v>10.43</v>
      </c>
      <c r="J32" s="6">
        <v>0.31</v>
      </c>
      <c r="K32" s="6">
        <v>185.56</v>
      </c>
      <c r="L32" s="6">
        <v>15.3</v>
      </c>
      <c r="M32" s="6">
        <v>87.2</v>
      </c>
      <c r="N32" s="6">
        <v>0</v>
      </c>
      <c r="O32" s="6">
        <v>0</v>
      </c>
      <c r="P32" s="6">
        <v>0.9</v>
      </c>
      <c r="Q32" s="6">
        <v>4.95</v>
      </c>
    </row>
    <row r="33" spans="1:17" customFormat="1">
      <c r="A33" s="72">
        <v>45321.260416666664</v>
      </c>
      <c r="B33" s="6">
        <v>18.25</v>
      </c>
      <c r="C33" s="6">
        <v>28.54</v>
      </c>
      <c r="D33" s="6">
        <v>30.9</v>
      </c>
      <c r="E33" s="6">
        <v>6.18</v>
      </c>
      <c r="F33" s="6">
        <v>3.32</v>
      </c>
      <c r="G33" s="6">
        <v>63.76</v>
      </c>
      <c r="H33" s="6">
        <v>36.9</v>
      </c>
      <c r="I33" s="6">
        <v>10.52</v>
      </c>
      <c r="J33" s="6">
        <v>0.15</v>
      </c>
      <c r="K33" s="6">
        <v>200.3</v>
      </c>
      <c r="L33" s="6">
        <v>15.14</v>
      </c>
      <c r="M33" s="6">
        <v>89.26</v>
      </c>
      <c r="N33" s="6">
        <v>0</v>
      </c>
      <c r="O33" s="6">
        <v>0</v>
      </c>
      <c r="P33" s="6">
        <v>0.9</v>
      </c>
      <c r="Q33" s="6">
        <v>4.93</v>
      </c>
    </row>
    <row r="34" spans="1:17" customFormat="1">
      <c r="A34" s="72">
        <v>45321.270833333336</v>
      </c>
      <c r="B34" s="6">
        <v>17.61</v>
      </c>
      <c r="C34" s="6">
        <v>28.2</v>
      </c>
      <c r="D34" s="6">
        <v>30.21</v>
      </c>
      <c r="E34" s="6">
        <v>6.08</v>
      </c>
      <c r="F34" s="6">
        <v>3.3</v>
      </c>
      <c r="G34" s="6">
        <v>64.52</v>
      </c>
      <c r="H34" s="6">
        <v>34.99</v>
      </c>
      <c r="I34" s="6">
        <v>10.53</v>
      </c>
      <c r="J34" s="6">
        <v>0.21</v>
      </c>
      <c r="K34" s="6">
        <v>251.26</v>
      </c>
      <c r="L34" s="6">
        <v>14.97</v>
      </c>
      <c r="M34" s="6">
        <v>89.19</v>
      </c>
      <c r="N34" s="6">
        <v>0</v>
      </c>
      <c r="O34" s="6">
        <v>0</v>
      </c>
      <c r="P34" s="6">
        <v>0.89</v>
      </c>
      <c r="Q34" s="6">
        <v>4.92</v>
      </c>
    </row>
    <row r="35" spans="1:17" customFormat="1">
      <c r="A35" s="72">
        <v>45321.28125</v>
      </c>
      <c r="B35" s="6">
        <v>17.100000000000001</v>
      </c>
      <c r="C35" s="6">
        <v>27.74</v>
      </c>
      <c r="D35" s="6">
        <v>29.56</v>
      </c>
      <c r="E35" s="6">
        <v>5.4</v>
      </c>
      <c r="F35" s="6">
        <v>3.34</v>
      </c>
      <c r="G35" s="6">
        <v>64.62</v>
      </c>
      <c r="H35" s="6">
        <v>34.99</v>
      </c>
      <c r="I35" s="6">
        <v>10.51</v>
      </c>
      <c r="J35" s="6">
        <v>0.05</v>
      </c>
      <c r="K35" s="6">
        <v>237.46</v>
      </c>
      <c r="L35" s="6">
        <v>15.1</v>
      </c>
      <c r="M35" s="6">
        <v>87.18</v>
      </c>
      <c r="N35" s="6">
        <v>0</v>
      </c>
      <c r="O35" s="6">
        <v>0</v>
      </c>
      <c r="P35" s="6">
        <v>0.89</v>
      </c>
      <c r="Q35" s="6">
        <v>4.9400000000000004</v>
      </c>
    </row>
    <row r="36" spans="1:17" customFormat="1">
      <c r="A36" s="72">
        <v>45321.291666666664</v>
      </c>
      <c r="B36" s="6">
        <v>18.71</v>
      </c>
      <c r="C36" s="6">
        <v>27.98</v>
      </c>
      <c r="D36" s="6">
        <v>30.97</v>
      </c>
      <c r="E36" s="6">
        <v>5.69</v>
      </c>
      <c r="F36" s="6">
        <v>3.14</v>
      </c>
      <c r="G36" s="6">
        <v>64.62</v>
      </c>
      <c r="H36" s="6">
        <v>34.99</v>
      </c>
      <c r="I36" s="6">
        <v>10.49</v>
      </c>
      <c r="J36" s="6">
        <v>0.16</v>
      </c>
      <c r="K36" s="6">
        <v>155.63999999999999</v>
      </c>
      <c r="L36" s="6">
        <v>15.52</v>
      </c>
      <c r="M36" s="6">
        <v>85.65</v>
      </c>
      <c r="N36" s="6">
        <v>6.7</v>
      </c>
      <c r="O36" s="6">
        <v>0</v>
      </c>
      <c r="P36" s="6">
        <v>0.89</v>
      </c>
      <c r="Q36" s="6">
        <v>4.9400000000000004</v>
      </c>
    </row>
    <row r="37" spans="1:17" customFormat="1">
      <c r="A37" s="72">
        <v>45321.302083333336</v>
      </c>
      <c r="B37" s="6">
        <v>22.1</v>
      </c>
      <c r="C37" s="6">
        <v>28.71</v>
      </c>
      <c r="D37" s="6">
        <v>34.07</v>
      </c>
      <c r="E37" s="6">
        <v>6.33</v>
      </c>
      <c r="F37" s="6">
        <v>3.15</v>
      </c>
      <c r="G37" s="6">
        <v>64.62</v>
      </c>
      <c r="H37" s="6">
        <v>34.99</v>
      </c>
      <c r="I37" s="6">
        <v>10.49</v>
      </c>
      <c r="J37" s="6">
        <v>0.17</v>
      </c>
      <c r="K37" s="6">
        <v>158.55000000000001</v>
      </c>
      <c r="L37" s="6">
        <v>15.72</v>
      </c>
      <c r="M37" s="6">
        <v>86.9</v>
      </c>
      <c r="N37" s="6">
        <v>20.5</v>
      </c>
      <c r="O37" s="6">
        <v>0</v>
      </c>
      <c r="P37" s="6">
        <v>0.9</v>
      </c>
      <c r="Q37" s="6">
        <v>4.96</v>
      </c>
    </row>
    <row r="38" spans="1:17" customFormat="1">
      <c r="A38" s="72">
        <v>45321.3125</v>
      </c>
      <c r="B38" s="6">
        <v>24.57</v>
      </c>
      <c r="C38" s="6">
        <v>29.1</v>
      </c>
      <c r="D38" s="6">
        <v>36.26</v>
      </c>
      <c r="E38" s="6">
        <v>6.12</v>
      </c>
      <c r="F38" s="6">
        <v>3.17</v>
      </c>
      <c r="G38" s="6">
        <v>70.62</v>
      </c>
      <c r="H38" s="6">
        <v>36.479999999999997</v>
      </c>
      <c r="I38" s="6">
        <v>10.55</v>
      </c>
      <c r="J38" s="6">
        <v>0.16</v>
      </c>
      <c r="K38" s="6">
        <v>184.25</v>
      </c>
      <c r="L38" s="6">
        <v>16.260000000000002</v>
      </c>
      <c r="M38" s="6">
        <v>86.38</v>
      </c>
      <c r="N38" s="6">
        <v>33.6</v>
      </c>
      <c r="O38" s="6">
        <v>0</v>
      </c>
      <c r="P38" s="6">
        <v>0.91</v>
      </c>
      <c r="Q38" s="6">
        <v>4.97</v>
      </c>
    </row>
    <row r="39" spans="1:17" customFormat="1">
      <c r="A39" s="72">
        <v>45321.322916666664</v>
      </c>
      <c r="B39" s="6">
        <v>25.57</v>
      </c>
      <c r="C39" s="6">
        <v>29.32</v>
      </c>
      <c r="D39" s="6">
        <v>37.17</v>
      </c>
      <c r="E39" s="6">
        <v>6.42</v>
      </c>
      <c r="F39" s="6">
        <v>3.26</v>
      </c>
      <c r="G39" s="6">
        <v>71.37</v>
      </c>
      <c r="H39" s="6">
        <v>36.479999999999997</v>
      </c>
      <c r="I39" s="6">
        <v>10.63</v>
      </c>
      <c r="J39" s="6">
        <v>0.15</v>
      </c>
      <c r="K39" s="6">
        <v>191.37</v>
      </c>
      <c r="L39" s="6">
        <v>16.77</v>
      </c>
      <c r="M39" s="6">
        <v>86.3</v>
      </c>
      <c r="N39" s="6">
        <v>49</v>
      </c>
      <c r="O39" s="6">
        <v>0</v>
      </c>
      <c r="P39" s="6">
        <v>0.92</v>
      </c>
      <c r="Q39" s="6">
        <v>4.99</v>
      </c>
    </row>
    <row r="40" spans="1:17" customFormat="1">
      <c r="A40" s="72">
        <v>45321.333333333336</v>
      </c>
      <c r="B40" s="6">
        <v>25.51</v>
      </c>
      <c r="C40" s="6">
        <v>29.8</v>
      </c>
      <c r="D40" s="6">
        <v>37.380000000000003</v>
      </c>
      <c r="E40" s="6">
        <v>6.61</v>
      </c>
      <c r="F40" s="6">
        <v>3.21</v>
      </c>
      <c r="G40" s="6">
        <v>71.37</v>
      </c>
      <c r="H40" s="6">
        <v>36.479999999999997</v>
      </c>
      <c r="I40" s="6">
        <v>10.7</v>
      </c>
      <c r="J40" s="6">
        <v>0.19</v>
      </c>
      <c r="K40" s="6">
        <v>250.25</v>
      </c>
      <c r="L40" s="6">
        <v>17.39</v>
      </c>
      <c r="M40" s="6">
        <v>81.17</v>
      </c>
      <c r="N40" s="6">
        <v>67.400000000000006</v>
      </c>
      <c r="O40" s="6">
        <v>0</v>
      </c>
      <c r="P40" s="6">
        <v>0.94</v>
      </c>
      <c r="Q40" s="6">
        <v>4.9800000000000004</v>
      </c>
    </row>
    <row r="41" spans="1:17" customFormat="1">
      <c r="A41" s="72">
        <v>45321.34375</v>
      </c>
      <c r="B41" s="6">
        <v>24.97</v>
      </c>
      <c r="C41" s="6">
        <v>27.82</v>
      </c>
      <c r="D41" s="6">
        <v>35.9</v>
      </c>
      <c r="E41" s="6">
        <v>5.74</v>
      </c>
      <c r="F41" s="6">
        <v>3.48</v>
      </c>
      <c r="G41" s="6">
        <v>71.37</v>
      </c>
      <c r="H41" s="6">
        <v>36.479999999999997</v>
      </c>
      <c r="I41" s="6">
        <v>10.81</v>
      </c>
      <c r="J41" s="6">
        <v>0.2</v>
      </c>
      <c r="K41" s="6">
        <v>280.64999999999998</v>
      </c>
      <c r="L41" s="6">
        <v>18.260000000000002</v>
      </c>
      <c r="M41" s="6">
        <v>75.38</v>
      </c>
      <c r="N41" s="6">
        <v>120.8</v>
      </c>
      <c r="O41" s="6">
        <v>0</v>
      </c>
      <c r="P41" s="6">
        <v>0.94</v>
      </c>
      <c r="Q41" s="6">
        <v>4.97</v>
      </c>
    </row>
    <row r="42" spans="1:17" customFormat="1">
      <c r="A42" s="72">
        <v>45321.354166666664</v>
      </c>
      <c r="B42" s="6">
        <v>24.44</v>
      </c>
      <c r="C42" s="6">
        <v>24.86</v>
      </c>
      <c r="D42" s="6">
        <v>33.94</v>
      </c>
      <c r="E42" s="6">
        <v>5.38</v>
      </c>
      <c r="F42" s="6">
        <v>3.55</v>
      </c>
      <c r="G42" s="6">
        <v>71.22</v>
      </c>
      <c r="H42" s="6">
        <v>38.14</v>
      </c>
      <c r="I42" s="6">
        <v>10.91</v>
      </c>
      <c r="J42" s="6">
        <v>0.17</v>
      </c>
      <c r="K42" s="6">
        <v>206.13</v>
      </c>
      <c r="L42" s="6">
        <v>19.440000000000001</v>
      </c>
      <c r="M42" s="6">
        <v>70.87</v>
      </c>
      <c r="N42" s="6">
        <v>157.4</v>
      </c>
      <c r="O42" s="6">
        <v>0</v>
      </c>
      <c r="P42" s="6">
        <v>0.93</v>
      </c>
      <c r="Q42" s="6">
        <v>4.97</v>
      </c>
    </row>
    <row r="43" spans="1:17" customFormat="1">
      <c r="A43" s="72">
        <v>45321.364583333336</v>
      </c>
      <c r="B43" s="6">
        <v>23.6</v>
      </c>
      <c r="C43" s="6">
        <v>25.61</v>
      </c>
      <c r="D43" s="6">
        <v>33.659999999999997</v>
      </c>
      <c r="E43" s="6">
        <v>5.34</v>
      </c>
      <c r="F43" s="6">
        <v>3.46</v>
      </c>
      <c r="G43" s="6">
        <v>71.2</v>
      </c>
      <c r="H43" s="6">
        <v>38.14</v>
      </c>
      <c r="I43" s="6">
        <v>10.95</v>
      </c>
      <c r="J43" s="6">
        <v>0.23</v>
      </c>
      <c r="K43" s="6">
        <v>178.81</v>
      </c>
      <c r="L43" s="6">
        <v>20.41</v>
      </c>
      <c r="M43" s="6">
        <v>67.84</v>
      </c>
      <c r="N43" s="6">
        <v>159.19999999999999</v>
      </c>
      <c r="O43" s="6">
        <v>0</v>
      </c>
      <c r="P43" s="6">
        <v>0.94</v>
      </c>
      <c r="Q43" s="6">
        <v>4.95</v>
      </c>
    </row>
    <row r="44" spans="1:17" customFormat="1">
      <c r="A44" s="72">
        <v>45321.375</v>
      </c>
      <c r="B44" s="6">
        <v>22.92</v>
      </c>
      <c r="C44" s="6">
        <v>25.92</v>
      </c>
      <c r="D44" s="6">
        <v>33.270000000000003</v>
      </c>
      <c r="E44" s="6">
        <v>5.17</v>
      </c>
      <c r="F44" s="6">
        <v>3.53</v>
      </c>
      <c r="G44" s="6">
        <v>71.2</v>
      </c>
      <c r="H44" s="6">
        <v>38.14</v>
      </c>
      <c r="I44" s="6">
        <v>11</v>
      </c>
      <c r="J44" s="6">
        <v>0.14000000000000001</v>
      </c>
      <c r="K44" s="6">
        <v>151.58000000000001</v>
      </c>
      <c r="L44" s="6">
        <v>21.49</v>
      </c>
      <c r="M44" s="6">
        <v>63.46</v>
      </c>
      <c r="N44" s="6">
        <v>212.7</v>
      </c>
      <c r="O44" s="6">
        <v>0</v>
      </c>
      <c r="P44" s="6">
        <v>0.95</v>
      </c>
      <c r="Q44" s="6">
        <v>4.95</v>
      </c>
    </row>
    <row r="45" spans="1:17" customFormat="1">
      <c r="A45" s="72">
        <v>45321.385416666664</v>
      </c>
      <c r="B45" s="6">
        <v>22.37</v>
      </c>
      <c r="C45" s="6">
        <v>27.35</v>
      </c>
      <c r="D45" s="6">
        <v>33.57</v>
      </c>
      <c r="E45" s="6">
        <v>5.97</v>
      </c>
      <c r="F45" s="6">
        <v>3.4</v>
      </c>
      <c r="G45" s="6">
        <v>71.2</v>
      </c>
      <c r="H45" s="6">
        <v>38.14</v>
      </c>
      <c r="I45" s="6">
        <v>11.15</v>
      </c>
      <c r="J45" s="6">
        <v>0.21</v>
      </c>
      <c r="K45" s="6">
        <v>20.85</v>
      </c>
      <c r="L45" s="6">
        <v>22.31</v>
      </c>
      <c r="M45" s="6">
        <v>60.62</v>
      </c>
      <c r="N45" s="6">
        <v>230.2</v>
      </c>
      <c r="O45" s="6">
        <v>0</v>
      </c>
      <c r="P45" s="6">
        <v>0.97</v>
      </c>
      <c r="Q45" s="6">
        <v>4.95</v>
      </c>
    </row>
    <row r="46" spans="1:17" customFormat="1">
      <c r="A46" s="72">
        <v>45321.395833333336</v>
      </c>
      <c r="B46" s="6">
        <v>22.12</v>
      </c>
      <c r="C46" s="6">
        <v>26.77</v>
      </c>
      <c r="D46" s="6">
        <v>33.08</v>
      </c>
      <c r="E46" s="6">
        <v>6.29</v>
      </c>
      <c r="F46" s="6">
        <v>3.25</v>
      </c>
      <c r="G46" s="6">
        <v>90.69</v>
      </c>
      <c r="H46" s="6">
        <v>50.38</v>
      </c>
      <c r="I46" s="6">
        <v>11.38</v>
      </c>
      <c r="J46" s="6">
        <v>0.16</v>
      </c>
      <c r="K46" s="6">
        <v>290.02999999999997</v>
      </c>
      <c r="L46" s="6">
        <v>23.3</v>
      </c>
      <c r="M46" s="6">
        <v>57.2</v>
      </c>
      <c r="N46" s="6">
        <v>277.39999999999998</v>
      </c>
      <c r="O46" s="6">
        <v>0</v>
      </c>
      <c r="P46" s="6">
        <v>0.99</v>
      </c>
      <c r="Q46" s="6">
        <v>4.95</v>
      </c>
    </row>
    <row r="47" spans="1:17" customFormat="1">
      <c r="A47" s="72">
        <v>45321.40625</v>
      </c>
      <c r="B47" s="6">
        <v>21.73</v>
      </c>
      <c r="C47" s="6">
        <v>27.8</v>
      </c>
      <c r="D47" s="6">
        <v>33.299999999999997</v>
      </c>
      <c r="E47" s="6">
        <v>6.39</v>
      </c>
      <c r="F47" s="6">
        <v>3.3</v>
      </c>
      <c r="G47" s="6">
        <v>93.13</v>
      </c>
      <c r="H47" s="6">
        <v>50.38</v>
      </c>
      <c r="I47" s="6">
        <v>11.59</v>
      </c>
      <c r="J47" s="6">
        <v>0.17</v>
      </c>
      <c r="K47" s="6">
        <v>50.27</v>
      </c>
      <c r="L47" s="6">
        <v>23.86</v>
      </c>
      <c r="M47" s="6">
        <v>55.25</v>
      </c>
      <c r="N47" s="6">
        <v>255.5</v>
      </c>
      <c r="O47" s="6">
        <v>0</v>
      </c>
      <c r="P47" s="6">
        <v>1.01</v>
      </c>
      <c r="Q47" s="6">
        <v>4.95</v>
      </c>
    </row>
    <row r="48" spans="1:17" customFormat="1">
      <c r="A48" s="72">
        <v>45321.416666666664</v>
      </c>
      <c r="B48" s="6">
        <v>21.24</v>
      </c>
      <c r="C48" s="6">
        <v>27.06</v>
      </c>
      <c r="D48" s="6">
        <v>32.520000000000003</v>
      </c>
      <c r="E48" s="6">
        <v>6.14</v>
      </c>
      <c r="F48" s="6">
        <v>3.55</v>
      </c>
      <c r="G48" s="6">
        <v>93.13</v>
      </c>
      <c r="H48" s="6">
        <v>50.38</v>
      </c>
      <c r="I48" s="6">
        <v>11.76</v>
      </c>
      <c r="J48" s="6">
        <v>0.21</v>
      </c>
      <c r="K48" s="6">
        <v>62.05</v>
      </c>
      <c r="L48" s="6">
        <v>24.98</v>
      </c>
      <c r="M48" s="6">
        <v>47.61</v>
      </c>
      <c r="N48" s="6">
        <v>255.9</v>
      </c>
      <c r="O48" s="6">
        <v>0</v>
      </c>
      <c r="P48" s="6">
        <v>1.04</v>
      </c>
      <c r="Q48" s="6">
        <v>4.96</v>
      </c>
    </row>
    <row r="49" spans="1:17" customFormat="1">
      <c r="A49" s="72">
        <v>45321.427083333336</v>
      </c>
      <c r="B49" s="6">
        <v>20.49</v>
      </c>
      <c r="C49" s="6">
        <v>25.96</v>
      </c>
      <c r="D49" s="6">
        <v>31.35</v>
      </c>
      <c r="E49" s="6">
        <v>6.65</v>
      </c>
      <c r="F49" s="6">
        <v>3.5</v>
      </c>
      <c r="G49" s="6">
        <v>93.13</v>
      </c>
      <c r="H49" s="6">
        <v>50.38</v>
      </c>
      <c r="I49" s="6">
        <v>11.89</v>
      </c>
      <c r="J49" s="6">
        <v>0.34</v>
      </c>
      <c r="K49" s="6">
        <v>61.33</v>
      </c>
      <c r="L49" s="6">
        <v>25.43</v>
      </c>
      <c r="M49" s="6">
        <v>46.57</v>
      </c>
      <c r="N49" s="6">
        <v>368.4</v>
      </c>
      <c r="O49" s="6">
        <v>0</v>
      </c>
      <c r="P49" s="6">
        <v>1.04</v>
      </c>
      <c r="Q49" s="6">
        <v>4.95</v>
      </c>
    </row>
    <row r="50" spans="1:17" customFormat="1">
      <c r="A50" s="72">
        <v>45321.4375</v>
      </c>
      <c r="B50" s="6">
        <v>19.54</v>
      </c>
      <c r="C50" s="6">
        <v>25.61</v>
      </c>
      <c r="D50" s="6">
        <v>30.4</v>
      </c>
      <c r="E50" s="6">
        <v>8.2799999999999994</v>
      </c>
      <c r="F50" s="6">
        <v>3.56</v>
      </c>
      <c r="G50" s="6">
        <v>116.8</v>
      </c>
      <c r="H50" s="6">
        <v>61.58</v>
      </c>
      <c r="I50" s="6">
        <v>11.95</v>
      </c>
      <c r="J50" s="6">
        <v>0.2</v>
      </c>
      <c r="K50" s="6">
        <v>208.29</v>
      </c>
      <c r="L50" s="6">
        <v>26.21</v>
      </c>
      <c r="M50" s="6">
        <v>43.82</v>
      </c>
      <c r="N50" s="6">
        <v>390.6</v>
      </c>
      <c r="O50" s="6">
        <v>0</v>
      </c>
      <c r="P50" s="6">
        <v>1.04</v>
      </c>
      <c r="Q50" s="6">
        <v>4.9400000000000004</v>
      </c>
    </row>
    <row r="51" spans="1:17" customFormat="1">
      <c r="A51" s="72">
        <v>45321.447916666664</v>
      </c>
      <c r="B51" s="6">
        <v>18.579999999999998</v>
      </c>
      <c r="C51" s="6">
        <v>26.88</v>
      </c>
      <c r="D51" s="6">
        <v>30.3</v>
      </c>
      <c r="E51" s="6">
        <v>8.7899999999999991</v>
      </c>
      <c r="F51" s="6">
        <v>3.56</v>
      </c>
      <c r="G51" s="6">
        <v>119.76</v>
      </c>
      <c r="H51" s="6">
        <v>61.58</v>
      </c>
      <c r="I51" s="6">
        <v>12.01</v>
      </c>
      <c r="J51" s="6">
        <v>0.39</v>
      </c>
      <c r="K51" s="6">
        <v>55.62</v>
      </c>
      <c r="L51" s="6">
        <v>26.2</v>
      </c>
      <c r="M51" s="6">
        <v>41.79</v>
      </c>
      <c r="N51" s="6">
        <v>402.4</v>
      </c>
      <c r="O51" s="6">
        <v>0</v>
      </c>
      <c r="P51" s="6">
        <v>1.05</v>
      </c>
      <c r="Q51" s="6">
        <v>4.9400000000000004</v>
      </c>
    </row>
    <row r="52" spans="1:17" customFormat="1">
      <c r="A52" s="72">
        <v>45321.458333333336</v>
      </c>
      <c r="B52" s="6">
        <v>17.52</v>
      </c>
      <c r="C52" s="6">
        <v>28.17</v>
      </c>
      <c r="D52" s="6">
        <v>30.12</v>
      </c>
      <c r="E52" s="6">
        <v>8.81</v>
      </c>
      <c r="F52" s="6">
        <v>3.48</v>
      </c>
      <c r="G52" s="6">
        <v>119.76</v>
      </c>
      <c r="H52" s="6">
        <v>61.58</v>
      </c>
      <c r="I52" s="6">
        <v>12</v>
      </c>
      <c r="J52" s="6">
        <v>0.45</v>
      </c>
      <c r="K52" s="6">
        <v>285.83999999999997</v>
      </c>
      <c r="L52" s="6">
        <v>26.6</v>
      </c>
      <c r="M52" s="6">
        <v>40.92</v>
      </c>
      <c r="N52" s="6">
        <v>438.6</v>
      </c>
      <c r="O52" s="6">
        <v>0</v>
      </c>
      <c r="P52" s="6">
        <v>1.05</v>
      </c>
      <c r="Q52" s="6">
        <v>4.9000000000000004</v>
      </c>
    </row>
    <row r="53" spans="1:17" customFormat="1">
      <c r="A53" s="72">
        <v>45321.46875</v>
      </c>
      <c r="B53" s="6">
        <v>16.32</v>
      </c>
      <c r="C53" s="6">
        <v>27.2</v>
      </c>
      <c r="D53" s="6">
        <v>28.65</v>
      </c>
      <c r="E53" s="6">
        <v>8.41</v>
      </c>
      <c r="F53" s="6">
        <v>3.6</v>
      </c>
      <c r="G53" s="6">
        <v>119.76</v>
      </c>
      <c r="H53" s="6">
        <v>61.58</v>
      </c>
      <c r="I53" s="6">
        <v>11.93</v>
      </c>
      <c r="J53" s="6">
        <v>0.4</v>
      </c>
      <c r="K53" s="6">
        <v>280.7</v>
      </c>
      <c r="L53" s="6">
        <v>27.04</v>
      </c>
      <c r="M53" s="6">
        <v>40.65</v>
      </c>
      <c r="N53" s="6">
        <v>435.9</v>
      </c>
      <c r="O53" s="6">
        <v>0</v>
      </c>
      <c r="P53" s="6">
        <v>1.04</v>
      </c>
      <c r="Q53" s="6">
        <v>4.88</v>
      </c>
    </row>
    <row r="54" spans="1:17" customFormat="1">
      <c r="A54" s="72">
        <v>45321.479166666664</v>
      </c>
      <c r="B54" s="6">
        <v>14.97</v>
      </c>
      <c r="C54" s="6">
        <v>26.45</v>
      </c>
      <c r="D54" s="6">
        <v>27.17</v>
      </c>
      <c r="E54" s="6">
        <v>8.5</v>
      </c>
      <c r="F54" s="6">
        <v>4</v>
      </c>
      <c r="G54" s="6">
        <v>109.05</v>
      </c>
      <c r="H54" s="6">
        <v>58.36</v>
      </c>
      <c r="I54" s="6">
        <v>11.84</v>
      </c>
      <c r="J54" s="6">
        <v>0.49</v>
      </c>
      <c r="K54" s="6">
        <v>257.39</v>
      </c>
      <c r="L54" s="6">
        <v>27.5</v>
      </c>
      <c r="M54" s="6">
        <v>40.24</v>
      </c>
      <c r="N54" s="6">
        <v>452.1</v>
      </c>
      <c r="O54" s="6">
        <v>0</v>
      </c>
      <c r="P54" s="6">
        <v>1.04</v>
      </c>
      <c r="Q54" s="6">
        <v>4.8899999999999997</v>
      </c>
    </row>
    <row r="55" spans="1:17" customFormat="1">
      <c r="A55" s="72">
        <v>45321.489583333336</v>
      </c>
      <c r="B55" s="6">
        <v>13.58</v>
      </c>
      <c r="C55" s="6">
        <v>25.98</v>
      </c>
      <c r="D55" s="6">
        <v>25.81</v>
      </c>
      <c r="E55" s="6">
        <v>8.42</v>
      </c>
      <c r="F55" s="6">
        <v>4.22</v>
      </c>
      <c r="G55" s="6">
        <v>107.72</v>
      </c>
      <c r="H55" s="6">
        <v>58.36</v>
      </c>
      <c r="I55" s="6">
        <v>11.73</v>
      </c>
      <c r="J55" s="6">
        <v>0.86</v>
      </c>
      <c r="K55" s="6">
        <v>303.29000000000002</v>
      </c>
      <c r="L55" s="6">
        <v>27.68</v>
      </c>
      <c r="M55" s="6">
        <v>37.56</v>
      </c>
      <c r="N55" s="6">
        <v>499.1</v>
      </c>
      <c r="O55" s="6">
        <v>0</v>
      </c>
      <c r="P55" s="6">
        <v>1.02</v>
      </c>
      <c r="Q55" s="6">
        <v>4.9000000000000004</v>
      </c>
    </row>
    <row r="56" spans="1:17" customFormat="1">
      <c r="A56" s="72">
        <v>45321.5</v>
      </c>
      <c r="B56" s="6">
        <v>12.24</v>
      </c>
      <c r="C56" s="6">
        <v>25.23</v>
      </c>
      <c r="D56" s="6">
        <v>24.35</v>
      </c>
      <c r="E56" s="6">
        <v>7.66</v>
      </c>
      <c r="F56" s="6">
        <v>3.96</v>
      </c>
      <c r="G56" s="6">
        <v>107.72</v>
      </c>
      <c r="H56" s="6">
        <v>58.36</v>
      </c>
      <c r="I56" s="6">
        <v>11.61</v>
      </c>
      <c r="J56" s="6">
        <v>0.87</v>
      </c>
      <c r="K56" s="6">
        <v>271.36</v>
      </c>
      <c r="L56" s="6">
        <v>27.5</v>
      </c>
      <c r="M56" s="6">
        <v>38.08</v>
      </c>
      <c r="N56" s="6">
        <v>506.9</v>
      </c>
      <c r="O56" s="6">
        <v>0</v>
      </c>
      <c r="P56" s="6">
        <v>1.01</v>
      </c>
      <c r="Q56" s="6">
        <v>4.8600000000000003</v>
      </c>
    </row>
    <row r="57" spans="1:17" customFormat="1">
      <c r="A57" s="72">
        <v>45321.510416666664</v>
      </c>
      <c r="B57" s="6">
        <v>10.83</v>
      </c>
      <c r="C57" s="6">
        <v>24.67</v>
      </c>
      <c r="D57" s="6">
        <v>22.92</v>
      </c>
      <c r="E57" s="6">
        <v>7.82</v>
      </c>
      <c r="F57" s="6">
        <v>3.98</v>
      </c>
      <c r="G57" s="6">
        <v>107.72</v>
      </c>
      <c r="H57" s="6">
        <v>58.36</v>
      </c>
      <c r="I57" s="6">
        <v>11.46</v>
      </c>
      <c r="J57" s="6">
        <v>0.86</v>
      </c>
      <c r="K57" s="6">
        <v>284.5</v>
      </c>
      <c r="L57" s="6">
        <v>27.57</v>
      </c>
      <c r="M57" s="6">
        <v>37.78</v>
      </c>
      <c r="N57" s="6">
        <v>517.70000000000005</v>
      </c>
      <c r="O57" s="6">
        <v>0</v>
      </c>
      <c r="P57" s="6">
        <v>1.01</v>
      </c>
      <c r="Q57" s="6">
        <v>4.8600000000000003</v>
      </c>
    </row>
    <row r="58" spans="1:17" customFormat="1">
      <c r="A58" s="72">
        <v>45321.520833333336</v>
      </c>
      <c r="B58" s="6">
        <v>9.6999999999999993</v>
      </c>
      <c r="C58" s="6">
        <v>24.1</v>
      </c>
      <c r="D58" s="6">
        <v>21.72</v>
      </c>
      <c r="E58" s="6">
        <v>7.89</v>
      </c>
      <c r="F58" s="6">
        <v>4.4400000000000004</v>
      </c>
      <c r="G58" s="6">
        <v>93.52</v>
      </c>
      <c r="H58" s="6">
        <v>50.47</v>
      </c>
      <c r="I58" s="6">
        <v>11.32</v>
      </c>
      <c r="J58" s="6">
        <v>0.94</v>
      </c>
      <c r="K58" s="6">
        <v>301.83999999999997</v>
      </c>
      <c r="L58" s="6">
        <v>27.79</v>
      </c>
      <c r="M58" s="6">
        <v>37.479999999999997</v>
      </c>
      <c r="N58" s="6">
        <v>518.9</v>
      </c>
      <c r="O58" s="6">
        <v>0</v>
      </c>
      <c r="P58" s="6">
        <v>1</v>
      </c>
      <c r="Q58" s="6">
        <v>4.84</v>
      </c>
    </row>
    <row r="59" spans="1:17" customFormat="1">
      <c r="A59" s="72">
        <v>45321.53125</v>
      </c>
      <c r="B59" s="6">
        <v>8.73</v>
      </c>
      <c r="C59" s="6">
        <v>23.79</v>
      </c>
      <c r="D59" s="6">
        <v>20.78</v>
      </c>
      <c r="E59" s="6">
        <v>8.65</v>
      </c>
      <c r="F59" s="6">
        <v>5.14</v>
      </c>
      <c r="G59" s="6">
        <v>91.75</v>
      </c>
      <c r="H59" s="6">
        <v>50.47</v>
      </c>
      <c r="I59" s="6">
        <v>11.2</v>
      </c>
      <c r="J59" s="6">
        <v>1.24</v>
      </c>
      <c r="K59" s="6">
        <v>313.93</v>
      </c>
      <c r="L59" s="6">
        <v>28.02</v>
      </c>
      <c r="M59" s="6">
        <v>36.82</v>
      </c>
      <c r="N59" s="6">
        <v>519.79999999999995</v>
      </c>
      <c r="O59" s="6">
        <v>0</v>
      </c>
      <c r="P59" s="6">
        <v>0.99</v>
      </c>
      <c r="Q59" s="6">
        <v>4.84</v>
      </c>
    </row>
    <row r="60" spans="1:17" customFormat="1">
      <c r="A60" s="72">
        <v>45321.541666666664</v>
      </c>
      <c r="B60" s="6">
        <v>7.38</v>
      </c>
      <c r="C60" s="6">
        <v>24.09</v>
      </c>
      <c r="D60" s="6">
        <v>19.850000000000001</v>
      </c>
      <c r="E60" s="6">
        <v>9.9600000000000009</v>
      </c>
      <c r="F60" s="6">
        <v>8.94</v>
      </c>
      <c r="G60" s="6">
        <v>91.75</v>
      </c>
      <c r="H60" s="6">
        <v>50.47</v>
      </c>
      <c r="I60" s="6">
        <v>11.13</v>
      </c>
      <c r="J60" s="6">
        <v>0.98</v>
      </c>
      <c r="K60" s="6">
        <v>296.35000000000002</v>
      </c>
      <c r="L60" s="6">
        <v>28.21</v>
      </c>
      <c r="M60" s="6">
        <v>37.049999999999997</v>
      </c>
      <c r="N60" s="6">
        <v>525</v>
      </c>
      <c r="O60" s="6">
        <v>0</v>
      </c>
      <c r="P60" s="6">
        <v>0.98</v>
      </c>
      <c r="Q60" s="6">
        <v>4.83</v>
      </c>
    </row>
    <row r="61" spans="1:17" customFormat="1">
      <c r="A61" s="72">
        <v>45321.552083333336</v>
      </c>
      <c r="B61" s="6">
        <v>5.17</v>
      </c>
      <c r="C61" s="6">
        <v>24.09</v>
      </c>
      <c r="D61" s="6">
        <v>18.079999999999998</v>
      </c>
      <c r="E61" s="6">
        <v>19.14</v>
      </c>
      <c r="F61" s="6">
        <v>15.13</v>
      </c>
      <c r="G61" s="6">
        <v>91.75</v>
      </c>
      <c r="H61" s="6">
        <v>50.47</v>
      </c>
      <c r="I61" s="6">
        <v>11.07</v>
      </c>
      <c r="J61" s="6">
        <v>0.96</v>
      </c>
      <c r="K61" s="6">
        <v>309.36</v>
      </c>
      <c r="L61" s="6">
        <v>28.48</v>
      </c>
      <c r="M61" s="6">
        <v>36.58</v>
      </c>
      <c r="N61" s="6">
        <v>487</v>
      </c>
      <c r="O61" s="6">
        <v>0</v>
      </c>
      <c r="P61" s="6">
        <v>0.97</v>
      </c>
      <c r="Q61" s="6">
        <v>4.82</v>
      </c>
    </row>
    <row r="62" spans="1:17" customFormat="1">
      <c r="A62" s="72">
        <v>45321.5625</v>
      </c>
      <c r="B62" s="6">
        <v>3.92</v>
      </c>
      <c r="C62" s="6">
        <v>24.11</v>
      </c>
      <c r="D62" s="6">
        <v>17.09</v>
      </c>
      <c r="E62" s="6">
        <v>5.27</v>
      </c>
      <c r="F62" s="6">
        <v>18.68</v>
      </c>
      <c r="G62" s="6">
        <v>77.959999999999994</v>
      </c>
      <c r="H62" s="6">
        <v>40.78</v>
      </c>
      <c r="I62" s="6">
        <v>10.94</v>
      </c>
      <c r="J62" s="6">
        <v>1.1399999999999999</v>
      </c>
      <c r="K62" s="6">
        <v>317.88</v>
      </c>
      <c r="L62" s="6">
        <v>28.59</v>
      </c>
      <c r="M62" s="6">
        <v>36.04</v>
      </c>
      <c r="N62" s="6">
        <v>451.7</v>
      </c>
      <c r="O62" s="6">
        <v>0</v>
      </c>
      <c r="P62" s="6">
        <v>0.82</v>
      </c>
      <c r="Q62" s="6">
        <v>4.82</v>
      </c>
    </row>
    <row r="63" spans="1:17" customFormat="1">
      <c r="A63" s="72">
        <v>45321.572916666664</v>
      </c>
      <c r="B63" s="6">
        <v>3.64</v>
      </c>
      <c r="C63" s="6">
        <v>23.39</v>
      </c>
      <c r="D63" s="6">
        <v>16.489999999999998</v>
      </c>
      <c r="E63" s="135" t="s">
        <v>12</v>
      </c>
      <c r="F63" s="135" t="s">
        <v>12</v>
      </c>
      <c r="G63" s="6">
        <v>75.97</v>
      </c>
      <c r="H63" s="6">
        <v>40.78</v>
      </c>
      <c r="I63" s="6">
        <v>10.82</v>
      </c>
      <c r="J63" s="6">
        <v>0.72</v>
      </c>
      <c r="K63" s="6">
        <v>279.45999999999998</v>
      </c>
      <c r="L63" s="6">
        <v>28.73</v>
      </c>
      <c r="M63" s="6">
        <v>36.549999999999997</v>
      </c>
      <c r="N63" s="6">
        <v>460.9</v>
      </c>
      <c r="O63" s="6">
        <v>0</v>
      </c>
      <c r="P63" s="135" t="s">
        <v>12</v>
      </c>
      <c r="Q63" s="6">
        <v>4.8</v>
      </c>
    </row>
    <row r="64" spans="1:17" customFormat="1">
      <c r="A64" s="72">
        <v>45321.583333333336</v>
      </c>
      <c r="B64" s="135" t="s">
        <v>12</v>
      </c>
      <c r="C64" s="135" t="s">
        <v>12</v>
      </c>
      <c r="D64" s="135" t="s">
        <v>12</v>
      </c>
      <c r="E64" s="135" t="s">
        <v>12</v>
      </c>
      <c r="F64" s="135" t="s">
        <v>12</v>
      </c>
      <c r="G64" s="135" t="s">
        <v>12</v>
      </c>
      <c r="H64" s="135" t="s">
        <v>12</v>
      </c>
      <c r="I64" s="6">
        <v>10.85</v>
      </c>
      <c r="J64" s="6">
        <v>0.84</v>
      </c>
      <c r="K64" s="6">
        <v>284.47000000000003</v>
      </c>
      <c r="L64" s="6">
        <v>28.97</v>
      </c>
      <c r="M64" s="6">
        <v>35.17</v>
      </c>
      <c r="N64" s="6">
        <v>473.1</v>
      </c>
      <c r="O64" s="6">
        <v>0</v>
      </c>
      <c r="P64" s="135" t="s">
        <v>12</v>
      </c>
      <c r="Q64" s="6">
        <v>4.79</v>
      </c>
    </row>
    <row r="65" spans="1:17" customFormat="1">
      <c r="A65" s="72">
        <v>45321.59375</v>
      </c>
      <c r="B65" s="135" t="s">
        <v>12</v>
      </c>
      <c r="C65" s="135" t="s">
        <v>12</v>
      </c>
      <c r="D65" s="135" t="s">
        <v>12</v>
      </c>
      <c r="E65" s="135" t="s">
        <v>12</v>
      </c>
      <c r="F65" s="135" t="s">
        <v>12</v>
      </c>
      <c r="G65" s="135" t="s">
        <v>12</v>
      </c>
      <c r="H65" s="135" t="s">
        <v>12</v>
      </c>
      <c r="I65" s="6">
        <v>12.08</v>
      </c>
      <c r="J65" s="6">
        <v>0.64</v>
      </c>
      <c r="K65" s="6">
        <v>279.12</v>
      </c>
      <c r="L65" s="6">
        <v>28.99</v>
      </c>
      <c r="M65" s="6">
        <v>35.590000000000003</v>
      </c>
      <c r="N65" s="6">
        <v>433.4</v>
      </c>
      <c r="O65" s="6">
        <v>0</v>
      </c>
      <c r="P65" s="135" t="s">
        <v>12</v>
      </c>
      <c r="Q65" s="6">
        <v>4.79</v>
      </c>
    </row>
    <row r="66" spans="1:17" customFormat="1">
      <c r="A66" s="72">
        <v>45321.604166666664</v>
      </c>
      <c r="B66" s="135" t="s">
        <v>12</v>
      </c>
      <c r="C66" s="135" t="s">
        <v>12</v>
      </c>
      <c r="D66" s="135" t="s">
        <v>12</v>
      </c>
      <c r="E66" s="135" t="s">
        <v>12</v>
      </c>
      <c r="F66" s="135" t="s">
        <v>12</v>
      </c>
      <c r="G66" s="135" t="s">
        <v>12</v>
      </c>
      <c r="H66" s="135" t="s">
        <v>12</v>
      </c>
      <c r="I66" s="6">
        <v>17.190000000000001</v>
      </c>
      <c r="J66" s="6">
        <v>0.5</v>
      </c>
      <c r="K66" s="6">
        <v>272.76</v>
      </c>
      <c r="L66" s="6">
        <v>29.12</v>
      </c>
      <c r="M66" s="6">
        <v>35.68</v>
      </c>
      <c r="N66" s="6">
        <v>336.4</v>
      </c>
      <c r="O66" s="6">
        <v>0</v>
      </c>
      <c r="P66" s="6">
        <v>0.73</v>
      </c>
      <c r="Q66" s="6">
        <v>4.7699999999999996</v>
      </c>
    </row>
    <row r="67" spans="1:17" customFormat="1">
      <c r="A67" s="72">
        <v>45321.614583333336</v>
      </c>
      <c r="B67" s="135" t="s">
        <v>12</v>
      </c>
      <c r="C67" s="135" t="s">
        <v>12</v>
      </c>
      <c r="D67" s="135" t="s">
        <v>12</v>
      </c>
      <c r="E67" s="135" t="s">
        <v>12</v>
      </c>
      <c r="F67" s="135" t="s">
        <v>12</v>
      </c>
      <c r="G67" s="135" t="s">
        <v>12</v>
      </c>
      <c r="H67" s="135" t="s">
        <v>12</v>
      </c>
      <c r="I67" s="6">
        <v>24.98</v>
      </c>
      <c r="J67" s="6">
        <v>0.95</v>
      </c>
      <c r="K67" s="6">
        <v>287.7</v>
      </c>
      <c r="L67" s="6">
        <v>28.53</v>
      </c>
      <c r="M67" s="6">
        <v>37.04</v>
      </c>
      <c r="N67" s="6">
        <v>205.8</v>
      </c>
      <c r="O67" s="6">
        <v>0</v>
      </c>
      <c r="P67" s="6">
        <v>0.74</v>
      </c>
      <c r="Q67" s="6">
        <v>4.76</v>
      </c>
    </row>
    <row r="68" spans="1:17" customFormat="1">
      <c r="A68" s="72">
        <v>45321.625</v>
      </c>
      <c r="B68" s="6">
        <v>5.7</v>
      </c>
      <c r="C68" s="6">
        <v>17.91</v>
      </c>
      <c r="D68" s="6">
        <v>15.28</v>
      </c>
      <c r="E68" s="6">
        <v>7.03</v>
      </c>
      <c r="F68" s="6">
        <v>16.79</v>
      </c>
      <c r="G68" s="135" t="s">
        <v>12</v>
      </c>
      <c r="H68" s="135" t="s">
        <v>12</v>
      </c>
      <c r="I68" s="6">
        <v>34.54</v>
      </c>
      <c r="J68" s="6">
        <v>0.84</v>
      </c>
      <c r="K68" s="6">
        <v>269.56</v>
      </c>
      <c r="L68" s="6">
        <v>28.54</v>
      </c>
      <c r="M68" s="6">
        <v>37.33</v>
      </c>
      <c r="N68" s="6">
        <v>153.9</v>
      </c>
      <c r="O68" s="6">
        <v>0</v>
      </c>
      <c r="P68" s="6">
        <v>0.73</v>
      </c>
      <c r="Q68" s="6">
        <v>4.74</v>
      </c>
    </row>
    <row r="69" spans="1:17" customFormat="1">
      <c r="A69" s="72">
        <v>45321.635416666664</v>
      </c>
      <c r="B69" s="6">
        <v>4.47</v>
      </c>
      <c r="C69" s="6">
        <v>18.14</v>
      </c>
      <c r="D69" s="6">
        <v>14.42</v>
      </c>
      <c r="E69" s="6">
        <v>10.82</v>
      </c>
      <c r="F69" s="6">
        <v>16.88</v>
      </c>
      <c r="G69" s="6">
        <v>27.05</v>
      </c>
      <c r="H69" s="6">
        <v>13.07</v>
      </c>
      <c r="I69" s="6">
        <v>46.67</v>
      </c>
      <c r="J69" s="6">
        <v>0.84</v>
      </c>
      <c r="K69" s="6">
        <v>278.12</v>
      </c>
      <c r="L69" s="6">
        <v>28.32</v>
      </c>
      <c r="M69" s="6">
        <v>37.25</v>
      </c>
      <c r="N69" s="6">
        <v>134</v>
      </c>
      <c r="O69" s="6">
        <v>0</v>
      </c>
      <c r="P69" s="6">
        <v>0.7</v>
      </c>
      <c r="Q69" s="6">
        <v>4.74</v>
      </c>
    </row>
    <row r="70" spans="1:17" customFormat="1">
      <c r="A70" s="72">
        <v>45321.645833333336</v>
      </c>
      <c r="B70" s="6">
        <v>3.61</v>
      </c>
      <c r="C70" s="6">
        <v>18.420000000000002</v>
      </c>
      <c r="D70" s="6">
        <v>13.87</v>
      </c>
      <c r="E70" s="6">
        <v>10.43</v>
      </c>
      <c r="F70" s="6">
        <v>15.49</v>
      </c>
      <c r="G70" s="6">
        <v>27.05</v>
      </c>
      <c r="H70" s="6">
        <v>13.07</v>
      </c>
      <c r="I70" s="6">
        <v>62.52</v>
      </c>
      <c r="J70" s="6">
        <v>0.77</v>
      </c>
      <c r="K70" s="6">
        <v>271.14999999999998</v>
      </c>
      <c r="L70" s="6">
        <v>28.21</v>
      </c>
      <c r="M70" s="6">
        <v>38.06</v>
      </c>
      <c r="N70" s="6">
        <v>127.9</v>
      </c>
      <c r="O70" s="6">
        <v>0</v>
      </c>
      <c r="P70" s="6">
        <v>0.68</v>
      </c>
      <c r="Q70" s="6">
        <v>4.7300000000000004</v>
      </c>
    </row>
    <row r="71" spans="1:17" customFormat="1">
      <c r="A71" s="72">
        <v>45321.65625</v>
      </c>
      <c r="B71" s="6">
        <v>3.24</v>
      </c>
      <c r="C71" s="6">
        <v>18.190000000000001</v>
      </c>
      <c r="D71" s="6">
        <v>13.45</v>
      </c>
      <c r="E71" s="6">
        <v>10.29</v>
      </c>
      <c r="F71" s="6">
        <v>15.04</v>
      </c>
      <c r="G71" s="6">
        <v>27.05</v>
      </c>
      <c r="H71" s="6">
        <v>13.07</v>
      </c>
      <c r="I71" s="6">
        <v>81.14</v>
      </c>
      <c r="J71" s="6">
        <v>0.43</v>
      </c>
      <c r="K71" s="6">
        <v>263.07</v>
      </c>
      <c r="L71" s="6">
        <v>28.22</v>
      </c>
      <c r="M71" s="6">
        <v>38.549999999999997</v>
      </c>
      <c r="N71" s="6">
        <v>110.5</v>
      </c>
      <c r="O71" s="6">
        <v>0</v>
      </c>
      <c r="P71" s="6">
        <v>0.65</v>
      </c>
      <c r="Q71" s="6">
        <v>4.7300000000000004</v>
      </c>
    </row>
    <row r="72" spans="1:17" customFormat="1">
      <c r="A72" s="72">
        <v>45321.666666666664</v>
      </c>
      <c r="B72" s="6">
        <v>3.14</v>
      </c>
      <c r="C72" s="6">
        <v>18.45</v>
      </c>
      <c r="D72" s="6">
        <v>13.51</v>
      </c>
      <c r="E72" s="6">
        <v>9.3800000000000008</v>
      </c>
      <c r="F72" s="6">
        <v>14.12</v>
      </c>
      <c r="G72" s="6">
        <v>27.05</v>
      </c>
      <c r="H72" s="6">
        <v>13.07</v>
      </c>
      <c r="I72" s="6">
        <v>82.24</v>
      </c>
      <c r="J72" s="6">
        <v>0.48</v>
      </c>
      <c r="K72" s="6">
        <v>270.45999999999998</v>
      </c>
      <c r="L72" s="6">
        <v>27.93</v>
      </c>
      <c r="M72" s="6">
        <v>40.03</v>
      </c>
      <c r="N72" s="6">
        <v>93.5</v>
      </c>
      <c r="O72" s="6">
        <v>0</v>
      </c>
      <c r="P72" s="6">
        <v>0.63</v>
      </c>
      <c r="Q72" s="6">
        <v>4.72</v>
      </c>
    </row>
    <row r="73" spans="1:17" customFormat="1">
      <c r="A73" s="72">
        <v>45321.677083333336</v>
      </c>
      <c r="B73" s="6">
        <v>3.27</v>
      </c>
      <c r="C73" s="6">
        <v>18.37</v>
      </c>
      <c r="D73" s="6">
        <v>13.57</v>
      </c>
      <c r="E73" s="6">
        <v>9.0399999999999991</v>
      </c>
      <c r="F73" s="6">
        <v>13</v>
      </c>
      <c r="G73" s="6">
        <v>33.58</v>
      </c>
      <c r="H73" s="6">
        <v>17.23</v>
      </c>
      <c r="I73" s="6">
        <v>72.400000000000006</v>
      </c>
      <c r="J73" s="6">
        <v>0.51</v>
      </c>
      <c r="K73" s="6">
        <v>269.55</v>
      </c>
      <c r="L73" s="6">
        <v>27.83</v>
      </c>
      <c r="M73" s="6">
        <v>41.77</v>
      </c>
      <c r="N73" s="6">
        <v>81</v>
      </c>
      <c r="O73" s="6">
        <v>0</v>
      </c>
      <c r="P73" s="6">
        <v>0.61</v>
      </c>
      <c r="Q73" s="6">
        <v>4.72</v>
      </c>
    </row>
    <row r="74" spans="1:17" customFormat="1">
      <c r="A74" s="72">
        <v>45321.6875</v>
      </c>
      <c r="B74" s="6">
        <v>3.37</v>
      </c>
      <c r="C74" s="6">
        <v>19.02</v>
      </c>
      <c r="D74" s="6">
        <v>13.99</v>
      </c>
      <c r="E74" s="6">
        <v>8.59</v>
      </c>
      <c r="F74" s="6">
        <v>9.91</v>
      </c>
      <c r="G74" s="6">
        <v>38.58</v>
      </c>
      <c r="H74" s="6">
        <v>19.350000000000001</v>
      </c>
      <c r="I74" s="6">
        <v>63.97</v>
      </c>
      <c r="J74" s="6">
        <v>0.8</v>
      </c>
      <c r="K74" s="6">
        <v>282.52999999999997</v>
      </c>
      <c r="L74" s="6">
        <v>27.48</v>
      </c>
      <c r="M74" s="6">
        <v>40.799999999999997</v>
      </c>
      <c r="N74" s="6">
        <v>60.9</v>
      </c>
      <c r="O74" s="6">
        <v>0</v>
      </c>
      <c r="P74" s="6">
        <v>0.57999999999999996</v>
      </c>
      <c r="Q74" s="6">
        <v>4.71</v>
      </c>
    </row>
    <row r="75" spans="1:17" customFormat="1">
      <c r="A75" s="72">
        <v>45321.697916666664</v>
      </c>
      <c r="B75" s="6">
        <v>3.57</v>
      </c>
      <c r="C75" s="6">
        <v>19.86</v>
      </c>
      <c r="D75" s="6">
        <v>14.59</v>
      </c>
      <c r="E75" s="6">
        <v>8.1300000000000008</v>
      </c>
      <c r="F75" s="6">
        <v>7.23</v>
      </c>
      <c r="G75" s="6">
        <v>38.58</v>
      </c>
      <c r="H75" s="6">
        <v>19.350000000000001</v>
      </c>
      <c r="I75" s="6">
        <v>57.12</v>
      </c>
      <c r="J75" s="6">
        <v>0.5</v>
      </c>
      <c r="K75" s="6">
        <v>275.68</v>
      </c>
      <c r="L75" s="6">
        <v>27.16</v>
      </c>
      <c r="M75" s="6">
        <v>42.62</v>
      </c>
      <c r="N75" s="6">
        <v>43.4</v>
      </c>
      <c r="O75" s="6">
        <v>0</v>
      </c>
      <c r="P75" s="6">
        <v>0.59</v>
      </c>
      <c r="Q75" s="6">
        <v>4.71</v>
      </c>
    </row>
    <row r="76" spans="1:17" customFormat="1">
      <c r="A76" s="72">
        <v>45321.708333333336</v>
      </c>
      <c r="B76" s="6">
        <v>3.78</v>
      </c>
      <c r="C76" s="6">
        <v>20.43</v>
      </c>
      <c r="D76" s="6">
        <v>15.06</v>
      </c>
      <c r="E76" s="6">
        <v>8.59</v>
      </c>
      <c r="F76" s="6">
        <v>6.25</v>
      </c>
      <c r="G76" s="6">
        <v>38.58</v>
      </c>
      <c r="H76" s="6">
        <v>19.350000000000001</v>
      </c>
      <c r="I76" s="6">
        <v>52.83</v>
      </c>
      <c r="J76" s="6">
        <v>0.5</v>
      </c>
      <c r="K76" s="6">
        <v>275.83</v>
      </c>
      <c r="L76" s="6">
        <v>26.8</v>
      </c>
      <c r="M76" s="6">
        <v>44.29</v>
      </c>
      <c r="N76" s="6">
        <v>28.6</v>
      </c>
      <c r="O76" s="6">
        <v>0</v>
      </c>
      <c r="P76" s="6">
        <v>0.59</v>
      </c>
      <c r="Q76" s="6">
        <v>4.71</v>
      </c>
    </row>
    <row r="77" spans="1:17" customFormat="1">
      <c r="A77" s="72">
        <v>45321.71875</v>
      </c>
      <c r="B77" s="6">
        <v>3.92</v>
      </c>
      <c r="C77" s="6">
        <v>20.86</v>
      </c>
      <c r="D77" s="6">
        <v>15.39</v>
      </c>
      <c r="E77" s="6">
        <v>8.68</v>
      </c>
      <c r="F77" s="6">
        <v>5.87</v>
      </c>
      <c r="G77" s="6">
        <v>39.28</v>
      </c>
      <c r="H77" s="6">
        <v>20.03</v>
      </c>
      <c r="I77" s="6">
        <v>50.06</v>
      </c>
      <c r="J77" s="6">
        <v>0.19</v>
      </c>
      <c r="K77" s="6">
        <v>256.01</v>
      </c>
      <c r="L77" s="6">
        <v>26.33</v>
      </c>
      <c r="M77" s="6">
        <v>47.04</v>
      </c>
      <c r="N77" s="6">
        <v>15.8</v>
      </c>
      <c r="O77" s="6">
        <v>0</v>
      </c>
      <c r="P77" s="6">
        <v>0.59</v>
      </c>
      <c r="Q77" s="6">
        <v>4.71</v>
      </c>
    </row>
    <row r="78" spans="1:17" customFormat="1">
      <c r="A78" s="72">
        <v>45321.729166666664</v>
      </c>
      <c r="B78" s="6">
        <v>4.29</v>
      </c>
      <c r="C78" s="6">
        <v>20.85</v>
      </c>
      <c r="D78" s="6">
        <v>15.69</v>
      </c>
      <c r="E78" s="6">
        <v>8.25</v>
      </c>
      <c r="F78" s="6">
        <v>5.37</v>
      </c>
      <c r="G78" s="6">
        <v>39.82</v>
      </c>
      <c r="H78" s="6">
        <v>20.25</v>
      </c>
      <c r="I78" s="6">
        <v>47.59</v>
      </c>
      <c r="J78" s="6">
        <v>0.17</v>
      </c>
      <c r="K78" s="6">
        <v>190.88</v>
      </c>
      <c r="L78" s="6">
        <v>25.7</v>
      </c>
      <c r="M78" s="6">
        <v>49.53</v>
      </c>
      <c r="N78" s="6">
        <v>3.4</v>
      </c>
      <c r="O78" s="6">
        <v>0</v>
      </c>
      <c r="P78" s="6">
        <v>0.59</v>
      </c>
      <c r="Q78" s="6">
        <v>4.72</v>
      </c>
    </row>
    <row r="79" spans="1:17" customFormat="1">
      <c r="A79" s="72">
        <v>45321.739583333336</v>
      </c>
      <c r="B79" s="6">
        <v>4.4400000000000004</v>
      </c>
      <c r="C79" s="6">
        <v>21.29</v>
      </c>
      <c r="D79" s="6">
        <v>16.04</v>
      </c>
      <c r="E79" s="6">
        <v>8.4600000000000009</v>
      </c>
      <c r="F79" s="6">
        <v>4.99</v>
      </c>
      <c r="G79" s="6">
        <v>39.82</v>
      </c>
      <c r="H79" s="6">
        <v>20.25</v>
      </c>
      <c r="I79" s="6">
        <v>45.32</v>
      </c>
      <c r="J79" s="6">
        <v>0.22</v>
      </c>
      <c r="K79" s="6">
        <v>187.7</v>
      </c>
      <c r="L79" s="6">
        <v>24.94</v>
      </c>
      <c r="M79" s="6">
        <v>53.7</v>
      </c>
      <c r="N79" s="6">
        <v>0</v>
      </c>
      <c r="O79" s="6">
        <v>0</v>
      </c>
      <c r="P79" s="6">
        <v>0.57999999999999996</v>
      </c>
      <c r="Q79" s="6">
        <v>4.71</v>
      </c>
    </row>
    <row r="80" spans="1:17" customFormat="1">
      <c r="A80" s="72">
        <v>45321.75</v>
      </c>
      <c r="B80" s="6">
        <v>4.63</v>
      </c>
      <c r="C80" s="6">
        <v>22.94</v>
      </c>
      <c r="D80" s="6">
        <v>17.04</v>
      </c>
      <c r="E80" s="6">
        <v>8.5299999999999994</v>
      </c>
      <c r="F80" s="6">
        <v>4.46</v>
      </c>
      <c r="G80" s="6">
        <v>39.82</v>
      </c>
      <c r="H80" s="6">
        <v>20.25</v>
      </c>
      <c r="I80" s="6">
        <v>43.3</v>
      </c>
      <c r="J80" s="6">
        <v>0.21</v>
      </c>
      <c r="K80" s="6">
        <v>170.99</v>
      </c>
      <c r="L80" s="6">
        <v>23.79</v>
      </c>
      <c r="M80" s="6">
        <v>64.8</v>
      </c>
      <c r="N80" s="6">
        <v>0</v>
      </c>
      <c r="O80" s="6">
        <v>0</v>
      </c>
      <c r="P80" s="6">
        <v>0.61</v>
      </c>
      <c r="Q80" s="6">
        <v>4.68</v>
      </c>
    </row>
    <row r="81" spans="1:17" customFormat="1">
      <c r="A81" s="72">
        <v>45321.760416666664</v>
      </c>
      <c r="B81" s="6">
        <v>5</v>
      </c>
      <c r="C81" s="6">
        <v>20.64</v>
      </c>
      <c r="D81" s="6">
        <v>16.149999999999999</v>
      </c>
      <c r="E81" s="6">
        <v>6.43</v>
      </c>
      <c r="F81" s="6">
        <v>4.24</v>
      </c>
      <c r="G81" s="6">
        <v>42.97</v>
      </c>
      <c r="H81" s="6">
        <v>21.34</v>
      </c>
      <c r="I81" s="6">
        <v>41.54</v>
      </c>
      <c r="J81" s="6">
        <v>0.27</v>
      </c>
      <c r="K81" s="6">
        <v>177.67</v>
      </c>
      <c r="L81" s="6">
        <v>23.4</v>
      </c>
      <c r="M81" s="6">
        <v>61.67</v>
      </c>
      <c r="N81" s="6">
        <v>0</v>
      </c>
      <c r="O81" s="6">
        <v>0</v>
      </c>
      <c r="P81" s="6">
        <v>0.61</v>
      </c>
      <c r="Q81" s="6">
        <v>4.68</v>
      </c>
    </row>
    <row r="82" spans="1:17" customFormat="1">
      <c r="A82" s="72">
        <v>45321.770833333336</v>
      </c>
      <c r="B82" s="6">
        <v>5.29</v>
      </c>
      <c r="C82" s="6">
        <v>18.57</v>
      </c>
      <c r="D82" s="6">
        <v>15.3</v>
      </c>
      <c r="E82" s="6">
        <v>6.3</v>
      </c>
      <c r="F82" s="6">
        <v>4.1399999999999997</v>
      </c>
      <c r="G82" s="6">
        <v>45.39</v>
      </c>
      <c r="H82" s="6">
        <v>21.69</v>
      </c>
      <c r="I82" s="6">
        <v>40.06</v>
      </c>
      <c r="J82" s="6">
        <v>0.22</v>
      </c>
      <c r="K82" s="6">
        <v>174.84</v>
      </c>
      <c r="L82" s="6">
        <v>22.94</v>
      </c>
      <c r="M82" s="6">
        <v>67.48</v>
      </c>
      <c r="N82" s="6">
        <v>0</v>
      </c>
      <c r="O82" s="6">
        <v>0</v>
      </c>
      <c r="P82" s="6">
        <v>0.59</v>
      </c>
      <c r="Q82" s="6">
        <v>4.6900000000000004</v>
      </c>
    </row>
    <row r="83" spans="1:17" customFormat="1">
      <c r="A83" s="72">
        <v>45321.78125</v>
      </c>
      <c r="B83" s="6">
        <v>5.58</v>
      </c>
      <c r="C83" s="6">
        <v>17.21</v>
      </c>
      <c r="D83" s="6">
        <v>14.82</v>
      </c>
      <c r="E83" s="6">
        <v>6.4</v>
      </c>
      <c r="F83" s="6">
        <v>3.95</v>
      </c>
      <c r="G83" s="6">
        <v>45.39</v>
      </c>
      <c r="H83" s="6">
        <v>21.69</v>
      </c>
      <c r="I83" s="6">
        <v>38.93</v>
      </c>
      <c r="J83" s="6">
        <v>0.19</v>
      </c>
      <c r="K83" s="6">
        <v>179.13</v>
      </c>
      <c r="L83" s="6">
        <v>22.57</v>
      </c>
      <c r="M83" s="6">
        <v>69.67</v>
      </c>
      <c r="N83" s="6">
        <v>0</v>
      </c>
      <c r="O83" s="6">
        <v>0</v>
      </c>
      <c r="P83" s="6">
        <v>0.6</v>
      </c>
      <c r="Q83" s="6">
        <v>4.71</v>
      </c>
    </row>
    <row r="84" spans="1:17" customFormat="1">
      <c r="A84" s="72">
        <v>45321.791666666664</v>
      </c>
      <c r="B84" s="6">
        <v>5.76</v>
      </c>
      <c r="C84" s="6">
        <v>16.73</v>
      </c>
      <c r="D84" s="6">
        <v>14.71</v>
      </c>
      <c r="E84" s="6">
        <v>6.05</v>
      </c>
      <c r="F84" s="6">
        <v>3.84</v>
      </c>
      <c r="G84" s="6">
        <v>45.39</v>
      </c>
      <c r="H84" s="6">
        <v>21.69</v>
      </c>
      <c r="I84" s="6">
        <v>37.94</v>
      </c>
      <c r="J84" s="6">
        <v>0.17</v>
      </c>
      <c r="K84" s="6">
        <v>175.13</v>
      </c>
      <c r="L84" s="6">
        <v>22.18</v>
      </c>
      <c r="M84" s="6">
        <v>73.89</v>
      </c>
      <c r="N84" s="6">
        <v>0</v>
      </c>
      <c r="O84" s="6">
        <v>0</v>
      </c>
      <c r="P84" s="6">
        <v>0.59</v>
      </c>
      <c r="Q84" s="6">
        <v>4.71</v>
      </c>
    </row>
    <row r="85" spans="1:17" customFormat="1">
      <c r="A85" s="72">
        <v>45321.802083333336</v>
      </c>
      <c r="B85" s="6">
        <v>6.14</v>
      </c>
      <c r="C85" s="6">
        <v>17.579999999999998</v>
      </c>
      <c r="D85" s="6">
        <v>15.46</v>
      </c>
      <c r="E85" s="6">
        <v>6.26</v>
      </c>
      <c r="F85" s="6">
        <v>3.65</v>
      </c>
      <c r="G85" s="6">
        <v>50.69</v>
      </c>
      <c r="H85" s="6">
        <v>24.94</v>
      </c>
      <c r="I85" s="6">
        <v>36.979999999999997</v>
      </c>
      <c r="J85" s="6">
        <v>0.26</v>
      </c>
      <c r="K85" s="6">
        <v>182.74</v>
      </c>
      <c r="L85" s="6">
        <v>21.76</v>
      </c>
      <c r="M85" s="6">
        <v>73.81</v>
      </c>
      <c r="N85" s="6">
        <v>0</v>
      </c>
      <c r="O85" s="6">
        <v>0</v>
      </c>
      <c r="P85" s="6">
        <v>0.62</v>
      </c>
      <c r="Q85" s="6">
        <v>4.74</v>
      </c>
    </row>
    <row r="86" spans="1:17" customFormat="1">
      <c r="A86" s="72">
        <v>45321.8125</v>
      </c>
      <c r="B86" s="6">
        <v>6.47</v>
      </c>
      <c r="C86" s="6">
        <v>19.190000000000001</v>
      </c>
      <c r="D86" s="6">
        <v>16.57</v>
      </c>
      <c r="E86" s="6">
        <v>6.52</v>
      </c>
      <c r="F86" s="6">
        <v>3.43</v>
      </c>
      <c r="G86" s="6">
        <v>54.74</v>
      </c>
      <c r="H86" s="6">
        <v>25.98</v>
      </c>
      <c r="I86" s="6">
        <v>36.08</v>
      </c>
      <c r="J86" s="6">
        <v>0.17</v>
      </c>
      <c r="K86" s="6">
        <v>181.93</v>
      </c>
      <c r="L86" s="6">
        <v>21.23</v>
      </c>
      <c r="M86" s="6">
        <v>72.84</v>
      </c>
      <c r="N86" s="6">
        <v>0</v>
      </c>
      <c r="O86" s="6">
        <v>0</v>
      </c>
      <c r="P86" s="6">
        <v>0.63</v>
      </c>
      <c r="Q86" s="6">
        <v>4.7300000000000004</v>
      </c>
    </row>
    <row r="87" spans="1:17" customFormat="1">
      <c r="A87" s="72">
        <v>45321.822916666664</v>
      </c>
      <c r="B87" s="6">
        <v>6.68</v>
      </c>
      <c r="C87" s="6">
        <v>18.71</v>
      </c>
      <c r="D87" s="6">
        <v>16.48</v>
      </c>
      <c r="E87" s="6">
        <v>6.5</v>
      </c>
      <c r="F87" s="6">
        <v>3.54</v>
      </c>
      <c r="G87" s="6">
        <v>54.74</v>
      </c>
      <c r="H87" s="6">
        <v>25.98</v>
      </c>
      <c r="I87" s="6">
        <v>35.18</v>
      </c>
      <c r="J87" s="6">
        <v>0.18</v>
      </c>
      <c r="K87" s="6">
        <v>169.15</v>
      </c>
      <c r="L87" s="6">
        <v>21.2</v>
      </c>
      <c r="M87" s="6">
        <v>74.8</v>
      </c>
      <c r="N87" s="6">
        <v>0</v>
      </c>
      <c r="O87" s="6">
        <v>0</v>
      </c>
      <c r="P87" s="6">
        <v>0.63</v>
      </c>
      <c r="Q87" s="6">
        <v>4.71</v>
      </c>
    </row>
    <row r="88" spans="1:17" customFormat="1">
      <c r="A88" s="72">
        <v>45321.833333333336</v>
      </c>
      <c r="B88" s="6">
        <v>6.98</v>
      </c>
      <c r="C88" s="6">
        <v>17.27</v>
      </c>
      <c r="D88" s="6">
        <v>15.97</v>
      </c>
      <c r="E88" s="6">
        <v>5.75</v>
      </c>
      <c r="F88" s="6">
        <v>3.5</v>
      </c>
      <c r="G88" s="6">
        <v>54.74</v>
      </c>
      <c r="H88" s="6">
        <v>25.98</v>
      </c>
      <c r="I88" s="6">
        <v>32.83</v>
      </c>
      <c r="J88" s="6">
        <v>0.2</v>
      </c>
      <c r="K88" s="6">
        <v>175.4</v>
      </c>
      <c r="L88" s="6">
        <v>21.08</v>
      </c>
      <c r="M88" s="6">
        <v>76.83</v>
      </c>
      <c r="N88" s="6">
        <v>0</v>
      </c>
      <c r="O88" s="6">
        <v>0</v>
      </c>
      <c r="P88" s="6">
        <v>0.65</v>
      </c>
      <c r="Q88" s="6">
        <v>4.75</v>
      </c>
    </row>
    <row r="89" spans="1:17" customFormat="1">
      <c r="A89" s="72">
        <v>45321.84375</v>
      </c>
      <c r="B89" s="6">
        <v>7.27</v>
      </c>
      <c r="C89" s="6">
        <v>17.260000000000002</v>
      </c>
      <c r="D89" s="6">
        <v>16.2</v>
      </c>
      <c r="E89" s="6">
        <v>6.24</v>
      </c>
      <c r="F89" s="6">
        <v>3.53</v>
      </c>
      <c r="G89" s="6">
        <v>55.59</v>
      </c>
      <c r="H89" s="6">
        <v>25.39</v>
      </c>
      <c r="I89" s="6">
        <v>30.91</v>
      </c>
      <c r="J89" s="6">
        <v>0.16</v>
      </c>
      <c r="K89" s="6">
        <v>183.56</v>
      </c>
      <c r="L89" s="6">
        <v>20.79</v>
      </c>
      <c r="M89" s="6">
        <v>78.989999999999995</v>
      </c>
      <c r="N89" s="6">
        <v>0</v>
      </c>
      <c r="O89" s="6">
        <v>0</v>
      </c>
      <c r="P89" s="6">
        <v>0.66</v>
      </c>
      <c r="Q89" s="6">
        <v>4.74</v>
      </c>
    </row>
    <row r="90" spans="1:17" customFormat="1">
      <c r="A90" s="72">
        <v>45321.854166666664</v>
      </c>
      <c r="B90" s="6">
        <v>7.63</v>
      </c>
      <c r="C90" s="6">
        <v>18.899999999999999</v>
      </c>
      <c r="D90" s="6">
        <v>17.350000000000001</v>
      </c>
      <c r="E90" s="6">
        <v>6.7</v>
      </c>
      <c r="F90" s="6">
        <v>3.2</v>
      </c>
      <c r="G90" s="6">
        <v>56.24</v>
      </c>
      <c r="H90" s="6">
        <v>25.02</v>
      </c>
      <c r="I90" s="6">
        <v>30</v>
      </c>
      <c r="J90" s="6">
        <v>0.13</v>
      </c>
      <c r="K90" s="6">
        <v>191.83</v>
      </c>
      <c r="L90" s="6">
        <v>20.6</v>
      </c>
      <c r="M90" s="6">
        <v>77.319999999999993</v>
      </c>
      <c r="N90" s="6">
        <v>0</v>
      </c>
      <c r="O90" s="6">
        <v>0</v>
      </c>
      <c r="P90" s="6">
        <v>0.68</v>
      </c>
      <c r="Q90" s="6">
        <v>4.76</v>
      </c>
    </row>
    <row r="91" spans="1:17" customFormat="1">
      <c r="A91" s="72">
        <v>45321.864583333336</v>
      </c>
      <c r="B91" s="6">
        <v>8.01</v>
      </c>
      <c r="C91" s="6">
        <v>19.920000000000002</v>
      </c>
      <c r="D91" s="6">
        <v>18.190000000000001</v>
      </c>
      <c r="E91" s="6">
        <v>6.51</v>
      </c>
      <c r="F91" s="6">
        <v>3.14</v>
      </c>
      <c r="G91" s="6">
        <v>56.24</v>
      </c>
      <c r="H91" s="6">
        <v>25.02</v>
      </c>
      <c r="I91" s="6">
        <v>29.2</v>
      </c>
      <c r="J91" s="6">
        <v>0.18</v>
      </c>
      <c r="K91" s="6">
        <v>194.87</v>
      </c>
      <c r="L91" s="6">
        <v>20.22</v>
      </c>
      <c r="M91" s="6">
        <v>80.95</v>
      </c>
      <c r="N91" s="6">
        <v>0</v>
      </c>
      <c r="O91" s="6">
        <v>0</v>
      </c>
      <c r="P91" s="6">
        <v>0.7</v>
      </c>
      <c r="Q91" s="6">
        <v>4.7699999999999996</v>
      </c>
    </row>
    <row r="92" spans="1:17" customFormat="1">
      <c r="A92" s="72">
        <v>45321.875</v>
      </c>
      <c r="B92" s="6">
        <v>8.33</v>
      </c>
      <c r="C92" s="6">
        <v>19.079999999999998</v>
      </c>
      <c r="D92" s="6">
        <v>18</v>
      </c>
      <c r="E92" s="6">
        <v>6.7</v>
      </c>
      <c r="F92" s="6">
        <v>3.35</v>
      </c>
      <c r="G92" s="6">
        <v>56.24</v>
      </c>
      <c r="H92" s="6">
        <v>25.02</v>
      </c>
      <c r="I92" s="6">
        <v>28.47</v>
      </c>
      <c r="J92" s="6">
        <v>0.1</v>
      </c>
      <c r="K92" s="6">
        <v>186.5</v>
      </c>
      <c r="L92" s="6">
        <v>19.89</v>
      </c>
      <c r="M92" s="6">
        <v>79.59</v>
      </c>
      <c r="N92" s="6">
        <v>0</v>
      </c>
      <c r="O92" s="6">
        <v>0</v>
      </c>
      <c r="P92" s="6">
        <v>0.71</v>
      </c>
      <c r="Q92" s="6">
        <v>4.7699999999999996</v>
      </c>
    </row>
    <row r="93" spans="1:17" customFormat="1">
      <c r="A93" s="72">
        <v>45321.885416666664</v>
      </c>
      <c r="B93" s="6">
        <v>8.65</v>
      </c>
      <c r="C93" s="6">
        <v>17.41</v>
      </c>
      <c r="D93" s="6">
        <v>17.38</v>
      </c>
      <c r="E93" s="6">
        <v>6.56</v>
      </c>
      <c r="F93" s="6">
        <v>3.46</v>
      </c>
      <c r="G93" s="6">
        <v>57.31</v>
      </c>
      <c r="H93" s="6">
        <v>25.72</v>
      </c>
      <c r="I93" s="6">
        <v>27.67</v>
      </c>
      <c r="J93" s="6">
        <v>0.16</v>
      </c>
      <c r="K93" s="6">
        <v>172.09</v>
      </c>
      <c r="L93" s="6">
        <v>19.899999999999999</v>
      </c>
      <c r="M93" s="6">
        <v>80.2</v>
      </c>
      <c r="N93" s="6">
        <v>0</v>
      </c>
      <c r="O93" s="6">
        <v>0</v>
      </c>
      <c r="P93" s="6">
        <v>0.71</v>
      </c>
      <c r="Q93" s="6">
        <v>4.7699999999999996</v>
      </c>
    </row>
    <row r="94" spans="1:17" customFormat="1">
      <c r="A94" s="72">
        <v>45321.895833333336</v>
      </c>
      <c r="B94" s="6">
        <v>8.77</v>
      </c>
      <c r="C94" s="6">
        <v>17.41</v>
      </c>
      <c r="D94" s="6">
        <v>17.47</v>
      </c>
      <c r="E94" s="6">
        <v>6.4</v>
      </c>
      <c r="F94" s="6">
        <v>3.47</v>
      </c>
      <c r="G94" s="6">
        <v>58.13</v>
      </c>
      <c r="H94" s="6">
        <v>25.95</v>
      </c>
      <c r="I94" s="6">
        <v>27.96</v>
      </c>
      <c r="J94" s="6">
        <v>0.14000000000000001</v>
      </c>
      <c r="K94" s="6">
        <v>164.83</v>
      </c>
      <c r="L94" s="6">
        <v>19.739999999999998</v>
      </c>
      <c r="M94" s="6">
        <v>81</v>
      </c>
      <c r="N94" s="6">
        <v>0</v>
      </c>
      <c r="O94" s="6">
        <v>0</v>
      </c>
      <c r="P94" s="6">
        <v>0.71</v>
      </c>
      <c r="Q94" s="6">
        <v>4.79</v>
      </c>
    </row>
    <row r="95" spans="1:17" customFormat="1">
      <c r="A95" s="72">
        <v>45321.90625</v>
      </c>
      <c r="B95" s="6">
        <v>8.9600000000000009</v>
      </c>
      <c r="C95" s="6">
        <v>18.989999999999998</v>
      </c>
      <c r="D95" s="6">
        <v>18.46</v>
      </c>
      <c r="E95" s="6">
        <v>6.39</v>
      </c>
      <c r="F95" s="6">
        <v>3.32</v>
      </c>
      <c r="G95" s="6">
        <v>58.13</v>
      </c>
      <c r="H95" s="6">
        <v>25.95</v>
      </c>
      <c r="I95" s="6">
        <v>27.98</v>
      </c>
      <c r="J95" s="6">
        <v>0.14000000000000001</v>
      </c>
      <c r="K95" s="6">
        <v>195.73</v>
      </c>
      <c r="L95" s="6">
        <v>19.72</v>
      </c>
      <c r="M95" s="6">
        <v>77.680000000000007</v>
      </c>
      <c r="N95" s="6">
        <v>0</v>
      </c>
      <c r="O95" s="6">
        <v>0</v>
      </c>
      <c r="P95" s="6">
        <v>0.73</v>
      </c>
      <c r="Q95" s="6">
        <v>4.79</v>
      </c>
    </row>
    <row r="96" spans="1:17" customFormat="1">
      <c r="A96" s="72">
        <v>45321.916666666664</v>
      </c>
      <c r="B96" s="6">
        <v>9.0500000000000007</v>
      </c>
      <c r="C96" s="6">
        <v>20.05</v>
      </c>
      <c r="D96" s="6">
        <v>19.09</v>
      </c>
      <c r="E96" s="6">
        <v>6.66</v>
      </c>
      <c r="F96" s="6">
        <v>3.24</v>
      </c>
      <c r="G96" s="6">
        <v>58.13</v>
      </c>
      <c r="H96" s="6">
        <v>25.95</v>
      </c>
      <c r="I96" s="6">
        <v>27.28</v>
      </c>
      <c r="J96" s="6">
        <v>0.17</v>
      </c>
      <c r="K96" s="6">
        <v>163.22</v>
      </c>
      <c r="L96" s="6">
        <v>19.66</v>
      </c>
      <c r="M96" s="6">
        <v>81.89</v>
      </c>
      <c r="N96" s="6">
        <v>0</v>
      </c>
      <c r="O96" s="6">
        <v>0</v>
      </c>
      <c r="P96" s="6">
        <v>0.75</v>
      </c>
      <c r="Q96" s="6">
        <v>4.76</v>
      </c>
    </row>
    <row r="97" spans="1:22" customFormat="1">
      <c r="A97" s="72">
        <v>45321.927083333336</v>
      </c>
      <c r="B97" s="6">
        <v>9.27</v>
      </c>
      <c r="C97" s="6">
        <v>19.940000000000001</v>
      </c>
      <c r="D97" s="6">
        <v>19.2</v>
      </c>
      <c r="E97" s="6">
        <v>6.94</v>
      </c>
      <c r="F97" s="6">
        <v>3.4</v>
      </c>
      <c r="G97" s="6">
        <v>58.79</v>
      </c>
      <c r="H97" s="6">
        <v>30.8</v>
      </c>
      <c r="I97" s="6">
        <v>26.54</v>
      </c>
      <c r="J97" s="6">
        <v>0.23</v>
      </c>
      <c r="K97" s="6">
        <v>164.96</v>
      </c>
      <c r="L97" s="6">
        <v>19.57</v>
      </c>
      <c r="M97" s="6">
        <v>80.72</v>
      </c>
      <c r="N97" s="6">
        <v>0</v>
      </c>
      <c r="O97" s="6">
        <v>0</v>
      </c>
      <c r="P97" s="6">
        <v>0.75</v>
      </c>
      <c r="Q97" s="6">
        <v>4.79</v>
      </c>
    </row>
    <row r="98" spans="1:22" customFormat="1">
      <c r="A98" s="72">
        <v>45321.9375</v>
      </c>
      <c r="B98" s="6">
        <v>9.51</v>
      </c>
      <c r="C98" s="6">
        <v>18.32</v>
      </c>
      <c r="D98" s="6">
        <v>18.55</v>
      </c>
      <c r="E98" s="6">
        <v>6.18</v>
      </c>
      <c r="F98" s="6">
        <v>3.55</v>
      </c>
      <c r="G98" s="6">
        <v>59.3</v>
      </c>
      <c r="H98" s="6">
        <v>32.35</v>
      </c>
      <c r="I98" s="6">
        <v>25.83</v>
      </c>
      <c r="J98" s="6">
        <v>0.26</v>
      </c>
      <c r="K98" s="6">
        <v>180.14</v>
      </c>
      <c r="L98" s="6">
        <v>19.46</v>
      </c>
      <c r="M98" s="6">
        <v>81.62</v>
      </c>
      <c r="N98" s="6">
        <v>0</v>
      </c>
      <c r="O98" s="6">
        <v>0</v>
      </c>
      <c r="P98" s="6">
        <v>0.76</v>
      </c>
      <c r="Q98" s="6">
        <v>4.79</v>
      </c>
    </row>
    <row r="99" spans="1:22" customFormat="1">
      <c r="A99" s="72">
        <v>45321.947916666664</v>
      </c>
      <c r="B99" s="6">
        <v>9.6</v>
      </c>
      <c r="C99" s="6">
        <v>17.98</v>
      </c>
      <c r="D99" s="6">
        <v>18.440000000000001</v>
      </c>
      <c r="E99" s="6">
        <v>6.45</v>
      </c>
      <c r="F99" s="6">
        <v>3.54</v>
      </c>
      <c r="G99" s="6">
        <v>59.3</v>
      </c>
      <c r="H99" s="6">
        <v>32.35</v>
      </c>
      <c r="I99" s="6">
        <v>25.16</v>
      </c>
      <c r="J99" s="6">
        <v>0.18</v>
      </c>
      <c r="K99" s="6">
        <v>145.47999999999999</v>
      </c>
      <c r="L99" s="6">
        <v>19.260000000000002</v>
      </c>
      <c r="M99" s="6">
        <v>80.680000000000007</v>
      </c>
      <c r="N99" s="6">
        <v>0</v>
      </c>
      <c r="O99" s="6">
        <v>0</v>
      </c>
      <c r="P99" s="6">
        <v>0.75</v>
      </c>
      <c r="Q99" s="6">
        <v>4.8</v>
      </c>
    </row>
    <row r="100" spans="1:22" customFormat="1">
      <c r="A100" s="72">
        <v>45321.958333333336</v>
      </c>
      <c r="B100" s="6">
        <v>9.68</v>
      </c>
      <c r="C100" s="6">
        <v>18.96</v>
      </c>
      <c r="D100" s="6">
        <v>19.02</v>
      </c>
      <c r="E100" s="6">
        <v>6.86</v>
      </c>
      <c r="F100" s="6">
        <v>3.48</v>
      </c>
      <c r="G100" s="6">
        <v>59.3</v>
      </c>
      <c r="H100" s="6">
        <v>32.35</v>
      </c>
      <c r="I100" s="6">
        <v>24.51</v>
      </c>
      <c r="J100" s="6">
        <v>0.35</v>
      </c>
      <c r="K100" s="6">
        <v>175.13</v>
      </c>
      <c r="L100" s="6">
        <v>19.329999999999998</v>
      </c>
      <c r="M100" s="6">
        <v>80.19</v>
      </c>
      <c r="N100" s="6">
        <v>0</v>
      </c>
      <c r="O100" s="6">
        <v>0</v>
      </c>
      <c r="P100" s="6">
        <v>0.79</v>
      </c>
      <c r="Q100" s="6">
        <v>4.79</v>
      </c>
    </row>
    <row r="101" spans="1:22" customFormat="1">
      <c r="A101" s="72">
        <v>45321.96875</v>
      </c>
      <c r="B101" s="6">
        <v>9.66</v>
      </c>
      <c r="C101" s="6">
        <v>20.170000000000002</v>
      </c>
      <c r="D101" s="6">
        <v>19.64</v>
      </c>
      <c r="E101" s="6">
        <v>6.84</v>
      </c>
      <c r="F101" s="6">
        <v>3.57</v>
      </c>
      <c r="G101" s="6">
        <v>65.58</v>
      </c>
      <c r="H101" s="6">
        <v>31.5</v>
      </c>
      <c r="I101" s="6">
        <v>23.83</v>
      </c>
      <c r="J101" s="6">
        <v>0.17</v>
      </c>
      <c r="K101" s="6">
        <v>177.69</v>
      </c>
      <c r="L101" s="6">
        <v>19.11</v>
      </c>
      <c r="M101" s="6">
        <v>80.430000000000007</v>
      </c>
      <c r="N101" s="6">
        <v>0</v>
      </c>
      <c r="O101" s="6">
        <v>0</v>
      </c>
      <c r="P101" s="6">
        <v>0.79</v>
      </c>
      <c r="Q101" s="6">
        <v>4.8099999999999996</v>
      </c>
    </row>
    <row r="102" spans="1:22" customFormat="1">
      <c r="A102" s="72">
        <v>45321.979166666664</v>
      </c>
      <c r="B102" s="6">
        <v>9.59</v>
      </c>
      <c r="C102" s="6">
        <v>20.68</v>
      </c>
      <c r="D102" s="6">
        <v>19.84</v>
      </c>
      <c r="E102" s="6">
        <v>6.43</v>
      </c>
      <c r="F102" s="6">
        <v>3.45</v>
      </c>
      <c r="G102" s="6">
        <v>70.39</v>
      </c>
      <c r="H102" s="6">
        <v>31.22</v>
      </c>
      <c r="I102" s="6">
        <v>23.07</v>
      </c>
      <c r="J102" s="6">
        <v>0.17</v>
      </c>
      <c r="K102" s="6">
        <v>185.06</v>
      </c>
      <c r="L102" s="6">
        <v>19.03</v>
      </c>
      <c r="M102" s="6">
        <v>80.98</v>
      </c>
      <c r="N102" s="6">
        <v>0</v>
      </c>
      <c r="O102" s="6">
        <v>0</v>
      </c>
      <c r="P102" s="6">
        <v>0.79</v>
      </c>
      <c r="Q102" s="6">
        <v>4.79</v>
      </c>
    </row>
    <row r="103" spans="1:22" customFormat="1">
      <c r="A103" s="72">
        <v>45321.989583333336</v>
      </c>
      <c r="B103" s="6">
        <v>9.42</v>
      </c>
      <c r="C103" s="6">
        <v>21.08</v>
      </c>
      <c r="D103" s="6">
        <v>19.920000000000002</v>
      </c>
      <c r="E103" s="6">
        <v>7.04</v>
      </c>
      <c r="F103" s="6">
        <v>3.49</v>
      </c>
      <c r="G103" s="6">
        <v>70.39</v>
      </c>
      <c r="H103" s="6">
        <v>31.22</v>
      </c>
      <c r="I103" s="6">
        <v>22.33</v>
      </c>
      <c r="J103" s="6">
        <v>0.18</v>
      </c>
      <c r="K103" s="6">
        <v>173.44</v>
      </c>
      <c r="L103" s="6">
        <v>18.82</v>
      </c>
      <c r="M103" s="6">
        <v>84.12</v>
      </c>
      <c r="N103" s="6">
        <v>0</v>
      </c>
      <c r="O103" s="6">
        <v>0</v>
      </c>
      <c r="P103" s="6">
        <v>0.79</v>
      </c>
      <c r="Q103" s="6">
        <v>4.79</v>
      </c>
    </row>
    <row r="104" spans="1:22" customFormat="1">
      <c r="A104" s="72">
        <v>45322</v>
      </c>
      <c r="B104" s="6">
        <v>9.3800000000000008</v>
      </c>
      <c r="C104" s="6">
        <v>21.04</v>
      </c>
      <c r="D104" s="6">
        <v>19.87</v>
      </c>
      <c r="E104" s="6">
        <v>6.78</v>
      </c>
      <c r="F104" s="6">
        <v>3.41</v>
      </c>
      <c r="G104" s="6">
        <v>70.39</v>
      </c>
      <c r="H104" s="6">
        <v>31.22</v>
      </c>
      <c r="I104" s="6">
        <v>21.61</v>
      </c>
      <c r="J104" s="6">
        <v>0.18</v>
      </c>
      <c r="K104" s="6">
        <v>186.7</v>
      </c>
      <c r="L104" s="6">
        <v>18.510000000000002</v>
      </c>
      <c r="M104" s="6">
        <v>85.68</v>
      </c>
      <c r="N104" s="6">
        <v>0</v>
      </c>
      <c r="O104" s="6">
        <v>0</v>
      </c>
      <c r="P104" s="6">
        <v>0.79</v>
      </c>
      <c r="Q104" s="6">
        <v>4.8</v>
      </c>
    </row>
    <row r="106" spans="1:22">
      <c r="A106" s="156" t="s">
        <v>48</v>
      </c>
      <c r="B106" s="157">
        <f>MIN(B9:B104)</f>
        <v>3.14</v>
      </c>
      <c r="C106" s="157">
        <f>MIN(C9:C104)</f>
        <v>16.73</v>
      </c>
      <c r="D106" s="157">
        <f t="shared" ref="D106:Q106" si="0">MIN(D9:D104)</f>
        <v>13.45</v>
      </c>
      <c r="E106" s="157">
        <f t="shared" si="0"/>
        <v>4.25</v>
      </c>
      <c r="F106" s="157">
        <f t="shared" si="0"/>
        <v>3.13</v>
      </c>
      <c r="G106" s="157">
        <f t="shared" si="0"/>
        <v>27.05</v>
      </c>
      <c r="H106" s="157">
        <f t="shared" si="0"/>
        <v>13.07</v>
      </c>
      <c r="I106" s="157">
        <f t="shared" si="0"/>
        <v>10.15</v>
      </c>
      <c r="J106" s="157">
        <f t="shared" si="0"/>
        <v>0.05</v>
      </c>
      <c r="K106" s="157">
        <f t="shared" si="0"/>
        <v>20.85</v>
      </c>
      <c r="L106" s="157">
        <f t="shared" si="0"/>
        <v>14.97</v>
      </c>
      <c r="M106" s="157">
        <f t="shared" si="0"/>
        <v>35.17</v>
      </c>
      <c r="N106" s="157">
        <f t="shared" si="0"/>
        <v>0</v>
      </c>
      <c r="O106" s="157">
        <f t="shared" si="0"/>
        <v>0</v>
      </c>
      <c r="P106" s="157">
        <f t="shared" si="0"/>
        <v>0.57999999999999996</v>
      </c>
      <c r="Q106" s="157">
        <f t="shared" si="0"/>
        <v>4.68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25.57</v>
      </c>
      <c r="C107" s="156">
        <f t="shared" ref="C107:Q107" si="1">MAX(C9:C104)</f>
        <v>29.8</v>
      </c>
      <c r="D107" s="156">
        <f t="shared" si="1"/>
        <v>37.380000000000003</v>
      </c>
      <c r="E107" s="156">
        <f t="shared" si="1"/>
        <v>19.14</v>
      </c>
      <c r="F107" s="156">
        <f t="shared" si="1"/>
        <v>18.68</v>
      </c>
      <c r="G107" s="156">
        <f t="shared" si="1"/>
        <v>119.76</v>
      </c>
      <c r="H107" s="156">
        <f t="shared" si="1"/>
        <v>61.58</v>
      </c>
      <c r="I107" s="156">
        <f t="shared" si="1"/>
        <v>82.24</v>
      </c>
      <c r="J107" s="156">
        <f t="shared" si="1"/>
        <v>1.24</v>
      </c>
      <c r="K107" s="156">
        <f t="shared" si="1"/>
        <v>317.88</v>
      </c>
      <c r="L107" s="156">
        <f t="shared" si="1"/>
        <v>29.12</v>
      </c>
      <c r="M107" s="156">
        <f t="shared" si="1"/>
        <v>89.26</v>
      </c>
      <c r="N107" s="156">
        <f t="shared" si="1"/>
        <v>525</v>
      </c>
      <c r="O107" s="156">
        <f t="shared" si="1"/>
        <v>0</v>
      </c>
      <c r="P107" s="156">
        <f t="shared" si="1"/>
        <v>1.07</v>
      </c>
      <c r="Q107" s="156">
        <f t="shared" si="1"/>
        <v>4.99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11.531413043478265</v>
      </c>
      <c r="C108" s="157">
        <f t="shared" ref="C108:Q108" si="2">AVERAGE(C9:C104)</f>
        <v>23.000326086956523</v>
      </c>
      <c r="D108" s="157">
        <f t="shared" si="2"/>
        <v>22.615543478260864</v>
      </c>
      <c r="E108" s="157">
        <f t="shared" si="2"/>
        <v>6.9264835164835148</v>
      </c>
      <c r="F108" s="157">
        <f t="shared" si="2"/>
        <v>4.8291208791208797</v>
      </c>
      <c r="G108" s="157">
        <f t="shared" si="2"/>
        <v>66.039120879120887</v>
      </c>
      <c r="H108" s="157">
        <f t="shared" si="2"/>
        <v>34.785274725274718</v>
      </c>
      <c r="I108" s="157">
        <f t="shared" si="2"/>
        <v>22.385208333333338</v>
      </c>
      <c r="J108" s="157">
        <f t="shared" si="2"/>
        <v>0.34062500000000018</v>
      </c>
      <c r="K108" s="157">
        <f t="shared" si="2"/>
        <v>196.32364583333333</v>
      </c>
      <c r="L108" s="157">
        <f t="shared" si="2"/>
        <v>21.453333333333333</v>
      </c>
      <c r="M108" s="157">
        <f t="shared" si="2"/>
        <v>66.082812500000017</v>
      </c>
      <c r="N108" s="157">
        <f t="shared" si="2"/>
        <v>115.86354166666662</v>
      </c>
      <c r="O108" s="157">
        <f t="shared" si="2"/>
        <v>0</v>
      </c>
      <c r="P108" s="157">
        <f t="shared" si="2"/>
        <v>0.84430107526881748</v>
      </c>
      <c r="Q108" s="157">
        <f t="shared" si="2"/>
        <v>4.8269791666666686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6.4150846579121241</v>
      </c>
      <c r="C109" s="157">
        <f t="shared" ref="C109:Q109" si="3">STDEV(C9:C104)</f>
        <v>3.76714234280578</v>
      </c>
      <c r="D109" s="157">
        <f t="shared" si="3"/>
        <v>6.8498995523445219</v>
      </c>
      <c r="E109" s="157">
        <f t="shared" si="3"/>
        <v>1.8647557919508333</v>
      </c>
      <c r="F109" s="157">
        <f t="shared" si="3"/>
        <v>3.5795169284110706</v>
      </c>
      <c r="G109" s="157">
        <f t="shared" si="3"/>
        <v>21.237025981805743</v>
      </c>
      <c r="H109" s="157">
        <f t="shared" si="3"/>
        <v>11.937659210401678</v>
      </c>
      <c r="I109" s="157">
        <f t="shared" si="3"/>
        <v>16.983821030564503</v>
      </c>
      <c r="J109" s="157">
        <f t="shared" si="3"/>
        <v>0.27717299367191706</v>
      </c>
      <c r="K109" s="157">
        <f t="shared" si="3"/>
        <v>70.600111974263356</v>
      </c>
      <c r="L109" s="157">
        <f t="shared" si="3"/>
        <v>4.8274748039172843</v>
      </c>
      <c r="M109" s="157">
        <f t="shared" si="3"/>
        <v>19.560861712970237</v>
      </c>
      <c r="N109" s="157">
        <f t="shared" si="3"/>
        <v>178.57846284936025</v>
      </c>
      <c r="O109" s="157">
        <f t="shared" si="3"/>
        <v>0</v>
      </c>
      <c r="P109" s="157">
        <f t="shared" si="3"/>
        <v>0.1585011167801989</v>
      </c>
      <c r="Q109" s="157">
        <f t="shared" si="3"/>
        <v>8.5718263013403934E-2</v>
      </c>
      <c r="R109" s="157"/>
      <c r="S109" s="157"/>
      <c r="T109" s="157"/>
      <c r="U109" s="157"/>
    </row>
    <row r="110" spans="1:22">
      <c r="A110" s="156" t="s">
        <v>52</v>
      </c>
      <c r="B110" s="156">
        <v>96</v>
      </c>
      <c r="C110" s="156">
        <v>96</v>
      </c>
      <c r="D110" s="156">
        <v>96</v>
      </c>
      <c r="E110" s="156">
        <v>96</v>
      </c>
      <c r="F110" s="156">
        <v>96</v>
      </c>
      <c r="G110" s="156">
        <v>96</v>
      </c>
      <c r="H110" s="156">
        <v>96</v>
      </c>
      <c r="I110" s="156">
        <v>96</v>
      </c>
      <c r="J110" s="156">
        <v>96</v>
      </c>
      <c r="K110" s="156">
        <v>96</v>
      </c>
      <c r="L110" s="156">
        <v>96</v>
      </c>
      <c r="M110" s="156">
        <v>96</v>
      </c>
      <c r="N110" s="156">
        <v>96</v>
      </c>
      <c r="O110" s="156">
        <v>96</v>
      </c>
      <c r="P110" s="156">
        <v>96</v>
      </c>
      <c r="Q110" s="156"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4">IF(C110&gt;=87,"&gt;90%",IF(C110&lt;=87,"&lt;90%"))</f>
        <v>&gt;90%</v>
      </c>
      <c r="D111" s="132" t="str">
        <f t="shared" si="4"/>
        <v>&gt;90%</v>
      </c>
      <c r="E111" s="132" t="str">
        <f t="shared" si="4"/>
        <v>&gt;90%</v>
      </c>
      <c r="F111" s="132" t="str">
        <f t="shared" si="4"/>
        <v>&gt;90%</v>
      </c>
      <c r="G111" s="132" t="str">
        <f t="shared" si="4"/>
        <v>&gt;90%</v>
      </c>
      <c r="H111" s="132" t="str">
        <f t="shared" si="4"/>
        <v>&gt;90%</v>
      </c>
      <c r="I111" s="132" t="str">
        <f t="shared" si="4"/>
        <v>&gt;90%</v>
      </c>
      <c r="J111" s="132" t="str">
        <f t="shared" si="4"/>
        <v>&gt;90%</v>
      </c>
      <c r="K111" s="132" t="str">
        <f t="shared" si="4"/>
        <v>&gt;90%</v>
      </c>
      <c r="L111" s="132" t="str">
        <f t="shared" si="4"/>
        <v>&gt;90%</v>
      </c>
      <c r="M111" s="132" t="str">
        <f t="shared" si="4"/>
        <v>&gt;90%</v>
      </c>
      <c r="N111" s="132" t="str">
        <f t="shared" si="4"/>
        <v>&gt;90%</v>
      </c>
      <c r="O111" s="132" t="str">
        <f t="shared" si="4"/>
        <v>&gt;90%</v>
      </c>
      <c r="P111" s="132" t="str">
        <f t="shared" si="4"/>
        <v>&gt;90%</v>
      </c>
      <c r="Q111" s="132" t="str">
        <f t="shared" si="4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5">IF(C110&gt;=87,"OK",IF(C110&lt;=87,"LESS"))</f>
        <v>OK</v>
      </c>
      <c r="D112" s="132" t="str">
        <f t="shared" si="5"/>
        <v>OK</v>
      </c>
      <c r="E112" s="132" t="str">
        <f t="shared" si="5"/>
        <v>OK</v>
      </c>
      <c r="F112" s="132" t="str">
        <f t="shared" si="5"/>
        <v>OK</v>
      </c>
      <c r="G112" s="132" t="str">
        <f t="shared" si="5"/>
        <v>OK</v>
      </c>
      <c r="H112" s="132" t="str">
        <f t="shared" si="5"/>
        <v>OK</v>
      </c>
      <c r="I112" s="132" t="str">
        <f t="shared" si="5"/>
        <v>OK</v>
      </c>
      <c r="J112" s="132" t="str">
        <f t="shared" si="5"/>
        <v>OK</v>
      </c>
      <c r="K112" s="132" t="str">
        <f t="shared" si="5"/>
        <v>OK</v>
      </c>
      <c r="L112" s="132" t="str">
        <f t="shared" si="5"/>
        <v>OK</v>
      </c>
      <c r="M112" s="132" t="str">
        <f t="shared" si="5"/>
        <v>OK</v>
      </c>
      <c r="N112" s="132" t="str">
        <f t="shared" si="5"/>
        <v>OK</v>
      </c>
      <c r="O112" s="132" t="str">
        <f t="shared" si="5"/>
        <v>OK</v>
      </c>
      <c r="P112" s="132" t="str">
        <f t="shared" si="5"/>
        <v>OK</v>
      </c>
      <c r="Q112" s="132" t="str">
        <f t="shared" si="5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117"/>
  <sheetViews>
    <sheetView zoomScale="85" zoomScaleNormal="85" workbookViewId="0">
      <pane ySplit="8" topLeftCell="A96" activePane="bottomLeft" state="frozen"/>
      <selection pane="bottomLeft" activeCell="A9" sqref="A9:XFD10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>
        <f>$A$9</f>
        <v>45322.010416666664</v>
      </c>
      <c r="C2" s="160" t="s">
        <v>3</v>
      </c>
      <c r="D2" s="160"/>
      <c r="E2" s="160"/>
      <c r="F2" s="160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0" t="s">
        <v>11</v>
      </c>
      <c r="D3" s="160"/>
      <c r="E3" s="160"/>
      <c r="F3" s="160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0" t="s">
        <v>18</v>
      </c>
      <c r="D4" s="160"/>
      <c r="E4" s="160"/>
      <c r="F4" s="160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 customFormat="1">
      <c r="A9" s="72">
        <v>45322.010416666664</v>
      </c>
      <c r="B9" s="6">
        <v>8.8000000000000007</v>
      </c>
      <c r="C9" s="6">
        <v>20.67</v>
      </c>
      <c r="D9" s="6">
        <v>19.21</v>
      </c>
      <c r="E9" s="6">
        <v>7.07</v>
      </c>
      <c r="F9" s="6">
        <v>3.3</v>
      </c>
      <c r="G9" s="6">
        <v>69.17</v>
      </c>
      <c r="H9" s="6">
        <v>33.39</v>
      </c>
      <c r="I9" s="6">
        <v>20.87</v>
      </c>
      <c r="J9" s="6">
        <v>0.2</v>
      </c>
      <c r="K9" s="6">
        <v>195.11</v>
      </c>
      <c r="L9" s="6">
        <v>18.03</v>
      </c>
      <c r="M9" s="6">
        <v>87.55</v>
      </c>
      <c r="N9" s="6">
        <v>0</v>
      </c>
      <c r="O9" s="6">
        <v>0</v>
      </c>
      <c r="P9" s="6">
        <v>0.8</v>
      </c>
      <c r="Q9" s="6">
        <v>4.78</v>
      </c>
    </row>
    <row r="10" spans="1:21" customFormat="1">
      <c r="A10" s="72">
        <v>45322.020833333336</v>
      </c>
      <c r="B10" s="6">
        <v>8.66</v>
      </c>
      <c r="C10" s="6">
        <v>21.32</v>
      </c>
      <c r="D10" s="6">
        <v>19.43</v>
      </c>
      <c r="E10" s="6">
        <v>6.79</v>
      </c>
      <c r="F10" s="6">
        <v>3.26</v>
      </c>
      <c r="G10" s="6">
        <v>68.239999999999995</v>
      </c>
      <c r="H10" s="6">
        <v>34.090000000000003</v>
      </c>
      <c r="I10" s="6">
        <v>20.170000000000002</v>
      </c>
      <c r="J10" s="6">
        <v>0.12</v>
      </c>
      <c r="K10" s="6">
        <v>174.2</v>
      </c>
      <c r="L10" s="6">
        <v>17.8</v>
      </c>
      <c r="M10" s="6">
        <v>87.87</v>
      </c>
      <c r="N10" s="6">
        <v>0</v>
      </c>
      <c r="O10" s="6">
        <v>0</v>
      </c>
      <c r="P10" s="6">
        <v>0.81</v>
      </c>
      <c r="Q10" s="6">
        <v>4.7699999999999996</v>
      </c>
    </row>
    <row r="11" spans="1:21" customFormat="1">
      <c r="A11" s="72">
        <v>45322.03125</v>
      </c>
      <c r="B11" s="6">
        <v>8.6199999999999992</v>
      </c>
      <c r="C11" s="6">
        <v>21.52</v>
      </c>
      <c r="D11" s="6">
        <v>19.510000000000002</v>
      </c>
      <c r="E11" s="6">
        <v>6.95</v>
      </c>
      <c r="F11" s="6">
        <v>3.38</v>
      </c>
      <c r="G11" s="6">
        <v>68.239999999999995</v>
      </c>
      <c r="H11" s="6">
        <v>34.090000000000003</v>
      </c>
      <c r="I11" s="6">
        <v>19.559999999999999</v>
      </c>
      <c r="J11" s="6">
        <v>0.13</v>
      </c>
      <c r="K11" s="6">
        <v>197.89</v>
      </c>
      <c r="L11" s="6">
        <v>17.91</v>
      </c>
      <c r="M11" s="6">
        <v>87.41</v>
      </c>
      <c r="N11" s="6">
        <v>0</v>
      </c>
      <c r="O11" s="6">
        <v>0</v>
      </c>
      <c r="P11" s="6">
        <v>0.81</v>
      </c>
      <c r="Q11" s="6">
        <v>4.78</v>
      </c>
    </row>
    <row r="12" spans="1:21" customFormat="1">
      <c r="A12" s="72">
        <v>45322.041666666664</v>
      </c>
      <c r="B12" s="6">
        <v>8.66</v>
      </c>
      <c r="C12" s="6">
        <v>21.42</v>
      </c>
      <c r="D12" s="6">
        <v>19.489999999999998</v>
      </c>
      <c r="E12" s="6">
        <v>7.17</v>
      </c>
      <c r="F12" s="6">
        <v>3.39</v>
      </c>
      <c r="G12" s="6">
        <v>68.239999999999995</v>
      </c>
      <c r="H12" s="6">
        <v>34.090000000000003</v>
      </c>
      <c r="I12" s="6">
        <v>19</v>
      </c>
      <c r="J12" s="6">
        <v>0.16</v>
      </c>
      <c r="K12" s="6">
        <v>186.87</v>
      </c>
      <c r="L12" s="6">
        <v>17.73</v>
      </c>
      <c r="M12" s="6">
        <v>88.68</v>
      </c>
      <c r="N12" s="6">
        <v>0</v>
      </c>
      <c r="O12" s="6">
        <v>0</v>
      </c>
      <c r="P12" s="6">
        <v>0.8</v>
      </c>
      <c r="Q12" s="6">
        <v>4.8</v>
      </c>
    </row>
    <row r="13" spans="1:21" customFormat="1">
      <c r="A13" s="72">
        <v>45322.052083333336</v>
      </c>
      <c r="B13" s="6">
        <v>8.65</v>
      </c>
      <c r="C13" s="6">
        <v>21.67</v>
      </c>
      <c r="D13" s="6">
        <v>19.61</v>
      </c>
      <c r="E13" s="6">
        <v>7.34</v>
      </c>
      <c r="F13" s="6">
        <v>3.39</v>
      </c>
      <c r="G13" s="6">
        <v>65.709999999999994</v>
      </c>
      <c r="H13" s="6">
        <v>34.67</v>
      </c>
      <c r="I13" s="6">
        <v>18.41</v>
      </c>
      <c r="J13" s="6">
        <v>0.14000000000000001</v>
      </c>
      <c r="K13" s="6">
        <v>204.77</v>
      </c>
      <c r="L13" s="6">
        <v>17.61</v>
      </c>
      <c r="M13" s="6">
        <v>88.25</v>
      </c>
      <c r="N13" s="6">
        <v>0</v>
      </c>
      <c r="O13" s="6">
        <v>0</v>
      </c>
      <c r="P13" s="6">
        <v>0.82</v>
      </c>
      <c r="Q13" s="6">
        <v>4.79</v>
      </c>
    </row>
    <row r="14" spans="1:21" customFormat="1">
      <c r="A14" s="72">
        <v>45322.0625</v>
      </c>
      <c r="B14" s="6">
        <v>8.75</v>
      </c>
      <c r="C14" s="6">
        <v>21.71</v>
      </c>
      <c r="D14" s="6">
        <v>19.71</v>
      </c>
      <c r="E14" s="6">
        <v>7.12</v>
      </c>
      <c r="F14" s="6">
        <v>3.42</v>
      </c>
      <c r="G14" s="6">
        <v>63.78</v>
      </c>
      <c r="H14" s="6">
        <v>34.86</v>
      </c>
      <c r="I14" s="6">
        <v>17.850000000000001</v>
      </c>
      <c r="J14" s="6">
        <v>0.19</v>
      </c>
      <c r="K14" s="6">
        <v>102.8</v>
      </c>
      <c r="L14" s="6">
        <v>17.559999999999999</v>
      </c>
      <c r="M14" s="6">
        <v>88.28</v>
      </c>
      <c r="N14" s="6">
        <v>0</v>
      </c>
      <c r="O14" s="6">
        <v>0</v>
      </c>
      <c r="P14" s="6">
        <v>0.82</v>
      </c>
      <c r="Q14" s="6">
        <v>4.7699999999999996</v>
      </c>
    </row>
    <row r="15" spans="1:21" customFormat="1">
      <c r="A15" s="72">
        <v>45322.072916666664</v>
      </c>
      <c r="B15" s="6">
        <v>9.4499999999999993</v>
      </c>
      <c r="C15" s="6">
        <v>22.04</v>
      </c>
      <c r="D15" s="6">
        <v>20.440000000000001</v>
      </c>
      <c r="E15" s="6">
        <v>7.36</v>
      </c>
      <c r="F15" s="6">
        <v>3.35</v>
      </c>
      <c r="G15" s="6">
        <v>63.78</v>
      </c>
      <c r="H15" s="6">
        <v>34.86</v>
      </c>
      <c r="I15" s="6">
        <v>17.329999999999998</v>
      </c>
      <c r="J15" s="6">
        <v>0.35</v>
      </c>
      <c r="K15" s="6">
        <v>81.91</v>
      </c>
      <c r="L15" s="6">
        <v>17.809999999999999</v>
      </c>
      <c r="M15" s="6">
        <v>84.63</v>
      </c>
      <c r="N15" s="6">
        <v>0</v>
      </c>
      <c r="O15" s="6">
        <v>0</v>
      </c>
      <c r="P15" s="6">
        <v>0.8</v>
      </c>
      <c r="Q15" s="6">
        <v>4.79</v>
      </c>
    </row>
    <row r="16" spans="1:21" customFormat="1">
      <c r="A16" s="72">
        <v>45322.083333333336</v>
      </c>
      <c r="B16" s="6">
        <v>11.21</v>
      </c>
      <c r="C16" s="6">
        <v>23.52</v>
      </c>
      <c r="D16" s="6">
        <v>22.63</v>
      </c>
      <c r="E16" s="6">
        <v>7.4</v>
      </c>
      <c r="F16" s="6">
        <v>3.2</v>
      </c>
      <c r="G16" s="6">
        <v>63.78</v>
      </c>
      <c r="H16" s="6">
        <v>34.86</v>
      </c>
      <c r="I16" s="6">
        <v>16.809999999999999</v>
      </c>
      <c r="J16" s="6">
        <v>0.26</v>
      </c>
      <c r="K16" s="6">
        <v>198.83</v>
      </c>
      <c r="L16" s="6">
        <v>17.75</v>
      </c>
      <c r="M16" s="6">
        <v>86.4</v>
      </c>
      <c r="N16" s="6">
        <v>0</v>
      </c>
      <c r="O16" s="6">
        <v>0</v>
      </c>
      <c r="P16" s="6">
        <v>0.81</v>
      </c>
      <c r="Q16" s="6">
        <v>4.8</v>
      </c>
    </row>
    <row r="17" spans="1:17" customFormat="1">
      <c r="A17" s="72">
        <v>45322.09375</v>
      </c>
      <c r="B17" s="6">
        <v>12.3</v>
      </c>
      <c r="C17" s="6">
        <v>24.39</v>
      </c>
      <c r="D17" s="6">
        <v>23.96</v>
      </c>
      <c r="E17" s="6">
        <v>7.57</v>
      </c>
      <c r="F17" s="6">
        <v>3.16</v>
      </c>
      <c r="G17" s="6">
        <v>66.77</v>
      </c>
      <c r="H17" s="6">
        <v>35.159999999999997</v>
      </c>
      <c r="I17" s="6">
        <v>16.309999999999999</v>
      </c>
      <c r="J17" s="6">
        <v>0.19</v>
      </c>
      <c r="K17" s="6">
        <v>158.47999999999999</v>
      </c>
      <c r="L17" s="6">
        <v>17.18</v>
      </c>
      <c r="M17" s="6">
        <v>89.03</v>
      </c>
      <c r="N17" s="6">
        <v>0</v>
      </c>
      <c r="O17" s="6">
        <v>0</v>
      </c>
      <c r="P17" s="6">
        <v>0.82</v>
      </c>
      <c r="Q17" s="6">
        <v>4.79</v>
      </c>
    </row>
    <row r="18" spans="1:17" customFormat="1">
      <c r="A18" s="72">
        <v>45322.104166666664</v>
      </c>
      <c r="B18" s="6">
        <v>12.51</v>
      </c>
      <c r="C18" s="6">
        <v>24.48</v>
      </c>
      <c r="D18" s="6">
        <v>24.17</v>
      </c>
      <c r="E18" s="6">
        <v>8.0299999999999994</v>
      </c>
      <c r="F18" s="6">
        <v>3.26</v>
      </c>
      <c r="G18" s="6">
        <v>69.05</v>
      </c>
      <c r="H18" s="6">
        <v>35.28</v>
      </c>
      <c r="I18" s="6">
        <v>15.89</v>
      </c>
      <c r="J18" s="6">
        <v>0.15</v>
      </c>
      <c r="K18" s="6">
        <v>166.24</v>
      </c>
      <c r="L18" s="6">
        <v>17.07</v>
      </c>
      <c r="M18" s="6">
        <v>89.12</v>
      </c>
      <c r="N18" s="6">
        <v>0</v>
      </c>
      <c r="O18" s="6">
        <v>0</v>
      </c>
      <c r="P18" s="6">
        <v>0.81</v>
      </c>
      <c r="Q18" s="6">
        <v>4.82</v>
      </c>
    </row>
    <row r="19" spans="1:17" customFormat="1">
      <c r="A19" s="72">
        <v>45322.114583333336</v>
      </c>
      <c r="B19" s="6">
        <v>12.38</v>
      </c>
      <c r="C19" s="6">
        <v>24.34</v>
      </c>
      <c r="D19" s="6">
        <v>23.99</v>
      </c>
      <c r="E19" s="6">
        <v>8.43</v>
      </c>
      <c r="F19" s="6">
        <v>3.26</v>
      </c>
      <c r="G19" s="6">
        <v>69.05</v>
      </c>
      <c r="H19" s="6">
        <v>35.28</v>
      </c>
      <c r="I19" s="6">
        <v>15.47</v>
      </c>
      <c r="J19" s="6">
        <v>0.14000000000000001</v>
      </c>
      <c r="K19" s="6">
        <v>165.9</v>
      </c>
      <c r="L19" s="6">
        <v>17.04</v>
      </c>
      <c r="M19" s="6">
        <v>90.46</v>
      </c>
      <c r="N19" s="6">
        <v>0</v>
      </c>
      <c r="O19" s="6">
        <v>0</v>
      </c>
      <c r="P19" s="6">
        <v>0.79</v>
      </c>
      <c r="Q19" s="6">
        <v>4.8099999999999996</v>
      </c>
    </row>
    <row r="20" spans="1:17" customFormat="1">
      <c r="A20" s="72">
        <v>45322.125</v>
      </c>
      <c r="B20" s="6">
        <v>12.22</v>
      </c>
      <c r="C20" s="6">
        <v>24.45</v>
      </c>
      <c r="D20" s="6">
        <v>23.92</v>
      </c>
      <c r="E20" s="6">
        <v>8.4499999999999993</v>
      </c>
      <c r="F20" s="6">
        <v>3.21</v>
      </c>
      <c r="G20" s="6">
        <v>69.05</v>
      </c>
      <c r="H20" s="6">
        <v>35.28</v>
      </c>
      <c r="I20" s="6">
        <v>15.06</v>
      </c>
      <c r="J20" s="6">
        <v>0.22</v>
      </c>
      <c r="K20" s="6">
        <v>196.89</v>
      </c>
      <c r="L20" s="6">
        <v>16.88</v>
      </c>
      <c r="M20" s="6">
        <v>91.57</v>
      </c>
      <c r="N20" s="6">
        <v>0</v>
      </c>
      <c r="O20" s="6">
        <v>0</v>
      </c>
      <c r="P20" s="6">
        <v>0.8</v>
      </c>
      <c r="Q20" s="6">
        <v>4.8</v>
      </c>
    </row>
    <row r="21" spans="1:17" customFormat="1">
      <c r="A21" s="72">
        <v>45322.135416666664</v>
      </c>
      <c r="B21" s="6">
        <v>12.14</v>
      </c>
      <c r="C21" s="6">
        <v>24.21</v>
      </c>
      <c r="D21" s="6">
        <v>23.74</v>
      </c>
      <c r="E21" s="6">
        <v>8.7799999999999994</v>
      </c>
      <c r="F21" s="6">
        <v>3.2</v>
      </c>
      <c r="G21" s="6">
        <v>66.13</v>
      </c>
      <c r="H21" s="6">
        <v>33.58</v>
      </c>
      <c r="I21" s="6">
        <v>14.63</v>
      </c>
      <c r="J21" s="6">
        <v>0.17</v>
      </c>
      <c r="K21" s="6">
        <v>193.56</v>
      </c>
      <c r="L21" s="6">
        <v>16.600000000000001</v>
      </c>
      <c r="M21" s="6">
        <v>92.04</v>
      </c>
      <c r="N21" s="6">
        <v>0</v>
      </c>
      <c r="O21" s="6">
        <v>0</v>
      </c>
      <c r="P21" s="6">
        <v>0.79</v>
      </c>
      <c r="Q21" s="6">
        <v>4.8</v>
      </c>
    </row>
    <row r="22" spans="1:17" customFormat="1">
      <c r="A22" s="72">
        <v>45322.145833333336</v>
      </c>
      <c r="B22" s="6">
        <v>12.04</v>
      </c>
      <c r="C22" s="6">
        <v>24.17</v>
      </c>
      <c r="D22" s="6">
        <v>23.63</v>
      </c>
      <c r="E22" s="6">
        <v>8.68</v>
      </c>
      <c r="F22" s="6">
        <v>3.31</v>
      </c>
      <c r="G22" s="6">
        <v>63.8</v>
      </c>
      <c r="H22" s="6">
        <v>32.79</v>
      </c>
      <c r="I22" s="6">
        <v>14.23</v>
      </c>
      <c r="J22" s="6">
        <v>0.1</v>
      </c>
      <c r="K22" s="6">
        <v>168.89</v>
      </c>
      <c r="L22" s="6">
        <v>16.63</v>
      </c>
      <c r="M22" s="6">
        <v>91.84</v>
      </c>
      <c r="N22" s="6">
        <v>0</v>
      </c>
      <c r="O22" s="6">
        <v>0</v>
      </c>
      <c r="P22" s="6">
        <v>0.79</v>
      </c>
      <c r="Q22" s="6">
        <v>4.7699999999999996</v>
      </c>
    </row>
    <row r="23" spans="1:17" customFormat="1">
      <c r="A23" s="72">
        <v>45322.15625</v>
      </c>
      <c r="B23" s="6">
        <v>11.91</v>
      </c>
      <c r="C23" s="6">
        <v>24.12</v>
      </c>
      <c r="D23" s="6">
        <v>23.5</v>
      </c>
      <c r="E23" s="6">
        <v>8.3699999999999992</v>
      </c>
      <c r="F23" s="6">
        <v>3.41</v>
      </c>
      <c r="G23" s="6">
        <v>63.8</v>
      </c>
      <c r="H23" s="6">
        <v>32.79</v>
      </c>
      <c r="I23" s="6">
        <v>13.88</v>
      </c>
      <c r="J23" s="6">
        <v>0.15</v>
      </c>
      <c r="K23" s="6">
        <v>220.04</v>
      </c>
      <c r="L23" s="6">
        <v>16.57</v>
      </c>
      <c r="M23" s="6">
        <v>91.78</v>
      </c>
      <c r="N23" s="6">
        <v>0</v>
      </c>
      <c r="O23" s="6">
        <v>0</v>
      </c>
      <c r="P23" s="6">
        <v>0.78</v>
      </c>
      <c r="Q23" s="6">
        <v>4.76</v>
      </c>
    </row>
    <row r="24" spans="1:17" customFormat="1">
      <c r="A24" s="72">
        <v>45322.166666666664</v>
      </c>
      <c r="B24" s="6">
        <v>11.89</v>
      </c>
      <c r="C24" s="6">
        <v>23.22</v>
      </c>
      <c r="D24" s="6">
        <v>23.01</v>
      </c>
      <c r="E24" s="6">
        <v>8.49</v>
      </c>
      <c r="F24" s="6">
        <v>3.41</v>
      </c>
      <c r="G24" s="6">
        <v>63.8</v>
      </c>
      <c r="H24" s="6">
        <v>32.79</v>
      </c>
      <c r="I24" s="6">
        <v>13.52</v>
      </c>
      <c r="J24" s="6">
        <v>0.09</v>
      </c>
      <c r="K24" s="6">
        <v>185.68</v>
      </c>
      <c r="L24" s="6">
        <v>16.46</v>
      </c>
      <c r="M24" s="6">
        <v>92.44</v>
      </c>
      <c r="N24" s="6">
        <v>0</v>
      </c>
      <c r="O24" s="6">
        <v>0</v>
      </c>
      <c r="P24" s="6">
        <v>0.78</v>
      </c>
      <c r="Q24" s="6">
        <v>4.78</v>
      </c>
    </row>
    <row r="25" spans="1:17" customFormat="1">
      <c r="A25" s="72">
        <v>45322.177083333336</v>
      </c>
      <c r="B25" s="6">
        <v>11.82</v>
      </c>
      <c r="C25" s="6">
        <v>19.87</v>
      </c>
      <c r="D25" s="6">
        <v>21.21</v>
      </c>
      <c r="E25" s="6">
        <v>8.49</v>
      </c>
      <c r="F25" s="6">
        <v>3.61</v>
      </c>
      <c r="G25" s="6">
        <v>62</v>
      </c>
      <c r="H25" s="6">
        <v>31.8</v>
      </c>
      <c r="I25" s="6">
        <v>13.13</v>
      </c>
      <c r="J25" s="6">
        <v>0.09</v>
      </c>
      <c r="K25" s="6">
        <v>133.82</v>
      </c>
      <c r="L25" s="6">
        <v>16.43</v>
      </c>
      <c r="M25" s="6">
        <v>92.41</v>
      </c>
      <c r="N25" s="6">
        <v>0</v>
      </c>
      <c r="O25" s="6">
        <v>0</v>
      </c>
      <c r="P25" s="6">
        <v>0.75</v>
      </c>
      <c r="Q25" s="6">
        <v>4.7699999999999996</v>
      </c>
    </row>
    <row r="26" spans="1:17" customFormat="1">
      <c r="A26" s="72">
        <v>45322.1875</v>
      </c>
      <c r="B26" s="6">
        <v>11.73</v>
      </c>
      <c r="C26" s="6">
        <v>19.29</v>
      </c>
      <c r="D26" s="6">
        <v>20.83</v>
      </c>
      <c r="E26" s="6">
        <v>8.3800000000000008</v>
      </c>
      <c r="F26" s="6">
        <v>3.56</v>
      </c>
      <c r="G26" s="6">
        <v>60.63</v>
      </c>
      <c r="H26" s="6">
        <v>31.48</v>
      </c>
      <c r="I26" s="6">
        <v>12.76</v>
      </c>
      <c r="J26" s="6">
        <v>0.09</v>
      </c>
      <c r="K26" s="6">
        <v>173.81</v>
      </c>
      <c r="L26" s="6">
        <v>16.59</v>
      </c>
      <c r="M26" s="6">
        <v>90.27</v>
      </c>
      <c r="N26" s="6">
        <v>0</v>
      </c>
      <c r="O26" s="6">
        <v>0</v>
      </c>
      <c r="P26" s="6">
        <v>0.75</v>
      </c>
      <c r="Q26" s="6">
        <v>4.76</v>
      </c>
    </row>
    <row r="27" spans="1:17" customFormat="1">
      <c r="A27" s="72">
        <v>45322.197916666664</v>
      </c>
      <c r="B27" s="6">
        <v>11.76</v>
      </c>
      <c r="C27" s="6">
        <v>19.34</v>
      </c>
      <c r="D27" s="6">
        <v>20.88</v>
      </c>
      <c r="E27" s="6">
        <v>7.99</v>
      </c>
      <c r="F27" s="6">
        <v>3.55</v>
      </c>
      <c r="G27" s="6">
        <v>60.63</v>
      </c>
      <c r="H27" s="6">
        <v>31.48</v>
      </c>
      <c r="I27" s="6">
        <v>12.47</v>
      </c>
      <c r="J27" s="6">
        <v>0.13</v>
      </c>
      <c r="K27" s="6">
        <v>239.22</v>
      </c>
      <c r="L27" s="6">
        <v>16.48</v>
      </c>
      <c r="M27" s="6">
        <v>91</v>
      </c>
      <c r="N27" s="6">
        <v>0</v>
      </c>
      <c r="O27" s="6">
        <v>0</v>
      </c>
      <c r="P27" s="6">
        <v>0.74</v>
      </c>
      <c r="Q27" s="6">
        <v>4.79</v>
      </c>
    </row>
    <row r="28" spans="1:17" customFormat="1">
      <c r="A28" s="72">
        <v>45322.208333333336</v>
      </c>
      <c r="B28" s="6">
        <v>13.52</v>
      </c>
      <c r="C28" s="6">
        <v>20.86</v>
      </c>
      <c r="D28" s="6">
        <v>23.09</v>
      </c>
      <c r="E28" s="6">
        <v>7.98</v>
      </c>
      <c r="F28" s="6">
        <v>3.34</v>
      </c>
      <c r="G28" s="6">
        <v>60.63</v>
      </c>
      <c r="H28" s="6">
        <v>31.48</v>
      </c>
      <c r="I28" s="6">
        <v>12.18</v>
      </c>
      <c r="J28" s="6">
        <v>0.06</v>
      </c>
      <c r="K28" s="6">
        <v>243.37</v>
      </c>
      <c r="L28" s="6">
        <v>16.36</v>
      </c>
      <c r="M28" s="6">
        <v>91.4</v>
      </c>
      <c r="N28" s="6">
        <v>0</v>
      </c>
      <c r="O28" s="6">
        <v>0</v>
      </c>
      <c r="P28" s="6">
        <v>0.74</v>
      </c>
      <c r="Q28" s="6">
        <v>4.78</v>
      </c>
    </row>
    <row r="29" spans="1:17" customFormat="1">
      <c r="A29" s="72">
        <v>45322.21875</v>
      </c>
      <c r="B29" s="6">
        <v>16.97</v>
      </c>
      <c r="C29" s="6">
        <v>21.19</v>
      </c>
      <c r="D29" s="6">
        <v>26.04</v>
      </c>
      <c r="E29" s="6">
        <v>7.4</v>
      </c>
      <c r="F29" s="6">
        <v>3.3</v>
      </c>
      <c r="G29" s="6">
        <v>60.79</v>
      </c>
      <c r="H29" s="6">
        <v>33.22</v>
      </c>
      <c r="I29" s="6">
        <v>11.89</v>
      </c>
      <c r="J29" s="6">
        <v>0.2</v>
      </c>
      <c r="K29" s="6">
        <v>233.76</v>
      </c>
      <c r="L29" s="6">
        <v>16.3</v>
      </c>
      <c r="M29" s="6">
        <v>91.77</v>
      </c>
      <c r="N29" s="6">
        <v>0</v>
      </c>
      <c r="O29" s="6">
        <v>0</v>
      </c>
      <c r="P29" s="6">
        <v>0.73</v>
      </c>
      <c r="Q29" s="6">
        <v>4.8499999999999996</v>
      </c>
    </row>
    <row r="30" spans="1:17" customFormat="1">
      <c r="A30" s="72">
        <v>45322.229166666664</v>
      </c>
      <c r="B30" s="6">
        <v>20.16</v>
      </c>
      <c r="C30" s="6">
        <v>22.73</v>
      </c>
      <c r="D30" s="6">
        <v>29.39</v>
      </c>
      <c r="E30" s="6">
        <v>8.08</v>
      </c>
      <c r="F30" s="6">
        <v>3.22</v>
      </c>
      <c r="G30" s="6">
        <v>60.92</v>
      </c>
      <c r="H30" s="6">
        <v>33.78</v>
      </c>
      <c r="I30" s="6">
        <v>11.62</v>
      </c>
      <c r="J30" s="6">
        <v>0.15</v>
      </c>
      <c r="K30" s="6">
        <v>143.47999999999999</v>
      </c>
      <c r="L30" s="6">
        <v>16.100000000000001</v>
      </c>
      <c r="M30" s="6">
        <v>91.66</v>
      </c>
      <c r="N30" s="6">
        <v>0</v>
      </c>
      <c r="O30" s="6">
        <v>0</v>
      </c>
      <c r="P30" s="6">
        <v>0.74</v>
      </c>
      <c r="Q30" s="6">
        <v>4.87</v>
      </c>
    </row>
    <row r="31" spans="1:17" customFormat="1">
      <c r="A31" s="72">
        <v>45322.239583333336</v>
      </c>
      <c r="B31" s="6">
        <v>21.91</v>
      </c>
      <c r="C31" s="6">
        <v>22.47</v>
      </c>
      <c r="D31" s="6">
        <v>30.66</v>
      </c>
      <c r="E31" s="6">
        <v>8.1199999999999992</v>
      </c>
      <c r="F31" s="6">
        <v>3.27</v>
      </c>
      <c r="G31" s="6">
        <v>60.92</v>
      </c>
      <c r="H31" s="6">
        <v>33.78</v>
      </c>
      <c r="I31" s="6">
        <v>11.43</v>
      </c>
      <c r="J31" s="6">
        <v>0.24</v>
      </c>
      <c r="K31" s="6">
        <v>188.89</v>
      </c>
      <c r="L31" s="6">
        <v>15.89</v>
      </c>
      <c r="M31" s="6">
        <v>92.84</v>
      </c>
      <c r="N31" s="6">
        <v>0</v>
      </c>
      <c r="O31" s="6">
        <v>0</v>
      </c>
      <c r="P31" s="6">
        <v>0.73</v>
      </c>
      <c r="Q31" s="6">
        <v>4.8899999999999997</v>
      </c>
    </row>
    <row r="32" spans="1:17" customFormat="1">
      <c r="A32" s="72">
        <v>45322.25</v>
      </c>
      <c r="B32" s="6">
        <v>22.01</v>
      </c>
      <c r="C32" s="6">
        <v>21.99</v>
      </c>
      <c r="D32" s="6">
        <v>30.49</v>
      </c>
      <c r="E32" s="6">
        <v>7.88</v>
      </c>
      <c r="F32" s="6">
        <v>3.27</v>
      </c>
      <c r="G32" s="6">
        <v>60.92</v>
      </c>
      <c r="H32" s="6">
        <v>33.78</v>
      </c>
      <c r="I32" s="6">
        <v>11.24</v>
      </c>
      <c r="J32" s="6">
        <v>0.09</v>
      </c>
      <c r="K32" s="6">
        <v>168.81</v>
      </c>
      <c r="L32" s="6">
        <v>15.82</v>
      </c>
      <c r="M32" s="6">
        <v>94.74</v>
      </c>
      <c r="N32" s="6">
        <v>0</v>
      </c>
      <c r="O32" s="6">
        <v>0</v>
      </c>
      <c r="P32" s="6">
        <v>0.73</v>
      </c>
      <c r="Q32" s="6">
        <v>4.88</v>
      </c>
    </row>
    <row r="33" spans="1:17" customFormat="1">
      <c r="A33" s="72">
        <v>45322.260416666664</v>
      </c>
      <c r="B33" s="6">
        <v>21.5</v>
      </c>
      <c r="C33" s="6">
        <v>22.34</v>
      </c>
      <c r="D33" s="6">
        <v>30.27</v>
      </c>
      <c r="E33" s="6">
        <v>8.1999999999999993</v>
      </c>
      <c r="F33" s="6">
        <v>3.2</v>
      </c>
      <c r="G33" s="6">
        <v>60.01</v>
      </c>
      <c r="H33" s="6">
        <v>32.630000000000003</v>
      </c>
      <c r="I33" s="6">
        <v>11.03</v>
      </c>
      <c r="J33" s="6">
        <v>0.15</v>
      </c>
      <c r="K33" s="6">
        <v>156.79</v>
      </c>
      <c r="L33" s="6">
        <v>15.95</v>
      </c>
      <c r="M33" s="6">
        <v>95.27</v>
      </c>
      <c r="N33" s="6">
        <v>0</v>
      </c>
      <c r="O33" s="6">
        <v>0</v>
      </c>
      <c r="P33" s="6">
        <v>0.73</v>
      </c>
      <c r="Q33" s="6">
        <v>4.88</v>
      </c>
    </row>
    <row r="34" spans="1:17" customFormat="1">
      <c r="A34" s="72">
        <v>45322.270833333336</v>
      </c>
      <c r="B34" s="6">
        <v>21.12</v>
      </c>
      <c r="C34" s="6">
        <v>21.52</v>
      </c>
      <c r="D34" s="6">
        <v>29.53</v>
      </c>
      <c r="E34" s="6">
        <v>7.53</v>
      </c>
      <c r="F34" s="6">
        <v>3.4</v>
      </c>
      <c r="G34" s="6">
        <v>59.32</v>
      </c>
      <c r="H34" s="6">
        <v>32.270000000000003</v>
      </c>
      <c r="I34" s="6">
        <v>10.86</v>
      </c>
      <c r="J34" s="6">
        <v>0.16</v>
      </c>
      <c r="K34" s="6">
        <v>153.13999999999999</v>
      </c>
      <c r="L34" s="6">
        <v>16.100000000000001</v>
      </c>
      <c r="M34" s="6">
        <v>94.76</v>
      </c>
      <c r="N34" s="6">
        <v>0</v>
      </c>
      <c r="O34" s="6">
        <v>0</v>
      </c>
      <c r="P34" s="6">
        <v>0.72</v>
      </c>
      <c r="Q34" s="6">
        <v>4.8899999999999997</v>
      </c>
    </row>
    <row r="35" spans="1:17" customFormat="1">
      <c r="A35" s="72">
        <v>45322.28125</v>
      </c>
      <c r="B35" s="6">
        <v>20.63</v>
      </c>
      <c r="C35" s="6">
        <v>21.97</v>
      </c>
      <c r="D35" s="6">
        <v>29.38</v>
      </c>
      <c r="E35" s="6">
        <v>7.87</v>
      </c>
      <c r="F35" s="6">
        <v>3.22</v>
      </c>
      <c r="G35" s="6">
        <v>59.32</v>
      </c>
      <c r="H35" s="6">
        <v>32.270000000000003</v>
      </c>
      <c r="I35" s="6">
        <v>10.74</v>
      </c>
      <c r="J35" s="6">
        <v>0.21</v>
      </c>
      <c r="K35" s="6">
        <v>149.41</v>
      </c>
      <c r="L35" s="6">
        <v>16.3</v>
      </c>
      <c r="M35" s="6">
        <v>93.91</v>
      </c>
      <c r="N35" s="6">
        <v>0.9</v>
      </c>
      <c r="O35" s="6">
        <v>0</v>
      </c>
      <c r="P35" s="6">
        <v>0.73</v>
      </c>
      <c r="Q35" s="6">
        <v>4.8899999999999997</v>
      </c>
    </row>
    <row r="36" spans="1:17" customFormat="1">
      <c r="A36" s="72">
        <v>45322.291666666664</v>
      </c>
      <c r="B36" s="6">
        <v>21.33</v>
      </c>
      <c r="C36" s="6">
        <v>21.52</v>
      </c>
      <c r="D36" s="6">
        <v>29.7</v>
      </c>
      <c r="E36" s="6">
        <v>8.11</v>
      </c>
      <c r="F36" s="6">
        <v>3.26</v>
      </c>
      <c r="G36" s="6">
        <v>59.32</v>
      </c>
      <c r="H36" s="6">
        <v>32.270000000000003</v>
      </c>
      <c r="I36" s="6">
        <v>10.68</v>
      </c>
      <c r="J36" s="6">
        <v>0.15</v>
      </c>
      <c r="K36" s="6">
        <v>167.82</v>
      </c>
      <c r="L36" s="6">
        <v>16.54</v>
      </c>
      <c r="M36" s="6">
        <v>93.33</v>
      </c>
      <c r="N36" s="6">
        <v>8.4</v>
      </c>
      <c r="O36" s="6">
        <v>0</v>
      </c>
      <c r="P36" s="6">
        <v>0.74</v>
      </c>
      <c r="Q36" s="6">
        <v>4.8899999999999997</v>
      </c>
    </row>
    <row r="37" spans="1:17" customFormat="1">
      <c r="A37" s="72">
        <v>45322.302083333336</v>
      </c>
      <c r="B37" s="6">
        <v>22.04</v>
      </c>
      <c r="C37" s="6">
        <v>21.95</v>
      </c>
      <c r="D37" s="6">
        <v>30.49</v>
      </c>
      <c r="E37" s="6">
        <v>8.18</v>
      </c>
      <c r="F37" s="6">
        <v>3.3</v>
      </c>
      <c r="G37" s="6">
        <v>62.19</v>
      </c>
      <c r="H37" s="6">
        <v>33.01</v>
      </c>
      <c r="I37" s="6">
        <v>10.64</v>
      </c>
      <c r="J37" s="6">
        <v>0.19</v>
      </c>
      <c r="K37" s="6">
        <v>177.55</v>
      </c>
      <c r="L37" s="6">
        <v>16.690000000000001</v>
      </c>
      <c r="M37" s="6">
        <v>94.1</v>
      </c>
      <c r="N37" s="6">
        <v>20.100000000000001</v>
      </c>
      <c r="O37" s="6">
        <v>0</v>
      </c>
      <c r="P37" s="6">
        <v>0.76</v>
      </c>
      <c r="Q37" s="6">
        <v>4.9000000000000004</v>
      </c>
    </row>
    <row r="38" spans="1:17" customFormat="1">
      <c r="A38" s="72">
        <v>45322.3125</v>
      </c>
      <c r="B38" s="6">
        <v>21.89</v>
      </c>
      <c r="C38" s="6">
        <v>22.25</v>
      </c>
      <c r="D38" s="6">
        <v>30.53</v>
      </c>
      <c r="E38" s="6">
        <v>7.87</v>
      </c>
      <c r="F38" s="6">
        <v>3.23</v>
      </c>
      <c r="G38" s="6">
        <v>64.38</v>
      </c>
      <c r="H38" s="6">
        <v>33.25</v>
      </c>
      <c r="I38" s="6">
        <v>10.67</v>
      </c>
      <c r="J38" s="6">
        <v>0.18</v>
      </c>
      <c r="K38" s="6">
        <v>181.04</v>
      </c>
      <c r="L38" s="6">
        <v>16.940000000000001</v>
      </c>
      <c r="M38" s="6">
        <v>92.86</v>
      </c>
      <c r="N38" s="6">
        <v>39</v>
      </c>
      <c r="O38" s="6">
        <v>0</v>
      </c>
      <c r="P38" s="6">
        <v>0.76</v>
      </c>
      <c r="Q38" s="6">
        <v>4.92</v>
      </c>
    </row>
    <row r="39" spans="1:17" customFormat="1">
      <c r="A39" s="72">
        <v>45322.322916666664</v>
      </c>
      <c r="B39" s="6">
        <v>21.46</v>
      </c>
      <c r="C39" s="6">
        <v>21.05</v>
      </c>
      <c r="D39" s="6">
        <v>29.56</v>
      </c>
      <c r="E39" s="6">
        <v>7.81</v>
      </c>
      <c r="F39" s="6">
        <v>3.38</v>
      </c>
      <c r="G39" s="6">
        <v>64.38</v>
      </c>
      <c r="H39" s="6">
        <v>33.25</v>
      </c>
      <c r="I39" s="6">
        <v>10.7</v>
      </c>
      <c r="J39" s="6">
        <v>0.15</v>
      </c>
      <c r="K39" s="6">
        <v>192.74</v>
      </c>
      <c r="L39" s="6">
        <v>17.47</v>
      </c>
      <c r="M39" s="6">
        <v>91.02</v>
      </c>
      <c r="N39" s="6">
        <v>52</v>
      </c>
      <c r="O39" s="6">
        <v>0</v>
      </c>
      <c r="P39" s="6">
        <v>0.76</v>
      </c>
      <c r="Q39" s="6">
        <v>4.91</v>
      </c>
    </row>
    <row r="40" spans="1:17" customFormat="1">
      <c r="A40" s="72">
        <v>45322.333333333336</v>
      </c>
      <c r="B40" s="6">
        <v>20.88</v>
      </c>
      <c r="C40" s="6">
        <v>21.41</v>
      </c>
      <c r="D40" s="6">
        <v>29.28</v>
      </c>
      <c r="E40" s="6">
        <v>8.17</v>
      </c>
      <c r="F40" s="6">
        <v>3.39</v>
      </c>
      <c r="G40" s="6">
        <v>64.38</v>
      </c>
      <c r="H40" s="6">
        <v>33.25</v>
      </c>
      <c r="I40" s="6">
        <v>10.69</v>
      </c>
      <c r="J40" s="6">
        <v>0.1</v>
      </c>
      <c r="K40" s="6">
        <v>140.97</v>
      </c>
      <c r="L40" s="6">
        <v>18.22</v>
      </c>
      <c r="M40" s="6">
        <v>87.74</v>
      </c>
      <c r="N40" s="6">
        <v>66.400000000000006</v>
      </c>
      <c r="O40" s="6">
        <v>0</v>
      </c>
      <c r="P40" s="6">
        <v>0.77</v>
      </c>
      <c r="Q40" s="6">
        <v>4.91</v>
      </c>
    </row>
    <row r="41" spans="1:17" customFormat="1">
      <c r="A41" s="72">
        <v>45322.34375</v>
      </c>
      <c r="B41" s="6">
        <v>20.39</v>
      </c>
      <c r="C41" s="6">
        <v>21.58</v>
      </c>
      <c r="D41" s="6">
        <v>28.98</v>
      </c>
      <c r="E41" s="6">
        <v>8.01</v>
      </c>
      <c r="F41" s="6">
        <v>3.24</v>
      </c>
      <c r="G41" s="6">
        <v>64.02</v>
      </c>
      <c r="H41" s="6">
        <v>32.81</v>
      </c>
      <c r="I41" s="6">
        <v>10.66</v>
      </c>
      <c r="J41" s="6">
        <v>0.2</v>
      </c>
      <c r="K41" s="6">
        <v>27.66</v>
      </c>
      <c r="L41" s="6">
        <v>19.170000000000002</v>
      </c>
      <c r="M41" s="6">
        <v>82.8</v>
      </c>
      <c r="N41" s="6">
        <v>94</v>
      </c>
      <c r="O41" s="6">
        <v>0</v>
      </c>
      <c r="P41" s="6">
        <v>0.77</v>
      </c>
      <c r="Q41" s="6">
        <v>4.8899999999999997</v>
      </c>
    </row>
    <row r="42" spans="1:17" customFormat="1">
      <c r="A42" s="72">
        <v>45322.354166666664</v>
      </c>
      <c r="B42" s="6">
        <v>20.6</v>
      </c>
      <c r="C42" s="6">
        <v>22.24</v>
      </c>
      <c r="D42" s="6">
        <v>29.49</v>
      </c>
      <c r="E42" s="6">
        <v>7.84</v>
      </c>
      <c r="F42" s="6">
        <v>3.24</v>
      </c>
      <c r="G42" s="6">
        <v>63.74</v>
      </c>
      <c r="H42" s="6">
        <v>32.54</v>
      </c>
      <c r="I42" s="6">
        <v>10.61</v>
      </c>
      <c r="J42" s="6">
        <v>0.4</v>
      </c>
      <c r="K42" s="6">
        <v>13.07</v>
      </c>
      <c r="L42" s="6">
        <v>19.920000000000002</v>
      </c>
      <c r="M42" s="6">
        <v>78.25</v>
      </c>
      <c r="N42" s="6">
        <v>123.6</v>
      </c>
      <c r="O42" s="6">
        <v>0</v>
      </c>
      <c r="P42" s="6">
        <v>0.78</v>
      </c>
      <c r="Q42" s="6">
        <v>4.9000000000000004</v>
      </c>
    </row>
    <row r="43" spans="1:17" customFormat="1">
      <c r="A43" s="72">
        <v>45322.364583333336</v>
      </c>
      <c r="B43" s="6">
        <v>21.16</v>
      </c>
      <c r="C43" s="6">
        <v>23.83</v>
      </c>
      <c r="D43" s="6">
        <v>30.77</v>
      </c>
      <c r="E43" s="6">
        <v>9.09</v>
      </c>
      <c r="F43" s="6">
        <v>3.35</v>
      </c>
      <c r="G43" s="6">
        <v>63.74</v>
      </c>
      <c r="H43" s="6">
        <v>32.54</v>
      </c>
      <c r="I43" s="6">
        <v>10.61</v>
      </c>
      <c r="J43" s="6">
        <v>0.63</v>
      </c>
      <c r="K43" s="6">
        <v>47.28</v>
      </c>
      <c r="L43" s="6">
        <v>20.59</v>
      </c>
      <c r="M43" s="6">
        <v>74.08</v>
      </c>
      <c r="N43" s="6">
        <v>146.69999999999999</v>
      </c>
      <c r="O43" s="6">
        <v>0</v>
      </c>
      <c r="P43" s="6">
        <v>0.81</v>
      </c>
      <c r="Q43" s="6">
        <v>4.9000000000000004</v>
      </c>
    </row>
    <row r="44" spans="1:17" customFormat="1">
      <c r="A44" s="72">
        <v>45322.375</v>
      </c>
      <c r="B44" s="6">
        <v>21.26</v>
      </c>
      <c r="C44" s="6">
        <v>25.4</v>
      </c>
      <c r="D44" s="6">
        <v>31.67</v>
      </c>
      <c r="E44" s="6">
        <v>8.25</v>
      </c>
      <c r="F44" s="6">
        <v>3.41</v>
      </c>
      <c r="G44" s="6">
        <v>63.74</v>
      </c>
      <c r="H44" s="6">
        <v>32.54</v>
      </c>
      <c r="I44" s="6">
        <v>10.75</v>
      </c>
      <c r="J44" s="6">
        <v>0.34</v>
      </c>
      <c r="K44" s="6">
        <v>39.99</v>
      </c>
      <c r="L44" s="6">
        <v>21.34</v>
      </c>
      <c r="M44" s="6">
        <v>69.44</v>
      </c>
      <c r="N44" s="6">
        <v>164.4</v>
      </c>
      <c r="O44" s="6">
        <v>0</v>
      </c>
      <c r="P44" s="6">
        <v>0.85</v>
      </c>
      <c r="Q44" s="6">
        <v>4.92</v>
      </c>
    </row>
    <row r="45" spans="1:17" customFormat="1">
      <c r="A45" s="72">
        <v>45322.385416666664</v>
      </c>
      <c r="B45" s="6">
        <v>20.66</v>
      </c>
      <c r="C45" s="6">
        <v>27.02</v>
      </c>
      <c r="D45" s="6">
        <v>32.04</v>
      </c>
      <c r="E45" s="6">
        <v>9.14</v>
      </c>
      <c r="F45" s="6">
        <v>3.46</v>
      </c>
      <c r="G45" s="6">
        <v>73.239999999999995</v>
      </c>
      <c r="H45" s="6">
        <v>36.5</v>
      </c>
      <c r="I45" s="6">
        <v>11.02</v>
      </c>
      <c r="J45" s="6">
        <v>0.35</v>
      </c>
      <c r="K45" s="6">
        <v>28.49</v>
      </c>
      <c r="L45" s="6">
        <v>22.22</v>
      </c>
      <c r="M45" s="6">
        <v>65.930000000000007</v>
      </c>
      <c r="N45" s="6">
        <v>204.4</v>
      </c>
      <c r="O45" s="6">
        <v>0</v>
      </c>
      <c r="P45" s="6">
        <v>0.89</v>
      </c>
      <c r="Q45" s="6">
        <v>4.92</v>
      </c>
    </row>
    <row r="46" spans="1:17" customFormat="1">
      <c r="A46" s="72">
        <v>45322.395833333336</v>
      </c>
      <c r="B46" s="6">
        <v>19.899999999999999</v>
      </c>
      <c r="C46" s="6">
        <v>28.03</v>
      </c>
      <c r="D46" s="6">
        <v>31.95</v>
      </c>
      <c r="E46" s="6">
        <v>8.77</v>
      </c>
      <c r="F46" s="6">
        <v>3.55</v>
      </c>
      <c r="G46" s="6">
        <v>80.510000000000005</v>
      </c>
      <c r="H46" s="6">
        <v>37.74</v>
      </c>
      <c r="I46" s="6">
        <v>11.34</v>
      </c>
      <c r="J46" s="6">
        <v>0.62</v>
      </c>
      <c r="K46" s="6">
        <v>58.54</v>
      </c>
      <c r="L46" s="6">
        <v>22.88</v>
      </c>
      <c r="M46" s="6">
        <v>63.16</v>
      </c>
      <c r="N46" s="6">
        <v>241.4</v>
      </c>
      <c r="O46" s="6">
        <v>0</v>
      </c>
      <c r="P46" s="6">
        <v>0.92</v>
      </c>
      <c r="Q46" s="6">
        <v>4.95</v>
      </c>
    </row>
    <row r="47" spans="1:17" customFormat="1">
      <c r="A47" s="72">
        <v>45322.40625</v>
      </c>
      <c r="B47" s="6">
        <v>18.63</v>
      </c>
      <c r="C47" s="6">
        <v>29.09</v>
      </c>
      <c r="D47" s="6">
        <v>31.49</v>
      </c>
      <c r="E47" s="6">
        <v>8.75</v>
      </c>
      <c r="F47" s="6">
        <v>3.63</v>
      </c>
      <c r="G47" s="6">
        <v>80.510000000000005</v>
      </c>
      <c r="H47" s="6">
        <v>37.74</v>
      </c>
      <c r="I47" s="6">
        <v>11.62</v>
      </c>
      <c r="J47" s="6">
        <v>0.04</v>
      </c>
      <c r="K47" s="6">
        <v>164.34</v>
      </c>
      <c r="L47" s="6">
        <v>23.98</v>
      </c>
      <c r="M47" s="6">
        <v>58.61</v>
      </c>
      <c r="N47" s="6">
        <v>249.3</v>
      </c>
      <c r="O47" s="6">
        <v>0</v>
      </c>
      <c r="P47" s="6">
        <v>0.95</v>
      </c>
      <c r="Q47" s="6">
        <v>4.93</v>
      </c>
    </row>
    <row r="48" spans="1:17" customFormat="1">
      <c r="A48" s="72">
        <v>45322.416666666664</v>
      </c>
      <c r="B48" s="6">
        <v>16.95</v>
      </c>
      <c r="C48" s="6">
        <v>29.96</v>
      </c>
      <c r="D48" s="6">
        <v>30.6</v>
      </c>
      <c r="E48" s="6">
        <v>8.8699999999999992</v>
      </c>
      <c r="F48" s="6">
        <v>3.7</v>
      </c>
      <c r="G48" s="6">
        <v>80.510000000000005</v>
      </c>
      <c r="H48" s="6">
        <v>37.74</v>
      </c>
      <c r="I48" s="6">
        <v>11.92</v>
      </c>
      <c r="J48" s="6">
        <v>0.35</v>
      </c>
      <c r="K48" s="6">
        <v>339.92</v>
      </c>
      <c r="L48" s="6">
        <v>24.68</v>
      </c>
      <c r="M48" s="6">
        <v>55.98</v>
      </c>
      <c r="N48" s="6">
        <v>248.4</v>
      </c>
      <c r="O48" s="6">
        <v>0</v>
      </c>
      <c r="P48" s="6">
        <v>0.97</v>
      </c>
      <c r="Q48" s="6">
        <v>4.8899999999999997</v>
      </c>
    </row>
    <row r="49" spans="1:17" customFormat="1">
      <c r="A49" s="72">
        <v>45322.427083333336</v>
      </c>
      <c r="B49" s="6">
        <v>15.33</v>
      </c>
      <c r="C49" s="6">
        <v>30.83</v>
      </c>
      <c r="D49" s="6">
        <v>29.75</v>
      </c>
      <c r="E49" s="6">
        <v>6.69</v>
      </c>
      <c r="F49" s="6">
        <v>3.77</v>
      </c>
      <c r="G49" s="6">
        <v>95.79</v>
      </c>
      <c r="H49" s="6">
        <v>45.13</v>
      </c>
      <c r="I49" s="6">
        <v>12.14</v>
      </c>
      <c r="J49" s="6">
        <v>0.61</v>
      </c>
      <c r="K49" s="6">
        <v>51</v>
      </c>
      <c r="L49" s="6">
        <v>24.96</v>
      </c>
      <c r="M49" s="6">
        <v>54.05</v>
      </c>
      <c r="N49" s="6">
        <v>320</v>
      </c>
      <c r="O49" s="6">
        <v>0</v>
      </c>
      <c r="P49" s="6">
        <v>0.99</v>
      </c>
      <c r="Q49" s="6">
        <v>4.88</v>
      </c>
    </row>
    <row r="50" spans="1:17" customFormat="1">
      <c r="A50" s="72">
        <v>45322.4375</v>
      </c>
      <c r="B50" s="6">
        <v>13.84</v>
      </c>
      <c r="C50" s="6">
        <v>31.5</v>
      </c>
      <c r="D50" s="6">
        <v>28.9</v>
      </c>
      <c r="E50" s="6">
        <v>7.52</v>
      </c>
      <c r="F50" s="6">
        <v>3.85</v>
      </c>
      <c r="G50" s="6">
        <v>107.47</v>
      </c>
      <c r="H50" s="6">
        <v>47.49</v>
      </c>
      <c r="I50" s="6">
        <v>12.27</v>
      </c>
      <c r="J50" s="6">
        <v>0.4</v>
      </c>
      <c r="K50" s="6">
        <v>342.99</v>
      </c>
      <c r="L50" s="6">
        <v>25.48</v>
      </c>
      <c r="M50" s="6">
        <v>52.99</v>
      </c>
      <c r="N50" s="6">
        <v>325.2</v>
      </c>
      <c r="O50" s="6">
        <v>0</v>
      </c>
      <c r="P50" s="6">
        <v>1</v>
      </c>
      <c r="Q50" s="6">
        <v>4.87</v>
      </c>
    </row>
    <row r="51" spans="1:17" customFormat="1">
      <c r="A51" s="72">
        <v>45322.447916666664</v>
      </c>
      <c r="B51" s="6">
        <v>12.05</v>
      </c>
      <c r="C51" s="6">
        <v>31.96</v>
      </c>
      <c r="D51" s="6">
        <v>27.72</v>
      </c>
      <c r="E51" s="6">
        <v>7.65</v>
      </c>
      <c r="F51" s="6">
        <v>4.09</v>
      </c>
      <c r="G51" s="6">
        <v>107.47</v>
      </c>
      <c r="H51" s="6">
        <v>47.49</v>
      </c>
      <c r="I51" s="6">
        <v>12.37</v>
      </c>
      <c r="J51" s="6">
        <v>0.48</v>
      </c>
      <c r="K51" s="6">
        <v>323.55</v>
      </c>
      <c r="L51" s="6">
        <v>26.07</v>
      </c>
      <c r="M51" s="6">
        <v>51.73</v>
      </c>
      <c r="N51" s="6">
        <v>341.4</v>
      </c>
      <c r="O51" s="6">
        <v>0</v>
      </c>
      <c r="P51" s="6">
        <v>1.03</v>
      </c>
      <c r="Q51" s="6">
        <v>4.8600000000000003</v>
      </c>
    </row>
    <row r="52" spans="1:17" customFormat="1">
      <c r="A52" s="72">
        <v>45322.458333333336</v>
      </c>
      <c r="B52" s="6">
        <v>10.32</v>
      </c>
      <c r="C52" s="6">
        <v>32.33</v>
      </c>
      <c r="D52" s="6">
        <v>26.52</v>
      </c>
      <c r="E52" s="6">
        <v>7.29</v>
      </c>
      <c r="F52" s="6">
        <v>4.17</v>
      </c>
      <c r="G52" s="6">
        <v>107.47</v>
      </c>
      <c r="H52" s="6">
        <v>47.49</v>
      </c>
      <c r="I52" s="6">
        <v>12.46</v>
      </c>
      <c r="J52" s="6">
        <v>0.7</v>
      </c>
      <c r="K52" s="6">
        <v>278.05</v>
      </c>
      <c r="L52" s="6">
        <v>26.14</v>
      </c>
      <c r="M52" s="6">
        <v>49.69</v>
      </c>
      <c r="N52" s="6">
        <v>364.3</v>
      </c>
      <c r="O52" s="6">
        <v>0</v>
      </c>
      <c r="P52" s="6">
        <v>1.03</v>
      </c>
      <c r="Q52" s="6">
        <v>4.84</v>
      </c>
    </row>
    <row r="53" spans="1:17" customFormat="1">
      <c r="A53" s="72">
        <v>45322.46875</v>
      </c>
      <c r="B53" s="6">
        <v>8.75</v>
      </c>
      <c r="C53" s="6">
        <v>31.72</v>
      </c>
      <c r="D53" s="6">
        <v>24.94</v>
      </c>
      <c r="E53" s="6">
        <v>7.7</v>
      </c>
      <c r="F53" s="6">
        <v>4.4000000000000004</v>
      </c>
      <c r="G53" s="6">
        <v>109.38</v>
      </c>
      <c r="H53" s="6">
        <v>48.87</v>
      </c>
      <c r="I53" s="6">
        <v>12.58</v>
      </c>
      <c r="J53" s="6">
        <v>0.52</v>
      </c>
      <c r="K53" s="6">
        <v>262.27</v>
      </c>
      <c r="L53" s="6">
        <v>26.72</v>
      </c>
      <c r="M53" s="6">
        <v>49.71</v>
      </c>
      <c r="N53" s="6">
        <v>382.4</v>
      </c>
      <c r="O53" s="6">
        <v>0</v>
      </c>
      <c r="P53" s="6">
        <v>1.03</v>
      </c>
      <c r="Q53" s="6">
        <v>4.82</v>
      </c>
    </row>
    <row r="54" spans="1:17" customFormat="1">
      <c r="A54" s="72">
        <v>45322.479166666664</v>
      </c>
      <c r="B54" s="6">
        <v>7.45</v>
      </c>
      <c r="C54" s="6">
        <v>30.85</v>
      </c>
      <c r="D54" s="6">
        <v>23.44</v>
      </c>
      <c r="E54" s="6">
        <v>7.35</v>
      </c>
      <c r="F54" s="6">
        <v>4.45</v>
      </c>
      <c r="G54" s="6">
        <v>110.83</v>
      </c>
      <c r="H54" s="6">
        <v>49.31</v>
      </c>
      <c r="I54" s="6">
        <v>12.55</v>
      </c>
      <c r="J54" s="6">
        <v>0.45</v>
      </c>
      <c r="K54" s="6">
        <v>261.85000000000002</v>
      </c>
      <c r="L54" s="6">
        <v>27.15</v>
      </c>
      <c r="M54" s="6">
        <v>48.15</v>
      </c>
      <c r="N54" s="6">
        <v>375.3</v>
      </c>
      <c r="O54" s="6">
        <v>0</v>
      </c>
      <c r="P54" s="6">
        <v>1.01</v>
      </c>
      <c r="Q54" s="6">
        <v>4.79</v>
      </c>
    </row>
    <row r="55" spans="1:17" customFormat="1">
      <c r="A55" s="72">
        <v>45322.489583333336</v>
      </c>
      <c r="B55" s="6">
        <v>6.57</v>
      </c>
      <c r="C55" s="6">
        <v>29.74</v>
      </c>
      <c r="D55" s="6">
        <v>22.16</v>
      </c>
      <c r="E55" s="6">
        <v>7.4</v>
      </c>
      <c r="F55" s="6">
        <v>4.9000000000000004</v>
      </c>
      <c r="G55" s="6">
        <v>110.83</v>
      </c>
      <c r="H55" s="6">
        <v>49.31</v>
      </c>
      <c r="I55" s="6">
        <v>12.4</v>
      </c>
      <c r="J55" s="6">
        <v>1.02</v>
      </c>
      <c r="K55" s="6">
        <v>306.91000000000003</v>
      </c>
      <c r="L55" s="6">
        <v>27.08</v>
      </c>
      <c r="M55" s="6">
        <v>46.74</v>
      </c>
      <c r="N55" s="6">
        <v>396.6</v>
      </c>
      <c r="O55" s="6">
        <v>0</v>
      </c>
      <c r="P55" s="6">
        <v>0.99</v>
      </c>
      <c r="Q55" s="6">
        <v>4.8</v>
      </c>
    </row>
    <row r="56" spans="1:17" customFormat="1">
      <c r="A56" s="72">
        <v>45322.5</v>
      </c>
      <c r="B56" s="6">
        <v>6.07</v>
      </c>
      <c r="C56" s="6">
        <v>29.32</v>
      </c>
      <c r="D56" s="6">
        <v>21.54</v>
      </c>
      <c r="E56" s="6">
        <v>7.27</v>
      </c>
      <c r="F56" s="6">
        <v>4.8</v>
      </c>
      <c r="G56" s="6">
        <v>110.83</v>
      </c>
      <c r="H56" s="6">
        <v>49.31</v>
      </c>
      <c r="I56" s="6">
        <v>12.19</v>
      </c>
      <c r="J56" s="6">
        <v>0.93</v>
      </c>
      <c r="K56" s="6">
        <v>290.62</v>
      </c>
      <c r="L56" s="6">
        <v>26.83</v>
      </c>
      <c r="M56" s="6">
        <v>48.12</v>
      </c>
      <c r="N56" s="6">
        <v>386.2</v>
      </c>
      <c r="O56" s="6">
        <v>0</v>
      </c>
      <c r="P56" s="6">
        <v>0.98</v>
      </c>
      <c r="Q56" s="6">
        <v>4.78</v>
      </c>
    </row>
    <row r="57" spans="1:17" customFormat="1">
      <c r="A57" s="72">
        <v>45322.510416666664</v>
      </c>
      <c r="B57" s="6">
        <v>5.75</v>
      </c>
      <c r="C57" s="6">
        <v>28.57</v>
      </c>
      <c r="D57" s="6">
        <v>20.89</v>
      </c>
      <c r="E57" s="6">
        <v>7.59</v>
      </c>
      <c r="F57" s="6">
        <v>5.16</v>
      </c>
      <c r="G57" s="6">
        <v>102.24</v>
      </c>
      <c r="H57" s="6">
        <v>46.71</v>
      </c>
      <c r="I57" s="6">
        <v>11.97</v>
      </c>
      <c r="J57" s="6">
        <v>0.78</v>
      </c>
      <c r="K57" s="6">
        <v>298.77</v>
      </c>
      <c r="L57" s="6">
        <v>27.07</v>
      </c>
      <c r="M57" s="6">
        <v>47.67</v>
      </c>
      <c r="N57" s="6">
        <v>367.7</v>
      </c>
      <c r="O57" s="6">
        <v>0</v>
      </c>
      <c r="P57" s="6">
        <v>0.97</v>
      </c>
      <c r="Q57" s="6">
        <v>4.75</v>
      </c>
    </row>
    <row r="58" spans="1:17" customFormat="1">
      <c r="A58" s="72">
        <v>45322.520833333336</v>
      </c>
      <c r="B58" s="6">
        <v>5.56</v>
      </c>
      <c r="C58" s="6">
        <v>27.97</v>
      </c>
      <c r="D58" s="6">
        <v>20.420000000000002</v>
      </c>
      <c r="E58" s="6">
        <v>7.41</v>
      </c>
      <c r="F58" s="6">
        <v>5.67</v>
      </c>
      <c r="G58" s="6">
        <v>95.67</v>
      </c>
      <c r="H58" s="6">
        <v>45.88</v>
      </c>
      <c r="I58" s="6">
        <v>11.78</v>
      </c>
      <c r="J58" s="6">
        <v>0.88</v>
      </c>
      <c r="K58" s="6">
        <v>315.25</v>
      </c>
      <c r="L58" s="6">
        <v>27.47</v>
      </c>
      <c r="M58" s="6">
        <v>45.84</v>
      </c>
      <c r="N58" s="6">
        <v>420.7</v>
      </c>
      <c r="O58" s="6">
        <v>0</v>
      </c>
      <c r="P58" s="6">
        <v>0.97</v>
      </c>
      <c r="Q58" s="6">
        <v>4.7300000000000004</v>
      </c>
    </row>
    <row r="59" spans="1:17" customFormat="1">
      <c r="A59" s="72">
        <v>45322.53125</v>
      </c>
      <c r="B59" s="6">
        <v>5.48</v>
      </c>
      <c r="C59" s="6">
        <v>27.17</v>
      </c>
      <c r="D59" s="6">
        <v>19.940000000000001</v>
      </c>
      <c r="E59" s="6">
        <v>7.24</v>
      </c>
      <c r="F59" s="6">
        <v>5.59</v>
      </c>
      <c r="G59" s="6">
        <v>95.67</v>
      </c>
      <c r="H59" s="6">
        <v>45.88</v>
      </c>
      <c r="I59" s="6">
        <v>11.62</v>
      </c>
      <c r="J59" s="6">
        <v>1.03</v>
      </c>
      <c r="K59" s="6">
        <v>290.98</v>
      </c>
      <c r="L59" s="6">
        <v>27.57</v>
      </c>
      <c r="M59" s="6">
        <v>44.88</v>
      </c>
      <c r="N59" s="6">
        <v>435.5</v>
      </c>
      <c r="O59" s="6">
        <v>0</v>
      </c>
      <c r="P59" s="6">
        <v>0.96</v>
      </c>
      <c r="Q59" s="6">
        <v>4.74</v>
      </c>
    </row>
    <row r="60" spans="1:17" customFormat="1">
      <c r="A60" s="72">
        <v>45322.541666666664</v>
      </c>
      <c r="B60" s="6">
        <v>5.19</v>
      </c>
      <c r="C60" s="6">
        <v>26.5</v>
      </c>
      <c r="D60" s="6">
        <v>19.36</v>
      </c>
      <c r="E60" s="6">
        <v>7.43</v>
      </c>
      <c r="F60" s="6">
        <v>5.68</v>
      </c>
      <c r="G60" s="6">
        <v>95.67</v>
      </c>
      <c r="H60" s="6">
        <v>45.88</v>
      </c>
      <c r="I60" s="6">
        <v>11.46</v>
      </c>
      <c r="J60" s="6">
        <v>0.93</v>
      </c>
      <c r="K60" s="6">
        <v>288.72000000000003</v>
      </c>
      <c r="L60" s="6">
        <v>27.85</v>
      </c>
      <c r="M60" s="6">
        <v>42.69</v>
      </c>
      <c r="N60" s="6">
        <v>422.1</v>
      </c>
      <c r="O60" s="6">
        <v>0</v>
      </c>
      <c r="P60" s="6">
        <v>0.94</v>
      </c>
      <c r="Q60" s="6">
        <v>4.74</v>
      </c>
    </row>
    <row r="61" spans="1:17" customFormat="1">
      <c r="A61" s="72">
        <v>45322.552083333336</v>
      </c>
      <c r="B61" s="6">
        <v>5.04</v>
      </c>
      <c r="C61" s="6">
        <v>25.8</v>
      </c>
      <c r="D61" s="6">
        <v>18.87</v>
      </c>
      <c r="E61" s="6">
        <v>7.32</v>
      </c>
      <c r="F61" s="6">
        <v>5.69</v>
      </c>
      <c r="G61" s="6">
        <v>92.45</v>
      </c>
      <c r="H61" s="6">
        <v>40.68</v>
      </c>
      <c r="I61" s="6">
        <v>11.3</v>
      </c>
      <c r="J61" s="6">
        <v>0.85</v>
      </c>
      <c r="K61" s="6">
        <v>274.89</v>
      </c>
      <c r="L61" s="6">
        <v>27.95</v>
      </c>
      <c r="M61" s="6">
        <v>42.37</v>
      </c>
      <c r="N61" s="6">
        <v>380.2</v>
      </c>
      <c r="O61" s="6">
        <v>0</v>
      </c>
      <c r="P61" s="6">
        <v>0.92</v>
      </c>
      <c r="Q61" s="6">
        <v>4.72</v>
      </c>
    </row>
    <row r="62" spans="1:17" customFormat="1">
      <c r="A62" s="72">
        <v>45322.5625</v>
      </c>
      <c r="B62" s="6">
        <v>4.8499999999999996</v>
      </c>
      <c r="C62" s="6">
        <v>25.2</v>
      </c>
      <c r="D62" s="6">
        <v>18.41</v>
      </c>
      <c r="E62" s="6">
        <v>7.3</v>
      </c>
      <c r="F62" s="6">
        <v>5.6</v>
      </c>
      <c r="G62" s="6">
        <v>89.99</v>
      </c>
      <c r="H62" s="6">
        <v>39.01</v>
      </c>
      <c r="I62" s="6">
        <v>11.07</v>
      </c>
      <c r="J62" s="6">
        <v>0.69</v>
      </c>
      <c r="K62" s="6">
        <v>280.61</v>
      </c>
      <c r="L62" s="6">
        <v>28.21</v>
      </c>
      <c r="M62" s="6">
        <v>41.94</v>
      </c>
      <c r="N62" s="6">
        <v>361.3</v>
      </c>
      <c r="O62" s="6">
        <v>0</v>
      </c>
      <c r="P62" s="6">
        <v>0.9</v>
      </c>
      <c r="Q62" s="6">
        <v>4.71</v>
      </c>
    </row>
    <row r="63" spans="1:17" customFormat="1">
      <c r="A63" s="72">
        <v>45322.572916666664</v>
      </c>
      <c r="B63" s="6">
        <v>4.9000000000000004</v>
      </c>
      <c r="C63" s="6">
        <v>25.01</v>
      </c>
      <c r="D63" s="6">
        <v>18.350000000000001</v>
      </c>
      <c r="E63" s="6">
        <v>7.45</v>
      </c>
      <c r="F63" s="6">
        <v>5.51</v>
      </c>
      <c r="G63" s="6">
        <v>89.99</v>
      </c>
      <c r="H63" s="6">
        <v>39.01</v>
      </c>
      <c r="I63" s="6">
        <v>10.82</v>
      </c>
      <c r="J63" s="6">
        <v>0.53</v>
      </c>
      <c r="K63" s="6">
        <v>276.33999999999997</v>
      </c>
      <c r="L63" s="6">
        <v>28.37</v>
      </c>
      <c r="M63" s="6">
        <v>42.23</v>
      </c>
      <c r="N63" s="6">
        <v>368.4</v>
      </c>
      <c r="O63" s="6">
        <v>0</v>
      </c>
      <c r="P63" s="6">
        <v>0.9</v>
      </c>
      <c r="Q63" s="6">
        <v>4.6900000000000004</v>
      </c>
    </row>
    <row r="64" spans="1:17" customFormat="1">
      <c r="A64" s="72">
        <v>45322.583333333336</v>
      </c>
      <c r="B64" s="6">
        <v>5.05</v>
      </c>
      <c r="C64" s="6">
        <v>23</v>
      </c>
      <c r="D64" s="6">
        <v>17.420000000000002</v>
      </c>
      <c r="E64" s="6">
        <v>7.77</v>
      </c>
      <c r="F64" s="6">
        <v>5.67</v>
      </c>
      <c r="G64" s="6">
        <v>89.99</v>
      </c>
      <c r="H64" s="6">
        <v>39.01</v>
      </c>
      <c r="I64" s="6">
        <v>10.77</v>
      </c>
      <c r="J64" s="6">
        <v>0.84</v>
      </c>
      <c r="K64" s="6">
        <v>281.43</v>
      </c>
      <c r="L64" s="6">
        <v>28.19</v>
      </c>
      <c r="M64" s="6">
        <v>42.33</v>
      </c>
      <c r="N64" s="6">
        <v>346.4</v>
      </c>
      <c r="O64" s="6">
        <v>0</v>
      </c>
      <c r="P64" s="6">
        <v>0.9</v>
      </c>
      <c r="Q64" s="6">
        <v>4.67</v>
      </c>
    </row>
    <row r="65" spans="1:17" customFormat="1">
      <c r="A65" s="72">
        <v>45322.59375</v>
      </c>
      <c r="B65" s="6">
        <v>5.01</v>
      </c>
      <c r="C65" s="6">
        <v>20.079999999999998</v>
      </c>
      <c r="D65" s="6">
        <v>15.86</v>
      </c>
      <c r="E65" s="6">
        <v>6.82</v>
      </c>
      <c r="F65" s="6">
        <v>5.71</v>
      </c>
      <c r="G65" s="6">
        <v>82.04</v>
      </c>
      <c r="H65" s="6">
        <v>36.770000000000003</v>
      </c>
      <c r="I65" s="6">
        <v>10.75</v>
      </c>
      <c r="J65" s="6">
        <v>0.8</v>
      </c>
      <c r="K65" s="6">
        <v>282.05</v>
      </c>
      <c r="L65" s="6">
        <v>27.96</v>
      </c>
      <c r="M65" s="6">
        <v>41.78</v>
      </c>
      <c r="N65" s="6">
        <v>275.89999999999998</v>
      </c>
      <c r="O65" s="6">
        <v>0</v>
      </c>
      <c r="P65" s="6">
        <v>0.85</v>
      </c>
      <c r="Q65" s="6">
        <v>4.67</v>
      </c>
    </row>
    <row r="66" spans="1:17" customFormat="1">
      <c r="A66" s="72">
        <v>45322.604166666664</v>
      </c>
      <c r="B66" s="6">
        <v>5.05</v>
      </c>
      <c r="C66" s="6">
        <v>18.239999999999998</v>
      </c>
      <c r="D66" s="6">
        <v>14.93</v>
      </c>
      <c r="E66" s="6">
        <v>6.77</v>
      </c>
      <c r="F66" s="6">
        <v>5.45</v>
      </c>
      <c r="G66" s="6">
        <v>75.97</v>
      </c>
      <c r="H66" s="6">
        <v>35.44</v>
      </c>
      <c r="I66" s="6">
        <v>10.73</v>
      </c>
      <c r="J66" s="6">
        <v>0.77</v>
      </c>
      <c r="K66" s="6">
        <v>301.52</v>
      </c>
      <c r="L66" s="6">
        <v>27.85</v>
      </c>
      <c r="M66" s="6">
        <v>41.04</v>
      </c>
      <c r="N66" s="6">
        <v>247.8</v>
      </c>
      <c r="O66" s="6">
        <v>0</v>
      </c>
      <c r="P66" s="6">
        <v>0.89</v>
      </c>
      <c r="Q66" s="6">
        <v>4.7</v>
      </c>
    </row>
    <row r="67" spans="1:17" customFormat="1">
      <c r="A67" s="72">
        <v>45322.614583333336</v>
      </c>
      <c r="B67" s="6">
        <v>5.01</v>
      </c>
      <c r="C67" s="6">
        <v>17.57</v>
      </c>
      <c r="D67" s="6">
        <v>14.54</v>
      </c>
      <c r="E67" s="6">
        <v>6.7</v>
      </c>
      <c r="F67" s="6">
        <v>4.59</v>
      </c>
      <c r="G67" s="6">
        <v>75.97</v>
      </c>
      <c r="H67" s="6">
        <v>35.44</v>
      </c>
      <c r="I67" s="6">
        <v>10.69</v>
      </c>
      <c r="J67" s="6">
        <v>0.35</v>
      </c>
      <c r="K67" s="6">
        <v>263.36</v>
      </c>
      <c r="L67" s="6">
        <v>28.23</v>
      </c>
      <c r="M67" s="6">
        <v>41.87</v>
      </c>
      <c r="N67" s="6">
        <v>197.1</v>
      </c>
      <c r="O67" s="6">
        <v>0</v>
      </c>
      <c r="P67" s="6">
        <v>0.87</v>
      </c>
      <c r="Q67" s="6">
        <v>4.71</v>
      </c>
    </row>
    <row r="68" spans="1:17" customFormat="1">
      <c r="A68" s="72">
        <v>45322.625</v>
      </c>
      <c r="B68" s="6">
        <v>5.05</v>
      </c>
      <c r="C68" s="6">
        <v>16.93</v>
      </c>
      <c r="D68" s="6">
        <v>14.25</v>
      </c>
      <c r="E68" s="6">
        <v>6.38</v>
      </c>
      <c r="F68" s="6">
        <v>4.5999999999999996</v>
      </c>
      <c r="G68" s="6">
        <v>75.97</v>
      </c>
      <c r="H68" s="6">
        <v>35.44</v>
      </c>
      <c r="I68" s="6">
        <v>10.56</v>
      </c>
      <c r="J68" s="6">
        <v>0.75</v>
      </c>
      <c r="K68" s="6">
        <v>297.04000000000002</v>
      </c>
      <c r="L68" s="6">
        <v>27.85</v>
      </c>
      <c r="M68" s="6">
        <v>41.13</v>
      </c>
      <c r="N68" s="6">
        <v>181.2</v>
      </c>
      <c r="O68" s="6">
        <v>0</v>
      </c>
      <c r="P68" s="6">
        <v>0.86</v>
      </c>
      <c r="Q68" s="6">
        <v>4.68</v>
      </c>
    </row>
    <row r="69" spans="1:17" customFormat="1">
      <c r="A69" s="72">
        <v>45322.635416666664</v>
      </c>
      <c r="B69" s="6">
        <v>5.05</v>
      </c>
      <c r="C69" s="6">
        <v>16.399999999999999</v>
      </c>
      <c r="D69" s="6">
        <v>13.97</v>
      </c>
      <c r="E69" s="6">
        <v>6.15</v>
      </c>
      <c r="F69" s="6">
        <v>4.7699999999999996</v>
      </c>
      <c r="G69" s="6">
        <v>72.52</v>
      </c>
      <c r="H69" s="6">
        <v>32.54</v>
      </c>
      <c r="I69" s="6">
        <v>10.42</v>
      </c>
      <c r="J69" s="6">
        <v>0.28000000000000003</v>
      </c>
      <c r="K69" s="6">
        <v>255.41</v>
      </c>
      <c r="L69" s="6">
        <v>27.9</v>
      </c>
      <c r="M69" s="6">
        <v>43.05</v>
      </c>
      <c r="N69" s="6">
        <v>141.19999999999999</v>
      </c>
      <c r="O69" s="6">
        <v>0</v>
      </c>
      <c r="P69" s="6">
        <v>0.85</v>
      </c>
      <c r="Q69" s="6">
        <v>4.6900000000000004</v>
      </c>
    </row>
    <row r="70" spans="1:17" customFormat="1">
      <c r="A70" s="72">
        <v>45322.645833333336</v>
      </c>
      <c r="B70" s="6">
        <v>5.07</v>
      </c>
      <c r="C70" s="6">
        <v>16.18</v>
      </c>
      <c r="D70" s="6">
        <v>13.87</v>
      </c>
      <c r="E70" s="6">
        <v>6.18</v>
      </c>
      <c r="F70" s="6">
        <v>4.67</v>
      </c>
      <c r="G70" s="6">
        <v>69.89</v>
      </c>
      <c r="H70" s="6">
        <v>31.61</v>
      </c>
      <c r="I70" s="6">
        <v>10.28</v>
      </c>
      <c r="J70" s="6">
        <v>0.32</v>
      </c>
      <c r="K70" s="6">
        <v>277.76</v>
      </c>
      <c r="L70" s="6">
        <v>27.71</v>
      </c>
      <c r="M70" s="6">
        <v>42.4</v>
      </c>
      <c r="N70" s="6">
        <v>111.6</v>
      </c>
      <c r="O70" s="6">
        <v>0</v>
      </c>
      <c r="P70" s="6">
        <v>0.84</v>
      </c>
      <c r="Q70" s="6">
        <v>4.7</v>
      </c>
    </row>
    <row r="71" spans="1:17" customFormat="1">
      <c r="A71" s="72">
        <v>45322.65625</v>
      </c>
      <c r="B71" s="6">
        <v>5.08</v>
      </c>
      <c r="C71" s="6">
        <v>16.170000000000002</v>
      </c>
      <c r="D71" s="6">
        <v>13.88</v>
      </c>
      <c r="E71" s="6">
        <v>6.71</v>
      </c>
      <c r="F71" s="6">
        <v>5.5</v>
      </c>
      <c r="G71" s="6">
        <v>69.89</v>
      </c>
      <c r="H71" s="6">
        <v>31.61</v>
      </c>
      <c r="I71" s="6">
        <v>10.19</v>
      </c>
      <c r="J71" s="6">
        <v>0.43</v>
      </c>
      <c r="K71" s="6">
        <v>337.63</v>
      </c>
      <c r="L71" s="6">
        <v>27.83</v>
      </c>
      <c r="M71" s="6">
        <v>41.52</v>
      </c>
      <c r="N71" s="6">
        <v>116.5</v>
      </c>
      <c r="O71" s="6">
        <v>0</v>
      </c>
      <c r="P71" s="6">
        <v>0.83</v>
      </c>
      <c r="Q71" s="6">
        <v>4.75</v>
      </c>
    </row>
    <row r="72" spans="1:17" customFormat="1">
      <c r="A72" s="72">
        <v>45322.666666666664</v>
      </c>
      <c r="B72" s="6">
        <v>5.13</v>
      </c>
      <c r="C72" s="6">
        <v>16.190000000000001</v>
      </c>
      <c r="D72" s="6">
        <v>13.92</v>
      </c>
      <c r="E72" s="6">
        <v>6.08</v>
      </c>
      <c r="F72" s="6">
        <v>5.1100000000000003</v>
      </c>
      <c r="G72" s="6">
        <v>69.89</v>
      </c>
      <c r="H72" s="6">
        <v>31.61</v>
      </c>
      <c r="I72" s="6">
        <v>10.1</v>
      </c>
      <c r="J72" s="6">
        <v>0.23</v>
      </c>
      <c r="K72" s="6">
        <v>339.62</v>
      </c>
      <c r="L72" s="6">
        <v>27.64</v>
      </c>
      <c r="M72" s="6">
        <v>43.14</v>
      </c>
      <c r="N72" s="6">
        <v>93.4</v>
      </c>
      <c r="O72" s="6">
        <v>0</v>
      </c>
      <c r="P72" s="6">
        <v>0.83</v>
      </c>
      <c r="Q72" s="6">
        <v>4.75</v>
      </c>
    </row>
    <row r="73" spans="1:17" customFormat="1">
      <c r="A73" s="72">
        <v>45322.677083333336</v>
      </c>
      <c r="B73" s="6">
        <v>5.21</v>
      </c>
      <c r="C73" s="6">
        <v>16.350000000000001</v>
      </c>
      <c r="D73" s="6">
        <v>14.07</v>
      </c>
      <c r="E73" s="6">
        <v>7.01</v>
      </c>
      <c r="F73" s="6">
        <v>5.03</v>
      </c>
      <c r="G73" s="6">
        <v>70.319999999999993</v>
      </c>
      <c r="H73" s="6">
        <v>34.020000000000003</v>
      </c>
      <c r="I73" s="6">
        <v>10.02</v>
      </c>
      <c r="J73" s="6">
        <v>1.05</v>
      </c>
      <c r="K73" s="6">
        <v>54.61</v>
      </c>
      <c r="L73" s="6">
        <v>27.35</v>
      </c>
      <c r="M73" s="6">
        <v>44.79</v>
      </c>
      <c r="N73" s="6">
        <v>78</v>
      </c>
      <c r="O73" s="6">
        <v>0</v>
      </c>
      <c r="P73" s="6">
        <v>0.83</v>
      </c>
      <c r="Q73" s="6">
        <v>4.75</v>
      </c>
    </row>
    <row r="74" spans="1:17" customFormat="1">
      <c r="A74" s="72">
        <v>45322.6875</v>
      </c>
      <c r="B74" s="6">
        <v>5.47</v>
      </c>
      <c r="C74" s="6">
        <v>16.73</v>
      </c>
      <c r="D74" s="6">
        <v>14.48</v>
      </c>
      <c r="E74" s="6">
        <v>7.21</v>
      </c>
      <c r="F74" s="6">
        <v>5.12</v>
      </c>
      <c r="G74" s="6">
        <v>70.650000000000006</v>
      </c>
      <c r="H74" s="6">
        <v>34.799999999999997</v>
      </c>
      <c r="I74" s="6">
        <v>9.9600000000000009</v>
      </c>
      <c r="J74" s="6">
        <v>1.1499999999999999</v>
      </c>
      <c r="K74" s="6">
        <v>53.18</v>
      </c>
      <c r="L74" s="6">
        <v>27.03</v>
      </c>
      <c r="M74" s="6">
        <v>46.47</v>
      </c>
      <c r="N74" s="6">
        <v>63.2</v>
      </c>
      <c r="O74" s="6">
        <v>0</v>
      </c>
      <c r="P74" s="6">
        <v>0.83</v>
      </c>
      <c r="Q74" s="6">
        <v>4.76</v>
      </c>
    </row>
    <row r="75" spans="1:17" customFormat="1">
      <c r="A75" s="72">
        <v>45322.697916666664</v>
      </c>
      <c r="B75" s="6">
        <v>5.71</v>
      </c>
      <c r="C75" s="6">
        <v>17.34</v>
      </c>
      <c r="D75" s="6">
        <v>14.99</v>
      </c>
      <c r="E75" s="6">
        <v>6.82</v>
      </c>
      <c r="F75" s="6">
        <v>4.75</v>
      </c>
      <c r="G75" s="6">
        <v>70.650000000000006</v>
      </c>
      <c r="H75" s="6">
        <v>34.799999999999997</v>
      </c>
      <c r="I75" s="6">
        <v>9.9499999999999993</v>
      </c>
      <c r="J75" s="6">
        <v>1.31</v>
      </c>
      <c r="K75" s="6">
        <v>49.26</v>
      </c>
      <c r="L75" s="6">
        <v>26.59</v>
      </c>
      <c r="M75" s="6">
        <v>47.94</v>
      </c>
      <c r="N75" s="6">
        <v>42.1</v>
      </c>
      <c r="O75" s="6">
        <v>0</v>
      </c>
      <c r="P75" s="6">
        <v>0.83</v>
      </c>
      <c r="Q75" s="6">
        <v>4.76</v>
      </c>
    </row>
    <row r="76" spans="1:17" customFormat="1">
      <c r="A76" s="72">
        <v>45322.708333333336</v>
      </c>
      <c r="B76" s="6">
        <v>5.92</v>
      </c>
      <c r="C76" s="6">
        <v>17.649999999999999</v>
      </c>
      <c r="D76" s="6">
        <v>15.32</v>
      </c>
      <c r="E76" s="6">
        <v>6.49</v>
      </c>
      <c r="F76" s="6">
        <v>4.1900000000000004</v>
      </c>
      <c r="G76" s="6">
        <v>70.650000000000006</v>
      </c>
      <c r="H76" s="6">
        <v>34.799999999999997</v>
      </c>
      <c r="I76" s="6">
        <v>10.029999999999999</v>
      </c>
      <c r="J76" s="6">
        <v>1.19</v>
      </c>
      <c r="K76" s="6">
        <v>53.35</v>
      </c>
      <c r="L76" s="6">
        <v>26.08</v>
      </c>
      <c r="M76" s="6">
        <v>49.72</v>
      </c>
      <c r="N76" s="6">
        <v>21.7</v>
      </c>
      <c r="O76" s="6">
        <v>0</v>
      </c>
      <c r="P76" s="6">
        <v>0.83</v>
      </c>
      <c r="Q76" s="6">
        <v>4.7699999999999996</v>
      </c>
    </row>
    <row r="77" spans="1:17" customFormat="1">
      <c r="A77" s="72">
        <v>45322.71875</v>
      </c>
      <c r="B77" s="6">
        <v>6.1</v>
      </c>
      <c r="C77" s="6">
        <v>17.690000000000001</v>
      </c>
      <c r="D77" s="6">
        <v>15.48</v>
      </c>
      <c r="E77" s="6">
        <v>6.23</v>
      </c>
      <c r="F77" s="6">
        <v>4.3899999999999997</v>
      </c>
      <c r="G77" s="6">
        <v>78.17</v>
      </c>
      <c r="H77" s="6">
        <v>33.76</v>
      </c>
      <c r="I77" s="6">
        <v>10.1</v>
      </c>
      <c r="J77" s="6">
        <v>1.1200000000000001</v>
      </c>
      <c r="K77" s="6">
        <v>52.61</v>
      </c>
      <c r="L77" s="6">
        <v>25.65</v>
      </c>
      <c r="M77" s="6">
        <v>50.69</v>
      </c>
      <c r="N77" s="6">
        <v>10.8</v>
      </c>
      <c r="O77" s="6">
        <v>0</v>
      </c>
      <c r="P77" s="6">
        <v>0.84</v>
      </c>
      <c r="Q77" s="6">
        <v>4.76</v>
      </c>
    </row>
    <row r="78" spans="1:17" customFormat="1">
      <c r="A78" s="72">
        <v>45322.729166666664</v>
      </c>
      <c r="B78" s="6">
        <v>6.34</v>
      </c>
      <c r="C78" s="6">
        <v>17.75</v>
      </c>
      <c r="D78" s="6">
        <v>15.71</v>
      </c>
      <c r="E78" s="6">
        <v>6.08</v>
      </c>
      <c r="F78" s="6">
        <v>3.87</v>
      </c>
      <c r="G78" s="6">
        <v>83.93</v>
      </c>
      <c r="H78" s="6">
        <v>33.43</v>
      </c>
      <c r="I78" s="6">
        <v>10.130000000000001</v>
      </c>
      <c r="J78" s="6">
        <v>1.06</v>
      </c>
      <c r="K78" s="6">
        <v>58.37</v>
      </c>
      <c r="L78" s="6">
        <v>25.32</v>
      </c>
      <c r="M78" s="6">
        <v>51.79</v>
      </c>
      <c r="N78" s="6">
        <v>2.9</v>
      </c>
      <c r="O78" s="6">
        <v>0</v>
      </c>
      <c r="P78" s="6">
        <v>0.83</v>
      </c>
      <c r="Q78" s="6">
        <v>4.76</v>
      </c>
    </row>
    <row r="79" spans="1:17" customFormat="1">
      <c r="A79" s="72">
        <v>45322.739583333336</v>
      </c>
      <c r="B79" s="6">
        <v>6.75</v>
      </c>
      <c r="C79" s="6">
        <v>18.14</v>
      </c>
      <c r="D79" s="6">
        <v>16.239999999999998</v>
      </c>
      <c r="E79" s="6">
        <v>6.55</v>
      </c>
      <c r="F79" s="6">
        <v>3.64</v>
      </c>
      <c r="G79" s="6">
        <v>83.93</v>
      </c>
      <c r="H79" s="6">
        <v>33.43</v>
      </c>
      <c r="I79" s="6">
        <v>10.11</v>
      </c>
      <c r="J79" s="6">
        <v>0.99</v>
      </c>
      <c r="K79" s="6">
        <v>53.34</v>
      </c>
      <c r="L79" s="6">
        <v>24.99</v>
      </c>
      <c r="M79" s="6">
        <v>53.1</v>
      </c>
      <c r="N79" s="6">
        <v>0</v>
      </c>
      <c r="O79" s="6">
        <v>0</v>
      </c>
      <c r="P79" s="6">
        <v>0.83</v>
      </c>
      <c r="Q79" s="6">
        <v>4.78</v>
      </c>
    </row>
    <row r="80" spans="1:17" customFormat="1">
      <c r="A80" s="72">
        <v>45322.75</v>
      </c>
      <c r="B80" s="6">
        <v>7.29</v>
      </c>
      <c r="C80" s="6">
        <v>18.600000000000001</v>
      </c>
      <c r="D80" s="6">
        <v>16.920000000000002</v>
      </c>
      <c r="E80" s="6">
        <v>6.32</v>
      </c>
      <c r="F80" s="6">
        <v>3.57</v>
      </c>
      <c r="G80" s="6">
        <v>83.93</v>
      </c>
      <c r="H80" s="6">
        <v>33.43</v>
      </c>
      <c r="I80" s="6">
        <v>10.119999999999999</v>
      </c>
      <c r="J80" s="6">
        <v>0.76</v>
      </c>
      <c r="K80" s="6">
        <v>61.94</v>
      </c>
      <c r="L80" s="6">
        <v>24.44</v>
      </c>
      <c r="M80" s="6">
        <v>54.65</v>
      </c>
      <c r="N80" s="6">
        <v>0</v>
      </c>
      <c r="O80" s="6">
        <v>0</v>
      </c>
      <c r="P80" s="6">
        <v>0.83</v>
      </c>
      <c r="Q80" s="6">
        <v>4.78</v>
      </c>
    </row>
    <row r="81" spans="1:17" customFormat="1">
      <c r="A81" s="72">
        <v>45322.760416666664</v>
      </c>
      <c r="B81" s="6">
        <v>7.83</v>
      </c>
      <c r="C81" s="6">
        <v>19.75</v>
      </c>
      <c r="D81" s="6">
        <v>17.95</v>
      </c>
      <c r="E81" s="6">
        <v>5.82</v>
      </c>
      <c r="F81" s="6">
        <v>3.38</v>
      </c>
      <c r="G81" s="6">
        <v>88.2</v>
      </c>
      <c r="H81" s="6">
        <v>35.729999999999997</v>
      </c>
      <c r="I81" s="6">
        <v>10.17</v>
      </c>
      <c r="J81" s="6">
        <v>0.86</v>
      </c>
      <c r="K81" s="6">
        <v>55.61</v>
      </c>
      <c r="L81" s="6">
        <v>24.14</v>
      </c>
      <c r="M81" s="6">
        <v>55.85</v>
      </c>
      <c r="N81" s="6">
        <v>0</v>
      </c>
      <c r="O81" s="6">
        <v>0</v>
      </c>
      <c r="P81" s="6">
        <v>0.85</v>
      </c>
      <c r="Q81" s="6">
        <v>4.8</v>
      </c>
    </row>
    <row r="82" spans="1:17" customFormat="1">
      <c r="A82" s="72">
        <v>45322.770833333336</v>
      </c>
      <c r="B82" s="6">
        <v>8.49</v>
      </c>
      <c r="C82" s="6">
        <v>22.14</v>
      </c>
      <c r="D82" s="6">
        <v>19.73</v>
      </c>
      <c r="E82" s="6">
        <v>6.93</v>
      </c>
      <c r="F82" s="6">
        <v>3.46</v>
      </c>
      <c r="G82" s="6">
        <v>91.47</v>
      </c>
      <c r="H82" s="6">
        <v>36.46</v>
      </c>
      <c r="I82" s="6">
        <v>10.24</v>
      </c>
      <c r="J82" s="6">
        <v>0.6</v>
      </c>
      <c r="K82" s="6">
        <v>61.4</v>
      </c>
      <c r="L82" s="6">
        <v>23.93</v>
      </c>
      <c r="M82" s="6">
        <v>56.81</v>
      </c>
      <c r="N82" s="6">
        <v>0</v>
      </c>
      <c r="O82" s="6">
        <v>0</v>
      </c>
      <c r="P82" s="6">
        <v>0.85</v>
      </c>
      <c r="Q82" s="6">
        <v>4.84</v>
      </c>
    </row>
    <row r="83" spans="1:17" customFormat="1">
      <c r="A83" s="72">
        <v>45322.78125</v>
      </c>
      <c r="B83" s="6">
        <v>8.83</v>
      </c>
      <c r="C83" s="6">
        <v>23.58</v>
      </c>
      <c r="D83" s="6">
        <v>20.75</v>
      </c>
      <c r="E83" s="6">
        <v>6.7</v>
      </c>
      <c r="F83" s="6">
        <v>3.46</v>
      </c>
      <c r="G83" s="6">
        <v>91.47</v>
      </c>
      <c r="H83" s="6">
        <v>36.46</v>
      </c>
      <c r="I83" s="6">
        <v>10.32</v>
      </c>
      <c r="J83" s="6">
        <v>0.18</v>
      </c>
      <c r="K83" s="6">
        <v>158.97999999999999</v>
      </c>
      <c r="L83" s="6">
        <v>23.37</v>
      </c>
      <c r="M83" s="6">
        <v>63.68</v>
      </c>
      <c r="N83" s="6">
        <v>0</v>
      </c>
      <c r="O83" s="6">
        <v>0</v>
      </c>
      <c r="P83" s="6">
        <v>0.88</v>
      </c>
      <c r="Q83" s="6">
        <v>4.83</v>
      </c>
    </row>
    <row r="84" spans="1:17" customFormat="1">
      <c r="A84" s="72">
        <v>45322.791666666664</v>
      </c>
      <c r="B84" s="6">
        <v>8.73</v>
      </c>
      <c r="C84" s="6">
        <v>24.28</v>
      </c>
      <c r="D84" s="6">
        <v>21.04</v>
      </c>
      <c r="E84" s="6">
        <v>6.51</v>
      </c>
      <c r="F84" s="6">
        <v>3.69</v>
      </c>
      <c r="G84" s="6">
        <v>91.47</v>
      </c>
      <c r="H84" s="6">
        <v>36.46</v>
      </c>
      <c r="I84" s="6">
        <v>10.42</v>
      </c>
      <c r="J84" s="6">
        <v>0.2</v>
      </c>
      <c r="K84" s="6">
        <v>100.76</v>
      </c>
      <c r="L84" s="6">
        <v>23.02</v>
      </c>
      <c r="M84" s="6">
        <v>63.26</v>
      </c>
      <c r="N84" s="6">
        <v>0</v>
      </c>
      <c r="O84" s="6">
        <v>0</v>
      </c>
      <c r="P84" s="6">
        <v>0.89</v>
      </c>
      <c r="Q84" s="6">
        <v>4.84</v>
      </c>
    </row>
    <row r="85" spans="1:17" customFormat="1">
      <c r="A85" s="72">
        <v>45322.802083333336</v>
      </c>
      <c r="B85" s="6">
        <v>8.7100000000000009</v>
      </c>
      <c r="C85" s="6">
        <v>25.03</v>
      </c>
      <c r="D85" s="6">
        <v>21.42</v>
      </c>
      <c r="E85" s="6">
        <v>6.84</v>
      </c>
      <c r="F85" s="6">
        <v>3.52</v>
      </c>
      <c r="G85" s="6">
        <v>99.5</v>
      </c>
      <c r="H85" s="6">
        <v>38.79</v>
      </c>
      <c r="I85" s="6">
        <v>10.55</v>
      </c>
      <c r="J85" s="6">
        <v>0.2</v>
      </c>
      <c r="K85" s="6">
        <v>88.95</v>
      </c>
      <c r="L85" s="6">
        <v>22.92</v>
      </c>
      <c r="M85" s="6">
        <v>62.91</v>
      </c>
      <c r="N85" s="6">
        <v>0</v>
      </c>
      <c r="O85" s="6">
        <v>0</v>
      </c>
      <c r="P85" s="6">
        <v>0.91</v>
      </c>
      <c r="Q85" s="6">
        <v>4.8600000000000003</v>
      </c>
    </row>
    <row r="86" spans="1:17" customFormat="1">
      <c r="A86" s="72">
        <v>45322.8125</v>
      </c>
      <c r="B86" s="6">
        <v>8.68</v>
      </c>
      <c r="C86" s="6">
        <v>25.72</v>
      </c>
      <c r="D86" s="6">
        <v>21.75</v>
      </c>
      <c r="E86" s="6">
        <v>6.92</v>
      </c>
      <c r="F86" s="6">
        <v>3.47</v>
      </c>
      <c r="G86" s="6">
        <v>105.64</v>
      </c>
      <c r="H86" s="6">
        <v>39.54</v>
      </c>
      <c r="I86" s="6">
        <v>10.66</v>
      </c>
      <c r="J86" s="6">
        <v>0.25</v>
      </c>
      <c r="K86" s="6">
        <v>171.46</v>
      </c>
      <c r="L86" s="6">
        <v>22.38</v>
      </c>
      <c r="M86" s="6">
        <v>67.7</v>
      </c>
      <c r="N86" s="6">
        <v>0</v>
      </c>
      <c r="O86" s="6">
        <v>0</v>
      </c>
      <c r="P86" s="6">
        <v>0.92</v>
      </c>
      <c r="Q86" s="6">
        <v>4.84</v>
      </c>
    </row>
    <row r="87" spans="1:17" customFormat="1">
      <c r="A87" s="72">
        <v>45322.822916666664</v>
      </c>
      <c r="B87" s="6">
        <v>8.64</v>
      </c>
      <c r="C87" s="6">
        <v>25.96</v>
      </c>
      <c r="D87" s="6">
        <v>21.85</v>
      </c>
      <c r="E87" s="6">
        <v>6.76</v>
      </c>
      <c r="F87" s="6">
        <v>3.49</v>
      </c>
      <c r="G87" s="6">
        <v>105.64</v>
      </c>
      <c r="H87" s="6">
        <v>39.54</v>
      </c>
      <c r="I87" s="6">
        <v>10.74</v>
      </c>
      <c r="J87" s="6">
        <v>0.19</v>
      </c>
      <c r="K87" s="6">
        <v>159.13999999999999</v>
      </c>
      <c r="L87" s="6">
        <v>22.32</v>
      </c>
      <c r="M87" s="6">
        <v>65.599999999999994</v>
      </c>
      <c r="N87" s="6">
        <v>0</v>
      </c>
      <c r="O87" s="6">
        <v>0</v>
      </c>
      <c r="P87" s="6">
        <v>0.93</v>
      </c>
      <c r="Q87" s="6">
        <v>4.8499999999999996</v>
      </c>
    </row>
    <row r="88" spans="1:17" customFormat="1">
      <c r="A88" s="72">
        <v>45322.833333333336</v>
      </c>
      <c r="B88" s="6">
        <v>8.5500000000000007</v>
      </c>
      <c r="C88" s="6">
        <v>26.47</v>
      </c>
      <c r="D88" s="6">
        <v>22.03</v>
      </c>
      <c r="E88" s="6">
        <v>6.72</v>
      </c>
      <c r="F88" s="6">
        <v>3.53</v>
      </c>
      <c r="G88" s="6">
        <v>105.64</v>
      </c>
      <c r="H88" s="6">
        <v>39.54</v>
      </c>
      <c r="I88" s="6">
        <v>10.79</v>
      </c>
      <c r="J88" s="6">
        <v>0.12</v>
      </c>
      <c r="K88" s="6">
        <v>181.09</v>
      </c>
      <c r="L88" s="6">
        <v>22.3</v>
      </c>
      <c r="M88" s="6">
        <v>64.709999999999994</v>
      </c>
      <c r="N88" s="6">
        <v>0</v>
      </c>
      <c r="O88" s="6">
        <v>0</v>
      </c>
      <c r="P88" s="6">
        <v>0.94</v>
      </c>
      <c r="Q88" s="6">
        <v>4.8499999999999996</v>
      </c>
    </row>
    <row r="89" spans="1:17" customFormat="1">
      <c r="A89" s="72">
        <v>45322.84375</v>
      </c>
      <c r="B89" s="6">
        <v>8.7100000000000009</v>
      </c>
      <c r="C89" s="6">
        <v>26.83</v>
      </c>
      <c r="D89" s="6">
        <v>22.36</v>
      </c>
      <c r="E89" s="6">
        <v>6.92</v>
      </c>
      <c r="F89" s="6">
        <v>3.61</v>
      </c>
      <c r="G89" s="6">
        <v>109.47</v>
      </c>
      <c r="H89" s="6">
        <v>41.43</v>
      </c>
      <c r="I89" s="6">
        <v>10.8</v>
      </c>
      <c r="J89" s="6">
        <v>0.22</v>
      </c>
      <c r="K89" s="6">
        <v>174.06</v>
      </c>
      <c r="L89" s="6">
        <v>21.91</v>
      </c>
      <c r="M89" s="6">
        <v>69.3</v>
      </c>
      <c r="N89" s="6">
        <v>0</v>
      </c>
      <c r="O89" s="6">
        <v>0</v>
      </c>
      <c r="P89" s="6">
        <v>0.94</v>
      </c>
      <c r="Q89" s="6">
        <v>4.8499999999999996</v>
      </c>
    </row>
    <row r="90" spans="1:17" customFormat="1">
      <c r="A90" s="72">
        <v>45322.854166666664</v>
      </c>
      <c r="B90" s="6">
        <v>8.75</v>
      </c>
      <c r="C90" s="6">
        <v>26.47</v>
      </c>
      <c r="D90" s="6">
        <v>22.2</v>
      </c>
      <c r="E90" s="6">
        <v>7.01</v>
      </c>
      <c r="F90" s="6">
        <v>3.7</v>
      </c>
      <c r="G90" s="6">
        <v>112.4</v>
      </c>
      <c r="H90" s="6">
        <v>42.56</v>
      </c>
      <c r="I90" s="6">
        <v>10.78</v>
      </c>
      <c r="J90" s="6">
        <v>0.19</v>
      </c>
      <c r="K90" s="6">
        <v>181.42</v>
      </c>
      <c r="L90" s="6">
        <v>21.47</v>
      </c>
      <c r="M90" s="6">
        <v>71.48</v>
      </c>
      <c r="N90" s="6">
        <v>0</v>
      </c>
      <c r="O90" s="6">
        <v>0</v>
      </c>
      <c r="P90" s="6">
        <v>0.94</v>
      </c>
      <c r="Q90" s="6">
        <v>4.83</v>
      </c>
    </row>
    <row r="91" spans="1:17" customFormat="1">
      <c r="A91" s="72">
        <v>45322.864583333336</v>
      </c>
      <c r="B91" s="6">
        <v>8.5</v>
      </c>
      <c r="C91" s="6">
        <v>26.46</v>
      </c>
      <c r="D91" s="6">
        <v>21.99</v>
      </c>
      <c r="E91" s="6">
        <v>6.88</v>
      </c>
      <c r="F91" s="6">
        <v>3.58</v>
      </c>
      <c r="G91" s="6">
        <v>112.4</v>
      </c>
      <c r="H91" s="6">
        <v>42.56</v>
      </c>
      <c r="I91" s="6">
        <v>10.75</v>
      </c>
      <c r="J91" s="6">
        <v>0.09</v>
      </c>
      <c r="K91" s="6">
        <v>37.950000000000003</v>
      </c>
      <c r="L91" s="6">
        <v>21.39</v>
      </c>
      <c r="M91" s="6">
        <v>70.790000000000006</v>
      </c>
      <c r="N91" s="6">
        <v>0</v>
      </c>
      <c r="O91" s="6">
        <v>0</v>
      </c>
      <c r="P91" s="6">
        <v>0.94</v>
      </c>
      <c r="Q91" s="6">
        <v>4.84</v>
      </c>
    </row>
    <row r="92" spans="1:17" customFormat="1">
      <c r="A92" s="72">
        <v>45322.875</v>
      </c>
      <c r="B92" s="6">
        <v>8.9</v>
      </c>
      <c r="C92" s="6">
        <v>26.83</v>
      </c>
      <c r="D92" s="6">
        <v>22.5</v>
      </c>
      <c r="E92" s="6">
        <v>6.85</v>
      </c>
      <c r="F92" s="6">
        <v>3.39</v>
      </c>
      <c r="G92" s="6">
        <v>112.4</v>
      </c>
      <c r="H92" s="6">
        <v>42.56</v>
      </c>
      <c r="I92" s="6">
        <v>10.71</v>
      </c>
      <c r="J92" s="6">
        <v>0.12</v>
      </c>
      <c r="K92" s="6">
        <v>157.65</v>
      </c>
      <c r="L92" s="6">
        <v>21.47</v>
      </c>
      <c r="M92" s="6">
        <v>70.66</v>
      </c>
      <c r="N92" s="6">
        <v>0</v>
      </c>
      <c r="O92" s="6">
        <v>0</v>
      </c>
      <c r="P92" s="6">
        <v>0.94</v>
      </c>
      <c r="Q92" s="6">
        <v>4.8600000000000003</v>
      </c>
    </row>
    <row r="93" spans="1:17" customFormat="1">
      <c r="A93" s="72">
        <v>45322.885416666664</v>
      </c>
      <c r="B93" s="6">
        <v>9.24</v>
      </c>
      <c r="C93" s="6">
        <v>27.41</v>
      </c>
      <c r="D93" s="6">
        <v>23.08</v>
      </c>
      <c r="E93" s="6">
        <v>6.95</v>
      </c>
      <c r="F93" s="6">
        <v>3.35</v>
      </c>
      <c r="G93" s="6">
        <v>115.18</v>
      </c>
      <c r="H93" s="6">
        <v>41.33</v>
      </c>
      <c r="I93" s="6">
        <v>10.62</v>
      </c>
      <c r="J93" s="6">
        <v>0.16</v>
      </c>
      <c r="K93" s="6">
        <v>140.6</v>
      </c>
      <c r="L93" s="6">
        <v>21.09</v>
      </c>
      <c r="M93" s="6">
        <v>73.87</v>
      </c>
      <c r="N93" s="6">
        <v>0</v>
      </c>
      <c r="O93" s="6">
        <v>0</v>
      </c>
      <c r="P93" s="6">
        <v>0.95</v>
      </c>
      <c r="Q93" s="6">
        <v>4.8499999999999996</v>
      </c>
    </row>
    <row r="94" spans="1:17" customFormat="1">
      <c r="A94" s="72">
        <v>45322.895833333336</v>
      </c>
      <c r="B94" s="6">
        <v>9.5399999999999991</v>
      </c>
      <c r="C94" s="6">
        <v>27.31</v>
      </c>
      <c r="D94" s="6">
        <v>23.27</v>
      </c>
      <c r="E94" s="6">
        <v>7.31</v>
      </c>
      <c r="F94" s="6">
        <v>3.37</v>
      </c>
      <c r="G94" s="6">
        <v>117.3</v>
      </c>
      <c r="H94" s="6">
        <v>40.950000000000003</v>
      </c>
      <c r="I94" s="6">
        <v>10.59</v>
      </c>
      <c r="J94" s="6">
        <v>0.23</v>
      </c>
      <c r="K94" s="6">
        <v>178.8</v>
      </c>
      <c r="L94" s="6">
        <v>21.16</v>
      </c>
      <c r="M94" s="6">
        <v>72</v>
      </c>
      <c r="N94" s="6">
        <v>0</v>
      </c>
      <c r="O94" s="6">
        <v>0</v>
      </c>
      <c r="P94" s="6">
        <v>0.95</v>
      </c>
      <c r="Q94" s="6">
        <v>4.84</v>
      </c>
    </row>
    <row r="95" spans="1:17" customFormat="1">
      <c r="A95" s="72">
        <v>45322.90625</v>
      </c>
      <c r="B95" s="6">
        <v>9.51</v>
      </c>
      <c r="C95" s="6">
        <v>26.94</v>
      </c>
      <c r="D95" s="6">
        <v>23.05</v>
      </c>
      <c r="E95" s="6">
        <v>6.93</v>
      </c>
      <c r="F95" s="6">
        <v>3.46</v>
      </c>
      <c r="G95" s="6">
        <v>117.3</v>
      </c>
      <c r="H95" s="6">
        <v>40.950000000000003</v>
      </c>
      <c r="I95" s="6">
        <v>10.57</v>
      </c>
      <c r="J95" s="6">
        <v>0.2</v>
      </c>
      <c r="K95" s="6">
        <v>201.96</v>
      </c>
      <c r="L95" s="6">
        <v>20.74</v>
      </c>
      <c r="M95" s="6">
        <v>74.87</v>
      </c>
      <c r="N95" s="6">
        <v>0</v>
      </c>
      <c r="O95" s="6">
        <v>0</v>
      </c>
      <c r="P95" s="6">
        <v>0.94</v>
      </c>
      <c r="Q95" s="6">
        <v>4.84</v>
      </c>
    </row>
    <row r="96" spans="1:17" customFormat="1">
      <c r="A96" s="72">
        <v>45322.916666666664</v>
      </c>
      <c r="B96" s="6">
        <v>9.2200000000000006</v>
      </c>
      <c r="C96" s="6">
        <v>26.75</v>
      </c>
      <c r="D96" s="6">
        <v>22.72</v>
      </c>
      <c r="E96" s="6">
        <v>7.2</v>
      </c>
      <c r="F96" s="6">
        <v>3.53</v>
      </c>
      <c r="G96" s="6">
        <v>117.3</v>
      </c>
      <c r="H96" s="6">
        <v>40.950000000000003</v>
      </c>
      <c r="I96" s="6">
        <v>10.53</v>
      </c>
      <c r="J96" s="6">
        <v>0.15</v>
      </c>
      <c r="K96" s="6">
        <v>214.53</v>
      </c>
      <c r="L96" s="6">
        <v>20.350000000000001</v>
      </c>
      <c r="M96" s="6">
        <v>75.31</v>
      </c>
      <c r="N96" s="6">
        <v>0</v>
      </c>
      <c r="O96" s="6">
        <v>0</v>
      </c>
      <c r="P96" s="6">
        <v>0.95</v>
      </c>
      <c r="Q96" s="6">
        <v>4.84</v>
      </c>
    </row>
    <row r="97" spans="1:22" customFormat="1">
      <c r="A97" s="72">
        <v>45322.927083333336</v>
      </c>
      <c r="B97" s="6">
        <v>8.9700000000000006</v>
      </c>
      <c r="C97" s="6">
        <v>26.4</v>
      </c>
      <c r="D97" s="6">
        <v>22.34</v>
      </c>
      <c r="E97" s="6">
        <v>7.26</v>
      </c>
      <c r="F97" s="6">
        <v>3.54</v>
      </c>
      <c r="G97" s="6">
        <v>110.54</v>
      </c>
      <c r="H97" s="6">
        <v>40.369999999999997</v>
      </c>
      <c r="I97" s="6">
        <v>10.45</v>
      </c>
      <c r="J97" s="6">
        <v>0.17</v>
      </c>
      <c r="K97" s="6">
        <v>217.36</v>
      </c>
      <c r="L97" s="6">
        <v>20.170000000000002</v>
      </c>
      <c r="M97" s="6">
        <v>76.67</v>
      </c>
      <c r="N97" s="6">
        <v>0</v>
      </c>
      <c r="O97" s="6">
        <v>0</v>
      </c>
      <c r="P97" s="6">
        <v>0.93</v>
      </c>
      <c r="Q97" s="6">
        <v>4.83</v>
      </c>
    </row>
    <row r="98" spans="1:22" customFormat="1">
      <c r="A98" s="72">
        <v>45322.9375</v>
      </c>
      <c r="B98" s="6">
        <v>8.7200000000000006</v>
      </c>
      <c r="C98" s="6">
        <v>26.19</v>
      </c>
      <c r="D98" s="6">
        <v>22.02</v>
      </c>
      <c r="E98" s="6">
        <v>7.37</v>
      </c>
      <c r="F98" s="6">
        <v>3.56</v>
      </c>
      <c r="G98" s="6">
        <v>105.37</v>
      </c>
      <c r="H98" s="6">
        <v>40.200000000000003</v>
      </c>
      <c r="I98" s="6">
        <v>10.36</v>
      </c>
      <c r="J98" s="6">
        <v>0.08</v>
      </c>
      <c r="K98" s="6">
        <v>207.25</v>
      </c>
      <c r="L98" s="6">
        <v>19.98</v>
      </c>
      <c r="M98" s="6">
        <v>76.489999999999995</v>
      </c>
      <c r="N98" s="6">
        <v>0</v>
      </c>
      <c r="O98" s="6">
        <v>0</v>
      </c>
      <c r="P98" s="6">
        <v>0.91</v>
      </c>
      <c r="Q98" s="6">
        <v>4.82</v>
      </c>
    </row>
    <row r="99" spans="1:22" customFormat="1">
      <c r="A99" s="72">
        <v>45322.947916666664</v>
      </c>
      <c r="B99" s="6">
        <v>8.5399999999999991</v>
      </c>
      <c r="C99" s="6">
        <v>25.74</v>
      </c>
      <c r="D99" s="6">
        <v>21.64</v>
      </c>
      <c r="E99" s="6">
        <v>7.13</v>
      </c>
      <c r="F99" s="6">
        <v>3.55</v>
      </c>
      <c r="G99" s="6">
        <v>105.37</v>
      </c>
      <c r="H99" s="6">
        <v>40.200000000000003</v>
      </c>
      <c r="I99" s="6">
        <v>10.25</v>
      </c>
      <c r="J99" s="6">
        <v>0.14000000000000001</v>
      </c>
      <c r="K99" s="6">
        <v>225.48</v>
      </c>
      <c r="L99" s="6">
        <v>19.97</v>
      </c>
      <c r="M99" s="6">
        <v>75.37</v>
      </c>
      <c r="N99" s="6">
        <v>0</v>
      </c>
      <c r="O99" s="6">
        <v>0</v>
      </c>
      <c r="P99" s="6">
        <v>0.9</v>
      </c>
      <c r="Q99" s="6">
        <v>4.8</v>
      </c>
    </row>
    <row r="100" spans="1:22" customFormat="1">
      <c r="A100" s="72">
        <v>45322.958333333336</v>
      </c>
      <c r="B100" s="6">
        <v>8.24</v>
      </c>
      <c r="C100" s="6">
        <v>25.41</v>
      </c>
      <c r="D100" s="6">
        <v>21.24</v>
      </c>
      <c r="E100" s="6">
        <v>6.98</v>
      </c>
      <c r="F100" s="6">
        <v>3.49</v>
      </c>
      <c r="G100" s="6">
        <v>105.37</v>
      </c>
      <c r="H100" s="6">
        <v>40.200000000000003</v>
      </c>
      <c r="I100" s="6">
        <v>10.119999999999999</v>
      </c>
      <c r="J100" s="6">
        <v>0.11</v>
      </c>
      <c r="K100" s="6">
        <v>198</v>
      </c>
      <c r="L100" s="6">
        <v>19.91</v>
      </c>
      <c r="M100" s="6">
        <v>77.25</v>
      </c>
      <c r="N100" s="6">
        <v>0</v>
      </c>
      <c r="O100" s="6">
        <v>0</v>
      </c>
      <c r="P100" s="6">
        <v>0.9</v>
      </c>
      <c r="Q100" s="6">
        <v>4.79</v>
      </c>
    </row>
    <row r="101" spans="1:22" customFormat="1">
      <c r="A101" s="72">
        <v>45322.96875</v>
      </c>
      <c r="B101" s="6">
        <v>8.06</v>
      </c>
      <c r="C101" s="6">
        <v>25.25</v>
      </c>
      <c r="D101" s="6">
        <v>21.01</v>
      </c>
      <c r="E101" s="6">
        <v>7.32</v>
      </c>
      <c r="F101" s="6">
        <v>3.44</v>
      </c>
      <c r="G101" s="6">
        <v>102.65</v>
      </c>
      <c r="H101" s="6">
        <v>39.89</v>
      </c>
      <c r="I101" s="6">
        <v>10</v>
      </c>
      <c r="J101" s="6">
        <v>0.12</v>
      </c>
      <c r="K101" s="6">
        <v>181.21</v>
      </c>
      <c r="L101" s="6">
        <v>19.829999999999998</v>
      </c>
      <c r="M101" s="6">
        <v>76.819999999999993</v>
      </c>
      <c r="N101" s="6">
        <v>0</v>
      </c>
      <c r="O101" s="6">
        <v>0</v>
      </c>
      <c r="P101" s="6">
        <v>0.89</v>
      </c>
      <c r="Q101" s="6">
        <v>4.78</v>
      </c>
    </row>
    <row r="102" spans="1:22" customFormat="1">
      <c r="A102" s="72">
        <v>45322.979166666664</v>
      </c>
      <c r="B102" s="6">
        <v>7.88</v>
      </c>
      <c r="C102" s="6">
        <v>25.27</v>
      </c>
      <c r="D102" s="6">
        <v>20.87</v>
      </c>
      <c r="E102" s="6">
        <v>7.1</v>
      </c>
      <c r="F102" s="6">
        <v>3.52</v>
      </c>
      <c r="G102" s="6">
        <v>100.57</v>
      </c>
      <c r="H102" s="6">
        <v>39.79</v>
      </c>
      <c r="I102" s="6">
        <v>9.82</v>
      </c>
      <c r="J102" s="6">
        <v>0.15</v>
      </c>
      <c r="K102" s="6">
        <v>232.31</v>
      </c>
      <c r="L102" s="6">
        <v>19.71</v>
      </c>
      <c r="M102" s="6">
        <v>77.540000000000006</v>
      </c>
      <c r="N102" s="6">
        <v>0</v>
      </c>
      <c r="O102" s="6">
        <v>0</v>
      </c>
      <c r="P102" s="6">
        <v>0.88</v>
      </c>
      <c r="Q102" s="6">
        <v>4.78</v>
      </c>
    </row>
    <row r="103" spans="1:22" customFormat="1">
      <c r="A103" s="72">
        <v>45322.989583333336</v>
      </c>
      <c r="B103" s="6">
        <v>7.81</v>
      </c>
      <c r="C103" s="6">
        <v>24.78</v>
      </c>
      <c r="D103" s="6">
        <v>20.56</v>
      </c>
      <c r="E103" s="6">
        <v>6.76</v>
      </c>
      <c r="F103" s="6">
        <v>3.68</v>
      </c>
      <c r="G103" s="6">
        <v>100.57</v>
      </c>
      <c r="H103" s="6">
        <v>39.79</v>
      </c>
      <c r="I103" s="6">
        <v>9.69</v>
      </c>
      <c r="J103" s="6">
        <v>0.14000000000000001</v>
      </c>
      <c r="K103" s="6">
        <v>208.93</v>
      </c>
      <c r="L103" s="6">
        <v>19.68</v>
      </c>
      <c r="M103" s="6">
        <v>76.77</v>
      </c>
      <c r="N103" s="6">
        <v>0</v>
      </c>
      <c r="O103" s="6">
        <v>0</v>
      </c>
      <c r="P103" s="6">
        <v>0.87</v>
      </c>
      <c r="Q103" s="6">
        <v>4.74</v>
      </c>
    </row>
    <row r="104" spans="1:22" customFormat="1">
      <c r="A104" s="72">
        <v>45323</v>
      </c>
      <c r="B104" s="6">
        <v>7.83</v>
      </c>
      <c r="C104" s="6">
        <v>21.54</v>
      </c>
      <c r="D104" s="6">
        <v>18.89</v>
      </c>
      <c r="E104" s="6">
        <v>6.52</v>
      </c>
      <c r="F104" s="6">
        <v>3.85</v>
      </c>
      <c r="G104" s="6">
        <v>100.57</v>
      </c>
      <c r="H104" s="6">
        <v>39.79</v>
      </c>
      <c r="I104" s="6">
        <v>9.58</v>
      </c>
      <c r="J104" s="6">
        <v>0.1</v>
      </c>
      <c r="K104" s="6">
        <v>233.07</v>
      </c>
      <c r="L104" s="6">
        <v>19.7</v>
      </c>
      <c r="M104" s="6">
        <v>77.489999999999995</v>
      </c>
      <c r="N104" s="6">
        <v>0</v>
      </c>
      <c r="O104" s="6">
        <v>0</v>
      </c>
      <c r="P104" s="6">
        <v>0.85</v>
      </c>
      <c r="Q104" s="6">
        <v>4.75</v>
      </c>
    </row>
    <row r="106" spans="1:22">
      <c r="A106" s="156" t="s">
        <v>48</v>
      </c>
      <c r="B106" s="157">
        <f>MIN(B9:B104)</f>
        <v>4.8499999999999996</v>
      </c>
      <c r="C106" s="157">
        <f>MIN(C9:C104)</f>
        <v>16.170000000000002</v>
      </c>
      <c r="D106" s="157">
        <f t="shared" ref="D106:Q106" si="0">MIN(D9:D104)</f>
        <v>13.87</v>
      </c>
      <c r="E106" s="157">
        <f t="shared" si="0"/>
        <v>5.82</v>
      </c>
      <c r="F106" s="157">
        <f t="shared" si="0"/>
        <v>3.16</v>
      </c>
      <c r="G106" s="157">
        <f t="shared" si="0"/>
        <v>59.32</v>
      </c>
      <c r="H106" s="157">
        <f t="shared" si="0"/>
        <v>31.48</v>
      </c>
      <c r="I106" s="157">
        <f t="shared" si="0"/>
        <v>9.58</v>
      </c>
      <c r="J106" s="157">
        <f t="shared" si="0"/>
        <v>0.04</v>
      </c>
      <c r="K106" s="157">
        <f t="shared" si="0"/>
        <v>13.07</v>
      </c>
      <c r="L106" s="157">
        <f t="shared" si="0"/>
        <v>15.82</v>
      </c>
      <c r="M106" s="157">
        <f t="shared" si="0"/>
        <v>41.04</v>
      </c>
      <c r="N106" s="157">
        <f t="shared" si="0"/>
        <v>0</v>
      </c>
      <c r="O106" s="157">
        <f t="shared" si="0"/>
        <v>0</v>
      </c>
      <c r="P106" s="157">
        <f t="shared" si="0"/>
        <v>0.72</v>
      </c>
      <c r="Q106" s="157">
        <f t="shared" si="0"/>
        <v>4.67</v>
      </c>
      <c r="R106" s="157"/>
      <c r="S106" s="157"/>
      <c r="T106" s="157"/>
      <c r="U106" s="157"/>
    </row>
    <row r="107" spans="1:22">
      <c r="A107" s="156" t="s">
        <v>49</v>
      </c>
      <c r="B107" s="156">
        <f>MAX(B9:B104)</f>
        <v>22.04</v>
      </c>
      <c r="C107" s="156">
        <f t="shared" ref="C107:Q107" si="1">MAX(C9:C104)</f>
        <v>32.33</v>
      </c>
      <c r="D107" s="156">
        <f t="shared" si="1"/>
        <v>32.04</v>
      </c>
      <c r="E107" s="156">
        <f t="shared" si="1"/>
        <v>9.14</v>
      </c>
      <c r="F107" s="156">
        <f t="shared" si="1"/>
        <v>5.71</v>
      </c>
      <c r="G107" s="156">
        <f t="shared" si="1"/>
        <v>117.3</v>
      </c>
      <c r="H107" s="156">
        <f t="shared" si="1"/>
        <v>49.31</v>
      </c>
      <c r="I107" s="156">
        <f t="shared" si="1"/>
        <v>20.87</v>
      </c>
      <c r="J107" s="156">
        <f t="shared" si="1"/>
        <v>1.31</v>
      </c>
      <c r="K107" s="156">
        <f t="shared" si="1"/>
        <v>342.99</v>
      </c>
      <c r="L107" s="156">
        <f t="shared" si="1"/>
        <v>28.37</v>
      </c>
      <c r="M107" s="156">
        <f t="shared" si="1"/>
        <v>95.27</v>
      </c>
      <c r="N107" s="156">
        <f t="shared" si="1"/>
        <v>435.5</v>
      </c>
      <c r="O107" s="156">
        <f t="shared" si="1"/>
        <v>0</v>
      </c>
      <c r="P107" s="156">
        <f t="shared" si="1"/>
        <v>1.03</v>
      </c>
      <c r="Q107" s="156">
        <f t="shared" si="1"/>
        <v>4.95</v>
      </c>
      <c r="R107" s="156"/>
      <c r="S107" s="156"/>
      <c r="T107" s="156"/>
      <c r="U107" s="156"/>
    </row>
    <row r="108" spans="1:22">
      <c r="A108" s="156" t="s">
        <v>50</v>
      </c>
      <c r="B108" s="157">
        <f>AVERAGE(B9:B104)</f>
        <v>10.924895833333336</v>
      </c>
      <c r="C108" s="157">
        <f t="shared" ref="C108:Q108" si="2">AVERAGE(C9:C104)</f>
        <v>23.543125000000003</v>
      </c>
      <c r="D108" s="157">
        <f t="shared" si="2"/>
        <v>22.412395833333331</v>
      </c>
      <c r="E108" s="157">
        <f t="shared" si="2"/>
        <v>7.3890624999999979</v>
      </c>
      <c r="F108" s="157">
        <f t="shared" si="2"/>
        <v>3.8809374999999982</v>
      </c>
      <c r="G108" s="157">
        <f t="shared" si="2"/>
        <v>82.844166666666666</v>
      </c>
      <c r="H108" s="157">
        <f t="shared" si="2"/>
        <v>37.254583333333322</v>
      </c>
      <c r="I108" s="157">
        <f t="shared" si="2"/>
        <v>11.913020833333329</v>
      </c>
      <c r="J108" s="157">
        <f t="shared" si="2"/>
        <v>0.38749999999999996</v>
      </c>
      <c r="K108" s="157">
        <f t="shared" si="2"/>
        <v>182.76270833333339</v>
      </c>
      <c r="L108" s="157">
        <f t="shared" si="2"/>
        <v>21.791979166666668</v>
      </c>
      <c r="M108" s="157">
        <f t="shared" si="2"/>
        <v>69.105104166666663</v>
      </c>
      <c r="N108" s="157">
        <f t="shared" si="2"/>
        <v>96.209375000000023</v>
      </c>
      <c r="O108" s="157">
        <f t="shared" si="2"/>
        <v>0</v>
      </c>
      <c r="P108" s="157">
        <f t="shared" si="2"/>
        <v>0.85927083333333332</v>
      </c>
      <c r="Q108" s="157">
        <f t="shared" si="2"/>
        <v>4.80833333333333</v>
      </c>
      <c r="R108" s="157"/>
      <c r="S108" s="157"/>
      <c r="T108" s="157"/>
      <c r="U108" s="157"/>
    </row>
    <row r="109" spans="1:22">
      <c r="A109" s="156" t="s">
        <v>51</v>
      </c>
      <c r="B109" s="157">
        <f>STDEV(B9:B104)</f>
        <v>5.5296334693019622</v>
      </c>
      <c r="C109" s="157">
        <f t="shared" ref="C109:Q109" si="3">STDEV(C9:C104)</f>
        <v>4.0577002334093573</v>
      </c>
      <c r="D109" s="157">
        <f t="shared" si="3"/>
        <v>5.1423072324828993</v>
      </c>
      <c r="E109" s="157">
        <f t="shared" si="3"/>
        <v>0.74209955088320367</v>
      </c>
      <c r="F109" s="157">
        <f t="shared" si="3"/>
        <v>0.77797182755784944</v>
      </c>
      <c r="G109" s="157">
        <f t="shared" si="3"/>
        <v>19.091260754412843</v>
      </c>
      <c r="H109" s="157">
        <f t="shared" si="3"/>
        <v>4.9495560495584545</v>
      </c>
      <c r="I109" s="157">
        <f t="shared" si="3"/>
        <v>2.5034620742995597</v>
      </c>
      <c r="J109" s="157">
        <f t="shared" si="3"/>
        <v>0.33258477352240196</v>
      </c>
      <c r="K109" s="157">
        <f t="shared" si="3"/>
        <v>86.889877218891314</v>
      </c>
      <c r="L109" s="157">
        <f t="shared" si="3"/>
        <v>4.3024993029857601</v>
      </c>
      <c r="M109" s="157">
        <f t="shared" si="3"/>
        <v>18.92068519927561</v>
      </c>
      <c r="N109" s="157">
        <f t="shared" si="3"/>
        <v>143.46048205406331</v>
      </c>
      <c r="O109" s="157">
        <f t="shared" si="3"/>
        <v>0</v>
      </c>
      <c r="P109" s="157">
        <f t="shared" si="3"/>
        <v>8.245247168956972E-2</v>
      </c>
      <c r="Q109" s="157">
        <f t="shared" si="3"/>
        <v>6.5641236504384623E-2</v>
      </c>
      <c r="R109" s="157"/>
      <c r="S109" s="157"/>
      <c r="T109" s="157"/>
      <c r="U109" s="157"/>
    </row>
    <row r="110" spans="1:22">
      <c r="A110" s="156" t="s">
        <v>52</v>
      </c>
      <c r="B110" s="156">
        <f t="shared" ref="B110:Q110" si="4">COUNT(B9:B104)</f>
        <v>96</v>
      </c>
      <c r="C110" s="156">
        <f t="shared" si="4"/>
        <v>96</v>
      </c>
      <c r="D110" s="156">
        <f t="shared" si="4"/>
        <v>96</v>
      </c>
      <c r="E110" s="156">
        <f t="shared" si="4"/>
        <v>96</v>
      </c>
      <c r="F110" s="156">
        <f t="shared" si="4"/>
        <v>96</v>
      </c>
      <c r="G110" s="156">
        <f t="shared" si="4"/>
        <v>96</v>
      </c>
      <c r="H110" s="156">
        <f t="shared" si="4"/>
        <v>96</v>
      </c>
      <c r="I110" s="156">
        <f t="shared" si="4"/>
        <v>96</v>
      </c>
      <c r="J110" s="156">
        <f t="shared" si="4"/>
        <v>96</v>
      </c>
      <c r="K110" s="156">
        <f t="shared" si="4"/>
        <v>96</v>
      </c>
      <c r="L110" s="156">
        <f t="shared" si="4"/>
        <v>96</v>
      </c>
      <c r="M110" s="156">
        <f t="shared" si="4"/>
        <v>96</v>
      </c>
      <c r="N110" s="156">
        <f t="shared" si="4"/>
        <v>96</v>
      </c>
      <c r="O110" s="156">
        <f t="shared" si="4"/>
        <v>96</v>
      </c>
      <c r="P110" s="156">
        <f t="shared" si="4"/>
        <v>96</v>
      </c>
      <c r="Q110" s="156">
        <f t="shared" si="4"/>
        <v>96</v>
      </c>
      <c r="R110" s="156"/>
      <c r="S110" s="156"/>
      <c r="T110" s="156"/>
      <c r="U110" s="156"/>
      <c r="V110" s="156"/>
    </row>
    <row r="111" spans="1:22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2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59"/>
      <c r="O113" s="159"/>
      <c r="P113" s="159"/>
      <c r="Q113" s="159"/>
      <c r="R113" s="159"/>
      <c r="S113" s="159"/>
      <c r="T113" s="159"/>
      <c r="U113" s="159"/>
    </row>
    <row r="115" spans="1:21">
      <c r="A115" s="132" t="s">
        <v>55</v>
      </c>
      <c r="B115" s="161" t="s">
        <v>56</v>
      </c>
      <c r="C115" s="161"/>
      <c r="D115" s="161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8" t="s">
        <v>57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30" activePane="bottomRight" state="frozen"/>
      <selection pane="topRight"/>
      <selection pane="bottomLeft"/>
      <selection pane="bottomRight" activeCell="K38" sqref="K38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01/01/2024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01/01/2024 00:15</v>
      </c>
      <c r="B9" s="83">
        <f>'01'!B108</f>
        <v>10.552916666666667</v>
      </c>
      <c r="C9" s="83">
        <f>'01'!C108</f>
        <v>24.296354166666674</v>
      </c>
      <c r="D9" s="83">
        <f>'01'!D108</f>
        <v>22.507604166666656</v>
      </c>
      <c r="E9" s="83">
        <f>'01'!E108</f>
        <v>6.968541666666666</v>
      </c>
      <c r="F9" s="83">
        <f>'01'!F108</f>
        <v>3.1921874999999988</v>
      </c>
      <c r="G9" s="83">
        <f>'01'!G108</f>
        <v>106.23302083333328</v>
      </c>
      <c r="H9" s="83">
        <f>'01'!H108</f>
        <v>58.221770833333323</v>
      </c>
      <c r="I9" s="83">
        <f>'01'!I108</f>
        <v>9.1219791666666659</v>
      </c>
      <c r="J9" s="83">
        <f>'01'!J108</f>
        <v>0.1730208333333334</v>
      </c>
      <c r="K9" s="83">
        <f>'01'!K108</f>
        <v>143.90697916666673</v>
      </c>
      <c r="L9" s="83">
        <f>'01'!L108</f>
        <v>20.144687500000007</v>
      </c>
      <c r="M9" s="83">
        <f>'01'!M108</f>
        <v>74.493541666666658</v>
      </c>
      <c r="N9" s="83">
        <f>'01'!N108</f>
        <v>82.916666666666657</v>
      </c>
      <c r="O9" s="83">
        <f>'01'!O108</f>
        <v>0</v>
      </c>
      <c r="P9" s="83">
        <f>'01'!P108</f>
        <v>0.94624999999999992</v>
      </c>
      <c r="Q9" s="83">
        <f>'01'!Q108</f>
        <v>4.2464583333333339</v>
      </c>
      <c r="R9" s="76"/>
      <c r="S9" s="76"/>
      <c r="T9" s="76"/>
      <c r="U9" s="76"/>
    </row>
    <row r="10" spans="1:21">
      <c r="A10" s="139" t="str">
        <f>'02'!$B$2</f>
        <v>02/01/2024 00:15</v>
      </c>
      <c r="B10" s="83">
        <f>'02'!B108</f>
        <v>8.0733333333333359</v>
      </c>
      <c r="C10" s="83">
        <f>'02'!C108</f>
        <v>21.430625000000003</v>
      </c>
      <c r="D10" s="83">
        <f>'02'!D108</f>
        <v>19.022291666666664</v>
      </c>
      <c r="E10" s="83">
        <f>'02'!E108</f>
        <v>7.0377083333333319</v>
      </c>
      <c r="F10" s="83">
        <f>'02'!F108</f>
        <v>4.4335416666666649</v>
      </c>
      <c r="G10" s="83">
        <f>'02'!G108</f>
        <v>94.379375000000039</v>
      </c>
      <c r="H10" s="83">
        <f>'02'!H108</f>
        <v>52.137708333333357</v>
      </c>
      <c r="I10" s="83">
        <f>'02'!I108</f>
        <v>7.5445833333333363</v>
      </c>
      <c r="J10" s="83">
        <f>'02'!J108</f>
        <v>0.16231578947368422</v>
      </c>
      <c r="K10" s="83">
        <f>'02'!K108</f>
        <v>162.90599999999995</v>
      </c>
      <c r="L10" s="83">
        <f>'02'!L108</f>
        <v>20.154062500000002</v>
      </c>
      <c r="M10" s="83">
        <f>'02'!M108</f>
        <v>73.722083333333316</v>
      </c>
      <c r="N10" s="83">
        <f>'02'!N108</f>
        <v>82.066666666666677</v>
      </c>
      <c r="O10" s="83">
        <f>'02'!O108</f>
        <v>0</v>
      </c>
      <c r="P10" s="83">
        <f>'02'!P108</f>
        <v>0.80770833333333381</v>
      </c>
      <c r="Q10" s="83">
        <f>'02'!Q108</f>
        <v>4.8407291666666667</v>
      </c>
      <c r="R10" s="76"/>
      <c r="S10" s="76"/>
      <c r="T10" s="76"/>
      <c r="U10" s="76"/>
    </row>
    <row r="11" spans="1:21">
      <c r="A11" s="139" t="str">
        <f>'03'!$B$2</f>
        <v>03/01/2024 00:15</v>
      </c>
      <c r="B11" s="83">
        <f>'03'!B108</f>
        <v>7.7313541666666659</v>
      </c>
      <c r="C11" s="83">
        <f>'03'!C108</f>
        <v>21.094895833333336</v>
      </c>
      <c r="D11" s="83">
        <f>'03'!D108</f>
        <v>18.572812499999994</v>
      </c>
      <c r="E11" s="83">
        <f>'03'!E108</f>
        <v>6.5437500000000002</v>
      </c>
      <c r="F11" s="83">
        <f>'03'!F108</f>
        <v>3.2944791666666657</v>
      </c>
      <c r="G11" s="83">
        <f>'03'!G108</f>
        <v>76.721145833333338</v>
      </c>
      <c r="H11" s="83">
        <f>'03'!H108</f>
        <v>43.363749999999989</v>
      </c>
      <c r="I11" s="83">
        <f>'03'!I108</f>
        <v>6.6801041666666672</v>
      </c>
      <c r="J11" s="83">
        <f>'03'!J108</f>
        <v>0.1804166666666667</v>
      </c>
      <c r="K11" s="83">
        <f>'03'!K108</f>
        <v>151.56135416666666</v>
      </c>
      <c r="L11" s="83">
        <f>'03'!L108</f>
        <v>20.31697916666667</v>
      </c>
      <c r="M11" s="83">
        <f>'03'!M108</f>
        <v>70.989687499999988</v>
      </c>
      <c r="N11" s="83">
        <f>'03'!N108</f>
        <v>88.225000000000009</v>
      </c>
      <c r="O11" s="83">
        <f>'03'!O108</f>
        <v>0</v>
      </c>
      <c r="P11" s="83">
        <f>'03'!P108</f>
        <v>0.67427083333333304</v>
      </c>
      <c r="Q11" s="83">
        <f>'03'!Q108</f>
        <v>4.838750000000001</v>
      </c>
      <c r="R11" s="76"/>
      <c r="S11" s="76"/>
      <c r="T11" s="76"/>
      <c r="U11" s="76"/>
    </row>
    <row r="12" spans="1:21">
      <c r="A12" s="139" t="str">
        <f>'04'!$B$2</f>
        <v>04/01/2024 00:15</v>
      </c>
      <c r="B12" s="83">
        <f>'04'!B108</f>
        <v>17.91770833333333</v>
      </c>
      <c r="C12" s="83">
        <f>'04'!C108</f>
        <v>25.813020833333329</v>
      </c>
      <c r="D12" s="83">
        <f>'04'!D108</f>
        <v>29.206666666666663</v>
      </c>
      <c r="E12" s="83">
        <f>'04'!E108</f>
        <v>6.7998958333333341</v>
      </c>
      <c r="F12" s="83">
        <f>'04'!F108</f>
        <v>2.9890625000000006</v>
      </c>
      <c r="G12" s="83">
        <f>'04'!G108</f>
        <v>95.222604166666699</v>
      </c>
      <c r="H12" s="83">
        <f>'04'!H108</f>
        <v>44.858541666666689</v>
      </c>
      <c r="I12" s="83">
        <f>'04'!I108</f>
        <v>7.9246875000000037</v>
      </c>
      <c r="J12" s="83">
        <f>'04'!J108</f>
        <v>0.2121875</v>
      </c>
      <c r="K12" s="83">
        <f>'04'!K108</f>
        <v>127.81875000000001</v>
      </c>
      <c r="L12" s="83">
        <f>'04'!L108</f>
        <v>20.193020833333339</v>
      </c>
      <c r="M12" s="83">
        <f>'04'!M108</f>
        <v>71.219479166666687</v>
      </c>
      <c r="N12" s="83">
        <f>'04'!N108</f>
        <v>83.938541666666666</v>
      </c>
      <c r="O12" s="83">
        <f>'04'!O108</f>
        <v>0</v>
      </c>
      <c r="P12" s="83">
        <f>'04'!P108</f>
        <v>0.77635416666666668</v>
      </c>
      <c r="Q12" s="83">
        <f>'04'!Q108</f>
        <v>4.9919791666666651</v>
      </c>
      <c r="R12" s="76"/>
      <c r="S12" s="76"/>
      <c r="T12" s="76"/>
      <c r="U12" s="76"/>
    </row>
    <row r="13" spans="1:21">
      <c r="A13" s="139" t="str">
        <f>'05'!$B$2</f>
        <v>05/01/2024 00:15</v>
      </c>
      <c r="B13" s="83">
        <f>'05'!B108</f>
        <v>22.512500000000003</v>
      </c>
      <c r="C13" s="83">
        <f>'05'!C108</f>
        <v>27.140833333333347</v>
      </c>
      <c r="D13" s="83">
        <f>'05'!D108</f>
        <v>33.585000000000001</v>
      </c>
      <c r="E13" s="83">
        <f>'05'!E108</f>
        <v>6.4984374999999988</v>
      </c>
      <c r="F13" s="83">
        <f>'05'!F108</f>
        <v>3.0054166666666653</v>
      </c>
      <c r="G13" s="83">
        <f>'05'!G108</f>
        <v>100.78774193548391</v>
      </c>
      <c r="H13" s="83">
        <f>'05'!H108</f>
        <v>47.655833333333341</v>
      </c>
      <c r="I13" s="83">
        <f>'05'!I108</f>
        <v>9.4712499999999959</v>
      </c>
      <c r="J13" s="83">
        <f>'05'!J108</f>
        <v>0.22197916666666676</v>
      </c>
      <c r="K13" s="83">
        <f>'05'!K108</f>
        <v>123.21697916666672</v>
      </c>
      <c r="L13" s="83">
        <f>'05'!L108</f>
        <v>21.035104166666667</v>
      </c>
      <c r="M13" s="83">
        <f>'05'!M108</f>
        <v>70.675104166666685</v>
      </c>
      <c r="N13" s="83">
        <f>'05'!N108</f>
        <v>80.560416666666683</v>
      </c>
      <c r="O13" s="83">
        <f>'05'!O108</f>
        <v>0</v>
      </c>
      <c r="P13" s="83">
        <f>'05'!P108</f>
        <v>0.86614583333333328</v>
      </c>
      <c r="Q13" s="83">
        <f>'05'!Q108</f>
        <v>5.0639583333333329</v>
      </c>
      <c r="R13" s="76"/>
      <c r="S13" s="76"/>
      <c r="T13" s="76"/>
      <c r="U13" s="76"/>
    </row>
    <row r="14" spans="1:21">
      <c r="A14" s="139" t="str">
        <f>'06'!$B$2</f>
        <v>06/01/2024 00:15</v>
      </c>
      <c r="B14" s="83">
        <f>'06'!B108</f>
        <v>11.763695652173915</v>
      </c>
      <c r="C14" s="83">
        <f>'06'!C108</f>
        <v>26.001847826086941</v>
      </c>
      <c r="D14" s="83">
        <f>'06'!D108</f>
        <v>24.368043478260887</v>
      </c>
      <c r="E14" s="83">
        <f>'06'!E108</f>
        <v>6.6978125000000004</v>
      </c>
      <c r="F14" s="83">
        <f>'06'!F108</f>
        <v>3.4164130434782609</v>
      </c>
      <c r="G14" s="83">
        <f>'06'!G108</f>
        <v>93.719890109890088</v>
      </c>
      <c r="H14" s="83">
        <f>'06'!H108</f>
        <v>40.050659340659315</v>
      </c>
      <c r="I14" s="83">
        <f>'06'!I108</f>
        <v>9.1542708333333334</v>
      </c>
      <c r="J14" s="83">
        <f>'06'!J108</f>
        <v>0.55656250000000018</v>
      </c>
      <c r="K14" s="83">
        <f>'06'!K108</f>
        <v>83.349791666666633</v>
      </c>
      <c r="L14" s="83">
        <f>'06'!L108</f>
        <v>20.546145833333327</v>
      </c>
      <c r="M14" s="83">
        <f>'06'!M108</f>
        <v>71.265520833333341</v>
      </c>
      <c r="N14" s="83">
        <f>'06'!N108</f>
        <v>69.885416666666671</v>
      </c>
      <c r="O14" s="83">
        <f>'06'!O108</f>
        <v>0</v>
      </c>
      <c r="P14" s="83">
        <f>'06'!P108</f>
        <v>0.7522340425531916</v>
      </c>
      <c r="Q14" s="83">
        <f>'06'!Q108</f>
        <v>4.9162500000000016</v>
      </c>
      <c r="R14" s="76"/>
      <c r="S14" s="76"/>
      <c r="T14" s="76"/>
      <c r="U14" s="76"/>
    </row>
    <row r="15" spans="1:21">
      <c r="A15" s="139" t="str">
        <f>'07'!$B$2</f>
        <v>07/01/2024 00:15</v>
      </c>
      <c r="B15" s="83">
        <f>'07'!B108</f>
        <v>15.234375</v>
      </c>
      <c r="C15" s="83">
        <f>'07'!C108</f>
        <v>24.447500000000002</v>
      </c>
      <c r="D15" s="83">
        <f>'07'!D108</f>
        <v>26.341041666666666</v>
      </c>
      <c r="E15" s="83">
        <f>'07'!E108</f>
        <v>7.0656250000000034</v>
      </c>
      <c r="F15" s="83">
        <f>'07'!F108</f>
        <v>2.8202083333333339</v>
      </c>
      <c r="G15" s="83">
        <f>'07'!G108</f>
        <v>102.05614583333336</v>
      </c>
      <c r="H15" s="83">
        <f>'07'!H108</f>
        <v>48.021458333333356</v>
      </c>
      <c r="I15" s="83">
        <f>'07'!I108</f>
        <v>9.0471875000000033</v>
      </c>
      <c r="J15" s="83">
        <f>'07'!J108</f>
        <v>0.67729166666666674</v>
      </c>
      <c r="K15" s="83">
        <f>'07'!K108</f>
        <v>64.38906249999998</v>
      </c>
      <c r="L15" s="83">
        <f>'07'!L108</f>
        <v>21.198229166666668</v>
      </c>
      <c r="M15" s="83">
        <f>'07'!M108</f>
        <v>69.318437499999973</v>
      </c>
      <c r="N15" s="83">
        <f>'07'!N108</f>
        <v>81.294791666666683</v>
      </c>
      <c r="O15" s="83">
        <f>'07'!O108</f>
        <v>0</v>
      </c>
      <c r="P15" s="83">
        <f>'07'!P108</f>
        <v>0.89843749999999989</v>
      </c>
      <c r="Q15" s="83">
        <f>'07'!Q108</f>
        <v>4.9484374999999989</v>
      </c>
      <c r="R15" s="76"/>
      <c r="S15" s="76"/>
      <c r="T15" s="76"/>
      <c r="U15" s="76"/>
    </row>
    <row r="16" spans="1:21">
      <c r="A16" s="139" t="str">
        <f>'08'!$B$2</f>
        <v>08/01/2024 00:15</v>
      </c>
      <c r="B16" s="83">
        <f>'08'!B108</f>
        <v>13.706770833333332</v>
      </c>
      <c r="C16" s="83">
        <f>'08'!C108</f>
        <v>26.034895833333334</v>
      </c>
      <c r="D16" s="83">
        <f>'08'!D108</f>
        <v>25.945625000000003</v>
      </c>
      <c r="E16" s="83">
        <f>'08'!E108</f>
        <v>6.2485416666666653</v>
      </c>
      <c r="F16" s="83">
        <f>'08'!F108</f>
        <v>2.7036458333333342</v>
      </c>
      <c r="G16" s="83">
        <f>'08'!G108</f>
        <v>109.2765625</v>
      </c>
      <c r="H16" s="83">
        <f>'08'!H108</f>
        <v>48.167083333333352</v>
      </c>
      <c r="I16" s="83">
        <f>'08'!I108</f>
        <v>9.7570833333333358</v>
      </c>
      <c r="J16" s="83">
        <f>'08'!J108</f>
        <v>0.49979166666666663</v>
      </c>
      <c r="K16" s="83">
        <f>'08'!K108</f>
        <v>95.049270833333352</v>
      </c>
      <c r="L16" s="83">
        <f>'08'!L108</f>
        <v>21.127916666666668</v>
      </c>
      <c r="M16" s="83">
        <f>'08'!M108</f>
        <v>70.009270833333318</v>
      </c>
      <c r="N16" s="83">
        <f>'08'!N108</f>
        <v>82.926041666666677</v>
      </c>
      <c r="O16" s="83">
        <f>'08'!O108</f>
        <v>0</v>
      </c>
      <c r="P16" s="83">
        <f>'08'!P108</f>
        <v>0.93489583333333337</v>
      </c>
      <c r="Q16" s="83">
        <f>'08'!Q108</f>
        <v>4.9371875000000003</v>
      </c>
      <c r="R16" s="76"/>
      <c r="S16" s="76"/>
      <c r="T16" s="76"/>
      <c r="U16" s="76"/>
    </row>
    <row r="17" spans="1:21">
      <c r="A17" s="139" t="str">
        <f>'09'!$B$2</f>
        <v>09/01/2024 00:15</v>
      </c>
      <c r="B17" s="83">
        <f>'09'!B108</f>
        <v>19.595312500000009</v>
      </c>
      <c r="C17" s="83">
        <f>'09'!C108</f>
        <v>26.180625000000006</v>
      </c>
      <c r="D17" s="83">
        <f>'09'!D108</f>
        <v>30.743854166666654</v>
      </c>
      <c r="E17" s="83">
        <f>'09'!E108</f>
        <v>7.5453125000000014</v>
      </c>
      <c r="F17" s="83">
        <f>'09'!F108</f>
        <v>3.0903125</v>
      </c>
      <c r="G17" s="83">
        <f>'09'!G108</f>
        <v>111.50927083333336</v>
      </c>
      <c r="H17" s="83">
        <f>'09'!H108</f>
        <v>50.785520833333315</v>
      </c>
      <c r="I17" s="83">
        <f>'09'!I108</f>
        <v>10.032604166666662</v>
      </c>
      <c r="J17" s="83">
        <f>'09'!J108</f>
        <v>0.38937500000000019</v>
      </c>
      <c r="K17" s="83">
        <f>'09'!K108</f>
        <v>111.90854166666668</v>
      </c>
      <c r="L17" s="83">
        <f>'09'!L108</f>
        <v>21.71135416666667</v>
      </c>
      <c r="M17" s="83">
        <f>'09'!M108</f>
        <v>67.829479166666701</v>
      </c>
      <c r="N17" s="83">
        <f>'09'!N108</f>
        <v>82.391666666666666</v>
      </c>
      <c r="O17" s="83">
        <f>'09'!O108</f>
        <v>0</v>
      </c>
      <c r="P17" s="83">
        <f>'09'!P108</f>
        <v>0.90927083333333292</v>
      </c>
      <c r="Q17" s="83">
        <f>'09'!Q108</f>
        <v>5.0203124999999984</v>
      </c>
      <c r="R17" s="76"/>
      <c r="S17" s="76"/>
      <c r="T17" s="76"/>
      <c r="U17" s="76"/>
    </row>
    <row r="18" spans="1:21">
      <c r="A18" s="139" t="str">
        <f>'10'!$B$2</f>
        <v>10/01/2024 00:15</v>
      </c>
      <c r="B18" s="83">
        <f>'10'!B108</f>
        <v>19.271250000000002</v>
      </c>
      <c r="C18" s="83">
        <f>'10'!C108</f>
        <v>26.614166666666662</v>
      </c>
      <c r="D18" s="83">
        <f>'10'!D108</f>
        <v>30.708645833333346</v>
      </c>
      <c r="E18" s="83">
        <f>'10'!E108</f>
        <v>7.1531249999999957</v>
      </c>
      <c r="F18" s="83">
        <f>'10'!F108</f>
        <v>3.3878125000000003</v>
      </c>
      <c r="G18" s="83">
        <f>'10'!G108</f>
        <v>114.91114583333329</v>
      </c>
      <c r="H18" s="83">
        <f>'10'!H108</f>
        <v>55.152708333333329</v>
      </c>
      <c r="I18" s="83">
        <f>'10'!I108</f>
        <v>11.659895833333332</v>
      </c>
      <c r="J18" s="83">
        <f>'10'!J108</f>
        <v>0.2649999999999999</v>
      </c>
      <c r="K18" s="83">
        <f>'10'!K108</f>
        <v>174.84395833333329</v>
      </c>
      <c r="L18" s="83">
        <f>'10'!L108</f>
        <v>22.72729166666667</v>
      </c>
      <c r="M18" s="83">
        <f>'10'!M108</f>
        <v>69.851354166666667</v>
      </c>
      <c r="N18" s="83">
        <f>'10'!N108</f>
        <v>63.218749999999993</v>
      </c>
      <c r="O18" s="83">
        <f>'10'!O108</f>
        <v>0</v>
      </c>
      <c r="P18" s="83">
        <f>'10'!P108</f>
        <v>1.1052083333333336</v>
      </c>
      <c r="Q18" s="83">
        <f>'10'!Q108</f>
        <v>4.9984374999999996</v>
      </c>
      <c r="R18" s="76"/>
      <c r="S18" s="76"/>
      <c r="T18" s="76"/>
      <c r="U18" s="76"/>
    </row>
    <row r="19" spans="1:21">
      <c r="A19" s="139" t="str">
        <f>'11'!$B$2</f>
        <v>11/01/2024 00:15</v>
      </c>
      <c r="B19" s="83">
        <f>'11'!B108</f>
        <v>14.476041666666667</v>
      </c>
      <c r="C19" s="83">
        <f>'11'!C108</f>
        <v>25.576354166666672</v>
      </c>
      <c r="D19" s="83">
        <f>'11'!D108</f>
        <v>26.321041666666659</v>
      </c>
      <c r="E19" s="83">
        <f>'11'!E108</f>
        <v>7.5929166666666594</v>
      </c>
      <c r="F19" s="83">
        <f>'11'!F108</f>
        <v>3.2906250000000021</v>
      </c>
      <c r="G19" s="83">
        <f>'11'!G108</f>
        <v>99.47156249999999</v>
      </c>
      <c r="H19" s="83">
        <f>'11'!H108</f>
        <v>44.189375000000005</v>
      </c>
      <c r="I19" s="83">
        <f>'11'!I108</f>
        <v>10.357604166666667</v>
      </c>
      <c r="J19" s="83">
        <f>'11'!J108</f>
        <v>0.55489583333333337</v>
      </c>
      <c r="K19" s="83">
        <f>'11'!K108</f>
        <v>89.626145833333339</v>
      </c>
      <c r="L19" s="83">
        <f>'11'!L108</f>
        <v>22.981562500000006</v>
      </c>
      <c r="M19" s="83">
        <f>'11'!M108</f>
        <v>68.45354166666668</v>
      </c>
      <c r="N19" s="83">
        <f>'11'!N108</f>
        <v>76.951041666666654</v>
      </c>
      <c r="O19" s="83">
        <f>'11'!O108</f>
        <v>0</v>
      </c>
      <c r="P19" s="83">
        <f>'11'!P108</f>
        <v>0.96197916666666661</v>
      </c>
      <c r="Q19" s="83">
        <f>'11'!Q108</f>
        <v>4.9414583333333306</v>
      </c>
      <c r="R19" s="76"/>
      <c r="S19" s="76"/>
      <c r="T19" s="76"/>
      <c r="U19" s="76"/>
    </row>
    <row r="20" spans="1:21">
      <c r="A20" s="139" t="str">
        <f>'12'!$B$2</f>
        <v>12/01/2024 00:15</v>
      </c>
      <c r="B20" s="83">
        <f>'12'!B108</f>
        <v>22.803229166666672</v>
      </c>
      <c r="C20" s="83">
        <f>'12'!C108</f>
        <v>25.41885416666668</v>
      </c>
      <c r="D20" s="83">
        <f>'12'!D108</f>
        <v>32.917916666666663</v>
      </c>
      <c r="E20" s="83">
        <f>'12'!E108</f>
        <v>8.9700000000000006</v>
      </c>
      <c r="F20" s="83">
        <f>'12'!F108</f>
        <v>2.6229166666666672</v>
      </c>
      <c r="G20" s="83">
        <f>'12'!G108</f>
        <v>79.207916666666691</v>
      </c>
      <c r="H20" s="83">
        <f>'12'!H108</f>
        <v>30.827812499999993</v>
      </c>
      <c r="I20" s="83">
        <f>'12'!I108</f>
        <v>8.2193750000000012</v>
      </c>
      <c r="J20" s="83">
        <f>'12'!J108</f>
        <v>0.37760416666666657</v>
      </c>
      <c r="K20" s="83">
        <f>'12'!K108</f>
        <v>119.32885416666664</v>
      </c>
      <c r="L20" s="83">
        <f>'12'!L108</f>
        <v>22.551562499999999</v>
      </c>
      <c r="M20" s="83">
        <f>'12'!M108</f>
        <v>63.964270833333359</v>
      </c>
      <c r="N20" s="83">
        <f>'12'!N108</f>
        <v>86.348958333333357</v>
      </c>
      <c r="O20" s="83">
        <f>'12'!O108</f>
        <v>0</v>
      </c>
      <c r="P20" s="83">
        <f>'12'!P108</f>
        <v>0.74604166666666705</v>
      </c>
      <c r="Q20" s="83">
        <f>'12'!Q108</f>
        <v>5.0421874999999998</v>
      </c>
      <c r="R20" s="76"/>
      <c r="S20" s="76"/>
      <c r="T20" s="76"/>
      <c r="U20" s="76"/>
    </row>
    <row r="21" spans="1:21">
      <c r="A21" s="139" t="str">
        <f>'13'!$B$2</f>
        <v>13/01/2024 00:15</v>
      </c>
      <c r="B21" s="83">
        <f>'13'!B108</f>
        <v>23.588229166666668</v>
      </c>
      <c r="C21" s="83">
        <f>'13'!C108</f>
        <v>25.748541666666657</v>
      </c>
      <c r="D21" s="83">
        <f>'13'!D108</f>
        <v>33.719895833333332</v>
      </c>
      <c r="E21" s="83">
        <f>'13'!E108</f>
        <v>7.9185416666666635</v>
      </c>
      <c r="F21" s="83">
        <f>'13'!F108</f>
        <v>2.8847916666666653</v>
      </c>
      <c r="G21" s="83">
        <f>'13'!G108</f>
        <v>77.158229166666658</v>
      </c>
      <c r="H21" s="83">
        <f>'13'!H108</f>
        <v>28.83625000000001</v>
      </c>
      <c r="I21" s="83">
        <f>'13'!I108</f>
        <v>7.9805208333333377</v>
      </c>
      <c r="J21" s="83">
        <f>'13'!J108</f>
        <v>0.33270833333333349</v>
      </c>
      <c r="K21" s="83">
        <f>'13'!K108</f>
        <v>182.2860416666667</v>
      </c>
      <c r="L21" s="83">
        <f>'13'!L108</f>
        <v>22.008750000000003</v>
      </c>
      <c r="M21" s="83">
        <f>'13'!M108</f>
        <v>61.591875000000009</v>
      </c>
      <c r="N21" s="83">
        <f>'13'!N108</f>
        <v>90.003125000000011</v>
      </c>
      <c r="O21" s="83">
        <f>'13'!O108</f>
        <v>0</v>
      </c>
      <c r="P21" s="83">
        <f>'13'!P108</f>
        <v>0.71395833333333358</v>
      </c>
      <c r="Q21" s="83">
        <f>'13'!Q108</f>
        <v>5.0618749999999979</v>
      </c>
      <c r="R21" s="76"/>
      <c r="S21" s="76"/>
      <c r="T21" s="76"/>
      <c r="U21" s="76"/>
    </row>
    <row r="22" spans="1:21">
      <c r="A22" s="139" t="str">
        <f>'14'!$B$2</f>
        <v>14/01/2024 00:15</v>
      </c>
      <c r="B22" s="140">
        <f>'14'!B108</f>
        <v>17.256770833333331</v>
      </c>
      <c r="C22" s="140">
        <f>'14'!C108</f>
        <v>24.658437500000002</v>
      </c>
      <c r="D22" s="140">
        <f>'14'!D108</f>
        <v>28.073645833333327</v>
      </c>
      <c r="E22" s="140">
        <f>'14'!E108</f>
        <v>7.9873958333333333</v>
      </c>
      <c r="F22" s="140">
        <f>'14'!F108</f>
        <v>2.9235416666666665</v>
      </c>
      <c r="G22" s="140">
        <f>'14'!G108</f>
        <v>77.978333333333282</v>
      </c>
      <c r="H22" s="140">
        <f>'14'!H108</f>
        <v>28.241145833333334</v>
      </c>
      <c r="I22" s="140">
        <f>'14'!I108</f>
        <v>7.4141666666666675</v>
      </c>
      <c r="J22" s="140">
        <f>'14'!J108</f>
        <v>0.35541666666666666</v>
      </c>
      <c r="K22" s="140">
        <f>'14'!K108</f>
        <v>144.94385416666668</v>
      </c>
      <c r="L22" s="140">
        <f>'14'!L108</f>
        <v>21.958958333333332</v>
      </c>
      <c r="M22" s="140">
        <f>'14'!M108</f>
        <v>61.138749999999995</v>
      </c>
      <c r="N22" s="140">
        <f>'14'!N108</f>
        <v>87.159375000000011</v>
      </c>
      <c r="O22" s="140">
        <f>'14'!O108</f>
        <v>0</v>
      </c>
      <c r="P22" s="140">
        <f>'14'!P108</f>
        <v>0.64979166666666699</v>
      </c>
      <c r="Q22" s="140">
        <f>'14'!Q108</f>
        <v>4.9768750000000006</v>
      </c>
      <c r="R22" s="153"/>
      <c r="S22" s="153"/>
      <c r="T22" s="153"/>
      <c r="U22" s="153"/>
    </row>
    <row r="23" spans="1:21">
      <c r="A23" s="139" t="str">
        <f>'15'!$B$2</f>
        <v>15/01/2024 00:15</v>
      </c>
      <c r="B23" s="83">
        <f>'15'!B108</f>
        <v>14.300937499999996</v>
      </c>
      <c r="C23" s="83">
        <f>'15'!C108</f>
        <v>28.6053125</v>
      </c>
      <c r="D23" s="83">
        <f>'15'!D108</f>
        <v>27.764895833333341</v>
      </c>
      <c r="E23" s="83">
        <f>'15'!E108</f>
        <v>8.5757291666666635</v>
      </c>
      <c r="F23" s="83">
        <f>'15'!F108</f>
        <v>2.5815625</v>
      </c>
      <c r="G23" s="83">
        <f>'15'!G108</f>
        <v>76.209270833333306</v>
      </c>
      <c r="H23" s="83">
        <f>'15'!H108</f>
        <v>27.887604166666673</v>
      </c>
      <c r="I23" s="83">
        <f>'15'!I108</f>
        <v>7.1160416666666704</v>
      </c>
      <c r="J23" s="83">
        <f>'15'!J108</f>
        <v>0.59364583333333343</v>
      </c>
      <c r="K23" s="83">
        <f>'15'!K108</f>
        <v>88.422604166666659</v>
      </c>
      <c r="L23" s="83">
        <f>'15'!L108</f>
        <v>21.6134375</v>
      </c>
      <c r="M23" s="83">
        <f>'15'!M108</f>
        <v>50.723125000000017</v>
      </c>
      <c r="N23" s="83">
        <f>'15'!N108</f>
        <v>77.927083333333329</v>
      </c>
      <c r="O23" s="83">
        <f>'15'!O108</f>
        <v>0</v>
      </c>
      <c r="P23" s="83">
        <f>'15'!P108</f>
        <v>0.65916666666666635</v>
      </c>
      <c r="Q23" s="83">
        <f>'15'!Q108</f>
        <v>4.9567708333333327</v>
      </c>
      <c r="R23" s="76"/>
      <c r="S23" s="76"/>
      <c r="T23" s="76"/>
      <c r="U23" s="76"/>
    </row>
    <row r="24" spans="1:21">
      <c r="A24" s="139">
        <f>'16'!$B$2</f>
        <v>45307.010416666664</v>
      </c>
      <c r="B24" s="83">
        <f>'16'!B108</f>
        <v>15.327684210526318</v>
      </c>
      <c r="C24" s="83">
        <f>'16'!C108</f>
        <v>28.106842105263173</v>
      </c>
      <c r="D24" s="83">
        <f>'16'!D108</f>
        <v>28.331684210526312</v>
      </c>
      <c r="E24" s="83">
        <f>'16'!E108</f>
        <v>7.9708421052631584</v>
      </c>
      <c r="F24" s="83">
        <f>'16'!F108</f>
        <v>3.831999999999999</v>
      </c>
      <c r="G24" s="83">
        <f>'16'!G108</f>
        <v>83.367888888888899</v>
      </c>
      <c r="H24" s="83">
        <f>'16'!H108</f>
        <v>34.391222222222225</v>
      </c>
      <c r="I24" s="83">
        <f>'16'!I108</f>
        <v>9.8317708333333336</v>
      </c>
      <c r="J24" s="83">
        <f>'16'!J108</f>
        <v>0.47510416666666649</v>
      </c>
      <c r="K24" s="83">
        <f>'16'!K108</f>
        <v>123.21968750000002</v>
      </c>
      <c r="L24" s="83">
        <f>'16'!L108</f>
        <v>21.144895833333337</v>
      </c>
      <c r="M24" s="83">
        <f>'16'!M108</f>
        <v>55.568958333333342</v>
      </c>
      <c r="N24" s="83">
        <f>'16'!N108</f>
        <v>87.653125000000031</v>
      </c>
      <c r="O24" s="83">
        <f>'16'!O108</f>
        <v>0</v>
      </c>
      <c r="P24" s="83">
        <f>'16'!P108</f>
        <v>0.77389473684210519</v>
      </c>
      <c r="Q24" s="83">
        <f>'16'!Q108</f>
        <v>4.9453124999999973</v>
      </c>
      <c r="R24" s="76"/>
      <c r="S24" s="76"/>
      <c r="T24" s="76"/>
      <c r="U24" s="76"/>
    </row>
    <row r="25" spans="1:21">
      <c r="A25" s="139">
        <f>'17'!$B$2</f>
        <v>45308.010416666664</v>
      </c>
      <c r="B25" s="83">
        <f>'17'!B108</f>
        <v>11.705208333333337</v>
      </c>
      <c r="C25" s="83">
        <f>'17'!C108</f>
        <v>27.059166666666666</v>
      </c>
      <c r="D25" s="83">
        <f>'17'!D108</f>
        <v>24.875</v>
      </c>
      <c r="E25" s="83">
        <f>'17'!E108</f>
        <v>8.0499999999999972</v>
      </c>
      <c r="F25" s="83">
        <f>'17'!F108</f>
        <v>3.7408333333333341</v>
      </c>
      <c r="G25" s="83">
        <f>'17'!G108</f>
        <v>96.172812500000006</v>
      </c>
      <c r="H25" s="83">
        <f>'17'!H108</f>
        <v>43.344583333333354</v>
      </c>
      <c r="I25" s="83">
        <f>'17'!I108</f>
        <v>9.3936458333333359</v>
      </c>
      <c r="J25" s="83">
        <f>'17'!J108</f>
        <v>0.30750000000000016</v>
      </c>
      <c r="K25" s="83">
        <f>'17'!K108</f>
        <v>167.00937499999998</v>
      </c>
      <c r="L25" s="83">
        <f>'17'!L108</f>
        <v>21.662291666666672</v>
      </c>
      <c r="M25" s="83">
        <f>'17'!M108</f>
        <v>70.368333333333354</v>
      </c>
      <c r="N25" s="83">
        <f>'17'!N108</f>
        <v>55.847916666666684</v>
      </c>
      <c r="O25" s="83">
        <f>'17'!O108</f>
        <v>0</v>
      </c>
      <c r="P25" s="83">
        <f>'17'!P108</f>
        <v>0.94885416666666655</v>
      </c>
      <c r="Q25" s="83">
        <f>'17'!Q108</f>
        <v>4.8806249999999975</v>
      </c>
      <c r="R25" s="76"/>
      <c r="S25" s="76"/>
      <c r="T25" s="76"/>
      <c r="U25" s="76"/>
    </row>
    <row r="26" spans="1:21">
      <c r="A26" s="139">
        <f>'18'!$B$2</f>
        <v>45309.010416666664</v>
      </c>
      <c r="B26" s="83">
        <f>'18'!B108</f>
        <v>16.927291666666658</v>
      </c>
      <c r="C26" s="83">
        <f>'18'!C108</f>
        <v>25.915312499999999</v>
      </c>
      <c r="D26" s="83">
        <f>'18'!D108</f>
        <v>28.465624999999999</v>
      </c>
      <c r="E26" s="83">
        <f>'18'!E108</f>
        <v>7.8224999999999989</v>
      </c>
      <c r="F26" s="83">
        <f>'18'!F108</f>
        <v>3.4470833333333331</v>
      </c>
      <c r="G26" s="83">
        <f>'18'!G108</f>
        <v>91.880729166666626</v>
      </c>
      <c r="H26" s="83">
        <f>'18'!H108</f>
        <v>45.069583333333306</v>
      </c>
      <c r="I26" s="83">
        <f>'18'!I108</f>
        <v>10.595104166666667</v>
      </c>
      <c r="J26" s="83">
        <f>'18'!J108</f>
        <v>0.52895833333333342</v>
      </c>
      <c r="K26" s="83">
        <f>'18'!K108</f>
        <v>119.47645833333333</v>
      </c>
      <c r="L26" s="83">
        <f>'18'!L108</f>
        <v>21.319062500000005</v>
      </c>
      <c r="M26" s="83">
        <f>'18'!M108</f>
        <v>80.283854166666686</v>
      </c>
      <c r="N26" s="83">
        <f>'18'!N108</f>
        <v>40.727083333333333</v>
      </c>
      <c r="O26" s="83">
        <f>'18'!O108</f>
        <v>0</v>
      </c>
      <c r="P26" s="83">
        <f>'18'!P108</f>
        <v>1.0608333333333335</v>
      </c>
      <c r="Q26" s="83">
        <f>'18'!Q108</f>
        <v>4.9559374999999992</v>
      </c>
      <c r="R26" s="76"/>
      <c r="S26" s="76"/>
      <c r="T26" s="76"/>
      <c r="U26" s="76"/>
    </row>
    <row r="27" spans="1:21">
      <c r="A27" s="139">
        <f>'19'!$B$2</f>
        <v>45310.010416666664</v>
      </c>
      <c r="B27" s="83">
        <f>'19'!B108</f>
        <v>22.221354166666671</v>
      </c>
      <c r="C27" s="83">
        <f>'19'!C108</f>
        <v>28.277083333333334</v>
      </c>
      <c r="D27" s="83">
        <f>'19'!D108</f>
        <v>33.94510416666666</v>
      </c>
      <c r="E27" s="83">
        <f>'19'!E108</f>
        <v>7.8093750000000028</v>
      </c>
      <c r="F27" s="83">
        <f>'19'!F108</f>
        <v>3.3682291666666688</v>
      </c>
      <c r="G27" s="83">
        <f>'19'!G108</f>
        <v>92.082499999999982</v>
      </c>
      <c r="H27" s="83">
        <f>'19'!H108</f>
        <v>45.256875000000029</v>
      </c>
      <c r="I27" s="83">
        <f>'19'!I108</f>
        <v>10.017187499999999</v>
      </c>
      <c r="J27" s="83">
        <f>'19'!J108</f>
        <v>0.96052083333333338</v>
      </c>
      <c r="K27" s="83">
        <f>'19'!K108</f>
        <v>63.437812499999986</v>
      </c>
      <c r="L27" s="83">
        <f>'19'!L108</f>
        <v>19.18843750000001</v>
      </c>
      <c r="M27" s="83">
        <f>'19'!M108</f>
        <v>80.28520833333333</v>
      </c>
      <c r="N27" s="83">
        <f>'19'!N108</f>
        <v>42.546875000000007</v>
      </c>
      <c r="O27" s="83">
        <f>'19'!O108</f>
        <v>0</v>
      </c>
      <c r="P27" s="83">
        <f>'19'!P108</f>
        <v>1.0380208333333336</v>
      </c>
      <c r="Q27" s="83">
        <f>'19'!Q108</f>
        <v>5.062708333333334</v>
      </c>
      <c r="R27" s="76"/>
      <c r="S27" s="76"/>
      <c r="T27" s="76"/>
      <c r="U27" s="76"/>
    </row>
    <row r="28" spans="1:21">
      <c r="A28" s="139">
        <f>'20'!$B$2</f>
        <v>45311.010416666664</v>
      </c>
      <c r="B28" s="83">
        <f>'20'!B108</f>
        <v>27.720833333333342</v>
      </c>
      <c r="C28" s="83">
        <f>'20'!C108</f>
        <v>28.216354166666662</v>
      </c>
      <c r="D28" s="83">
        <f>'20'!D108</f>
        <v>38.323333333333316</v>
      </c>
      <c r="E28" s="83">
        <f>'20'!E108</f>
        <v>7.9634374999999977</v>
      </c>
      <c r="F28" s="83">
        <f>'20'!F108</f>
        <v>3.3579166666666662</v>
      </c>
      <c r="G28" s="83">
        <f>'20'!G108</f>
        <v>101.11239583333334</v>
      </c>
      <c r="H28" s="83">
        <f>'20'!H108</f>
        <v>47.253749999999997</v>
      </c>
      <c r="I28" s="83">
        <f>'20'!I108</f>
        <v>11.416874999999999</v>
      </c>
      <c r="J28" s="83">
        <f>'20'!J108</f>
        <v>0.69739583333333355</v>
      </c>
      <c r="K28" s="83">
        <f>'20'!K108</f>
        <v>61.148437500000028</v>
      </c>
      <c r="L28" s="83">
        <f>'20'!L108</f>
        <v>19.001250000000002</v>
      </c>
      <c r="M28" s="83">
        <f>'20'!M108</f>
        <v>79.364999999999995</v>
      </c>
      <c r="N28" s="83">
        <f>'20'!N108</f>
        <v>28.204166666666666</v>
      </c>
      <c r="O28" s="83">
        <f>'20'!O108</f>
        <v>0</v>
      </c>
      <c r="P28" s="83">
        <f>'20'!P108</f>
        <v>1.1176041666666665</v>
      </c>
      <c r="Q28" s="83">
        <f>'20'!Q108</f>
        <v>5.1054166666666676</v>
      </c>
      <c r="R28" s="76"/>
      <c r="S28" s="76"/>
      <c r="T28" s="76"/>
      <c r="U28" s="76"/>
    </row>
    <row r="29" spans="1:21">
      <c r="A29" s="139">
        <f>'21'!$B$2</f>
        <v>45312.010416666664</v>
      </c>
      <c r="B29" s="83">
        <f>'21'!B108</f>
        <v>20.884479166666672</v>
      </c>
      <c r="C29" s="83">
        <f>'21'!C108</f>
        <v>25.697812499999998</v>
      </c>
      <c r="D29" s="83">
        <f>'21'!D108</f>
        <v>31.525208333333328</v>
      </c>
      <c r="E29" s="83">
        <f>'21'!E108</f>
        <v>7.8706250000000013</v>
      </c>
      <c r="F29" s="83">
        <f>'21'!F108</f>
        <v>3.3785416666666666</v>
      </c>
      <c r="G29" s="83">
        <f>'21'!G108</f>
        <v>84.286145833333308</v>
      </c>
      <c r="H29" s="83">
        <f>'21'!H108</f>
        <v>44.258541666666666</v>
      </c>
      <c r="I29" s="83">
        <f>'21'!I108</f>
        <v>9.5321875000000027</v>
      </c>
      <c r="J29" s="83">
        <f>'21'!J108</f>
        <v>0.50781249999999989</v>
      </c>
      <c r="K29" s="83">
        <f>'21'!K108</f>
        <v>89.494166666666615</v>
      </c>
      <c r="L29" s="83">
        <f>'21'!L108</f>
        <v>20.027812500000003</v>
      </c>
      <c r="M29" s="83">
        <f>'21'!M108</f>
        <v>83.683854166666691</v>
      </c>
      <c r="N29" s="83">
        <f>'21'!N108</f>
        <v>79.638541666666654</v>
      </c>
      <c r="O29" s="83">
        <f>'21'!O108</f>
        <v>5.4166666666666669E-2</v>
      </c>
      <c r="P29" s="83">
        <f>'21'!P108</f>
        <v>0.97531250000000025</v>
      </c>
      <c r="Q29" s="83">
        <f>'21'!Q108</f>
        <v>5.0010416666666684</v>
      </c>
      <c r="R29" s="76"/>
      <c r="S29" s="76"/>
      <c r="T29" s="76"/>
      <c r="U29" s="76"/>
    </row>
    <row r="30" spans="1:21">
      <c r="A30" s="139">
        <f>'22'!$B$2</f>
        <v>45313.010416666664</v>
      </c>
      <c r="B30" s="83">
        <f>'22'!B108</f>
        <v>12.169791666666669</v>
      </c>
      <c r="C30" s="83">
        <f>'22'!C108</f>
        <v>23.633854166666666</v>
      </c>
      <c r="D30" s="83">
        <f>'22'!D108</f>
        <v>23.458749999999995</v>
      </c>
      <c r="E30" s="83">
        <f>'22'!E108</f>
        <v>7.0995833333333325</v>
      </c>
      <c r="F30" s="83">
        <f>'22'!F108</f>
        <v>3.4989583333333343</v>
      </c>
      <c r="G30" s="83">
        <f>'22'!G108</f>
        <v>73.894374999999982</v>
      </c>
      <c r="H30" s="83">
        <f>'22'!H108</f>
        <v>37.428854166666646</v>
      </c>
      <c r="I30" s="83">
        <f>'22'!I108</f>
        <v>7.4530208333333325</v>
      </c>
      <c r="J30" s="83">
        <f>'22'!J108</f>
        <v>0.57833333333333359</v>
      </c>
      <c r="K30" s="83">
        <f>'22'!K108</f>
        <v>69.352708333333354</v>
      </c>
      <c r="L30" s="83">
        <f>'22'!L108</f>
        <v>20.404583333333338</v>
      </c>
      <c r="M30" s="83">
        <f>'22'!M108</f>
        <v>70.626041666666652</v>
      </c>
      <c r="N30" s="83">
        <f>'22'!N108</f>
        <v>90.237499999999969</v>
      </c>
      <c r="O30" s="83">
        <f>'22'!O108</f>
        <v>0</v>
      </c>
      <c r="P30" s="83">
        <f>'22'!P108</f>
        <v>0.78187499999999999</v>
      </c>
      <c r="Q30" s="83">
        <f>'22'!Q108</f>
        <v>4.9223958333333355</v>
      </c>
      <c r="R30" s="76"/>
      <c r="S30" s="76"/>
      <c r="T30" s="76"/>
      <c r="U30" s="76"/>
    </row>
    <row r="31" spans="1:21">
      <c r="A31" s="139">
        <f>'23'!$B$2</f>
        <v>45314.010416666664</v>
      </c>
      <c r="B31" s="83">
        <f>'23'!B108</f>
        <v>17.405208333333345</v>
      </c>
      <c r="C31" s="83">
        <f>'23'!C108</f>
        <v>24.302395833333325</v>
      </c>
      <c r="D31" s="83">
        <f>'23'!D108</f>
        <v>28.006770833333334</v>
      </c>
      <c r="E31" s="83">
        <f>'23'!E108</f>
        <v>6.1264583333333356</v>
      </c>
      <c r="F31" s="83">
        <f>'23'!F108</f>
        <v>3.374895833333333</v>
      </c>
      <c r="G31" s="83">
        <f>'23'!G108</f>
        <v>65.61229166666665</v>
      </c>
      <c r="H31" s="83">
        <f>'23'!H108</f>
        <v>37.057291666666657</v>
      </c>
      <c r="I31" s="83">
        <f>'23'!I108</f>
        <v>8.8320833333333386</v>
      </c>
      <c r="J31" s="83">
        <f>'23'!J108</f>
        <v>0.95552083333333349</v>
      </c>
      <c r="K31" s="83">
        <f>'23'!K108</f>
        <v>63.532083333333311</v>
      </c>
      <c r="L31" s="83">
        <f>'23'!L108</f>
        <v>18.182708333333323</v>
      </c>
      <c r="M31" s="83">
        <f>'23'!M108</f>
        <v>90.803645833333306</v>
      </c>
      <c r="N31" s="83">
        <f>'23'!N108</f>
        <v>24.478125000000009</v>
      </c>
      <c r="O31" s="83">
        <f>'23'!O108</f>
        <v>4.1666666666666666E-3</v>
      </c>
      <c r="P31" s="83">
        <f>'23'!P108</f>
        <v>0.9305208333333338</v>
      </c>
      <c r="Q31" s="83">
        <f>'23'!Q108</f>
        <v>4.9531249999999991</v>
      </c>
      <c r="R31" s="76"/>
      <c r="S31" s="154"/>
      <c r="T31" s="76"/>
      <c r="U31" s="76"/>
    </row>
    <row r="32" spans="1:21">
      <c r="A32" s="139">
        <f>'24'!$B$2</f>
        <v>45315.010416666664</v>
      </c>
      <c r="B32" s="83">
        <f>'24'!B108</f>
        <v>24.831249999999997</v>
      </c>
      <c r="C32" s="83">
        <f>'24'!C108</f>
        <v>27.372708333333335</v>
      </c>
      <c r="D32" s="83">
        <f>'24'!D108</f>
        <v>35.565937500000011</v>
      </c>
      <c r="E32" s="83">
        <f>'24'!E108</f>
        <v>7.1437499999999998</v>
      </c>
      <c r="F32" s="83">
        <f>'24'!F108</f>
        <v>3.3531249999999999</v>
      </c>
      <c r="G32" s="83">
        <f>'24'!G108</f>
        <v>76.828020833333326</v>
      </c>
      <c r="H32" s="83">
        <f>'24'!H108</f>
        <v>39.746979166666634</v>
      </c>
      <c r="I32" s="83">
        <f>'24'!I108</f>
        <v>10.109999999999994</v>
      </c>
      <c r="J32" s="83">
        <f>'24'!J108</f>
        <v>0.64989583333333323</v>
      </c>
      <c r="K32" s="83">
        <f>'24'!K108</f>
        <v>97.30760416666665</v>
      </c>
      <c r="L32" s="83">
        <f>'24'!L108</f>
        <v>18.053020833333331</v>
      </c>
      <c r="M32" s="83">
        <f>'24'!M108</f>
        <v>86.008854166666666</v>
      </c>
      <c r="N32" s="83">
        <f>'24'!N108</f>
        <v>67.03958333333334</v>
      </c>
      <c r="O32" s="83">
        <f>'24'!O108</f>
        <v>2.0833333333333332E-2</v>
      </c>
      <c r="P32" s="83">
        <f>'24'!P108</f>
        <v>1.0856249999999996</v>
      </c>
      <c r="Q32" s="83">
        <f>'24'!Q108</f>
        <v>5.080729166666667</v>
      </c>
      <c r="R32" s="76"/>
      <c r="S32" s="76"/>
      <c r="T32" s="76"/>
      <c r="U32" s="76"/>
    </row>
    <row r="33" spans="1:21">
      <c r="A33" s="139">
        <f>'25'!$B$2</f>
        <v>45316.010416666664</v>
      </c>
      <c r="B33" s="83">
        <f>'25'!B108</f>
        <v>23.044895833333332</v>
      </c>
      <c r="C33" s="83">
        <f>'25'!C108</f>
        <v>25.593437500000004</v>
      </c>
      <c r="D33" s="83">
        <f>'25'!D108</f>
        <v>33.20333333333334</v>
      </c>
      <c r="E33" s="83">
        <f>'25'!E108</f>
        <v>6.0988541666666665</v>
      </c>
      <c r="F33" s="83">
        <f>'25'!F108</f>
        <v>3.5738541666666666</v>
      </c>
      <c r="G33" s="83">
        <f>'25'!G108</f>
        <v>67.072187500000027</v>
      </c>
      <c r="H33" s="83">
        <f>'25'!H108</f>
        <v>33.128229166666678</v>
      </c>
      <c r="I33" s="83">
        <f>'25'!I108</f>
        <v>8.7766666666666691</v>
      </c>
      <c r="J33" s="83">
        <f>'25'!J108</f>
        <v>0.71197916666666672</v>
      </c>
      <c r="K33" s="83">
        <f>'25'!K108</f>
        <v>90.913229166666682</v>
      </c>
      <c r="L33" s="83">
        <f>'25'!L108</f>
        <v>18.466770833333328</v>
      </c>
      <c r="M33" s="83">
        <f>'25'!M108</f>
        <v>71.47989583333333</v>
      </c>
      <c r="N33" s="83">
        <f>'25'!N108</f>
        <v>129.62604166666668</v>
      </c>
      <c r="O33" s="83">
        <f>'25'!O108</f>
        <v>0</v>
      </c>
      <c r="P33" s="83">
        <f>'25'!P108</f>
        <v>0.92197916666666657</v>
      </c>
      <c r="Q33" s="83">
        <f>'25'!Q108</f>
        <v>5.0357291666666653</v>
      </c>
      <c r="R33" s="76"/>
      <c r="S33" s="154"/>
      <c r="T33" s="76"/>
      <c r="U33" s="76"/>
    </row>
    <row r="34" spans="1:21">
      <c r="A34" s="139">
        <f>'26'!$B$2</f>
        <v>45317.010416666664</v>
      </c>
      <c r="B34" s="83">
        <f>'26'!B108</f>
        <v>25.667916666666684</v>
      </c>
      <c r="C34" s="83">
        <f>'26'!C108</f>
        <v>28.605729166666666</v>
      </c>
      <c r="D34" s="83">
        <f>'26'!D108</f>
        <v>36.880625000000002</v>
      </c>
      <c r="E34" s="83">
        <f>'26'!E108</f>
        <v>6.0714583333333332</v>
      </c>
      <c r="F34" s="83">
        <f>'26'!F108</f>
        <v>3.7596874999999983</v>
      </c>
      <c r="G34" s="83">
        <f>'26'!G108</f>
        <v>74.549062500000019</v>
      </c>
      <c r="H34" s="83">
        <f>'26'!H108</f>
        <v>35.327499999999993</v>
      </c>
      <c r="I34" s="83">
        <f>'26'!I108</f>
        <v>8.2482291666666629</v>
      </c>
      <c r="J34" s="83">
        <f>'26'!J108</f>
        <v>0.43593750000000014</v>
      </c>
      <c r="K34" s="83">
        <f>'26'!K108</f>
        <v>110.1596875</v>
      </c>
      <c r="L34" s="83">
        <f>'26'!L108</f>
        <v>18.216145833333325</v>
      </c>
      <c r="M34" s="83">
        <f>'26'!M108</f>
        <v>59.399895833333311</v>
      </c>
      <c r="N34" s="83">
        <f>'26'!N108</f>
        <v>148.1739583333333</v>
      </c>
      <c r="O34" s="83">
        <f>'26'!O108</f>
        <v>0</v>
      </c>
      <c r="P34" s="83">
        <f>'26'!P108</f>
        <v>0.84468749999999992</v>
      </c>
      <c r="Q34" s="83">
        <f>'26'!Q108</f>
        <v>5.068854166666668</v>
      </c>
      <c r="R34" s="76"/>
      <c r="S34" s="76"/>
      <c r="T34" s="76"/>
      <c r="U34" s="76"/>
    </row>
    <row r="35" spans="1:21">
      <c r="A35" s="139">
        <f>'27'!$B$2</f>
        <v>45318.010416666664</v>
      </c>
      <c r="B35" s="83">
        <f>'27'!B108</f>
        <v>30.769166666666667</v>
      </c>
      <c r="C35" s="83">
        <f>'27'!C108</f>
        <v>31.377499999999998</v>
      </c>
      <c r="D35" s="83">
        <f>'27'!D108</f>
        <v>42.419270833333336</v>
      </c>
      <c r="E35" s="83">
        <f>'27'!E108</f>
        <v>7.5937500000000009</v>
      </c>
      <c r="F35" s="83">
        <f>'27'!F108</f>
        <v>3.530937499999999</v>
      </c>
      <c r="G35" s="83">
        <f>'27'!G108</f>
        <v>94.01062499999999</v>
      </c>
      <c r="H35" s="83">
        <f>'27'!H108</f>
        <v>42.043541666666634</v>
      </c>
      <c r="I35" s="83">
        <f>'27'!I108</f>
        <v>10.2596875</v>
      </c>
      <c r="J35" s="83">
        <f>'27'!J108</f>
        <v>0.29531250000000003</v>
      </c>
      <c r="K35" s="83">
        <f>'27'!K108</f>
        <v>150.83968749999994</v>
      </c>
      <c r="L35" s="83">
        <f>'27'!L108</f>
        <v>18.226562499999996</v>
      </c>
      <c r="M35" s="83">
        <f>'27'!M108</f>
        <v>63.662187500000023</v>
      </c>
      <c r="N35" s="83">
        <f>'27'!N108</f>
        <v>111.53124999999999</v>
      </c>
      <c r="O35" s="83">
        <f>'27'!O108</f>
        <v>0</v>
      </c>
      <c r="P35" s="83">
        <f>'27'!P108</f>
        <v>1.0231250000000001</v>
      </c>
      <c r="Q35" s="83">
        <f>'27'!Q108</f>
        <v>5.1001041666666689</v>
      </c>
      <c r="R35" s="76"/>
      <c r="S35" s="76"/>
      <c r="T35" s="76"/>
      <c r="U35" s="76"/>
    </row>
    <row r="36" spans="1:21">
      <c r="A36" s="139">
        <f>'28'!$B$2</f>
        <v>45319.010416666664</v>
      </c>
      <c r="B36" s="83">
        <f>'28'!B108</f>
        <v>45.965729166666669</v>
      </c>
      <c r="C36" s="83">
        <f>'28'!C108</f>
        <v>32.40697916666668</v>
      </c>
      <c r="D36" s="83">
        <f>'28'!D108</f>
        <v>55.144166666666656</v>
      </c>
      <c r="E36" s="83">
        <f>'28'!E108</f>
        <v>7.3365624999999994</v>
      </c>
      <c r="F36" s="83">
        <f>'28'!F108</f>
        <v>3.6218749999999993</v>
      </c>
      <c r="G36" s="83">
        <f>'28'!G108</f>
        <v>107.07677083333333</v>
      </c>
      <c r="H36" s="83">
        <f>'28'!H108</f>
        <v>49.029479166666647</v>
      </c>
      <c r="I36" s="83">
        <f>'28'!I108</f>
        <v>15.196874999999997</v>
      </c>
      <c r="J36" s="83">
        <f>'28'!J108</f>
        <v>0.25593750000000004</v>
      </c>
      <c r="K36" s="83">
        <f>'28'!K108</f>
        <v>159.00572916666661</v>
      </c>
      <c r="L36" s="83">
        <f>'28'!L108</f>
        <v>19.423750000000002</v>
      </c>
      <c r="M36" s="83">
        <f>'28'!M108</f>
        <v>63.121354166666656</v>
      </c>
      <c r="N36" s="83">
        <f>'28'!N108</f>
        <v>129.43020833333333</v>
      </c>
      <c r="O36" s="83">
        <f>'28'!O108</f>
        <v>0</v>
      </c>
      <c r="P36" s="83">
        <f>'28'!P108</f>
        <v>1.344166666666667</v>
      </c>
      <c r="Q36" s="83">
        <f>'28'!Q108</f>
        <v>5.2344791666666657</v>
      </c>
      <c r="R36" s="76"/>
      <c r="S36" s="76"/>
      <c r="T36" s="76"/>
      <c r="U36" s="76"/>
    </row>
    <row r="37" spans="1:21" s="2" customFormat="1">
      <c r="A37" s="139">
        <f>'29'!$B$2</f>
        <v>45320.010416666664</v>
      </c>
      <c r="B37" s="83">
        <f>'29'!B108</f>
        <v>19.546666666666663</v>
      </c>
      <c r="C37" s="83">
        <f>'29'!C108</f>
        <v>26.891979166666662</v>
      </c>
      <c r="D37" s="83">
        <f>'29'!D108</f>
        <v>31.076666666666657</v>
      </c>
      <c r="E37" s="83">
        <f>'29'!E108</f>
        <v>6.3859374999999998</v>
      </c>
      <c r="F37" s="83">
        <f>'29'!F108</f>
        <v>3.7188541666666652</v>
      </c>
      <c r="G37" s="83">
        <f>'29'!G108</f>
        <v>84.803333333333342</v>
      </c>
      <c r="H37" s="83">
        <f>'29'!H108</f>
        <v>42.323541666666664</v>
      </c>
      <c r="I37" s="83">
        <f>'29'!I108</f>
        <v>12.108333333333327</v>
      </c>
      <c r="J37" s="83">
        <f>'29'!J108</f>
        <v>0.25895833333333323</v>
      </c>
      <c r="K37" s="83">
        <f>'29'!K108</f>
        <v>187.9325</v>
      </c>
      <c r="L37" s="83">
        <f>'29'!L108</f>
        <v>19.85864583333333</v>
      </c>
      <c r="M37" s="83">
        <f>'29'!M108</f>
        <v>66.89552083333335</v>
      </c>
      <c r="N37" s="83">
        <f>'29'!N108</f>
        <v>121.34687500000003</v>
      </c>
      <c r="O37" s="83">
        <f>'29'!O108</f>
        <v>0</v>
      </c>
      <c r="P37" s="83">
        <f>'29'!P108</f>
        <v>1.015208333333333</v>
      </c>
      <c r="Q37" s="83">
        <f>'29'!Q108</f>
        <v>4.9383333333333335</v>
      </c>
      <c r="R37" s="76"/>
      <c r="S37" s="76"/>
      <c r="T37" s="76"/>
      <c r="U37" s="76"/>
    </row>
    <row r="38" spans="1:21" s="2" customFormat="1">
      <c r="A38" s="139">
        <f>'30'!$B$2</f>
        <v>45321.010416666664</v>
      </c>
      <c r="B38" s="83">
        <f>'30'!B108</f>
        <v>11.531413043478265</v>
      </c>
      <c r="C38" s="83">
        <f>'30'!C108</f>
        <v>23.000326086956523</v>
      </c>
      <c r="D38" s="83">
        <f>'30'!D108</f>
        <v>22.615543478260864</v>
      </c>
      <c r="E38" s="83">
        <f>'30'!E108</f>
        <v>6.9264835164835148</v>
      </c>
      <c r="F38" s="83">
        <f>'30'!F108</f>
        <v>4.8291208791208797</v>
      </c>
      <c r="G38" s="83">
        <f>'30'!G108</f>
        <v>66.039120879120887</v>
      </c>
      <c r="H38" s="83">
        <f>'30'!H108</f>
        <v>34.785274725274718</v>
      </c>
      <c r="I38" s="83">
        <f>'30'!I108</f>
        <v>22.385208333333338</v>
      </c>
      <c r="J38" s="83">
        <f>'30'!J108</f>
        <v>0.34062500000000018</v>
      </c>
      <c r="K38" s="83">
        <f>'30'!K108</f>
        <v>196.32364583333333</v>
      </c>
      <c r="L38" s="83">
        <f>'30'!L108</f>
        <v>21.453333333333333</v>
      </c>
      <c r="M38" s="83">
        <f>'30'!M108</f>
        <v>66.082812500000017</v>
      </c>
      <c r="N38" s="83">
        <f>'30'!N108</f>
        <v>115.86354166666662</v>
      </c>
      <c r="O38" s="83">
        <f>'30'!O108</f>
        <v>0</v>
      </c>
      <c r="P38" s="83">
        <f>'30'!P108</f>
        <v>0.84430107526881748</v>
      </c>
      <c r="Q38" s="83">
        <f>'30'!Q108</f>
        <v>4.8269791666666686</v>
      </c>
      <c r="R38" s="76"/>
      <c r="S38" s="76"/>
      <c r="T38" s="76"/>
      <c r="U38" s="76"/>
    </row>
    <row r="39" spans="1:21" s="2" customFormat="1">
      <c r="A39" s="139">
        <f>'31'!$B$2</f>
        <v>45322.010416666664</v>
      </c>
      <c r="B39" s="83">
        <f>'31'!B108</f>
        <v>10.924895833333336</v>
      </c>
      <c r="C39" s="83">
        <f>'31'!C108</f>
        <v>23.543125000000003</v>
      </c>
      <c r="D39" s="83">
        <f>'31'!D108</f>
        <v>22.412395833333331</v>
      </c>
      <c r="E39" s="83">
        <f>'31'!E108</f>
        <v>7.3890624999999979</v>
      </c>
      <c r="F39" s="83">
        <f>'31'!F108</f>
        <v>3.8809374999999982</v>
      </c>
      <c r="G39" s="83">
        <f>'31'!G108</f>
        <v>82.844166666666666</v>
      </c>
      <c r="H39" s="83">
        <f>'31'!H108</f>
        <v>37.254583333333322</v>
      </c>
      <c r="I39" s="83">
        <f>'31'!I108</f>
        <v>11.913020833333329</v>
      </c>
      <c r="J39" s="83">
        <f>'31'!J108</f>
        <v>0.38749999999999996</v>
      </c>
      <c r="K39" s="83">
        <f>'31'!K108</f>
        <v>182.76270833333339</v>
      </c>
      <c r="L39" s="83">
        <f>'31'!L108</f>
        <v>21.791979166666668</v>
      </c>
      <c r="M39" s="83">
        <f>'31'!M108</f>
        <v>69.105104166666663</v>
      </c>
      <c r="N39" s="83">
        <f>'31'!N108</f>
        <v>96.209375000000023</v>
      </c>
      <c r="O39" s="83">
        <f>'31'!O108</f>
        <v>0</v>
      </c>
      <c r="P39" s="83">
        <f>'31'!P108</f>
        <v>0.85927083333333332</v>
      </c>
      <c r="Q39" s="83">
        <f>'31'!Q108</f>
        <v>4.80833333333333</v>
      </c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7.7313541666666659</v>
      </c>
      <c r="C41" s="141">
        <f t="shared" si="0"/>
        <v>21.094895833333336</v>
      </c>
      <c r="D41" s="141">
        <f t="shared" si="0"/>
        <v>18.572812499999994</v>
      </c>
      <c r="E41" s="141">
        <f t="shared" si="0"/>
        <v>6.0714583333333332</v>
      </c>
      <c r="F41" s="141">
        <f t="shared" si="0"/>
        <v>2.5815625</v>
      </c>
      <c r="G41" s="141">
        <f t="shared" si="0"/>
        <v>65.61229166666665</v>
      </c>
      <c r="H41" s="141">
        <f t="shared" si="0"/>
        <v>27.887604166666673</v>
      </c>
      <c r="I41" s="141">
        <f t="shared" si="0"/>
        <v>6.6801041666666672</v>
      </c>
      <c r="J41" s="141">
        <f t="shared" si="0"/>
        <v>0.16231578947368422</v>
      </c>
      <c r="K41" s="141">
        <f t="shared" si="0"/>
        <v>61.148437500000028</v>
      </c>
      <c r="L41" s="141">
        <f t="shared" si="0"/>
        <v>18.053020833333331</v>
      </c>
      <c r="M41" s="141">
        <f t="shared" si="0"/>
        <v>50.723125000000017</v>
      </c>
      <c r="N41" s="141">
        <f t="shared" si="0"/>
        <v>24.478125000000009</v>
      </c>
      <c r="O41" s="141">
        <f t="shared" si="0"/>
        <v>0</v>
      </c>
      <c r="P41" s="141">
        <f t="shared" si="0"/>
        <v>0.64979166666666699</v>
      </c>
      <c r="Q41" s="141">
        <f t="shared" si="0"/>
        <v>4.2464583333333339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45.965729166666669</v>
      </c>
      <c r="C42" s="141">
        <f t="shared" si="1"/>
        <v>32.40697916666668</v>
      </c>
      <c r="D42" s="141">
        <f t="shared" si="1"/>
        <v>55.144166666666656</v>
      </c>
      <c r="E42" s="141">
        <f t="shared" si="1"/>
        <v>8.9700000000000006</v>
      </c>
      <c r="F42" s="141">
        <f t="shared" si="1"/>
        <v>4.8291208791208797</v>
      </c>
      <c r="G42" s="141">
        <f t="shared" si="1"/>
        <v>114.91114583333329</v>
      </c>
      <c r="H42" s="141">
        <f t="shared" si="1"/>
        <v>58.221770833333323</v>
      </c>
      <c r="I42" s="141">
        <f t="shared" si="1"/>
        <v>22.385208333333338</v>
      </c>
      <c r="J42" s="141">
        <f t="shared" si="1"/>
        <v>0.96052083333333338</v>
      </c>
      <c r="K42" s="141">
        <f t="shared" si="1"/>
        <v>196.32364583333333</v>
      </c>
      <c r="L42" s="141">
        <f t="shared" si="1"/>
        <v>22.981562500000006</v>
      </c>
      <c r="M42" s="141">
        <f t="shared" si="1"/>
        <v>90.803645833333306</v>
      </c>
      <c r="N42" s="141">
        <f t="shared" si="1"/>
        <v>148.1739583333333</v>
      </c>
      <c r="O42" s="141">
        <f t="shared" si="1"/>
        <v>5.4166666666666669E-2</v>
      </c>
      <c r="P42" s="141">
        <f t="shared" si="1"/>
        <v>1.344166666666667</v>
      </c>
      <c r="Q42" s="141">
        <f t="shared" si="1"/>
        <v>5.2344791666666657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18.562200308801458</v>
      </c>
      <c r="C43" s="141">
        <f t="shared" si="2"/>
        <v>26.098802264031406</v>
      </c>
      <c r="D43" s="141">
        <f t="shared" si="2"/>
        <v>29.872528908614456</v>
      </c>
      <c r="E43" s="141">
        <f t="shared" si="2"/>
        <v>7.2665165523144104</v>
      </c>
      <c r="F43" s="141">
        <f t="shared" si="2"/>
        <v>3.3839795889010462</v>
      </c>
      <c r="G43" s="141">
        <f t="shared" si="2"/>
        <v>88.918536832689796</v>
      </c>
      <c r="H43" s="141">
        <f t="shared" si="2"/>
        <v>41.809582326499665</v>
      </c>
      <c r="I43" s="141">
        <f t="shared" si="2"/>
        <v>9.9210080645161316</v>
      </c>
      <c r="J43" s="141">
        <f t="shared" si="2"/>
        <v>0.44837107385398983</v>
      </c>
      <c r="K43" s="141">
        <f t="shared" si="2"/>
        <v>122.43463575268815</v>
      </c>
      <c r="L43" s="141">
        <f t="shared" si="2"/>
        <v>20.538397177419359</v>
      </c>
      <c r="M43" s="141">
        <f t="shared" si="2"/>
        <v>70.064065860215052</v>
      </c>
      <c r="N43" s="141">
        <f t="shared" si="2"/>
        <v>83.366700268817198</v>
      </c>
      <c r="O43" s="141">
        <f t="shared" si="2"/>
        <v>2.5537634408602148E-3</v>
      </c>
      <c r="P43" s="141">
        <f t="shared" si="2"/>
        <v>0.90216104369884231</v>
      </c>
      <c r="Q43" s="141">
        <f t="shared" si="2"/>
        <v>4.9581216397849461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7.731614368679824</v>
      </c>
      <c r="C44" s="141">
        <f t="shared" si="3"/>
        <v>2.447705442161674</v>
      </c>
      <c r="D44" s="141">
        <f t="shared" si="3"/>
        <v>7.2595746785793347</v>
      </c>
      <c r="E44" s="141">
        <f t="shared" si="3"/>
        <v>0.73814599916016699</v>
      </c>
      <c r="F44" s="141">
        <f t="shared" si="3"/>
        <v>0.48500315687214862</v>
      </c>
      <c r="G44" s="141">
        <f t="shared" si="3"/>
        <v>14.005232898379651</v>
      </c>
      <c r="H44" s="141">
        <f t="shared" si="3"/>
        <v>7.8243281322557667</v>
      </c>
      <c r="I44" s="141">
        <f t="shared" si="3"/>
        <v>2.9040895124887838</v>
      </c>
      <c r="J44" s="141">
        <f t="shared" si="3"/>
        <v>0.21218805837823687</v>
      </c>
      <c r="K44" s="141">
        <f t="shared" si="3"/>
        <v>41.52397825200805</v>
      </c>
      <c r="L44" s="141">
        <f t="shared" si="3"/>
        <v>1.4212445694069478</v>
      </c>
      <c r="M44" s="141">
        <f t="shared" si="3"/>
        <v>8.5935033461860506</v>
      </c>
      <c r="N44" s="141">
        <f t="shared" si="3"/>
        <v>28.155439279655585</v>
      </c>
      <c r="O44" s="141">
        <f t="shared" si="3"/>
        <v>1.0300879780547173E-2</v>
      </c>
      <c r="P44" s="141">
        <f t="shared" si="3"/>
        <v>0.1555104048346749</v>
      </c>
      <c r="Q44" s="141">
        <f t="shared" si="3"/>
        <v>0.16175214862195397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31</v>
      </c>
      <c r="C45" s="132">
        <f t="shared" si="4"/>
        <v>31</v>
      </c>
      <c r="D45" s="132">
        <f t="shared" si="4"/>
        <v>31</v>
      </c>
      <c r="E45" s="132">
        <f t="shared" si="4"/>
        <v>31</v>
      </c>
      <c r="F45" s="132">
        <f t="shared" si="4"/>
        <v>31</v>
      </c>
      <c r="G45" s="132">
        <f t="shared" si="4"/>
        <v>31</v>
      </c>
      <c r="H45" s="132">
        <f t="shared" si="4"/>
        <v>31</v>
      </c>
      <c r="I45" s="132">
        <f t="shared" si="4"/>
        <v>31</v>
      </c>
      <c r="J45" s="132">
        <f t="shared" si="4"/>
        <v>31</v>
      </c>
      <c r="K45" s="132">
        <f t="shared" si="4"/>
        <v>31</v>
      </c>
      <c r="L45" s="132">
        <f t="shared" si="4"/>
        <v>31</v>
      </c>
      <c r="M45" s="132">
        <f t="shared" si="4"/>
        <v>31</v>
      </c>
      <c r="N45" s="132">
        <f t="shared" si="4"/>
        <v>31</v>
      </c>
      <c r="O45" s="132">
        <f t="shared" si="4"/>
        <v>31</v>
      </c>
      <c r="P45" s="132">
        <f t="shared" si="4"/>
        <v>31</v>
      </c>
      <c r="Q45" s="132">
        <f t="shared" si="4"/>
        <v>31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5">IF(C45&gt;=28,"&gt;90%",IF(C45&lt;=28,"&lt;90%"))</f>
        <v>&gt;90%</v>
      </c>
      <c r="D46" s="132" t="str">
        <f t="shared" si="5"/>
        <v>&gt;90%</v>
      </c>
      <c r="E46" s="132" t="str">
        <f t="shared" si="5"/>
        <v>&gt;90%</v>
      </c>
      <c r="F46" s="132" t="str">
        <f t="shared" si="5"/>
        <v>&gt;90%</v>
      </c>
      <c r="G46" s="132" t="str">
        <f t="shared" si="5"/>
        <v>&gt;90%</v>
      </c>
      <c r="H46" s="132" t="str">
        <f t="shared" si="5"/>
        <v>&gt;90%</v>
      </c>
      <c r="I46" s="132" t="str">
        <f t="shared" si="5"/>
        <v>&gt;90%</v>
      </c>
      <c r="J46" s="132" t="str">
        <f t="shared" si="5"/>
        <v>&gt;90%</v>
      </c>
      <c r="K46" s="132" t="str">
        <f t="shared" si="5"/>
        <v>&gt;90%</v>
      </c>
      <c r="L46" s="132" t="str">
        <f t="shared" si="5"/>
        <v>&gt;90%</v>
      </c>
      <c r="M46" s="132" t="str">
        <f t="shared" si="5"/>
        <v>&gt;90%</v>
      </c>
      <c r="N46" s="132" t="str">
        <f t="shared" si="5"/>
        <v>&gt;90%</v>
      </c>
      <c r="O46" s="132" t="str">
        <f t="shared" si="5"/>
        <v>&gt;90%</v>
      </c>
      <c r="P46" s="132" t="str">
        <f t="shared" si="5"/>
        <v>&gt;90%</v>
      </c>
      <c r="Q46" s="132" t="str">
        <f t="shared" si="5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6">IF(C45&gt;=28,"OK",IF(C45&lt;=28,"LESS"))</f>
        <v>OK</v>
      </c>
      <c r="D47" s="132" t="str">
        <f t="shared" si="6"/>
        <v>OK</v>
      </c>
      <c r="E47" s="132" t="str">
        <f t="shared" si="6"/>
        <v>OK</v>
      </c>
      <c r="F47" s="132" t="str">
        <f t="shared" si="6"/>
        <v>OK</v>
      </c>
      <c r="G47" s="132" t="str">
        <f t="shared" si="6"/>
        <v>OK</v>
      </c>
      <c r="H47" s="132" t="str">
        <f t="shared" si="6"/>
        <v>OK</v>
      </c>
      <c r="I47" s="132" t="str">
        <f t="shared" si="6"/>
        <v>OK</v>
      </c>
      <c r="J47" s="132" t="str">
        <f t="shared" si="6"/>
        <v>OK</v>
      </c>
      <c r="K47" s="132" t="str">
        <f t="shared" si="6"/>
        <v>OK</v>
      </c>
      <c r="L47" s="132" t="str">
        <f t="shared" si="6"/>
        <v>OK</v>
      </c>
      <c r="M47" s="132" t="str">
        <f t="shared" si="6"/>
        <v>OK</v>
      </c>
      <c r="N47" s="132" t="str">
        <f t="shared" si="6"/>
        <v>OK</v>
      </c>
      <c r="O47" s="132" t="str">
        <f t="shared" si="6"/>
        <v>OK</v>
      </c>
      <c r="P47" s="132" t="str">
        <f t="shared" si="6"/>
        <v>OK</v>
      </c>
      <c r="Q47" s="132" t="str">
        <f t="shared" si="6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1" t="s">
        <v>56</v>
      </c>
      <c r="C50" s="161"/>
      <c r="D50" s="16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E16" zoomScale="85" zoomScaleNormal="85" workbookViewId="0">
      <selection activeCell="O28" sqref="O28:V29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64" t="s">
        <v>61</v>
      </c>
      <c r="E1" s="164"/>
      <c r="F1" s="164"/>
      <c r="G1" s="164"/>
      <c r="H1" s="164"/>
      <c r="I1" s="164"/>
      <c r="J1" s="165"/>
    </row>
    <row r="2" spans="2:24" ht="22.5" customHeight="1">
      <c r="B2" s="2"/>
      <c r="C2" s="79" t="s">
        <v>2</v>
      </c>
      <c r="D2" s="166" t="s">
        <v>62</v>
      </c>
      <c r="E2" s="167"/>
      <c r="F2" s="167"/>
      <c r="G2" s="167"/>
      <c r="H2" s="167"/>
      <c r="I2" s="167"/>
      <c r="J2" s="168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69" t="s">
        <v>63</v>
      </c>
      <c r="H5" s="169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/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81</v>
      </c>
      <c r="M8" s="103" t="s">
        <v>56</v>
      </c>
      <c r="O8" s="72">
        <v>45297.495833333334</v>
      </c>
      <c r="P8" s="100" t="s">
        <v>64</v>
      </c>
      <c r="Q8" s="100">
        <v>5175.87</v>
      </c>
      <c r="R8" s="100">
        <v>3986.67</v>
      </c>
      <c r="S8" s="100" t="s">
        <v>82</v>
      </c>
      <c r="T8" s="100">
        <v>854.86</v>
      </c>
      <c r="U8" s="117">
        <v>0.96340000000000003</v>
      </c>
      <c r="V8" s="117">
        <v>0.97370000000000001</v>
      </c>
      <c r="W8" s="6" t="s">
        <v>81</v>
      </c>
      <c r="X8" s="103" t="s">
        <v>56</v>
      </c>
    </row>
    <row r="9" spans="2:24" ht="15.75">
      <c r="B9" s="72"/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81</v>
      </c>
      <c r="M9" s="103" t="s">
        <v>56</v>
      </c>
      <c r="O9" s="72">
        <v>45307.467361111114</v>
      </c>
      <c r="P9" s="100" t="s">
        <v>64</v>
      </c>
      <c r="Q9" s="100">
        <v>4893.67</v>
      </c>
      <c r="R9" s="100">
        <v>3751.83</v>
      </c>
      <c r="S9" s="100" t="s">
        <v>82</v>
      </c>
      <c r="T9" s="100">
        <v>883.37</v>
      </c>
      <c r="U9" s="117">
        <v>0.97370000000000001</v>
      </c>
      <c r="V9" s="117">
        <v>0.95230000000000004</v>
      </c>
      <c r="W9" s="6" t="s">
        <v>81</v>
      </c>
      <c r="X9" s="103" t="s">
        <v>56</v>
      </c>
    </row>
    <row r="10" spans="2:24" ht="15.75">
      <c r="B10" s="72"/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81</v>
      </c>
      <c r="M10" s="103" t="s">
        <v>56</v>
      </c>
      <c r="O10" s="72">
        <v>45321.586805555555</v>
      </c>
      <c r="P10" s="100" t="s">
        <v>64</v>
      </c>
      <c r="Q10" s="100">
        <v>5182.79</v>
      </c>
      <c r="R10" s="100">
        <v>4005.16</v>
      </c>
      <c r="S10" s="100" t="s">
        <v>82</v>
      </c>
      <c r="T10" s="100">
        <v>833.36</v>
      </c>
      <c r="U10" s="117">
        <v>0.95230000000000004</v>
      </c>
      <c r="V10" s="117">
        <v>0.98729999999999996</v>
      </c>
      <c r="W10" s="6" t="s">
        <v>81</v>
      </c>
      <c r="X10" s="103" t="s">
        <v>56</v>
      </c>
    </row>
    <row r="11" spans="2:24" ht="15.75">
      <c r="B11" s="72"/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56</v>
      </c>
      <c r="O11" s="72"/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56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56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56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56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56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56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56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70" t="s">
        <v>83</v>
      </c>
      <c r="D21" s="170"/>
      <c r="E21" s="170"/>
      <c r="F21" s="170"/>
      <c r="G21" s="170"/>
      <c r="H21" s="170"/>
      <c r="I21" s="106">
        <f>COUNT(B8:B20)</f>
        <v>0</v>
      </c>
      <c r="J21" s="107"/>
      <c r="K21" s="107"/>
      <c r="L21" s="94"/>
      <c r="M21" s="108"/>
      <c r="O21" s="109"/>
      <c r="P21" s="171" t="s">
        <v>84</v>
      </c>
      <c r="Q21" s="171"/>
      <c r="R21" s="171"/>
      <c r="S21" s="171"/>
      <c r="T21" s="121">
        <f>COUNT(O8:O20)</f>
        <v>3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72" t="s">
        <v>85</v>
      </c>
      <c r="H24" s="172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>
        <v>45307.463194444441</v>
      </c>
      <c r="C27" s="6" t="s">
        <v>86</v>
      </c>
      <c r="D27" s="6" t="s">
        <v>39</v>
      </c>
      <c r="E27" s="6">
        <v>0</v>
      </c>
      <c r="F27" s="6">
        <v>200</v>
      </c>
      <c r="G27" s="6">
        <v>0</v>
      </c>
      <c r="H27" s="83">
        <v>197.3</v>
      </c>
      <c r="I27" s="6">
        <v>0</v>
      </c>
      <c r="J27" s="83">
        <f>F27/H27</f>
        <v>1.013684744044602</v>
      </c>
      <c r="K27" s="83">
        <f>(H27-F27)*100/F27</f>
        <v>-1.3499999999999943</v>
      </c>
      <c r="L27" s="6" t="s">
        <v>81</v>
      </c>
      <c r="M27" s="103" t="s">
        <v>56</v>
      </c>
      <c r="O27" s="72">
        <v>45297.495833333334</v>
      </c>
      <c r="P27" s="100" t="s">
        <v>29</v>
      </c>
      <c r="Q27" s="100">
        <v>4675.17</v>
      </c>
      <c r="R27" s="100">
        <v>3639.42</v>
      </c>
      <c r="S27" s="100" t="s">
        <v>87</v>
      </c>
      <c r="T27" s="100">
        <v>788.79</v>
      </c>
      <c r="U27" s="117">
        <v>0.92630000000000001</v>
      </c>
      <c r="V27" s="117">
        <v>0.92649999999999999</v>
      </c>
      <c r="W27" s="6" t="s">
        <v>81</v>
      </c>
      <c r="X27" s="103" t="s">
        <v>56</v>
      </c>
    </row>
    <row r="28" spans="2:24" ht="15.75">
      <c r="B28" s="72">
        <v>45321.619444444441</v>
      </c>
      <c r="C28" s="6" t="s">
        <v>86</v>
      </c>
      <c r="D28" s="6" t="s">
        <v>39</v>
      </c>
      <c r="E28" s="6">
        <v>0</v>
      </c>
      <c r="F28" s="6">
        <v>500</v>
      </c>
      <c r="G28" s="6">
        <v>0</v>
      </c>
      <c r="H28" s="83">
        <v>500</v>
      </c>
      <c r="I28" s="6">
        <v>0</v>
      </c>
      <c r="J28" s="83">
        <f t="shared" ref="J28:J33" si="2">F28/H28</f>
        <v>1</v>
      </c>
      <c r="K28" s="83">
        <f t="shared" ref="K28:K33" si="3">(H28-F28)*100/F28</f>
        <v>0</v>
      </c>
      <c r="L28" s="6" t="s">
        <v>81</v>
      </c>
      <c r="M28" s="103" t="s">
        <v>56</v>
      </c>
      <c r="O28" s="72">
        <v>45307.467361111114</v>
      </c>
      <c r="P28" s="100" t="s">
        <v>64</v>
      </c>
      <c r="Q28" s="100">
        <v>4893.67</v>
      </c>
      <c r="R28" s="100">
        <v>3751.83</v>
      </c>
      <c r="S28" s="100" t="s">
        <v>82</v>
      </c>
      <c r="T28" s="100">
        <v>883.37</v>
      </c>
      <c r="U28" s="117">
        <v>0.97370000000000001</v>
      </c>
      <c r="V28" s="117">
        <v>0.95230000000000004</v>
      </c>
      <c r="W28" s="6" t="s">
        <v>81</v>
      </c>
      <c r="X28" s="103" t="s">
        <v>56</v>
      </c>
    </row>
    <row r="29" spans="2:24" ht="15.75">
      <c r="B29" s="72"/>
      <c r="C29" s="6" t="s">
        <v>86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81</v>
      </c>
      <c r="M29" s="103" t="s">
        <v>56</v>
      </c>
      <c r="O29" s="72">
        <v>45321.586805555555</v>
      </c>
      <c r="P29" s="100" t="s">
        <v>64</v>
      </c>
      <c r="Q29" s="100">
        <v>5182.79</v>
      </c>
      <c r="R29" s="100">
        <v>4005.16</v>
      </c>
      <c r="S29" s="100" t="s">
        <v>82</v>
      </c>
      <c r="T29" s="100">
        <v>833.36</v>
      </c>
      <c r="U29" s="117">
        <v>0.95230000000000004</v>
      </c>
      <c r="V29" s="117">
        <v>0.98729999999999996</v>
      </c>
      <c r="W29" s="6" t="s">
        <v>81</v>
      </c>
      <c r="X29" s="103" t="s">
        <v>56</v>
      </c>
    </row>
    <row r="30" spans="2:24" ht="15.75">
      <c r="B30" s="72"/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56</v>
      </c>
      <c r="O30" s="72"/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56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56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56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56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56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56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56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71" t="s">
        <v>88</v>
      </c>
      <c r="Q40" s="171"/>
      <c r="R40" s="171"/>
      <c r="S40" s="171"/>
      <c r="T40" s="121">
        <f>COUNT(O27:O39)</f>
        <v>3</v>
      </c>
      <c r="U40" s="122"/>
      <c r="V40" s="122"/>
      <c r="W40" s="123"/>
      <c r="X40" s="124"/>
    </row>
    <row r="41" spans="2:24">
      <c r="B41" s="87"/>
      <c r="C41" s="94"/>
      <c r="D41" s="170" t="s">
        <v>89</v>
      </c>
      <c r="E41" s="170"/>
      <c r="F41" s="170"/>
      <c r="G41" s="170"/>
      <c r="H41" s="170"/>
      <c r="I41" s="170"/>
      <c r="J41" s="113">
        <f>COUNT(B27:B39)</f>
        <v>2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72" t="s">
        <v>38</v>
      </c>
      <c r="H44" s="172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56</v>
      </c>
    </row>
    <row r="48" spans="2:24" ht="15.75">
      <c r="B48" s="7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56</v>
      </c>
    </row>
    <row r="49" spans="2:13" ht="15.75">
      <c r="B49" s="7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56</v>
      </c>
    </row>
    <row r="50" spans="2:13" ht="15.75">
      <c r="B50" s="7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56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56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56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56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70" t="s">
        <v>90</v>
      </c>
      <c r="E61" s="170"/>
      <c r="F61" s="170"/>
      <c r="G61" s="170"/>
      <c r="H61" s="170"/>
      <c r="I61" s="170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72" t="s">
        <v>37</v>
      </c>
      <c r="H64" s="172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>
        <v>45297.511805555558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>
        <v>4.9000000000000004</v>
      </c>
      <c r="I67" s="6">
        <v>0</v>
      </c>
      <c r="J67" s="83">
        <f>F67/H67</f>
        <v>1.0204081632653061</v>
      </c>
      <c r="K67" s="83">
        <f>(H67-F67)*100/F67</f>
        <v>-1.9999999999999929</v>
      </c>
      <c r="L67" s="6" t="s">
        <v>81</v>
      </c>
      <c r="M67" s="103" t="s">
        <v>56</v>
      </c>
    </row>
    <row r="68" spans="2:13" ht="15.75">
      <c r="B68" s="72">
        <v>45321.595833333333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>
        <v>5.0069999999999997</v>
      </c>
      <c r="I68" s="6">
        <v>0</v>
      </c>
      <c r="J68" s="83">
        <f t="shared" ref="J68:J73" si="4">F68/H68</f>
        <v>0.99860195725983625</v>
      </c>
      <c r="K68" s="83">
        <f t="shared" ref="K68:K73" si="5">(H68-F68)*100/F68</f>
        <v>0.13999999999999346</v>
      </c>
      <c r="L68" s="6" t="s">
        <v>81</v>
      </c>
      <c r="M68" s="103" t="s">
        <v>56</v>
      </c>
    </row>
    <row r="69" spans="2:13" ht="15.75">
      <c r="B69" s="7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81</v>
      </c>
      <c r="M69" s="103" t="s">
        <v>56</v>
      </c>
    </row>
    <row r="70" spans="2:13" ht="15.75">
      <c r="B70" s="7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56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56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56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56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70" t="s">
        <v>91</v>
      </c>
      <c r="E81" s="170"/>
      <c r="F81" s="170"/>
      <c r="G81" s="170"/>
      <c r="H81" s="170"/>
      <c r="I81" s="170"/>
      <c r="J81" s="113">
        <f>COUNT(B67:B79)</f>
        <v>2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72" t="s">
        <v>92</v>
      </c>
      <c r="H84" s="172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/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56</v>
      </c>
    </row>
    <row r="88" spans="2:13" ht="15.75">
      <c r="B88" s="72"/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56</v>
      </c>
    </row>
    <row r="89" spans="2:13" ht="15.75">
      <c r="B89" s="72"/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56</v>
      </c>
    </row>
    <row r="90" spans="2:13" ht="15.75">
      <c r="B90" s="72"/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56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56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56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56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70" t="s">
        <v>93</v>
      </c>
      <c r="E101" s="170"/>
      <c r="F101" s="170"/>
      <c r="G101" s="170"/>
      <c r="H101" s="170"/>
      <c r="I101" s="170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69" t="s">
        <v>94</v>
      </c>
      <c r="H104" s="169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>
        <v>44932.5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>
        <v>319.5</v>
      </c>
      <c r="I107" s="6">
        <f>G107-E107</f>
        <v>0</v>
      </c>
      <c r="J107" s="83">
        <f>F107/H107</f>
        <v>1.0015649452269171</v>
      </c>
      <c r="K107" s="83">
        <f>(H107-F107)*100/F107</f>
        <v>-0.15625</v>
      </c>
      <c r="L107" s="6" t="s">
        <v>81</v>
      </c>
      <c r="M107" s="103" t="s">
        <v>56</v>
      </c>
    </row>
    <row r="108" spans="2:13" ht="15.75">
      <c r="B108" s="72">
        <v>45307.459027777775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>
        <v>320</v>
      </c>
      <c r="I108" s="6">
        <f>G108-E108</f>
        <v>0</v>
      </c>
      <c r="J108" s="83">
        <f>F108/H108</f>
        <v>1</v>
      </c>
      <c r="K108" s="83">
        <f>(H108-F108)*100/F108</f>
        <v>0</v>
      </c>
      <c r="L108" s="6" t="s">
        <v>81</v>
      </c>
      <c r="M108" s="103" t="s">
        <v>56</v>
      </c>
    </row>
    <row r="109" spans="2:13" ht="15.75">
      <c r="B109" s="72">
        <v>45321.593055555553</v>
      </c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>
        <v>320.8</v>
      </c>
      <c r="I109" s="6">
        <f t="shared" ref="I109:I115" si="8">G109-E109</f>
        <v>0</v>
      </c>
      <c r="J109" s="83">
        <f t="shared" ref="J109:J115" si="9">F109/H109</f>
        <v>0.99750623441396502</v>
      </c>
      <c r="K109" s="83">
        <f t="shared" ref="K109:K115" si="10">(H109-F109)*100/F109</f>
        <v>0.25000000000000355</v>
      </c>
      <c r="L109" s="6" t="s">
        <v>81</v>
      </c>
      <c r="M109" s="103" t="s">
        <v>56</v>
      </c>
    </row>
    <row r="110" spans="2:13" ht="15.75">
      <c r="B110" s="72"/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56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56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56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56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70" t="s">
        <v>95</v>
      </c>
      <c r="D119" s="170"/>
      <c r="E119" s="170"/>
      <c r="F119" s="170"/>
      <c r="G119" s="170"/>
      <c r="H119" s="170"/>
      <c r="I119" s="113">
        <f>COUNT(B107:B118)</f>
        <v>3</v>
      </c>
      <c r="J119" s="107"/>
      <c r="K119" s="107"/>
      <c r="L119" s="94"/>
      <c r="M119" s="108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3" t="s">
        <v>96</v>
      </c>
      <c r="C2" s="173"/>
      <c r="D2" s="175" t="str">
        <f>'MONTHLY 31'!$B$2</f>
        <v>01/01/2024 00:15</v>
      </c>
      <c r="E2" s="175"/>
    </row>
    <row r="3" spans="2:5">
      <c r="B3" s="173" t="s">
        <v>97</v>
      </c>
      <c r="C3" s="173"/>
      <c r="D3" s="175"/>
      <c r="E3" s="175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4" t="s">
        <v>101</v>
      </c>
      <c r="C44" s="174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6" t="s">
        <v>102</v>
      </c>
      <c r="C2" s="176"/>
      <c r="D2" s="176"/>
      <c r="E2" s="176"/>
      <c r="F2" s="177">
        <v>1</v>
      </c>
      <c r="G2" s="178"/>
      <c r="H2" s="178"/>
    </row>
    <row r="3" spans="2:24" customFormat="1" ht="15" customHeight="1">
      <c r="B3" s="176"/>
      <c r="C3" s="176"/>
      <c r="D3" s="176"/>
      <c r="E3" s="176"/>
      <c r="F3" s="178"/>
      <c r="G3" s="178"/>
      <c r="H3" s="178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1" t="s">
        <v>94</v>
      </c>
      <c r="C12" s="192" t="s">
        <v>103</v>
      </c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40"/>
      <c r="U12" s="39"/>
    </row>
    <row r="13" spans="2:24" ht="15" customHeight="1">
      <c r="B13" s="182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2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2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2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2"/>
      <c r="C17" s="10"/>
      <c r="P17" s="1"/>
      <c r="Q17" s="1"/>
      <c r="R17" s="45"/>
      <c r="X17" s="42"/>
    </row>
    <row r="18" spans="2:28" ht="15.75" customHeight="1">
      <c r="B18" s="182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3" t="s">
        <v>85</v>
      </c>
      <c r="C25" s="194" t="s">
        <v>103</v>
      </c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79"/>
      <c r="S25" s="49"/>
      <c r="T25" s="50"/>
    </row>
    <row r="26" spans="2:28" ht="15" customHeight="1">
      <c r="B26" s="183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3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3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4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5" t="s">
        <v>37</v>
      </c>
      <c r="C36" s="196" t="s">
        <v>103</v>
      </c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7"/>
    </row>
    <row r="37" spans="2:25" ht="15.75" customHeight="1">
      <c r="B37" s="186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86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6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8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87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88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88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88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8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3" t="s">
        <v>197</v>
      </c>
      <c r="C61" s="194" t="s">
        <v>103</v>
      </c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79"/>
      <c r="S61" s="57"/>
      <c r="T61" s="58"/>
    </row>
    <row r="62" spans="2:20" ht="15.75">
      <c r="B62" s="183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89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8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4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3" t="s">
        <v>214</v>
      </c>
      <c r="C69" s="194" t="s">
        <v>103</v>
      </c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79"/>
      <c r="S69" s="57"/>
      <c r="T69" s="58"/>
    </row>
    <row r="70" spans="2:20" ht="15.75">
      <c r="B70" s="183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3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8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4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0" t="s">
        <v>92</v>
      </c>
      <c r="C77" s="179" t="s">
        <v>103</v>
      </c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61"/>
      <c r="S77" s="61"/>
      <c r="T77" s="13"/>
    </row>
    <row r="78" spans="2:20">
      <c r="B78" s="191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1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1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1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1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2026-01-21T11:29:33Z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