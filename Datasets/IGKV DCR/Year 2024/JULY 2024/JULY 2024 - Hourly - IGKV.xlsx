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24519"/>
</workbook>
</file>

<file path=xl/calcChain.xml><?xml version="1.0" encoding="utf-8"?>
<calcChain xmlns="http://schemas.openxmlformats.org/spreadsheetml/2006/main">
  <c r="C45" i="39"/>
  <c r="D45"/>
  <c r="E45"/>
  <c r="F45"/>
  <c r="G45"/>
  <c r="H45"/>
  <c r="I45"/>
  <c r="J45"/>
  <c r="K45"/>
  <c r="L45"/>
  <c r="M45"/>
  <c r="N45"/>
  <c r="O45"/>
  <c r="P45"/>
  <c r="B45"/>
  <c r="C39" l="1"/>
  <c r="D39"/>
  <c r="Q38"/>
  <c r="P38"/>
  <c r="O38"/>
  <c r="N38"/>
  <c r="Q37"/>
  <c r="O37"/>
  <c r="L37"/>
  <c r="D37"/>
  <c r="Q36"/>
  <c r="P36"/>
  <c r="O36"/>
  <c r="M36"/>
  <c r="L36"/>
  <c r="Q35"/>
  <c r="L35"/>
  <c r="E35"/>
  <c r="D35"/>
  <c r="Q34"/>
  <c r="P34"/>
  <c r="G34"/>
  <c r="F34"/>
  <c r="D34"/>
  <c r="B34"/>
  <c r="Q33"/>
  <c r="N33"/>
  <c r="G33"/>
  <c r="P32"/>
  <c r="N32"/>
  <c r="K32"/>
  <c r="G32"/>
  <c r="Q31"/>
  <c r="N31"/>
  <c r="D31"/>
  <c r="Q30"/>
  <c r="P30"/>
  <c r="O30"/>
  <c r="Q29"/>
  <c r="O29"/>
  <c r="I29"/>
  <c r="G29"/>
  <c r="E29"/>
  <c r="D29"/>
  <c r="Q28"/>
  <c r="P28"/>
  <c r="M28"/>
  <c r="Q27"/>
  <c r="N27"/>
  <c r="L27"/>
  <c r="G27"/>
  <c r="E27"/>
  <c r="N26"/>
  <c r="K26"/>
  <c r="D26"/>
  <c r="I24"/>
  <c r="N23"/>
  <c r="F23"/>
  <c r="B23"/>
  <c r="P21"/>
  <c r="M21"/>
  <c r="H21"/>
  <c r="F21"/>
  <c r="E21"/>
  <c r="P20"/>
  <c r="B20"/>
  <c r="B19"/>
  <c r="B18"/>
  <c r="O17"/>
  <c r="M17"/>
  <c r="J17"/>
  <c r="H17"/>
  <c r="E17"/>
  <c r="B17"/>
  <c r="P16"/>
  <c r="J16"/>
  <c r="E16"/>
  <c r="B16"/>
  <c r="N15"/>
  <c r="J15"/>
  <c r="H15"/>
  <c r="F15"/>
  <c r="B15"/>
  <c r="B14"/>
  <c r="P13"/>
  <c r="B13"/>
  <c r="O12"/>
  <c r="H12"/>
  <c r="B12"/>
  <c r="B11"/>
  <c r="B10"/>
  <c r="B9"/>
  <c r="Q38" i="4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9" i="39" s="1"/>
  <c r="P36" i="41"/>
  <c r="P39" i="39" s="1"/>
  <c r="O36" i="41"/>
  <c r="O39" i="39" s="1"/>
  <c r="N36" i="41"/>
  <c r="N39" i="39" s="1"/>
  <c r="M36" i="41"/>
  <c r="M39" i="39" s="1"/>
  <c r="L36" i="41"/>
  <c r="L39" i="39" s="1"/>
  <c r="K36" i="41"/>
  <c r="K39" i="39" s="1"/>
  <c r="J36" i="41"/>
  <c r="J39" i="39" s="1"/>
  <c r="I36" i="41"/>
  <c r="I39" i="39" s="1"/>
  <c r="H36" i="41"/>
  <c r="H39" i="39" s="1"/>
  <c r="G36" i="41"/>
  <c r="G39" i="39" s="1"/>
  <c r="F36" i="41"/>
  <c r="F39" i="39" s="1"/>
  <c r="E36" i="41"/>
  <c r="E39" i="39" s="1"/>
  <c r="D36" i="41"/>
  <c r="C36"/>
  <c r="B36"/>
  <c r="B39" i="39" s="1"/>
  <c r="Q35" i="4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9" i="39" s="1"/>
  <c r="L39" i="40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M38" i="39" s="1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Q38" i="43"/>
  <c r="Q40" s="1"/>
  <c r="P38"/>
  <c r="P40" s="1"/>
  <c r="O38"/>
  <c r="O40" s="1"/>
  <c r="N38"/>
  <c r="N40" s="1"/>
  <c r="M38"/>
  <c r="M40" s="1"/>
  <c r="L38"/>
  <c r="L40" s="1"/>
  <c r="K38"/>
  <c r="K40" s="1"/>
  <c r="J38"/>
  <c r="J39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7" i="39" s="1"/>
  <c r="O36" i="43"/>
  <c r="N36"/>
  <c r="N37" i="39" s="1"/>
  <c r="M36" i="43"/>
  <c r="M37" i="39" s="1"/>
  <c r="L36" i="43"/>
  <c r="K36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C36"/>
  <c r="C37" i="39" s="1"/>
  <c r="B36" i="43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38" i="3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39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N36" i="39" s="1"/>
  <c r="M36" i="33"/>
  <c r="L36"/>
  <c r="K36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40" i="32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5" i="39" s="1"/>
  <c r="O36" i="32"/>
  <c r="O35" i="39" s="1"/>
  <c r="N36" i="32"/>
  <c r="N35" i="39" s="1"/>
  <c r="M36" i="32"/>
  <c r="M35" i="39" s="1"/>
  <c r="L36" i="32"/>
  <c r="K36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D36"/>
  <c r="C36"/>
  <c r="C35" i="39" s="1"/>
  <c r="B36" i="32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P36"/>
  <c r="O36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F36"/>
  <c r="E36"/>
  <c r="E34" i="39" s="1"/>
  <c r="D36" i="31"/>
  <c r="C36"/>
  <c r="C34" i="39" s="1"/>
  <c r="B36" i="31"/>
  <c r="P35"/>
  <c r="O35"/>
  <c r="N35"/>
  <c r="M35"/>
  <c r="L35"/>
  <c r="K35"/>
  <c r="J35"/>
  <c r="I35"/>
  <c r="H35"/>
  <c r="G35"/>
  <c r="F35"/>
  <c r="E35"/>
  <c r="D35"/>
  <c r="C35"/>
  <c r="B35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36"/>
  <c r="P36"/>
  <c r="P33" i="39" s="1"/>
  <c r="O36" i="30"/>
  <c r="O33" i="39" s="1"/>
  <c r="N36" i="30"/>
  <c r="M36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F36"/>
  <c r="F33" i="39" s="1"/>
  <c r="E36" i="30"/>
  <c r="E33" i="39" s="1"/>
  <c r="D36" i="30"/>
  <c r="D33" i="39" s="1"/>
  <c r="C36" i="30"/>
  <c r="C33" i="39" s="1"/>
  <c r="B36" i="30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40" i="29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2" i="39" s="1"/>
  <c r="P36" i="29"/>
  <c r="O36"/>
  <c r="O32" i="39" s="1"/>
  <c r="N36" i="29"/>
  <c r="M36"/>
  <c r="M32" i="39" s="1"/>
  <c r="L36" i="29"/>
  <c r="L32" i="39" s="1"/>
  <c r="K36" i="29"/>
  <c r="J36"/>
  <c r="J32" i="39" s="1"/>
  <c r="I36" i="29"/>
  <c r="I32" i="39" s="1"/>
  <c r="H36" i="29"/>
  <c r="H32" i="39" s="1"/>
  <c r="G36" i="29"/>
  <c r="F36"/>
  <c r="F32" i="39" s="1"/>
  <c r="E36" i="29"/>
  <c r="E32" i="39" s="1"/>
  <c r="D36" i="29"/>
  <c r="D32" i="39" s="1"/>
  <c r="C36" i="29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38" i="2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1" i="39" s="1"/>
  <c r="O36" i="28"/>
  <c r="O31" i="39" s="1"/>
  <c r="N36" i="28"/>
  <c r="M36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C36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39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H40" i="26"/>
  <c r="H39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9" i="39" s="1"/>
  <c r="O36" i="26"/>
  <c r="N36"/>
  <c r="N29" i="39" s="1"/>
  <c r="M36" i="26"/>
  <c r="M29" i="39" s="1"/>
  <c r="L36" i="26"/>
  <c r="L29" i="39" s="1"/>
  <c r="K36" i="26"/>
  <c r="K29" i="39" s="1"/>
  <c r="J36" i="26"/>
  <c r="J29" i="39" s="1"/>
  <c r="I36" i="26"/>
  <c r="H36"/>
  <c r="H29" i="39" s="1"/>
  <c r="G36" i="26"/>
  <c r="F36"/>
  <c r="F29" i="39" s="1"/>
  <c r="E36" i="26"/>
  <c r="D36"/>
  <c r="C3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O28" i="39" s="1"/>
  <c r="N36" i="25"/>
  <c r="N28" i="39" s="1"/>
  <c r="M36" i="25"/>
  <c r="L36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7" i="39" s="1"/>
  <c r="O36" i="24"/>
  <c r="O27" i="39" s="1"/>
  <c r="N36" i="24"/>
  <c r="M36"/>
  <c r="M27" i="39" s="1"/>
  <c r="L36" i="24"/>
  <c r="K36"/>
  <c r="K27" i="39" s="1"/>
  <c r="J36" i="24"/>
  <c r="J27" i="39" s="1"/>
  <c r="I36" i="24"/>
  <c r="I27" i="39" s="1"/>
  <c r="H36" i="24"/>
  <c r="H27" i="39" s="1"/>
  <c r="G36" i="24"/>
  <c r="F36"/>
  <c r="F27" i="39" s="1"/>
  <c r="E36" i="24"/>
  <c r="D36"/>
  <c r="D27" i="39" s="1"/>
  <c r="C36" i="24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40" i="23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P26" i="39" s="1"/>
  <c r="O36" i="23"/>
  <c r="O26" i="39" s="1"/>
  <c r="N36" i="23"/>
  <c r="M36"/>
  <c r="M26" i="39" s="1"/>
  <c r="L36" i="23"/>
  <c r="L26" i="39" s="1"/>
  <c r="K36" i="23"/>
  <c r="J36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C36"/>
  <c r="C26" i="39" s="1"/>
  <c r="B36" i="23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5" i="39" s="1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H36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38" i="20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P23" i="39" s="1"/>
  <c r="O36" i="20"/>
  <c r="O23" i="39" s="1"/>
  <c r="N36" i="20"/>
  <c r="M36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E36"/>
  <c r="E23" i="39" s="1"/>
  <c r="D36" i="20"/>
  <c r="D23" i="39" s="1"/>
  <c r="C36" i="20"/>
  <c r="C23" i="39" s="1"/>
  <c r="B36" i="2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38" i="1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1" i="39" s="1"/>
  <c r="P36" i="18"/>
  <c r="O36"/>
  <c r="O21" i="39" s="1"/>
  <c r="N36" i="18"/>
  <c r="N21" i="39" s="1"/>
  <c r="M36" i="18"/>
  <c r="L36"/>
  <c r="L21" i="39" s="1"/>
  <c r="K36" i="18"/>
  <c r="K21" i="39" s="1"/>
  <c r="J36" i="18"/>
  <c r="J21" i="39" s="1"/>
  <c r="I36" i="18"/>
  <c r="I21" i="39" s="1"/>
  <c r="H36" i="18"/>
  <c r="G36"/>
  <c r="G21" i="39" s="1"/>
  <c r="F36" i="18"/>
  <c r="E36"/>
  <c r="D36"/>
  <c r="D21" i="39" s="1"/>
  <c r="C36" i="18"/>
  <c r="C21" i="39" s="1"/>
  <c r="B36" i="18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J39" i="17"/>
  <c r="Q38"/>
  <c r="Q40" s="1"/>
  <c r="P38"/>
  <c r="P40" s="1"/>
  <c r="O38"/>
  <c r="O40" s="1"/>
  <c r="N38"/>
  <c r="N40" s="1"/>
  <c r="M38"/>
  <c r="M40" s="1"/>
  <c r="L38"/>
  <c r="L39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O36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Q38" i="15"/>
  <c r="Q40" s="1"/>
  <c r="P38"/>
  <c r="P40" s="1"/>
  <c r="O38"/>
  <c r="O40" s="1"/>
  <c r="N38"/>
  <c r="N40" s="1"/>
  <c r="M38"/>
  <c r="M40" s="1"/>
  <c r="L38"/>
  <c r="L40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39" s="1"/>
  <c r="E38"/>
  <c r="E40" s="1"/>
  <c r="D38"/>
  <c r="D40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N36"/>
  <c r="N17" i="39" s="1"/>
  <c r="M36" i="14"/>
  <c r="L36"/>
  <c r="L17" i="39" s="1"/>
  <c r="K36" i="14"/>
  <c r="K17" i="39" s="1"/>
  <c r="J36" i="14"/>
  <c r="I36"/>
  <c r="I17" i="39" s="1"/>
  <c r="H36" i="14"/>
  <c r="G36"/>
  <c r="G17" i="39" s="1"/>
  <c r="F36" i="14"/>
  <c r="F17" i="39" s="1"/>
  <c r="E36" i="14"/>
  <c r="D36"/>
  <c r="D17" i="39" s="1"/>
  <c r="C36" i="14"/>
  <c r="C17" i="39" s="1"/>
  <c r="B36" i="14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C40" i="13"/>
  <c r="K39"/>
  <c r="C39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O36"/>
  <c r="O16" i="39" s="1"/>
  <c r="N36" i="13"/>
  <c r="N16" i="39" s="1"/>
  <c r="M36" i="13"/>
  <c r="M16" i="39" s="1"/>
  <c r="L36" i="13"/>
  <c r="L16" i="39" s="1"/>
  <c r="K36" i="13"/>
  <c r="K16" i="39" s="1"/>
  <c r="J36" i="13"/>
  <c r="I36"/>
  <c r="I16" i="39" s="1"/>
  <c r="H36" i="13"/>
  <c r="H16" i="39" s="1"/>
  <c r="G36" i="13"/>
  <c r="G16" i="39" s="1"/>
  <c r="F36" i="13"/>
  <c r="F16" i="39" s="1"/>
  <c r="E36" i="13"/>
  <c r="D36"/>
  <c r="D16" i="39" s="1"/>
  <c r="C36" i="13"/>
  <c r="C16" i="39" s="1"/>
  <c r="B36" i="13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M36"/>
  <c r="M15" i="39" s="1"/>
  <c r="L36" i="12"/>
  <c r="L15" i="39" s="1"/>
  <c r="K36" i="12"/>
  <c r="K15" i="39" s="1"/>
  <c r="J36" i="12"/>
  <c r="I36"/>
  <c r="I15" i="39" s="1"/>
  <c r="H36" i="12"/>
  <c r="G36"/>
  <c r="G15" i="39" s="1"/>
  <c r="F36" i="12"/>
  <c r="E36"/>
  <c r="E15" i="39" s="1"/>
  <c r="D36" i="12"/>
  <c r="D15" i="39" s="1"/>
  <c r="C36" i="12"/>
  <c r="C15" i="39" s="1"/>
  <c r="B36" i="12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N39" i="10"/>
  <c r="Q38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O36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L40" i="9"/>
  <c r="Q38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N36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G36"/>
  <c r="G12" i="39" s="1"/>
  <c r="F36" i="9"/>
  <c r="F12" i="39" s="1"/>
  <c r="E36" i="9"/>
  <c r="E12" i="39" s="1"/>
  <c r="D36" i="9"/>
  <c r="D12" i="39" s="1"/>
  <c r="C36" i="9"/>
  <c r="C12" i="39" s="1"/>
  <c r="B36" i="9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Q39" i="22" l="1"/>
  <c r="O39" i="28"/>
  <c r="N39"/>
  <c r="M39"/>
  <c r="L39"/>
  <c r="K39"/>
  <c r="J39"/>
  <c r="I39"/>
  <c r="H39"/>
  <c r="G39"/>
  <c r="F39"/>
  <c r="E39"/>
  <c r="D39"/>
  <c r="C39"/>
  <c r="B39"/>
  <c r="Q39"/>
  <c r="P39"/>
  <c r="L39" i="27"/>
  <c r="K39"/>
  <c r="J39"/>
  <c r="I39"/>
  <c r="H39"/>
  <c r="G39"/>
  <c r="F39"/>
  <c r="E39"/>
  <c r="D39"/>
  <c r="C39"/>
  <c r="M40"/>
  <c r="B39"/>
  <c r="Q39"/>
  <c r="P39"/>
  <c r="O39"/>
  <c r="N39"/>
  <c r="G39" i="26"/>
  <c r="F39"/>
  <c r="E39"/>
  <c r="D39"/>
  <c r="C39"/>
  <c r="B39"/>
  <c r="Q39"/>
  <c r="P39"/>
  <c r="O39"/>
  <c r="N39"/>
  <c r="M39"/>
  <c r="L39"/>
  <c r="K39"/>
  <c r="J39"/>
  <c r="I39"/>
  <c r="F39" i="25"/>
  <c r="D39"/>
  <c r="C39"/>
  <c r="B39"/>
  <c r="E39"/>
  <c r="Q39"/>
  <c r="P39"/>
  <c r="O39"/>
  <c r="N39"/>
  <c r="M39"/>
  <c r="L39"/>
  <c r="K39"/>
  <c r="J39"/>
  <c r="I39"/>
  <c r="H39"/>
  <c r="G39"/>
  <c r="B39" i="24"/>
  <c r="Q39"/>
  <c r="P39"/>
  <c r="O39"/>
  <c r="N39"/>
  <c r="M39"/>
  <c r="L39"/>
  <c r="K39"/>
  <c r="J39"/>
  <c r="I39"/>
  <c r="H39"/>
  <c r="G39"/>
  <c r="F39"/>
  <c r="E39"/>
  <c r="D39"/>
  <c r="C39"/>
  <c r="O39" i="23"/>
  <c r="N39"/>
  <c r="M39"/>
  <c r="K39"/>
  <c r="J39"/>
  <c r="I39"/>
  <c r="L40"/>
  <c r="H39"/>
  <c r="G39"/>
  <c r="F39"/>
  <c r="E39"/>
  <c r="D39"/>
  <c r="C39"/>
  <c r="B39"/>
  <c r="Q39"/>
  <c r="P39"/>
  <c r="N39" i="22"/>
  <c r="M39"/>
  <c r="L39"/>
  <c r="K39"/>
  <c r="J39"/>
  <c r="I39"/>
  <c r="H39"/>
  <c r="O39"/>
  <c r="G39"/>
  <c r="F39"/>
  <c r="E39"/>
  <c r="P40"/>
  <c r="D39"/>
  <c r="C39"/>
  <c r="B39"/>
  <c r="Q39" i="21"/>
  <c r="P39"/>
  <c r="O39"/>
  <c r="N39"/>
  <c r="M39"/>
  <c r="L39"/>
  <c r="K39"/>
  <c r="J39"/>
  <c r="I39"/>
  <c r="H39"/>
  <c r="G39"/>
  <c r="F39"/>
  <c r="E39"/>
  <c r="D39"/>
  <c r="C39"/>
  <c r="B39"/>
  <c r="P39" i="20"/>
  <c r="Q40"/>
  <c r="O39"/>
  <c r="N39"/>
  <c r="M39"/>
  <c r="L39"/>
  <c r="K39"/>
  <c r="J39"/>
  <c r="I39"/>
  <c r="H39"/>
  <c r="G39"/>
  <c r="F39"/>
  <c r="E39"/>
  <c r="D39"/>
  <c r="C39"/>
  <c r="B39"/>
  <c r="B39" i="19"/>
  <c r="Q39"/>
  <c r="P39"/>
  <c r="O39"/>
  <c r="N39"/>
  <c r="M39"/>
  <c r="L39"/>
  <c r="K39"/>
  <c r="J39"/>
  <c r="I39"/>
  <c r="H39"/>
  <c r="G39"/>
  <c r="F39"/>
  <c r="E39"/>
  <c r="D39"/>
  <c r="C39"/>
  <c r="N39" i="18"/>
  <c r="M39"/>
  <c r="L39"/>
  <c r="K39"/>
  <c r="J39"/>
  <c r="I39"/>
  <c r="H39"/>
  <c r="G39"/>
  <c r="F39"/>
  <c r="E39"/>
  <c r="D39"/>
  <c r="C39"/>
  <c r="B39"/>
  <c r="Q39"/>
  <c r="P39"/>
  <c r="O39"/>
  <c r="I39" i="17"/>
  <c r="H39"/>
  <c r="G39"/>
  <c r="K40"/>
  <c r="F39"/>
  <c r="E39"/>
  <c r="L40"/>
  <c r="D39"/>
  <c r="C39"/>
  <c r="B39"/>
  <c r="Q39"/>
  <c r="P39"/>
  <c r="O39"/>
  <c r="N39"/>
  <c r="M39"/>
  <c r="K39" i="16"/>
  <c r="I39"/>
  <c r="J39"/>
  <c r="H39"/>
  <c r="G39"/>
  <c r="F39"/>
  <c r="E39"/>
  <c r="D39"/>
  <c r="C39"/>
  <c r="B39"/>
  <c r="Q39"/>
  <c r="P39"/>
  <c r="O39"/>
  <c r="N39"/>
  <c r="M39"/>
  <c r="L39"/>
  <c r="J39" i="15"/>
  <c r="I39"/>
  <c r="H39"/>
  <c r="K40"/>
  <c r="G39"/>
  <c r="F39"/>
  <c r="E39"/>
  <c r="D39"/>
  <c r="C39"/>
  <c r="B39"/>
  <c r="Q39"/>
  <c r="P39"/>
  <c r="O39"/>
  <c r="N39"/>
  <c r="M39"/>
  <c r="L39"/>
  <c r="F40" i="14"/>
  <c r="E39"/>
  <c r="D39"/>
  <c r="C40"/>
  <c r="B39"/>
  <c r="Q40"/>
  <c r="P39"/>
  <c r="O39"/>
  <c r="N39"/>
  <c r="M39"/>
  <c r="L39"/>
  <c r="K39"/>
  <c r="J39"/>
  <c r="I39"/>
  <c r="H39"/>
  <c r="G39"/>
  <c r="B39" i="13"/>
  <c r="Q39"/>
  <c r="P39"/>
  <c r="O39"/>
  <c r="N39"/>
  <c r="M39"/>
  <c r="L39"/>
  <c r="J39"/>
  <c r="I39"/>
  <c r="H39"/>
  <c r="G39"/>
  <c r="F39"/>
  <c r="E39"/>
  <c r="D39"/>
  <c r="N39" i="12"/>
  <c r="O39"/>
  <c r="M39"/>
  <c r="L39"/>
  <c r="K39"/>
  <c r="J39"/>
  <c r="I39"/>
  <c r="H39"/>
  <c r="G39"/>
  <c r="F39"/>
  <c r="E39"/>
  <c r="D39"/>
  <c r="C39"/>
  <c r="B39"/>
  <c r="Q39"/>
  <c r="P39"/>
  <c r="N39" i="11"/>
  <c r="M39"/>
  <c r="L39"/>
  <c r="K39"/>
  <c r="J39"/>
  <c r="I39"/>
  <c r="H39"/>
  <c r="G39"/>
  <c r="F39"/>
  <c r="E39"/>
  <c r="D39"/>
  <c r="O40"/>
  <c r="C39"/>
  <c r="B39"/>
  <c r="Q39"/>
  <c r="P39"/>
  <c r="M39" i="10"/>
  <c r="L40"/>
  <c r="K39"/>
  <c r="J39"/>
  <c r="I39"/>
  <c r="H39"/>
  <c r="G39"/>
  <c r="F39"/>
  <c r="E39"/>
  <c r="D39"/>
  <c r="C39"/>
  <c r="B39"/>
  <c r="Q39"/>
  <c r="P39"/>
  <c r="O39"/>
  <c r="K39" i="9"/>
  <c r="J39"/>
  <c r="I39"/>
  <c r="H39"/>
  <c r="G39"/>
  <c r="F39"/>
  <c r="E39"/>
  <c r="D39"/>
  <c r="C39"/>
  <c r="B39"/>
  <c r="Q39"/>
  <c r="P39"/>
  <c r="O39"/>
  <c r="N39"/>
  <c r="M39"/>
  <c r="L39" i="8"/>
  <c r="K39"/>
  <c r="J39"/>
  <c r="I39"/>
  <c r="H40"/>
  <c r="G39"/>
  <c r="F39"/>
  <c r="E39"/>
  <c r="D39"/>
  <c r="C39"/>
  <c r="B39"/>
  <c r="Q39"/>
  <c r="O39"/>
  <c r="P40"/>
  <c r="N39"/>
  <c r="M39"/>
  <c r="K39" i="3"/>
  <c r="J39"/>
  <c r="I39"/>
  <c r="H39"/>
  <c r="G39"/>
  <c r="F39"/>
  <c r="E39"/>
  <c r="D39"/>
  <c r="C39"/>
  <c r="L40"/>
  <c r="B39"/>
  <c r="Q39"/>
  <c r="P39"/>
  <c r="O39"/>
  <c r="N39"/>
  <c r="M39"/>
  <c r="L39" i="2"/>
  <c r="K39"/>
  <c r="J39"/>
  <c r="I39"/>
  <c r="H39"/>
  <c r="G39"/>
  <c r="F39"/>
  <c r="E39"/>
  <c r="D39"/>
  <c r="C39"/>
  <c r="B39"/>
  <c r="Q39"/>
  <c r="P39"/>
  <c r="O39"/>
  <c r="N39"/>
  <c r="M39"/>
  <c r="N39" i="41"/>
  <c r="O39"/>
  <c r="M39"/>
  <c r="P39"/>
  <c r="L39"/>
  <c r="K39"/>
  <c r="J39"/>
  <c r="I39"/>
  <c r="H39"/>
  <c r="G39"/>
  <c r="F39"/>
  <c r="E39"/>
  <c r="D39"/>
  <c r="C39"/>
  <c r="B39"/>
  <c r="Q39"/>
  <c r="J39" i="40"/>
  <c r="I39"/>
  <c r="M39"/>
  <c r="H39"/>
  <c r="G39"/>
  <c r="F39"/>
  <c r="E39"/>
  <c r="D39"/>
  <c r="C39"/>
  <c r="B39"/>
  <c r="Q39"/>
  <c r="K39"/>
  <c r="P39"/>
  <c r="O39"/>
  <c r="N39"/>
  <c r="I39" i="43"/>
  <c r="H39"/>
  <c r="G39"/>
  <c r="F39"/>
  <c r="E39"/>
  <c r="J40"/>
  <c r="D39"/>
  <c r="C39"/>
  <c r="B39"/>
  <c r="Q39"/>
  <c r="P39"/>
  <c r="O39"/>
  <c r="N39"/>
  <c r="M39"/>
  <c r="L39"/>
  <c r="K39"/>
  <c r="E39" i="33"/>
  <c r="D39"/>
  <c r="C39"/>
  <c r="B39"/>
  <c r="Q39"/>
  <c r="P39"/>
  <c r="O39"/>
  <c r="F40"/>
  <c r="N39"/>
  <c r="M39"/>
  <c r="L39"/>
  <c r="K39"/>
  <c r="J39"/>
  <c r="I39"/>
  <c r="H39"/>
  <c r="G39"/>
  <c r="C39" i="32"/>
  <c r="B39"/>
  <c r="Q39"/>
  <c r="P39"/>
  <c r="O39"/>
  <c r="N39"/>
  <c r="M39"/>
  <c r="L39"/>
  <c r="K39"/>
  <c r="J39"/>
  <c r="I39"/>
  <c r="H39"/>
  <c r="G39"/>
  <c r="F39"/>
  <c r="E39"/>
  <c r="D39"/>
  <c r="M39" i="31"/>
  <c r="L39"/>
  <c r="K39"/>
  <c r="N40"/>
  <c r="J39"/>
  <c r="I39"/>
  <c r="H39"/>
  <c r="G39"/>
  <c r="F39"/>
  <c r="E39"/>
  <c r="D39"/>
  <c r="C39"/>
  <c r="B39"/>
  <c r="Q39"/>
  <c r="P39"/>
  <c r="O39"/>
  <c r="L40" i="30"/>
  <c r="K39"/>
  <c r="J39"/>
  <c r="I39"/>
  <c r="H39"/>
  <c r="G39"/>
  <c r="F39"/>
  <c r="E39"/>
  <c r="D39"/>
  <c r="C39"/>
  <c r="B39"/>
  <c r="Q39"/>
  <c r="P39"/>
  <c r="O39"/>
  <c r="N39"/>
  <c r="M39"/>
  <c r="I39" i="29"/>
  <c r="B46" i="39"/>
  <c r="H39" i="29"/>
  <c r="Q47" i="39"/>
  <c r="G39" i="29"/>
  <c r="P46" i="39"/>
  <c r="F39" i="29"/>
  <c r="O47" i="39"/>
  <c r="E39" i="29"/>
  <c r="N47" i="39"/>
  <c r="D39" i="29"/>
  <c r="M47" i="39"/>
  <c r="B39" i="29"/>
  <c r="K47" i="39"/>
  <c r="C39" i="29"/>
  <c r="L47" i="39"/>
  <c r="Q39" i="29"/>
  <c r="J46" i="39"/>
  <c r="P39" i="29"/>
  <c r="I47" i="39"/>
  <c r="H47"/>
  <c r="O40" i="29"/>
  <c r="N39"/>
  <c r="G47" i="39"/>
  <c r="M39" i="29"/>
  <c r="F46" i="39"/>
  <c r="L39" i="29"/>
  <c r="E47" i="39"/>
  <c r="K39" i="29"/>
  <c r="D46" i="39"/>
  <c r="J39" i="29"/>
  <c r="C46" i="39"/>
  <c r="Q41"/>
  <c r="Q42"/>
  <c r="Q43"/>
  <c r="Q44"/>
  <c r="P41"/>
  <c r="P42"/>
  <c r="P43"/>
  <c r="P44"/>
  <c r="O41"/>
  <c r="O42"/>
  <c r="O43"/>
  <c r="O44"/>
  <c r="N41"/>
  <c r="N42"/>
  <c r="N43"/>
  <c r="N44"/>
  <c r="M41"/>
  <c r="M42"/>
  <c r="M43"/>
  <c r="M44"/>
  <c r="L41"/>
  <c r="L42"/>
  <c r="L43"/>
  <c r="L44"/>
  <c r="K41"/>
  <c r="K42"/>
  <c r="K43"/>
  <c r="K44"/>
  <c r="J41"/>
  <c r="J42"/>
  <c r="J43"/>
  <c r="J44"/>
  <c r="I41"/>
  <c r="I42"/>
  <c r="I43"/>
  <c r="I44"/>
  <c r="H41"/>
  <c r="H42"/>
  <c r="H43"/>
  <c r="H44"/>
  <c r="G41"/>
  <c r="G42"/>
  <c r="G43"/>
  <c r="G44"/>
  <c r="F41"/>
  <c r="F42"/>
  <c r="F43"/>
  <c r="F44"/>
  <c r="E41"/>
  <c r="E42"/>
  <c r="E43"/>
  <c r="E44"/>
  <c r="D41"/>
  <c r="D42"/>
  <c r="D43"/>
  <c r="D44"/>
  <c r="C41"/>
  <c r="C42"/>
  <c r="C43"/>
  <c r="C44"/>
  <c r="B41"/>
  <c r="B42"/>
  <c r="B43"/>
  <c r="B44"/>
  <c r="G46" l="1"/>
  <c r="K46"/>
  <c r="F47"/>
  <c r="M46"/>
  <c r="N46"/>
  <c r="E46"/>
  <c r="D47"/>
  <c r="O46"/>
  <c r="L46"/>
  <c r="J47"/>
  <c r="C47"/>
  <c r="B47"/>
  <c r="Q46"/>
  <c r="I46"/>
  <c r="H46"/>
  <c r="P47"/>
</calcChain>
</file>

<file path=xl/sharedStrings.xml><?xml version="1.0" encoding="utf-8"?>
<sst xmlns="http://schemas.openxmlformats.org/spreadsheetml/2006/main" count="2210" uniqueCount="60">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</sst>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12" activePane="bottomRight" state="frozen"/>
      <selection pane="topRight"/>
      <selection pane="bottomLeft"/>
      <selection pane="bottomRight" activeCell="Q9" sqref="Q9:Q32"/>
    </sheetView>
  </sheetViews>
  <sheetFormatPr defaultColWidth="8.85546875" defaultRowHeight="15"/>
  <cols>
    <col min="1" max="1" width="19.5703125" style="42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45474.041666666664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45474.041666666664</v>
      </c>
      <c r="B9" s="51">
        <v>9.24</v>
      </c>
      <c r="C9" s="51">
        <v>4.1500000000000004</v>
      </c>
      <c r="D9" s="51">
        <v>14.01</v>
      </c>
      <c r="E9" s="51">
        <v>7.95</v>
      </c>
      <c r="F9" s="51">
        <v>6.11</v>
      </c>
      <c r="G9" s="51">
        <v>9.94</v>
      </c>
      <c r="H9" s="51">
        <v>4.6100000000000003</v>
      </c>
      <c r="I9" s="51">
        <v>3.69</v>
      </c>
      <c r="J9" s="51">
        <v>0.12</v>
      </c>
      <c r="K9" s="51">
        <v>270.82</v>
      </c>
      <c r="L9" s="51">
        <v>25.88</v>
      </c>
      <c r="M9" s="51">
        <v>101.9</v>
      </c>
      <c r="N9" s="51">
        <v>2.1</v>
      </c>
      <c r="O9" s="51">
        <v>0</v>
      </c>
      <c r="P9" s="51">
        <v>0.33</v>
      </c>
      <c r="Q9" s="51">
        <v>4.62</v>
      </c>
    </row>
    <row r="10" spans="1:21" customFormat="1">
      <c r="A10" s="50">
        <v>45474.083333333336</v>
      </c>
      <c r="B10" s="51">
        <v>9.23</v>
      </c>
      <c r="C10" s="51">
        <v>4.08</v>
      </c>
      <c r="D10" s="51">
        <v>13.98</v>
      </c>
      <c r="E10" s="51">
        <v>8.8800000000000008</v>
      </c>
      <c r="F10" s="51">
        <v>5.23</v>
      </c>
      <c r="G10" s="51">
        <v>9.94</v>
      </c>
      <c r="H10" s="51">
        <v>3.24</v>
      </c>
      <c r="I10" s="51">
        <v>3.58</v>
      </c>
      <c r="J10" s="51">
        <v>0.48</v>
      </c>
      <c r="K10" s="51">
        <v>252.47</v>
      </c>
      <c r="L10" s="51">
        <v>26.06</v>
      </c>
      <c r="M10" s="51">
        <v>98.84</v>
      </c>
      <c r="N10" s="51">
        <v>2.7</v>
      </c>
      <c r="O10" s="51">
        <v>0</v>
      </c>
      <c r="P10" s="51">
        <v>0.32</v>
      </c>
      <c r="Q10" s="51">
        <v>4.62</v>
      </c>
    </row>
    <row r="11" spans="1:21" customFormat="1">
      <c r="A11" s="50">
        <v>45474.125</v>
      </c>
      <c r="B11" s="51">
        <v>9.25</v>
      </c>
      <c r="C11" s="51">
        <v>4.07</v>
      </c>
      <c r="D11" s="51">
        <v>14</v>
      </c>
      <c r="E11" s="51">
        <v>8.59</v>
      </c>
      <c r="F11" s="51">
        <v>4.1500000000000004</v>
      </c>
      <c r="G11" s="51">
        <v>12.04</v>
      </c>
      <c r="H11" s="51">
        <v>3.28</v>
      </c>
      <c r="I11" s="51">
        <v>3.48</v>
      </c>
      <c r="J11" s="51">
        <v>0.86</v>
      </c>
      <c r="K11" s="51">
        <v>260.75</v>
      </c>
      <c r="L11" s="51">
        <v>26.42</v>
      </c>
      <c r="M11" s="51">
        <v>95.28</v>
      </c>
      <c r="N11" s="51">
        <v>3.1</v>
      </c>
      <c r="O11" s="51">
        <v>0</v>
      </c>
      <c r="P11" s="51">
        <v>0.31</v>
      </c>
      <c r="Q11" s="51">
        <v>4.6399999999999997</v>
      </c>
    </row>
    <row r="12" spans="1:21" customFormat="1">
      <c r="A12" s="50">
        <v>45474.166666666664</v>
      </c>
      <c r="B12" s="51">
        <v>9.24</v>
      </c>
      <c r="C12" s="51">
        <v>4.09</v>
      </c>
      <c r="D12" s="51">
        <v>13.99</v>
      </c>
      <c r="E12" s="51">
        <v>8.99</v>
      </c>
      <c r="F12" s="51">
        <v>4.22</v>
      </c>
      <c r="G12" s="51">
        <v>12.04</v>
      </c>
      <c r="H12" s="51">
        <v>6.76</v>
      </c>
      <c r="I12" s="51">
        <v>3.36</v>
      </c>
      <c r="J12" s="51">
        <v>1.05</v>
      </c>
      <c r="K12" s="51">
        <v>266.57</v>
      </c>
      <c r="L12" s="51">
        <v>26.52</v>
      </c>
      <c r="M12" s="51">
        <v>92.71</v>
      </c>
      <c r="N12" s="51">
        <v>3.4</v>
      </c>
      <c r="O12" s="51">
        <v>0</v>
      </c>
      <c r="P12" s="51">
        <v>0.28999999999999998</v>
      </c>
      <c r="Q12" s="51">
        <v>4.6399999999999997</v>
      </c>
    </row>
    <row r="13" spans="1:21" customFormat="1">
      <c r="A13" s="50">
        <v>45474.208333333336</v>
      </c>
      <c r="B13" s="51">
        <v>9.26</v>
      </c>
      <c r="C13" s="51">
        <v>4.09</v>
      </c>
      <c r="D13" s="51">
        <v>14.01</v>
      </c>
      <c r="E13" s="51">
        <v>9.52</v>
      </c>
      <c r="F13" s="51">
        <v>4.1399999999999997</v>
      </c>
      <c r="G13" s="51">
        <v>11.36</v>
      </c>
      <c r="H13" s="51">
        <v>6.76</v>
      </c>
      <c r="I13" s="51">
        <v>3.26</v>
      </c>
      <c r="J13" s="51">
        <v>1.1200000000000001</v>
      </c>
      <c r="K13" s="51">
        <v>276.7</v>
      </c>
      <c r="L13" s="51">
        <v>26.26</v>
      </c>
      <c r="M13" s="51">
        <v>92.57</v>
      </c>
      <c r="N13" s="51">
        <v>2.5</v>
      </c>
      <c r="O13" s="51">
        <v>0</v>
      </c>
      <c r="P13" s="51">
        <v>0.39</v>
      </c>
      <c r="Q13" s="51">
        <v>4.6399999999999997</v>
      </c>
    </row>
    <row r="14" spans="1:21" customFormat="1">
      <c r="A14" s="50">
        <v>45474.25</v>
      </c>
      <c r="B14" s="51">
        <v>9.2200000000000006</v>
      </c>
      <c r="C14" s="51">
        <v>4.12</v>
      </c>
      <c r="D14" s="51">
        <v>13.98</v>
      </c>
      <c r="E14" s="51">
        <v>8.9600000000000009</v>
      </c>
      <c r="F14" s="51">
        <v>8.0399999999999991</v>
      </c>
      <c r="G14" s="51">
        <v>8.6199999999999992</v>
      </c>
      <c r="H14" s="51">
        <v>5.07</v>
      </c>
      <c r="I14" s="51">
        <v>4.8499999999999996</v>
      </c>
      <c r="J14" s="51">
        <v>0.86</v>
      </c>
      <c r="K14" s="51">
        <v>271.45</v>
      </c>
      <c r="L14" s="51">
        <v>25.88</v>
      </c>
      <c r="M14" s="51">
        <v>90</v>
      </c>
      <c r="N14" s="51">
        <v>12.4</v>
      </c>
      <c r="O14" s="51">
        <v>0</v>
      </c>
      <c r="P14" s="51">
        <v>0.4</v>
      </c>
      <c r="Q14" s="51">
        <v>4.6399999999999997</v>
      </c>
    </row>
    <row r="15" spans="1:21" customFormat="1">
      <c r="A15" s="50">
        <v>45474.291666666664</v>
      </c>
      <c r="B15" s="51">
        <v>9.2200000000000006</v>
      </c>
      <c r="C15" s="51">
        <v>4.09</v>
      </c>
      <c r="D15" s="51">
        <v>13.95</v>
      </c>
      <c r="E15" s="51">
        <v>7.52</v>
      </c>
      <c r="F15" s="51">
        <v>6.37</v>
      </c>
      <c r="G15" s="51">
        <v>8.35</v>
      </c>
      <c r="H15" s="51">
        <v>3.8</v>
      </c>
      <c r="I15" s="51">
        <v>4.4000000000000004</v>
      </c>
      <c r="J15" s="51">
        <v>0.81</v>
      </c>
      <c r="K15" s="51">
        <v>267.41000000000003</v>
      </c>
      <c r="L15" s="51">
        <v>25.82</v>
      </c>
      <c r="M15" s="51">
        <v>95.69</v>
      </c>
      <c r="N15" s="51">
        <v>45.7</v>
      </c>
      <c r="O15" s="51">
        <v>0</v>
      </c>
      <c r="P15" s="51">
        <v>0.36</v>
      </c>
      <c r="Q15" s="51">
        <v>4.6399999999999997</v>
      </c>
    </row>
    <row r="16" spans="1:21" customFormat="1">
      <c r="A16" s="50">
        <v>45474.333333333336</v>
      </c>
      <c r="B16" s="51">
        <v>9.19</v>
      </c>
      <c r="C16" s="51">
        <v>4.08</v>
      </c>
      <c r="D16" s="51">
        <v>13.95</v>
      </c>
      <c r="E16" s="51">
        <v>6.64</v>
      </c>
      <c r="F16" s="51">
        <v>7.59</v>
      </c>
      <c r="G16" s="51">
        <v>8.7200000000000006</v>
      </c>
      <c r="H16" s="51">
        <v>3.8</v>
      </c>
      <c r="I16" s="51">
        <v>4.13</v>
      </c>
      <c r="J16" s="51">
        <v>0.78</v>
      </c>
      <c r="K16" s="51">
        <v>263.25</v>
      </c>
      <c r="L16" s="51">
        <v>25.99</v>
      </c>
      <c r="M16" s="51">
        <v>94.7</v>
      </c>
      <c r="N16" s="51">
        <v>52.5</v>
      </c>
      <c r="O16" s="51">
        <v>0</v>
      </c>
      <c r="P16" s="51">
        <v>0.34</v>
      </c>
      <c r="Q16" s="51">
        <v>4.6399999999999997</v>
      </c>
    </row>
    <row r="17" spans="1:17" customFormat="1">
      <c r="A17" s="50">
        <v>45474.375</v>
      </c>
      <c r="B17" s="51">
        <v>9.1999999999999993</v>
      </c>
      <c r="C17" s="51">
        <v>4.0599999999999996</v>
      </c>
      <c r="D17" s="51">
        <v>13.95</v>
      </c>
      <c r="E17" s="51">
        <v>6.18</v>
      </c>
      <c r="F17" s="51">
        <v>6.77</v>
      </c>
      <c r="G17" s="51">
        <v>8.7200000000000006</v>
      </c>
      <c r="H17" s="51">
        <v>2.87</v>
      </c>
      <c r="I17" s="51">
        <v>3.81</v>
      </c>
      <c r="J17" s="51">
        <v>0.87</v>
      </c>
      <c r="K17" s="51">
        <v>265.17</v>
      </c>
      <c r="L17" s="51">
        <v>26.24</v>
      </c>
      <c r="M17" s="51">
        <v>93.15</v>
      </c>
      <c r="N17" s="51">
        <v>81.400000000000006</v>
      </c>
      <c r="O17" s="51">
        <v>0</v>
      </c>
      <c r="P17" s="51">
        <v>0.32</v>
      </c>
      <c r="Q17" s="51">
        <v>4.66</v>
      </c>
    </row>
    <row r="18" spans="1:17" customFormat="1">
      <c r="A18" s="50">
        <v>45474.416666666664</v>
      </c>
      <c r="B18" s="51">
        <v>9.1999999999999993</v>
      </c>
      <c r="C18" s="51">
        <v>4.0599999999999996</v>
      </c>
      <c r="D18" s="51">
        <v>13.95</v>
      </c>
      <c r="E18" s="51">
        <v>6.08</v>
      </c>
      <c r="F18" s="51">
        <v>5.61</v>
      </c>
      <c r="G18" s="51">
        <v>8.68</v>
      </c>
      <c r="H18" s="51">
        <v>4.01</v>
      </c>
      <c r="I18" s="51">
        <v>3.68</v>
      </c>
      <c r="J18" s="51">
        <v>1.27</v>
      </c>
      <c r="K18" s="51">
        <v>264.63</v>
      </c>
      <c r="L18" s="51">
        <v>27</v>
      </c>
      <c r="M18" s="51">
        <v>90.43</v>
      </c>
      <c r="N18" s="51">
        <v>148.1</v>
      </c>
      <c r="O18" s="51">
        <v>0</v>
      </c>
      <c r="P18" s="51">
        <v>0.3</v>
      </c>
      <c r="Q18" s="51">
        <v>4.6399999999999997</v>
      </c>
    </row>
    <row r="19" spans="1:17" customFormat="1">
      <c r="A19" s="50">
        <v>45474.458333333336</v>
      </c>
      <c r="B19" s="51">
        <v>9.2100000000000009</v>
      </c>
      <c r="C19" s="51">
        <v>4.0599999999999996</v>
      </c>
      <c r="D19" s="51">
        <v>13.95</v>
      </c>
      <c r="E19" s="51">
        <v>8.99</v>
      </c>
      <c r="F19" s="51">
        <v>5.56</v>
      </c>
      <c r="G19" s="51">
        <v>10.15</v>
      </c>
      <c r="H19" s="51">
        <v>5.3</v>
      </c>
      <c r="I19" s="51">
        <v>3.55</v>
      </c>
      <c r="J19" s="51">
        <v>1.1499999999999999</v>
      </c>
      <c r="K19" s="51">
        <v>275.95</v>
      </c>
      <c r="L19" s="51">
        <v>28.63</v>
      </c>
      <c r="M19" s="51">
        <v>84.59</v>
      </c>
      <c r="N19" s="51">
        <v>317.2</v>
      </c>
      <c r="O19" s="51">
        <v>0</v>
      </c>
      <c r="P19" s="51">
        <v>0.3</v>
      </c>
      <c r="Q19" s="51">
        <v>4.6500000000000004</v>
      </c>
    </row>
    <row r="20" spans="1:17" customFormat="1">
      <c r="A20" s="50">
        <v>45474.5</v>
      </c>
      <c r="B20" s="51">
        <v>9.2200000000000006</v>
      </c>
      <c r="C20" s="51">
        <v>4.09</v>
      </c>
      <c r="D20" s="51">
        <v>13.97</v>
      </c>
      <c r="E20" s="51">
        <v>9.41</v>
      </c>
      <c r="F20" s="51">
        <v>5.14</v>
      </c>
      <c r="G20" s="51">
        <v>10.15</v>
      </c>
      <c r="H20" s="51">
        <v>5.3</v>
      </c>
      <c r="I20" s="51">
        <v>3.37</v>
      </c>
      <c r="J20" s="51">
        <v>1.4</v>
      </c>
      <c r="K20" s="51">
        <v>273.98</v>
      </c>
      <c r="L20" s="51">
        <v>29.61</v>
      </c>
      <c r="M20" s="51">
        <v>80.33</v>
      </c>
      <c r="N20" s="51">
        <v>371.2</v>
      </c>
      <c r="O20" s="51">
        <v>0</v>
      </c>
      <c r="P20" s="51">
        <v>0.3</v>
      </c>
      <c r="Q20" s="51">
        <v>4.6500000000000004</v>
      </c>
    </row>
    <row r="21" spans="1:17" customFormat="1">
      <c r="A21" s="50">
        <v>45474.541666666664</v>
      </c>
      <c r="B21" s="51">
        <v>9.24</v>
      </c>
      <c r="C21" s="51">
        <v>4.08</v>
      </c>
      <c r="D21" s="51">
        <v>13.98</v>
      </c>
      <c r="E21" s="51">
        <v>10.07</v>
      </c>
      <c r="F21" s="51">
        <v>5.46</v>
      </c>
      <c r="G21" s="51">
        <v>12.44</v>
      </c>
      <c r="H21" s="51">
        <v>5.18</v>
      </c>
      <c r="I21" s="51">
        <v>3.26</v>
      </c>
      <c r="J21" s="51">
        <v>1.1000000000000001</v>
      </c>
      <c r="K21" s="51">
        <v>269.92</v>
      </c>
      <c r="L21" s="51">
        <v>29.58</v>
      </c>
      <c r="M21" s="51">
        <v>79.900000000000006</v>
      </c>
      <c r="N21" s="51">
        <v>251.8</v>
      </c>
      <c r="O21" s="51">
        <v>0</v>
      </c>
      <c r="P21" s="51">
        <v>0.28000000000000003</v>
      </c>
      <c r="Q21" s="51">
        <v>4.6500000000000004</v>
      </c>
    </row>
    <row r="22" spans="1:17" customFormat="1">
      <c r="A22" s="50">
        <v>45474.583333333336</v>
      </c>
      <c r="B22" s="51">
        <v>9.25</v>
      </c>
      <c r="C22" s="51">
        <v>4.1100000000000003</v>
      </c>
      <c r="D22" s="51">
        <v>14.01</v>
      </c>
      <c r="E22" s="51">
        <v>10.41</v>
      </c>
      <c r="F22" s="51">
        <v>5.76</v>
      </c>
      <c r="G22" s="51">
        <v>16.29</v>
      </c>
      <c r="H22" s="51">
        <v>6.12</v>
      </c>
      <c r="I22" s="51">
        <v>3.14</v>
      </c>
      <c r="J22" s="51">
        <v>1.24</v>
      </c>
      <c r="K22" s="51">
        <v>271.35000000000002</v>
      </c>
      <c r="L22" s="51">
        <v>29.62</v>
      </c>
      <c r="M22" s="51">
        <v>79.02</v>
      </c>
      <c r="N22" s="51">
        <v>261.8</v>
      </c>
      <c r="O22" s="51">
        <v>0</v>
      </c>
      <c r="P22" s="51">
        <v>0.28000000000000003</v>
      </c>
      <c r="Q22" s="51">
        <v>4.6500000000000004</v>
      </c>
    </row>
    <row r="23" spans="1:17" customFormat="1">
      <c r="A23" s="50">
        <v>45474.625</v>
      </c>
      <c r="B23" s="51">
        <v>9.2799999999999994</v>
      </c>
      <c r="C23" s="51">
        <v>4.08</v>
      </c>
      <c r="D23" s="51">
        <v>14.02</v>
      </c>
      <c r="E23" s="51">
        <v>10.26</v>
      </c>
      <c r="F23" s="51">
        <v>9.7200000000000006</v>
      </c>
      <c r="G23" s="51">
        <v>17.2</v>
      </c>
      <c r="H23" s="51">
        <v>6.12</v>
      </c>
      <c r="I23" s="51">
        <v>3.04</v>
      </c>
      <c r="J23" s="51">
        <v>1.1100000000000001</v>
      </c>
      <c r="K23" s="51">
        <v>268.08999999999997</v>
      </c>
      <c r="L23" s="51">
        <v>29.79</v>
      </c>
      <c r="M23" s="51">
        <v>79.44</v>
      </c>
      <c r="N23" s="51">
        <v>202</v>
      </c>
      <c r="O23" s="51">
        <v>0</v>
      </c>
      <c r="P23" s="51">
        <v>0.28999999999999998</v>
      </c>
      <c r="Q23" s="51">
        <v>4.6500000000000004</v>
      </c>
    </row>
    <row r="24" spans="1:17" customFormat="1">
      <c r="A24" s="50">
        <v>45474.666666666664</v>
      </c>
      <c r="B24" s="51">
        <v>9.2200000000000006</v>
      </c>
      <c r="C24" s="51">
        <v>4.08</v>
      </c>
      <c r="D24" s="51">
        <v>13.97</v>
      </c>
      <c r="E24" s="51">
        <v>8.39</v>
      </c>
      <c r="F24" s="51">
        <v>12.9</v>
      </c>
      <c r="G24" s="51">
        <v>17.2</v>
      </c>
      <c r="H24" s="51">
        <v>8.3000000000000007</v>
      </c>
      <c r="I24" s="51">
        <v>3.05</v>
      </c>
      <c r="J24" s="51">
        <v>0.8</v>
      </c>
      <c r="K24" s="51">
        <v>258.54000000000002</v>
      </c>
      <c r="L24" s="51">
        <v>29.89</v>
      </c>
      <c r="M24" s="51">
        <v>79.84</v>
      </c>
      <c r="N24" s="51">
        <v>165.1</v>
      </c>
      <c r="O24" s="51">
        <v>0</v>
      </c>
      <c r="P24" s="51">
        <v>0.27</v>
      </c>
      <c r="Q24" s="51">
        <v>4.6500000000000004</v>
      </c>
    </row>
    <row r="25" spans="1:17" customFormat="1">
      <c r="A25" s="50">
        <v>45474.708333333336</v>
      </c>
      <c r="B25" s="51">
        <v>9.2100000000000009</v>
      </c>
      <c r="C25" s="51">
        <v>4.1100000000000003</v>
      </c>
      <c r="D25" s="51">
        <v>13.98</v>
      </c>
      <c r="E25" s="51">
        <v>7.84</v>
      </c>
      <c r="F25" s="51">
        <v>13.77</v>
      </c>
      <c r="G25" s="51">
        <v>17.899999999999999</v>
      </c>
      <c r="H25" s="51">
        <v>8.3000000000000007</v>
      </c>
      <c r="I25" s="51">
        <v>2.8</v>
      </c>
      <c r="J25" s="51">
        <v>1.29</v>
      </c>
      <c r="K25" s="51">
        <v>295.17</v>
      </c>
      <c r="L25" s="51">
        <v>29.66</v>
      </c>
      <c r="M25" s="51">
        <v>86.45</v>
      </c>
      <c r="N25" s="51">
        <v>84.7</v>
      </c>
      <c r="O25" s="51">
        <v>1.2</v>
      </c>
      <c r="P25" s="51">
        <v>0.26</v>
      </c>
      <c r="Q25" s="51">
        <v>4.66</v>
      </c>
    </row>
    <row r="26" spans="1:17" customFormat="1">
      <c r="A26" s="50">
        <v>45474.75</v>
      </c>
      <c r="B26" s="51">
        <v>9.2200000000000006</v>
      </c>
      <c r="C26" s="51">
        <v>4.0999999999999996</v>
      </c>
      <c r="D26" s="51">
        <v>13.97</v>
      </c>
      <c r="E26" s="51">
        <v>7.96</v>
      </c>
      <c r="F26" s="51">
        <v>10.31</v>
      </c>
      <c r="G26" s="51">
        <v>17.899999999999999</v>
      </c>
      <c r="H26" s="51">
        <v>6.28</v>
      </c>
      <c r="I26" s="51">
        <v>3.84</v>
      </c>
      <c r="J26" s="51">
        <v>0.56000000000000005</v>
      </c>
      <c r="K26" s="51">
        <v>315.58</v>
      </c>
      <c r="L26" s="51">
        <v>26.64</v>
      </c>
      <c r="M26" s="51">
        <v>98.03</v>
      </c>
      <c r="N26" s="51">
        <v>61.2</v>
      </c>
      <c r="O26" s="51">
        <v>0.2</v>
      </c>
      <c r="P26" s="51">
        <v>0.39</v>
      </c>
      <c r="Q26" s="51">
        <v>4.6500000000000004</v>
      </c>
    </row>
    <row r="27" spans="1:17" customFormat="1">
      <c r="A27" s="50">
        <v>45474.791666666664</v>
      </c>
      <c r="B27" s="51">
        <v>9.2200000000000006</v>
      </c>
      <c r="C27" s="51">
        <v>4.08</v>
      </c>
      <c r="D27" s="51">
        <v>13.97</v>
      </c>
      <c r="E27" s="51">
        <v>9.1999999999999993</v>
      </c>
      <c r="F27" s="51">
        <v>10.56</v>
      </c>
      <c r="G27" s="51">
        <v>16.940000000000001</v>
      </c>
      <c r="H27" s="51">
        <v>5.6</v>
      </c>
      <c r="I27" s="51">
        <v>3.75</v>
      </c>
      <c r="J27" s="51">
        <v>0.41</v>
      </c>
      <c r="K27" s="51">
        <v>255.56</v>
      </c>
      <c r="L27" s="51">
        <v>26.63</v>
      </c>
      <c r="M27" s="51">
        <v>97.55</v>
      </c>
      <c r="N27" s="51">
        <v>18.2</v>
      </c>
      <c r="O27" s="51">
        <v>0</v>
      </c>
      <c r="P27" s="51">
        <v>0.34</v>
      </c>
      <c r="Q27" s="51">
        <v>4.63</v>
      </c>
    </row>
    <row r="28" spans="1:17" customFormat="1">
      <c r="A28" s="50">
        <v>45474.833333333336</v>
      </c>
      <c r="B28" s="51">
        <v>9.2100000000000009</v>
      </c>
      <c r="C28" s="51">
        <v>4.0999999999999996</v>
      </c>
      <c r="D28" s="51">
        <v>13.96</v>
      </c>
      <c r="E28" s="51">
        <v>9.65</v>
      </c>
      <c r="F28" s="51">
        <v>6.33</v>
      </c>
      <c r="G28" s="51">
        <v>16.940000000000001</v>
      </c>
      <c r="H28" s="51">
        <v>5</v>
      </c>
      <c r="I28" s="51">
        <v>3.69</v>
      </c>
      <c r="J28" s="51">
        <v>0.35</v>
      </c>
      <c r="K28" s="51">
        <v>248.87</v>
      </c>
      <c r="L28" s="51">
        <v>26.51</v>
      </c>
      <c r="M28" s="51">
        <v>95.6</v>
      </c>
      <c r="N28" s="51">
        <v>2.8</v>
      </c>
      <c r="O28" s="51">
        <v>0</v>
      </c>
      <c r="P28" s="51">
        <v>0.32</v>
      </c>
      <c r="Q28" s="51">
        <v>4.6399999999999997</v>
      </c>
    </row>
    <row r="29" spans="1:17" customFormat="1">
      <c r="A29" s="50">
        <v>45474.875</v>
      </c>
      <c r="B29" s="51">
        <v>9.1999999999999993</v>
      </c>
      <c r="C29" s="51">
        <v>4.1100000000000003</v>
      </c>
      <c r="D29" s="51">
        <v>13.97</v>
      </c>
      <c r="E29" s="51">
        <v>10.15</v>
      </c>
      <c r="F29" s="51">
        <v>5.48</v>
      </c>
      <c r="G29" s="51">
        <v>13.78</v>
      </c>
      <c r="H29" s="51">
        <v>5.0999999999999996</v>
      </c>
      <c r="I29" s="51">
        <v>3.55</v>
      </c>
      <c r="J29" s="51">
        <v>0.33</v>
      </c>
      <c r="K29" s="51">
        <v>244.56</v>
      </c>
      <c r="L29" s="51">
        <v>26.54</v>
      </c>
      <c r="M29" s="51">
        <v>95.25</v>
      </c>
      <c r="N29" s="51">
        <v>2.7</v>
      </c>
      <c r="O29" s="51">
        <v>0</v>
      </c>
      <c r="P29" s="51">
        <v>0.31</v>
      </c>
      <c r="Q29" s="51">
        <v>4.6500000000000004</v>
      </c>
    </row>
    <row r="30" spans="1:17" customFormat="1">
      <c r="A30" s="50">
        <v>45474.916666666664</v>
      </c>
      <c r="B30" s="51">
        <v>9.19</v>
      </c>
      <c r="C30" s="51">
        <v>4.08</v>
      </c>
      <c r="D30" s="51">
        <v>13.93</v>
      </c>
      <c r="E30" s="51">
        <v>11.07</v>
      </c>
      <c r="F30" s="51">
        <v>4.54</v>
      </c>
      <c r="G30" s="51">
        <v>15.77</v>
      </c>
      <c r="H30" s="51">
        <v>5.0999999999999996</v>
      </c>
      <c r="I30" s="51">
        <v>3.55</v>
      </c>
      <c r="J30" s="51">
        <v>0.22</v>
      </c>
      <c r="K30" s="51">
        <v>250.52</v>
      </c>
      <c r="L30" s="51">
        <v>26.43</v>
      </c>
      <c r="M30" s="51">
        <v>96.64</v>
      </c>
      <c r="N30" s="51">
        <v>2.4</v>
      </c>
      <c r="O30" s="51">
        <v>0</v>
      </c>
      <c r="P30" s="51">
        <v>0.31</v>
      </c>
      <c r="Q30" s="51">
        <v>4.6500000000000004</v>
      </c>
    </row>
    <row r="31" spans="1:17" customFormat="1">
      <c r="A31" s="50">
        <v>45474.958333333336</v>
      </c>
      <c r="B31" s="51">
        <v>9.18</v>
      </c>
      <c r="C31" s="51">
        <v>4.09</v>
      </c>
      <c r="D31" s="51">
        <v>13.94</v>
      </c>
      <c r="E31" s="51">
        <v>11.52</v>
      </c>
      <c r="F31" s="51">
        <v>5.4</v>
      </c>
      <c r="G31" s="51">
        <v>16.059999999999999</v>
      </c>
      <c r="H31" s="51">
        <v>7.23</v>
      </c>
      <c r="I31" s="51">
        <v>3.54</v>
      </c>
      <c r="J31" s="51">
        <v>0.34</v>
      </c>
      <c r="K31" s="51">
        <v>254.95</v>
      </c>
      <c r="L31" s="51">
        <v>26.67</v>
      </c>
      <c r="M31" s="51">
        <v>95.42</v>
      </c>
      <c r="N31" s="51">
        <v>2.1</v>
      </c>
      <c r="O31" s="51">
        <v>0</v>
      </c>
      <c r="P31" s="51">
        <v>0.32</v>
      </c>
      <c r="Q31" s="51">
        <v>4.6500000000000004</v>
      </c>
    </row>
    <row r="32" spans="1:17" customFormat="1">
      <c r="A32" s="50">
        <v>45475</v>
      </c>
      <c r="B32" s="51">
        <v>9.1999999999999993</v>
      </c>
      <c r="C32" s="51">
        <v>4.09</v>
      </c>
      <c r="D32" s="51">
        <v>13.95</v>
      </c>
      <c r="E32" s="51">
        <v>11.95</v>
      </c>
      <c r="F32" s="51">
        <v>9.69</v>
      </c>
      <c r="G32" s="51">
        <v>17.190000000000001</v>
      </c>
      <c r="H32" s="51">
        <v>7.23</v>
      </c>
      <c r="I32" s="51">
        <v>3.26</v>
      </c>
      <c r="J32" s="51">
        <v>0.39</v>
      </c>
      <c r="K32" s="51">
        <v>257.36</v>
      </c>
      <c r="L32" s="51">
        <v>26.83</v>
      </c>
      <c r="M32" s="51">
        <v>93.68</v>
      </c>
      <c r="N32" s="51">
        <v>2.2000000000000002</v>
      </c>
      <c r="O32" s="51">
        <v>0</v>
      </c>
      <c r="P32" s="51">
        <v>0.33</v>
      </c>
      <c r="Q32" s="51">
        <v>4.6399999999999997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9.18</v>
      </c>
      <c r="C34" s="41">
        <f t="shared" si="0"/>
        <v>4.0599999999999996</v>
      </c>
      <c r="D34" s="41">
        <f t="shared" si="0"/>
        <v>13.93</v>
      </c>
      <c r="E34" s="41">
        <f t="shared" si="0"/>
        <v>6.08</v>
      </c>
      <c r="F34" s="41">
        <f t="shared" si="0"/>
        <v>4.1399999999999997</v>
      </c>
      <c r="G34" s="41">
        <f t="shared" si="0"/>
        <v>8.35</v>
      </c>
      <c r="H34" s="41">
        <f t="shared" si="0"/>
        <v>2.87</v>
      </c>
      <c r="I34" s="41">
        <f t="shared" si="0"/>
        <v>2.8</v>
      </c>
      <c r="J34" s="41">
        <f t="shared" si="0"/>
        <v>0.12</v>
      </c>
      <c r="K34" s="41">
        <f t="shared" si="0"/>
        <v>244.56</v>
      </c>
      <c r="L34" s="41">
        <f t="shared" si="0"/>
        <v>25.82</v>
      </c>
      <c r="M34" s="41">
        <f t="shared" si="0"/>
        <v>79.02</v>
      </c>
      <c r="N34" s="41">
        <f t="shared" si="0"/>
        <v>2.1</v>
      </c>
      <c r="O34" s="41">
        <f t="shared" si="0"/>
        <v>0</v>
      </c>
      <c r="P34" s="41">
        <f t="shared" si="0"/>
        <v>0.26</v>
      </c>
      <c r="Q34" s="41">
        <f t="shared" si="0"/>
        <v>4.62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9.2799999999999994</v>
      </c>
      <c r="C35" s="33">
        <f t="shared" si="1"/>
        <v>4.1500000000000004</v>
      </c>
      <c r="D35" s="33">
        <f t="shared" si="1"/>
        <v>14.02</v>
      </c>
      <c r="E35" s="33">
        <f t="shared" si="1"/>
        <v>11.95</v>
      </c>
      <c r="F35" s="33">
        <f t="shared" si="1"/>
        <v>13.77</v>
      </c>
      <c r="G35" s="33">
        <f t="shared" si="1"/>
        <v>17.899999999999999</v>
      </c>
      <c r="H35" s="33">
        <f t="shared" si="1"/>
        <v>8.3000000000000007</v>
      </c>
      <c r="I35" s="33">
        <f t="shared" si="1"/>
        <v>4.8499999999999996</v>
      </c>
      <c r="J35" s="33">
        <f t="shared" si="1"/>
        <v>1.4</v>
      </c>
      <c r="K35" s="33">
        <f t="shared" si="1"/>
        <v>315.58</v>
      </c>
      <c r="L35" s="33">
        <f t="shared" si="1"/>
        <v>29.89</v>
      </c>
      <c r="M35" s="33">
        <f t="shared" si="1"/>
        <v>101.9</v>
      </c>
      <c r="N35" s="33">
        <f t="shared" si="1"/>
        <v>371.2</v>
      </c>
      <c r="O35" s="33">
        <f t="shared" si="1"/>
        <v>1.2</v>
      </c>
      <c r="P35" s="33">
        <f t="shared" si="1"/>
        <v>0.4</v>
      </c>
      <c r="Q35" s="33">
        <f t="shared" si="1"/>
        <v>4.66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9.2208333333333332</v>
      </c>
      <c r="C36" s="41">
        <f t="shared" si="2"/>
        <v>4.0895833333333327</v>
      </c>
      <c r="D36" s="41">
        <f t="shared" si="2"/>
        <v>13.972499999999998</v>
      </c>
      <c r="E36" s="41">
        <f t="shared" si="2"/>
        <v>9.0074999999999985</v>
      </c>
      <c r="F36" s="41">
        <f t="shared" si="2"/>
        <v>7.0354166666666664</v>
      </c>
      <c r="G36" s="41">
        <f t="shared" si="2"/>
        <v>13.096666666666664</v>
      </c>
      <c r="H36" s="41">
        <f t="shared" si="2"/>
        <v>5.4316666666666649</v>
      </c>
      <c r="I36" s="41">
        <f t="shared" si="2"/>
        <v>3.5679166666666657</v>
      </c>
      <c r="J36" s="41">
        <f t="shared" si="2"/>
        <v>0.78791666666666671</v>
      </c>
      <c r="K36" s="41">
        <f t="shared" si="2"/>
        <v>266.65083333333337</v>
      </c>
      <c r="L36" s="41">
        <f t="shared" si="2"/>
        <v>27.295833333333331</v>
      </c>
      <c r="M36" s="41">
        <f t="shared" si="2"/>
        <v>91.125416666666652</v>
      </c>
      <c r="N36" s="41">
        <f t="shared" si="2"/>
        <v>87.470833333333303</v>
      </c>
      <c r="O36" s="41">
        <f t="shared" si="2"/>
        <v>5.8333333333333327E-2</v>
      </c>
      <c r="P36" s="41">
        <f t="shared" si="2"/>
        <v>0.31916666666666665</v>
      </c>
      <c r="Q36" s="41">
        <f t="shared" si="2"/>
        <v>4.6437500000000007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2.4301845817652025E-2</v>
      </c>
      <c r="C37" s="41">
        <f t="shared" ref="C37:Q37" si="3">STDEV(C9:C32)</f>
        <v>2.0531876948162782E-2</v>
      </c>
      <c r="D37" s="41">
        <f t="shared" si="3"/>
        <v>2.4539232120086497E-2</v>
      </c>
      <c r="E37" s="41">
        <f t="shared" si="3"/>
        <v>1.5408276996471832</v>
      </c>
      <c r="F37" s="41">
        <f t="shared" si="3"/>
        <v>2.7303240437827099</v>
      </c>
      <c r="G37" s="41">
        <f t="shared" si="3"/>
        <v>3.5878583495216096</v>
      </c>
      <c r="H37" s="41">
        <f t="shared" si="3"/>
        <v>1.5151199311596184</v>
      </c>
      <c r="I37" s="41">
        <f t="shared" si="3"/>
        <v>0.44508894242238189</v>
      </c>
      <c r="J37" s="41">
        <f t="shared" si="3"/>
        <v>0.3851140900030024</v>
      </c>
      <c r="K37" s="41">
        <f t="shared" si="3"/>
        <v>15.114874596170504</v>
      </c>
      <c r="L37" s="41">
        <f t="shared" si="3"/>
        <v>1.514839399341485</v>
      </c>
      <c r="M37" s="41">
        <f t="shared" si="3"/>
        <v>7.0274690720037869</v>
      </c>
      <c r="N37" s="41">
        <f t="shared" si="3"/>
        <v>114.14337848271919</v>
      </c>
      <c r="O37" s="41">
        <f t="shared" si="3"/>
        <v>0.24657068246098393</v>
      </c>
      <c r="P37" s="41">
        <f t="shared" si="3"/>
        <v>3.693904104904764E-2</v>
      </c>
      <c r="Q37" s="41">
        <f t="shared" si="3"/>
        <v>1.013495887038279E-2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12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45475.041666666664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45475.041666666664</v>
      </c>
      <c r="B9" s="51">
        <v>9.31</v>
      </c>
      <c r="C9" s="51">
        <v>4.13</v>
      </c>
      <c r="D9" s="51">
        <v>14.07</v>
      </c>
      <c r="E9" s="51">
        <v>10.15</v>
      </c>
      <c r="F9" s="51">
        <v>10.92</v>
      </c>
      <c r="G9" s="51">
        <v>17.190000000000001</v>
      </c>
      <c r="H9" s="51">
        <v>6.36</v>
      </c>
      <c r="I9" s="51">
        <v>2.93</v>
      </c>
      <c r="J9" s="51">
        <v>0.56999999999999995</v>
      </c>
      <c r="K9" s="51">
        <v>262.89</v>
      </c>
      <c r="L9" s="51">
        <v>26.99</v>
      </c>
      <c r="M9" s="51">
        <v>92.5</v>
      </c>
      <c r="N9" s="51">
        <v>2.1</v>
      </c>
      <c r="O9" s="51">
        <v>0</v>
      </c>
      <c r="P9" s="51">
        <v>0.28999999999999998</v>
      </c>
      <c r="Q9" s="51">
        <v>4.66</v>
      </c>
    </row>
    <row r="10" spans="1:21" customFormat="1">
      <c r="A10" s="50">
        <v>45475.083333333336</v>
      </c>
      <c r="B10" s="51">
        <v>9.32</v>
      </c>
      <c r="C10" s="51">
        <v>4.0999999999999996</v>
      </c>
      <c r="D10" s="51">
        <v>14.05</v>
      </c>
      <c r="E10" s="51">
        <v>10.039999999999999</v>
      </c>
      <c r="F10" s="51">
        <v>10.78</v>
      </c>
      <c r="G10" s="51">
        <v>15.06</v>
      </c>
      <c r="H10" s="51">
        <v>4.5599999999999996</v>
      </c>
      <c r="I10" s="51">
        <v>2.85</v>
      </c>
      <c r="J10" s="51">
        <v>1.07</v>
      </c>
      <c r="K10" s="51">
        <v>260.29000000000002</v>
      </c>
      <c r="L10" s="51">
        <v>27.06</v>
      </c>
      <c r="M10" s="51">
        <v>89.41</v>
      </c>
      <c r="N10" s="51">
        <v>2.6</v>
      </c>
      <c r="O10" s="51">
        <v>0</v>
      </c>
      <c r="P10" s="51">
        <v>0.28000000000000003</v>
      </c>
      <c r="Q10" s="51">
        <v>4.6500000000000004</v>
      </c>
    </row>
    <row r="11" spans="1:21" customFormat="1">
      <c r="A11" s="50">
        <v>45475.125</v>
      </c>
      <c r="B11" s="51">
        <v>9.3000000000000007</v>
      </c>
      <c r="C11" s="51">
        <v>4.09</v>
      </c>
      <c r="D11" s="51">
        <v>14.04</v>
      </c>
      <c r="E11" s="51">
        <v>7.65</v>
      </c>
      <c r="F11" s="51">
        <v>5.9</v>
      </c>
      <c r="G11" s="51">
        <v>15.06</v>
      </c>
      <c r="H11" s="51">
        <v>3.84</v>
      </c>
      <c r="I11" s="51">
        <v>2.9</v>
      </c>
      <c r="J11" s="51">
        <v>1.38</v>
      </c>
      <c r="K11" s="51">
        <v>262.99</v>
      </c>
      <c r="L11" s="51">
        <v>26.56</v>
      </c>
      <c r="M11" s="51">
        <v>86.55</v>
      </c>
      <c r="N11" s="51">
        <v>2.7</v>
      </c>
      <c r="O11" s="51">
        <v>0</v>
      </c>
      <c r="P11" s="51">
        <v>0.28000000000000003</v>
      </c>
      <c r="Q11" s="51">
        <v>4.66</v>
      </c>
    </row>
    <row r="12" spans="1:21" customFormat="1">
      <c r="A12" s="50">
        <v>45475.166666666664</v>
      </c>
      <c r="B12" s="51">
        <v>9.32</v>
      </c>
      <c r="C12" s="51">
        <v>4.09</v>
      </c>
      <c r="D12" s="51">
        <v>14.05</v>
      </c>
      <c r="E12" s="51">
        <v>7.12</v>
      </c>
      <c r="F12" s="51">
        <v>6.56</v>
      </c>
      <c r="G12" s="51">
        <v>13.68</v>
      </c>
      <c r="H12" s="51">
        <v>4.78</v>
      </c>
      <c r="I12" s="51">
        <v>2.84</v>
      </c>
      <c r="J12" s="51">
        <v>1.06</v>
      </c>
      <c r="K12" s="51">
        <v>264.10000000000002</v>
      </c>
      <c r="L12" s="51">
        <v>25.76</v>
      </c>
      <c r="M12" s="51">
        <v>87.7</v>
      </c>
      <c r="N12" s="51">
        <v>2.5</v>
      </c>
      <c r="O12" s="51">
        <v>0</v>
      </c>
      <c r="P12" s="51">
        <v>0.26</v>
      </c>
      <c r="Q12" s="51">
        <v>4.6399999999999997</v>
      </c>
    </row>
    <row r="13" spans="1:21" customFormat="1">
      <c r="A13" s="50">
        <v>45475.208333333336</v>
      </c>
      <c r="B13" s="51">
        <v>9.31</v>
      </c>
      <c r="C13" s="51">
        <v>4.1100000000000003</v>
      </c>
      <c r="D13" s="51">
        <v>14.05</v>
      </c>
      <c r="E13" s="51">
        <v>7.8</v>
      </c>
      <c r="F13" s="51">
        <v>4.29</v>
      </c>
      <c r="G13" s="51">
        <v>11.6</v>
      </c>
      <c r="H13" s="51">
        <v>5.47</v>
      </c>
      <c r="I13" s="51">
        <v>2.66</v>
      </c>
      <c r="J13" s="51">
        <v>0.83</v>
      </c>
      <c r="K13" s="51">
        <v>264.47000000000003</v>
      </c>
      <c r="L13" s="51">
        <v>25.19</v>
      </c>
      <c r="M13" s="51">
        <v>91.87</v>
      </c>
      <c r="N13" s="51">
        <v>2.2999999999999998</v>
      </c>
      <c r="O13" s="51">
        <v>0</v>
      </c>
      <c r="P13" s="51">
        <v>0.26</v>
      </c>
      <c r="Q13" s="51">
        <v>4.6399999999999997</v>
      </c>
    </row>
    <row r="14" spans="1:21" customFormat="1">
      <c r="A14" s="50">
        <v>45475.25</v>
      </c>
      <c r="B14" s="51">
        <v>9.31</v>
      </c>
      <c r="C14" s="51">
        <v>4.09</v>
      </c>
      <c r="D14" s="51">
        <v>14.04</v>
      </c>
      <c r="E14" s="51">
        <v>8.4600000000000009</v>
      </c>
      <c r="F14" s="51">
        <v>4.96</v>
      </c>
      <c r="G14" s="51">
        <v>8.18</v>
      </c>
      <c r="H14" s="51">
        <v>5.47</v>
      </c>
      <c r="I14" s="51">
        <v>2.61</v>
      </c>
      <c r="J14" s="51">
        <v>0.59</v>
      </c>
      <c r="K14" s="51">
        <v>263.98</v>
      </c>
      <c r="L14" s="51">
        <v>25.17</v>
      </c>
      <c r="M14" s="51">
        <v>91.24</v>
      </c>
      <c r="N14" s="51">
        <v>14</v>
      </c>
      <c r="O14" s="51">
        <v>0</v>
      </c>
      <c r="P14" s="51">
        <v>0.25</v>
      </c>
      <c r="Q14" s="51">
        <v>4.6500000000000004</v>
      </c>
    </row>
    <row r="15" spans="1:21" customFormat="1">
      <c r="A15" s="50">
        <v>45475.291666666664</v>
      </c>
      <c r="B15" s="51">
        <v>9.31</v>
      </c>
      <c r="C15" s="51">
        <v>4.0999999999999996</v>
      </c>
      <c r="D15" s="51">
        <v>14.06</v>
      </c>
      <c r="E15" s="51">
        <v>9.17</v>
      </c>
      <c r="F15" s="51">
        <v>3.96</v>
      </c>
      <c r="G15" s="51">
        <v>7.11</v>
      </c>
      <c r="H15" s="51">
        <v>4.9000000000000004</v>
      </c>
      <c r="I15" s="51">
        <v>2.5499999999999998</v>
      </c>
      <c r="J15" s="51">
        <v>0.41</v>
      </c>
      <c r="K15" s="51">
        <v>258.67</v>
      </c>
      <c r="L15" s="51">
        <v>25.44</v>
      </c>
      <c r="M15" s="51">
        <v>92.3</v>
      </c>
      <c r="N15" s="51">
        <v>47.6</v>
      </c>
      <c r="O15" s="51">
        <v>0</v>
      </c>
      <c r="P15" s="51">
        <v>0.25</v>
      </c>
      <c r="Q15" s="51">
        <v>4.6399999999999997</v>
      </c>
    </row>
    <row r="16" spans="1:21" customFormat="1">
      <c r="A16" s="50">
        <v>45475.333333333336</v>
      </c>
      <c r="B16" s="51">
        <v>9.36</v>
      </c>
      <c r="C16" s="51">
        <v>4.09</v>
      </c>
      <c r="D16" s="51">
        <v>14.09</v>
      </c>
      <c r="E16" s="51">
        <v>9.93</v>
      </c>
      <c r="F16" s="51">
        <v>4.1500000000000004</v>
      </c>
      <c r="G16" s="51">
        <v>6.33</v>
      </c>
      <c r="H16" s="51">
        <v>4.9000000000000004</v>
      </c>
      <c r="I16" s="51">
        <v>2.74</v>
      </c>
      <c r="J16" s="51">
        <v>0.41</v>
      </c>
      <c r="K16" s="51">
        <v>256.27999999999997</v>
      </c>
      <c r="L16" s="51">
        <v>26</v>
      </c>
      <c r="M16" s="51">
        <v>92.72</v>
      </c>
      <c r="N16" s="51">
        <v>88.5</v>
      </c>
      <c r="O16" s="51">
        <v>0</v>
      </c>
      <c r="P16" s="51">
        <v>0.26</v>
      </c>
      <c r="Q16" s="51">
        <v>4.6399999999999997</v>
      </c>
    </row>
    <row r="17" spans="1:17" customFormat="1">
      <c r="A17" s="50">
        <v>45475.375</v>
      </c>
      <c r="B17" s="51">
        <v>9.39</v>
      </c>
      <c r="C17" s="51">
        <v>4.1100000000000003</v>
      </c>
      <c r="D17" s="51">
        <v>14.12</v>
      </c>
      <c r="E17" s="51">
        <v>10.039999999999999</v>
      </c>
      <c r="F17" s="51">
        <v>3.83</v>
      </c>
      <c r="G17" s="51">
        <v>9.4600000000000009</v>
      </c>
      <c r="H17" s="51">
        <v>4.26</v>
      </c>
      <c r="I17" s="51">
        <v>2.92</v>
      </c>
      <c r="J17" s="51">
        <v>0.47</v>
      </c>
      <c r="K17" s="51">
        <v>263.02</v>
      </c>
      <c r="L17" s="51">
        <v>26.92</v>
      </c>
      <c r="M17" s="51">
        <v>89.35</v>
      </c>
      <c r="N17" s="51">
        <v>157.5</v>
      </c>
      <c r="O17" s="51">
        <v>0</v>
      </c>
      <c r="P17" s="51">
        <v>0.28000000000000003</v>
      </c>
      <c r="Q17" s="51">
        <v>4.6500000000000004</v>
      </c>
    </row>
    <row r="18" spans="1:17" customFormat="1">
      <c r="A18" s="50">
        <v>45475.416666666664</v>
      </c>
      <c r="B18" s="51">
        <v>9.41</v>
      </c>
      <c r="C18" s="51">
        <v>4.07</v>
      </c>
      <c r="D18" s="51">
        <v>14.11</v>
      </c>
      <c r="E18" s="51">
        <v>9.99</v>
      </c>
      <c r="F18" s="51">
        <v>7.13</v>
      </c>
      <c r="G18" s="51">
        <v>13.57</v>
      </c>
      <c r="H18" s="51">
        <v>7.8</v>
      </c>
      <c r="I18" s="51">
        <v>2.99</v>
      </c>
      <c r="J18" s="51">
        <v>0.93</v>
      </c>
      <c r="K18" s="51">
        <v>258.77</v>
      </c>
      <c r="L18" s="51">
        <v>28.74</v>
      </c>
      <c r="M18" s="51">
        <v>87.19</v>
      </c>
      <c r="N18" s="51">
        <v>326.7</v>
      </c>
      <c r="O18" s="51">
        <v>0</v>
      </c>
      <c r="P18" s="51">
        <v>0.3</v>
      </c>
      <c r="Q18" s="51">
        <v>4.6100000000000003</v>
      </c>
    </row>
    <row r="19" spans="1:17" customFormat="1">
      <c r="A19" s="50">
        <v>45475.458333333336</v>
      </c>
      <c r="B19" s="51">
        <v>9.4499999999999993</v>
      </c>
      <c r="C19" s="51">
        <v>4.08</v>
      </c>
      <c r="D19" s="51">
        <v>14.15</v>
      </c>
      <c r="E19" s="51">
        <v>7.32</v>
      </c>
      <c r="F19" s="51">
        <v>15.81</v>
      </c>
      <c r="G19" s="51">
        <v>13.91</v>
      </c>
      <c r="H19" s="51">
        <v>7.8</v>
      </c>
      <c r="I19" s="51">
        <v>2.92</v>
      </c>
      <c r="J19" s="51">
        <v>1.1000000000000001</v>
      </c>
      <c r="K19" s="51">
        <v>264.77</v>
      </c>
      <c r="L19" s="51">
        <v>29.96</v>
      </c>
      <c r="M19" s="51">
        <v>79.39</v>
      </c>
      <c r="N19" s="51">
        <v>340.7</v>
      </c>
      <c r="O19" s="51">
        <v>0</v>
      </c>
      <c r="P19" s="51">
        <v>0.27</v>
      </c>
      <c r="Q19" s="51">
        <v>4.6500000000000004</v>
      </c>
    </row>
    <row r="20" spans="1:17" customFormat="1">
      <c r="A20" s="50">
        <v>45475.5</v>
      </c>
      <c r="B20" s="51">
        <v>9.43</v>
      </c>
      <c r="C20" s="51">
        <v>4.08</v>
      </c>
      <c r="D20" s="51">
        <v>14.14</v>
      </c>
      <c r="E20" s="51">
        <v>5.91</v>
      </c>
      <c r="F20" s="51">
        <v>16.64</v>
      </c>
      <c r="G20" s="51">
        <v>13.91</v>
      </c>
      <c r="H20" s="51">
        <v>5.28</v>
      </c>
      <c r="I20" s="51">
        <v>2.73</v>
      </c>
      <c r="J20" s="51">
        <v>1.35</v>
      </c>
      <c r="K20" s="51">
        <v>272.10000000000002</v>
      </c>
      <c r="L20" s="51">
        <v>31.08</v>
      </c>
      <c r="M20" s="51">
        <v>74.2</v>
      </c>
      <c r="N20" s="51">
        <v>772.6</v>
      </c>
      <c r="O20" s="51">
        <v>0</v>
      </c>
      <c r="P20" s="51">
        <v>0.27</v>
      </c>
      <c r="Q20" s="51">
        <v>4.6500000000000004</v>
      </c>
    </row>
    <row r="21" spans="1:17" customFormat="1">
      <c r="A21" s="50">
        <v>45475.541666666664</v>
      </c>
      <c r="B21" s="51">
        <v>9.44</v>
      </c>
      <c r="C21" s="51">
        <v>4.1100000000000003</v>
      </c>
      <c r="D21" s="51">
        <v>14.16</v>
      </c>
      <c r="E21" s="51">
        <v>5.81</v>
      </c>
      <c r="F21" s="51">
        <v>17.39</v>
      </c>
      <c r="G21" s="11" t="s">
        <v>12</v>
      </c>
      <c r="H21" s="11" t="s">
        <v>12</v>
      </c>
      <c r="I21" s="51">
        <v>2.04</v>
      </c>
      <c r="J21" s="51">
        <v>1.29</v>
      </c>
      <c r="K21" s="51">
        <v>278.56</v>
      </c>
      <c r="L21" s="51">
        <v>31.22</v>
      </c>
      <c r="M21" s="51">
        <v>72.23</v>
      </c>
      <c r="N21" s="51">
        <v>413</v>
      </c>
      <c r="O21" s="51">
        <v>0</v>
      </c>
      <c r="P21" s="51">
        <v>0.34</v>
      </c>
      <c r="Q21" s="51">
        <v>4.6399999999999997</v>
      </c>
    </row>
    <row r="22" spans="1:17" customFormat="1">
      <c r="A22" s="50">
        <v>45475.583333333336</v>
      </c>
      <c r="B22" s="51">
        <v>9.4</v>
      </c>
      <c r="C22" s="51">
        <v>4.12</v>
      </c>
      <c r="D22" s="51">
        <v>14.14</v>
      </c>
      <c r="E22" s="51">
        <v>5.67</v>
      </c>
      <c r="F22" s="51">
        <v>21.65</v>
      </c>
      <c r="G22" s="11" t="s">
        <v>12</v>
      </c>
      <c r="H22" s="11" t="s">
        <v>12</v>
      </c>
      <c r="I22" s="51">
        <v>2.4</v>
      </c>
      <c r="J22" s="51">
        <v>1.24</v>
      </c>
      <c r="K22" s="51">
        <v>265.36</v>
      </c>
      <c r="L22" s="51">
        <v>30.78</v>
      </c>
      <c r="M22" s="51">
        <v>69.430000000000007</v>
      </c>
      <c r="N22" s="51">
        <v>298.3</v>
      </c>
      <c r="O22" s="51">
        <v>0</v>
      </c>
      <c r="P22" s="51">
        <v>0.31</v>
      </c>
      <c r="Q22" s="51">
        <v>4.6500000000000004</v>
      </c>
    </row>
    <row r="23" spans="1:17" customFormat="1">
      <c r="A23" s="50">
        <v>45475.625</v>
      </c>
      <c r="B23" s="51">
        <v>9.48</v>
      </c>
      <c r="C23" s="51">
        <v>4.08</v>
      </c>
      <c r="D23" s="51">
        <v>14.18</v>
      </c>
      <c r="E23" s="51">
        <v>6.94</v>
      </c>
      <c r="F23" s="51">
        <v>20.68</v>
      </c>
      <c r="G23" s="11" t="s">
        <v>12</v>
      </c>
      <c r="H23" s="11" t="s">
        <v>12</v>
      </c>
      <c r="I23" s="51">
        <v>2.2400000000000002</v>
      </c>
      <c r="J23" s="51">
        <v>1.26</v>
      </c>
      <c r="K23" s="51">
        <v>282.69</v>
      </c>
      <c r="L23" s="51">
        <v>30.88</v>
      </c>
      <c r="M23" s="51">
        <v>70.3</v>
      </c>
      <c r="N23" s="51">
        <v>185.6</v>
      </c>
      <c r="O23" s="51">
        <v>0</v>
      </c>
      <c r="P23" s="51">
        <v>0.23</v>
      </c>
      <c r="Q23" s="51">
        <v>4.66</v>
      </c>
    </row>
    <row r="24" spans="1:17" customFormat="1">
      <c r="A24" s="50">
        <v>45475.666666666664</v>
      </c>
      <c r="B24" s="51">
        <v>9.43</v>
      </c>
      <c r="C24" s="51">
        <v>4.0999999999999996</v>
      </c>
      <c r="D24" s="51">
        <v>14.15</v>
      </c>
      <c r="E24" s="51">
        <v>7.86</v>
      </c>
      <c r="F24" s="51">
        <v>7.28</v>
      </c>
      <c r="G24" s="51">
        <v>27.11</v>
      </c>
      <c r="H24" s="51">
        <v>0.28000000000000003</v>
      </c>
      <c r="I24" s="51">
        <v>2.37</v>
      </c>
      <c r="J24" s="51">
        <v>1.1000000000000001</v>
      </c>
      <c r="K24" s="51">
        <v>269.57</v>
      </c>
      <c r="L24" s="51">
        <v>30.32</v>
      </c>
      <c r="M24" s="51">
        <v>73.989999999999995</v>
      </c>
      <c r="N24" s="51">
        <v>131.30000000000001</v>
      </c>
      <c r="O24" s="51">
        <v>0</v>
      </c>
      <c r="P24" s="51">
        <v>0.24</v>
      </c>
      <c r="Q24" s="51">
        <v>4.66</v>
      </c>
    </row>
    <row r="25" spans="1:17" customFormat="1">
      <c r="A25" s="50">
        <v>45475.708333333336</v>
      </c>
      <c r="B25" s="51">
        <v>9.39</v>
      </c>
      <c r="C25" s="51">
        <v>4.09</v>
      </c>
      <c r="D25" s="51">
        <v>14.11</v>
      </c>
      <c r="E25" s="51">
        <v>8.7899999999999991</v>
      </c>
      <c r="F25" s="51">
        <v>6.27</v>
      </c>
      <c r="G25" s="51">
        <v>25.51</v>
      </c>
      <c r="H25" s="51">
        <v>4.04</v>
      </c>
      <c r="I25" s="51">
        <v>2.57</v>
      </c>
      <c r="J25" s="51">
        <v>0.72</v>
      </c>
      <c r="K25" s="51">
        <v>266.31</v>
      </c>
      <c r="L25" s="51">
        <v>30.22</v>
      </c>
      <c r="M25" s="51">
        <v>75.819999999999993</v>
      </c>
      <c r="N25" s="51">
        <v>126.6</v>
      </c>
      <c r="O25" s="51">
        <v>0</v>
      </c>
      <c r="P25" s="51">
        <v>0.25</v>
      </c>
      <c r="Q25" s="51">
        <v>4.66</v>
      </c>
    </row>
    <row r="26" spans="1:17" customFormat="1">
      <c r="A26" s="50">
        <v>45475.75</v>
      </c>
      <c r="B26" s="51">
        <v>9.39</v>
      </c>
      <c r="C26" s="51">
        <v>4.0999999999999996</v>
      </c>
      <c r="D26" s="51">
        <v>14.12</v>
      </c>
      <c r="E26" s="51">
        <v>9.1999999999999993</v>
      </c>
      <c r="F26" s="51">
        <v>5.78</v>
      </c>
      <c r="G26" s="51">
        <v>23.01</v>
      </c>
      <c r="H26" s="51">
        <v>4.04</v>
      </c>
      <c r="I26" s="51">
        <v>2.69</v>
      </c>
      <c r="J26" s="51">
        <v>0.74</v>
      </c>
      <c r="K26" s="51">
        <v>305.42</v>
      </c>
      <c r="L26" s="51">
        <v>28.95</v>
      </c>
      <c r="M26" s="51">
        <v>91.92</v>
      </c>
      <c r="N26" s="51">
        <v>36</v>
      </c>
      <c r="O26" s="51">
        <v>0.4</v>
      </c>
      <c r="P26" s="51">
        <v>0.28999999999999998</v>
      </c>
      <c r="Q26" s="51">
        <v>4.66</v>
      </c>
    </row>
    <row r="27" spans="1:17" customFormat="1">
      <c r="A27" s="50">
        <v>45475.791666666664</v>
      </c>
      <c r="B27" s="51">
        <v>9.3800000000000008</v>
      </c>
      <c r="C27" s="51">
        <v>4.0999999999999996</v>
      </c>
      <c r="D27" s="51">
        <v>14.12</v>
      </c>
      <c r="E27" s="51">
        <v>8.09</v>
      </c>
      <c r="F27" s="51">
        <v>5.07</v>
      </c>
      <c r="G27" s="51">
        <v>23.01</v>
      </c>
      <c r="H27" s="51">
        <v>4.0199999999999996</v>
      </c>
      <c r="I27" s="51">
        <v>3.35</v>
      </c>
      <c r="J27" s="51">
        <v>0.4</v>
      </c>
      <c r="K27" s="51">
        <v>266.86</v>
      </c>
      <c r="L27" s="51">
        <v>26.62</v>
      </c>
      <c r="M27" s="51">
        <v>95.54</v>
      </c>
      <c r="N27" s="51">
        <v>14.7</v>
      </c>
      <c r="O27" s="51">
        <v>0</v>
      </c>
      <c r="P27" s="51">
        <v>0.44</v>
      </c>
      <c r="Q27" s="51">
        <v>4.6500000000000004</v>
      </c>
    </row>
    <row r="28" spans="1:17" customFormat="1">
      <c r="A28" s="50">
        <v>45475.833333333336</v>
      </c>
      <c r="B28" s="51">
        <v>9.33</v>
      </c>
      <c r="C28" s="51">
        <v>4.0999999999999996</v>
      </c>
      <c r="D28" s="51">
        <v>14.06</v>
      </c>
      <c r="E28" s="51">
        <v>7.47</v>
      </c>
      <c r="F28" s="51">
        <v>5.3</v>
      </c>
      <c r="G28" s="51">
        <v>21.54</v>
      </c>
      <c r="H28" s="51">
        <v>4.3499999999999996</v>
      </c>
      <c r="I28" s="51">
        <v>4.38</v>
      </c>
      <c r="J28" s="51">
        <v>0.24</v>
      </c>
      <c r="K28" s="51">
        <v>182.71</v>
      </c>
      <c r="L28" s="51">
        <v>26.8</v>
      </c>
      <c r="M28" s="51">
        <v>98.54</v>
      </c>
      <c r="N28" s="51">
        <v>2.2999999999999998</v>
      </c>
      <c r="O28" s="51">
        <v>0</v>
      </c>
      <c r="P28" s="51">
        <v>0.49</v>
      </c>
      <c r="Q28" s="51">
        <v>4.66</v>
      </c>
    </row>
    <row r="29" spans="1:17" customFormat="1">
      <c r="A29" s="50">
        <v>45475.875</v>
      </c>
      <c r="B29" s="51">
        <v>9.26</v>
      </c>
      <c r="C29" s="51">
        <v>4.08</v>
      </c>
      <c r="D29" s="51">
        <v>14</v>
      </c>
      <c r="E29" s="51">
        <v>7.02</v>
      </c>
      <c r="F29" s="51">
        <v>5.47</v>
      </c>
      <c r="G29" s="51">
        <v>21.78</v>
      </c>
      <c r="H29" s="51">
        <v>4.91</v>
      </c>
      <c r="I29" s="51">
        <v>5.04</v>
      </c>
      <c r="J29" s="51">
        <v>0.2</v>
      </c>
      <c r="K29" s="51">
        <v>238.72</v>
      </c>
      <c r="L29" s="51">
        <v>26.84</v>
      </c>
      <c r="M29" s="51">
        <v>98.5</v>
      </c>
      <c r="N29" s="51">
        <v>2.4</v>
      </c>
      <c r="O29" s="51">
        <v>0</v>
      </c>
      <c r="P29" s="51">
        <v>0.53</v>
      </c>
      <c r="Q29" s="51">
        <v>4.66</v>
      </c>
    </row>
    <row r="30" spans="1:17" customFormat="1">
      <c r="A30" s="50">
        <v>45475.916666666664</v>
      </c>
      <c r="B30" s="51">
        <v>9.27</v>
      </c>
      <c r="C30" s="51">
        <v>4.08</v>
      </c>
      <c r="D30" s="51">
        <v>14.01</v>
      </c>
      <c r="E30" s="51">
        <v>6.63</v>
      </c>
      <c r="F30" s="51">
        <v>8.1300000000000008</v>
      </c>
      <c r="G30" s="51">
        <v>21.78</v>
      </c>
      <c r="H30" s="51">
        <v>6.19</v>
      </c>
      <c r="I30" s="51">
        <v>5.53</v>
      </c>
      <c r="J30" s="51">
        <v>0.36</v>
      </c>
      <c r="K30" s="51">
        <v>249.27</v>
      </c>
      <c r="L30" s="51">
        <v>26.84</v>
      </c>
      <c r="M30" s="51">
        <v>95.37</v>
      </c>
      <c r="N30" s="51">
        <v>3</v>
      </c>
      <c r="O30" s="51">
        <v>0</v>
      </c>
      <c r="P30" s="51">
        <v>0.48</v>
      </c>
      <c r="Q30" s="51">
        <v>4.66</v>
      </c>
    </row>
    <row r="31" spans="1:17" customFormat="1">
      <c r="A31" s="50">
        <v>45475.958333333336</v>
      </c>
      <c r="B31" s="51">
        <v>9.31</v>
      </c>
      <c r="C31" s="51">
        <v>4.08</v>
      </c>
      <c r="D31" s="51">
        <v>14.05</v>
      </c>
      <c r="E31" s="51">
        <v>6.56</v>
      </c>
      <c r="F31" s="51">
        <v>9.4600000000000009</v>
      </c>
      <c r="G31" s="51">
        <v>19.86</v>
      </c>
      <c r="H31" s="51">
        <v>6.19</v>
      </c>
      <c r="I31" s="51">
        <v>4.51</v>
      </c>
      <c r="J31" s="51">
        <v>0.5</v>
      </c>
      <c r="K31" s="51">
        <v>264.43</v>
      </c>
      <c r="L31" s="51">
        <v>26.91</v>
      </c>
      <c r="M31" s="51">
        <v>92.59</v>
      </c>
      <c r="N31" s="51">
        <v>2.9</v>
      </c>
      <c r="O31" s="51">
        <v>0</v>
      </c>
      <c r="P31" s="51">
        <v>0.44</v>
      </c>
      <c r="Q31" s="51">
        <v>4.6399999999999997</v>
      </c>
    </row>
    <row r="32" spans="1:17" customFormat="1">
      <c r="A32" s="50">
        <v>45476</v>
      </c>
      <c r="B32" s="51">
        <v>9.3800000000000008</v>
      </c>
      <c r="C32" s="51">
        <v>4.0999999999999996</v>
      </c>
      <c r="D32" s="51">
        <v>14.1</v>
      </c>
      <c r="E32" s="51">
        <v>7.86</v>
      </c>
      <c r="F32" s="51">
        <v>5.59</v>
      </c>
      <c r="G32" s="51">
        <v>17.95</v>
      </c>
      <c r="H32" s="51">
        <v>5.64</v>
      </c>
      <c r="I32" s="51">
        <v>4.43</v>
      </c>
      <c r="J32" s="51">
        <v>0.93</v>
      </c>
      <c r="K32" s="51">
        <v>263.99</v>
      </c>
      <c r="L32" s="51">
        <v>26.82</v>
      </c>
      <c r="M32" s="51">
        <v>93.88</v>
      </c>
      <c r="N32" s="51">
        <v>2.5</v>
      </c>
      <c r="O32" s="51">
        <v>0</v>
      </c>
      <c r="P32" s="51">
        <v>0.41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9.26</v>
      </c>
      <c r="C34" s="41">
        <f t="shared" si="0"/>
        <v>4.07</v>
      </c>
      <c r="D34" s="41">
        <f t="shared" si="0"/>
        <v>14</v>
      </c>
      <c r="E34" s="41">
        <f t="shared" si="0"/>
        <v>5.67</v>
      </c>
      <c r="F34" s="41">
        <f t="shared" si="0"/>
        <v>3.83</v>
      </c>
      <c r="G34" s="41">
        <f t="shared" si="0"/>
        <v>6.33</v>
      </c>
      <c r="H34" s="41">
        <f t="shared" si="0"/>
        <v>0.28000000000000003</v>
      </c>
      <c r="I34" s="41">
        <f t="shared" si="0"/>
        <v>2.04</v>
      </c>
      <c r="J34" s="41">
        <f t="shared" si="0"/>
        <v>0.2</v>
      </c>
      <c r="K34" s="41">
        <f t="shared" si="0"/>
        <v>182.71</v>
      </c>
      <c r="L34" s="41">
        <f t="shared" si="0"/>
        <v>25.17</v>
      </c>
      <c r="M34" s="41">
        <f t="shared" si="0"/>
        <v>69.430000000000007</v>
      </c>
      <c r="N34" s="41">
        <f t="shared" si="0"/>
        <v>2.1</v>
      </c>
      <c r="O34" s="41">
        <f t="shared" si="0"/>
        <v>0</v>
      </c>
      <c r="P34" s="41">
        <f t="shared" si="0"/>
        <v>0.23</v>
      </c>
      <c r="Q34" s="41">
        <f t="shared" si="0"/>
        <v>4.6100000000000003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9.48</v>
      </c>
      <c r="C35" s="33">
        <f t="shared" si="1"/>
        <v>4.13</v>
      </c>
      <c r="D35" s="33">
        <f t="shared" si="1"/>
        <v>14.18</v>
      </c>
      <c r="E35" s="33">
        <f t="shared" si="1"/>
        <v>10.15</v>
      </c>
      <c r="F35" s="33">
        <f t="shared" si="1"/>
        <v>21.65</v>
      </c>
      <c r="G35" s="33">
        <f t="shared" si="1"/>
        <v>27.11</v>
      </c>
      <c r="H35" s="33">
        <f t="shared" si="1"/>
        <v>7.8</v>
      </c>
      <c r="I35" s="33">
        <f t="shared" si="1"/>
        <v>5.53</v>
      </c>
      <c r="J35" s="33">
        <f t="shared" si="1"/>
        <v>1.38</v>
      </c>
      <c r="K35" s="33">
        <f t="shared" si="1"/>
        <v>305.42</v>
      </c>
      <c r="L35" s="33">
        <f t="shared" si="1"/>
        <v>31.22</v>
      </c>
      <c r="M35" s="33">
        <f t="shared" si="1"/>
        <v>98.54</v>
      </c>
      <c r="N35" s="33">
        <f t="shared" si="1"/>
        <v>772.6</v>
      </c>
      <c r="O35" s="33">
        <f t="shared" si="1"/>
        <v>0.4</v>
      </c>
      <c r="P35" s="33">
        <f t="shared" si="1"/>
        <v>0.53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9.3616666666666664</v>
      </c>
      <c r="C36" s="41">
        <f t="shared" si="2"/>
        <v>4.094999999999998</v>
      </c>
      <c r="D36" s="41">
        <f t="shared" si="2"/>
        <v>14.09041666666667</v>
      </c>
      <c r="E36" s="41">
        <f t="shared" si="2"/>
        <v>7.9783333333333326</v>
      </c>
      <c r="F36" s="41">
        <f t="shared" si="2"/>
        <v>8.8750000000000018</v>
      </c>
      <c r="G36" s="41">
        <f t="shared" si="2"/>
        <v>16.505238095238091</v>
      </c>
      <c r="H36" s="41">
        <f t="shared" si="2"/>
        <v>5.0038095238095233</v>
      </c>
      <c r="I36" s="41">
        <f t="shared" si="2"/>
        <v>3.1329166666666666</v>
      </c>
      <c r="J36" s="41">
        <f t="shared" si="2"/>
        <v>0.7979166666666665</v>
      </c>
      <c r="K36" s="41">
        <f t="shared" si="2"/>
        <v>261.9258333333334</v>
      </c>
      <c r="L36" s="41">
        <f t="shared" si="2"/>
        <v>27.836249999999996</v>
      </c>
      <c r="M36" s="41">
        <f t="shared" si="2"/>
        <v>86.772083333333327</v>
      </c>
      <c r="N36" s="41">
        <f t="shared" si="2"/>
        <v>124.10000000000002</v>
      </c>
      <c r="O36" s="41">
        <f t="shared" si="2"/>
        <v>1.6666666666666666E-2</v>
      </c>
      <c r="P36" s="41">
        <f t="shared" si="2"/>
        <v>0.32083333333333341</v>
      </c>
      <c r="Q36" s="41">
        <f t="shared" si="2"/>
        <v>4.6504166666666658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6.0624766546689218E-2</v>
      </c>
      <c r="C37" s="41">
        <f t="shared" ref="C37:Q37" si="3">STDEV(C9:C32)</f>
        <v>1.4446302370292274E-2</v>
      </c>
      <c r="D37" s="41">
        <f t="shared" si="3"/>
        <v>4.9736625177608962E-2</v>
      </c>
      <c r="E37" s="41">
        <f t="shared" si="3"/>
        <v>1.4236989992901279</v>
      </c>
      <c r="F37" s="41">
        <f t="shared" si="3"/>
        <v>5.4623366556017388</v>
      </c>
      <c r="G37" s="41">
        <f t="shared" si="3"/>
        <v>6.0911169903783913</v>
      </c>
      <c r="H37" s="41">
        <f t="shared" si="3"/>
        <v>1.5645941205005103</v>
      </c>
      <c r="I37" s="41">
        <f t="shared" si="3"/>
        <v>0.92581564117770077</v>
      </c>
      <c r="J37" s="41">
        <f t="shared" si="3"/>
        <v>0.3774396486934003</v>
      </c>
      <c r="K37" s="41">
        <f t="shared" si="3"/>
        <v>20.729243975530828</v>
      </c>
      <c r="L37" s="41">
        <f t="shared" si="3"/>
        <v>2.0437876442484981</v>
      </c>
      <c r="M37" s="41">
        <f t="shared" si="3"/>
        <v>9.2701409300139606</v>
      </c>
      <c r="N37" s="41">
        <f t="shared" si="3"/>
        <v>188.1308818234055</v>
      </c>
      <c r="O37" s="41">
        <f t="shared" si="3"/>
        <v>8.1649658092772623E-2</v>
      </c>
      <c r="P37" s="41">
        <f t="shared" si="3"/>
        <v>9.0405687906221069E-2</v>
      </c>
      <c r="Q37" s="41">
        <f t="shared" si="3"/>
        <v>1.2328534123049253E-2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Q32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45476.041666666664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45476.041666666664</v>
      </c>
      <c r="B9" s="51">
        <v>9.2200000000000006</v>
      </c>
      <c r="C9" s="51">
        <v>4.09</v>
      </c>
      <c r="D9" s="51">
        <v>13.98</v>
      </c>
      <c r="E9" s="51">
        <v>8.35</v>
      </c>
      <c r="F9" s="51">
        <v>4.1900000000000004</v>
      </c>
      <c r="G9" s="51">
        <v>14.69</v>
      </c>
      <c r="H9" s="51">
        <v>4.78</v>
      </c>
      <c r="I9" s="51">
        <v>4.3</v>
      </c>
      <c r="J9" s="51">
        <v>1.21</v>
      </c>
      <c r="K9" s="51">
        <v>268.45999999999998</v>
      </c>
      <c r="L9" s="51">
        <v>26.33</v>
      </c>
      <c r="M9" s="51">
        <v>91.68</v>
      </c>
      <c r="N9" s="51">
        <v>2.5</v>
      </c>
      <c r="O9" s="51">
        <v>0</v>
      </c>
      <c r="P9" s="51">
        <v>0.37</v>
      </c>
      <c r="Q9" s="51">
        <v>4.67</v>
      </c>
    </row>
    <row r="10" spans="1:21" customFormat="1">
      <c r="A10" s="50">
        <v>45476.083333333336</v>
      </c>
      <c r="B10" s="51">
        <v>9.24</v>
      </c>
      <c r="C10" s="51">
        <v>4.07</v>
      </c>
      <c r="D10" s="51">
        <v>13.98</v>
      </c>
      <c r="E10" s="51">
        <v>8.5399999999999991</v>
      </c>
      <c r="F10" s="51">
        <v>4.26</v>
      </c>
      <c r="G10" s="51">
        <v>13.27</v>
      </c>
      <c r="H10" s="51">
        <v>3.82</v>
      </c>
      <c r="I10" s="51">
        <v>3.99</v>
      </c>
      <c r="J10" s="51">
        <v>0.97</v>
      </c>
      <c r="K10" s="51">
        <v>264.38</v>
      </c>
      <c r="L10" s="51">
        <v>25.68</v>
      </c>
      <c r="M10" s="51">
        <v>93.91</v>
      </c>
      <c r="N10" s="51">
        <v>2.2999999999999998</v>
      </c>
      <c r="O10" s="51">
        <v>0</v>
      </c>
      <c r="P10" s="51">
        <v>0.34</v>
      </c>
      <c r="Q10" s="51">
        <v>4.67</v>
      </c>
    </row>
    <row r="11" spans="1:21" customFormat="1">
      <c r="A11" s="50">
        <v>45476.125</v>
      </c>
      <c r="B11" s="51">
        <v>9.25</v>
      </c>
      <c r="C11" s="51">
        <v>4.12</v>
      </c>
      <c r="D11" s="51">
        <v>14</v>
      </c>
      <c r="E11" s="51">
        <v>9.24</v>
      </c>
      <c r="F11" s="51">
        <v>4.1500000000000004</v>
      </c>
      <c r="G11" s="51">
        <v>9.5500000000000007</v>
      </c>
      <c r="H11" s="51">
        <v>2.9</v>
      </c>
      <c r="I11" s="51">
        <v>3.75</v>
      </c>
      <c r="J11" s="51">
        <v>0.99</v>
      </c>
      <c r="K11" s="51">
        <v>271.39</v>
      </c>
      <c r="L11" s="51">
        <v>25.61</v>
      </c>
      <c r="M11" s="51">
        <v>92.68</v>
      </c>
      <c r="N11" s="51">
        <v>2.2000000000000002</v>
      </c>
      <c r="O11" s="51">
        <v>0</v>
      </c>
      <c r="P11" s="51">
        <v>0.31</v>
      </c>
      <c r="Q11" s="51">
        <v>4.66</v>
      </c>
    </row>
    <row r="12" spans="1:21" customFormat="1">
      <c r="A12" s="50">
        <v>45476.166666666664</v>
      </c>
      <c r="B12" s="51">
        <v>9.2100000000000009</v>
      </c>
      <c r="C12" s="51">
        <v>4.12</v>
      </c>
      <c r="D12" s="51">
        <v>13.97</v>
      </c>
      <c r="E12" s="51">
        <v>9.5</v>
      </c>
      <c r="F12" s="51">
        <v>4.53</v>
      </c>
      <c r="G12" s="51">
        <v>9.06</v>
      </c>
      <c r="H12" s="51">
        <v>2.33</v>
      </c>
      <c r="I12" s="51">
        <v>3.42</v>
      </c>
      <c r="J12" s="51">
        <v>1.17</v>
      </c>
      <c r="K12" s="51">
        <v>272.14</v>
      </c>
      <c r="L12" s="51">
        <v>25.6</v>
      </c>
      <c r="M12" s="51">
        <v>92.9</v>
      </c>
      <c r="N12" s="51">
        <v>2.4</v>
      </c>
      <c r="O12" s="51">
        <v>0</v>
      </c>
      <c r="P12" s="51">
        <v>0.31</v>
      </c>
      <c r="Q12" s="51">
        <v>4.67</v>
      </c>
    </row>
    <row r="13" spans="1:21" customFormat="1">
      <c r="A13" s="50">
        <v>45476.208333333336</v>
      </c>
      <c r="B13" s="51">
        <v>9.17</v>
      </c>
      <c r="C13" s="51">
        <v>4.07</v>
      </c>
      <c r="D13" s="51">
        <v>13.93</v>
      </c>
      <c r="E13" s="51">
        <v>9.2100000000000009</v>
      </c>
      <c r="F13" s="51">
        <v>4.4400000000000004</v>
      </c>
      <c r="G13" s="51">
        <v>6.93</v>
      </c>
      <c r="H13" s="51">
        <v>2.88</v>
      </c>
      <c r="I13" s="51">
        <v>3.2</v>
      </c>
      <c r="J13" s="51">
        <v>0.91</v>
      </c>
      <c r="K13" s="51">
        <v>274.93</v>
      </c>
      <c r="L13" s="51">
        <v>25.41</v>
      </c>
      <c r="M13" s="51">
        <v>93.16</v>
      </c>
      <c r="N13" s="51">
        <v>2.4</v>
      </c>
      <c r="O13" s="51">
        <v>0.2</v>
      </c>
      <c r="P13" s="51">
        <v>0.33</v>
      </c>
      <c r="Q13" s="51">
        <v>4.6500000000000004</v>
      </c>
    </row>
    <row r="14" spans="1:21" customFormat="1">
      <c r="A14" s="50">
        <v>45476.25</v>
      </c>
      <c r="B14" s="51">
        <v>9.08</v>
      </c>
      <c r="C14" s="51">
        <v>4.08</v>
      </c>
      <c r="D14" s="51">
        <v>13.86</v>
      </c>
      <c r="E14" s="51">
        <v>7.38</v>
      </c>
      <c r="F14" s="51">
        <v>4.5</v>
      </c>
      <c r="G14" s="51">
        <v>8.7100000000000009</v>
      </c>
      <c r="H14" s="51">
        <v>2.88</v>
      </c>
      <c r="I14" s="51">
        <v>3.17</v>
      </c>
      <c r="J14" s="51">
        <v>0.71</v>
      </c>
      <c r="K14" s="51">
        <v>268.14999999999998</v>
      </c>
      <c r="L14" s="51">
        <v>25.22</v>
      </c>
      <c r="M14" s="51">
        <v>92.74</v>
      </c>
      <c r="N14" s="51">
        <v>23.4</v>
      </c>
      <c r="O14" s="51">
        <v>0</v>
      </c>
      <c r="P14" s="51">
        <v>0.31</v>
      </c>
      <c r="Q14" s="51">
        <v>4.6500000000000004</v>
      </c>
    </row>
    <row r="15" spans="1:21" customFormat="1">
      <c r="A15" s="50">
        <v>45476.291666666664</v>
      </c>
      <c r="B15" s="51">
        <v>9.1</v>
      </c>
      <c r="C15" s="51">
        <v>4.07</v>
      </c>
      <c r="D15" s="51">
        <v>13.87</v>
      </c>
      <c r="E15" s="51">
        <v>6.62</v>
      </c>
      <c r="F15" s="51">
        <v>4.5599999999999996</v>
      </c>
      <c r="G15" s="51">
        <v>10.15</v>
      </c>
      <c r="H15" s="51">
        <v>2.41</v>
      </c>
      <c r="I15" s="51">
        <v>2.92</v>
      </c>
      <c r="J15" s="51">
        <v>0.75</v>
      </c>
      <c r="K15" s="51">
        <v>279.08</v>
      </c>
      <c r="L15" s="51">
        <v>25.67</v>
      </c>
      <c r="M15" s="51">
        <v>91.25</v>
      </c>
      <c r="N15" s="51">
        <v>88.2</v>
      </c>
      <c r="O15" s="51">
        <v>0</v>
      </c>
      <c r="P15" s="51">
        <v>0.3</v>
      </c>
      <c r="Q15" s="51">
        <v>4.66</v>
      </c>
    </row>
    <row r="16" spans="1:21" customFormat="1">
      <c r="A16" s="50">
        <v>45476.333333333336</v>
      </c>
      <c r="B16" s="51">
        <v>9.11</v>
      </c>
      <c r="C16" s="51">
        <v>4.0599999999999996</v>
      </c>
      <c r="D16" s="51">
        <v>13.88</v>
      </c>
      <c r="E16" s="51">
        <v>6.73</v>
      </c>
      <c r="F16" s="51">
        <v>3.8</v>
      </c>
      <c r="G16" s="51">
        <v>10.15</v>
      </c>
      <c r="H16" s="51">
        <v>3.38</v>
      </c>
      <c r="I16" s="51">
        <v>2.99</v>
      </c>
      <c r="J16" s="51">
        <v>0.83</v>
      </c>
      <c r="K16" s="51">
        <v>271.39</v>
      </c>
      <c r="L16" s="51">
        <v>26.41</v>
      </c>
      <c r="M16" s="51">
        <v>88.62</v>
      </c>
      <c r="N16" s="51">
        <v>128.6</v>
      </c>
      <c r="O16" s="51">
        <v>0</v>
      </c>
      <c r="P16" s="51">
        <v>0.32</v>
      </c>
      <c r="Q16" s="51">
        <v>4.66</v>
      </c>
    </row>
    <row r="17" spans="1:17" customFormat="1">
      <c r="A17" s="50">
        <v>45476.375</v>
      </c>
      <c r="B17" s="51">
        <v>9.09</v>
      </c>
      <c r="C17" s="51">
        <v>4.07</v>
      </c>
      <c r="D17" s="51">
        <v>13.86</v>
      </c>
      <c r="E17" s="51">
        <v>6.62</v>
      </c>
      <c r="F17" s="51">
        <v>4.24</v>
      </c>
      <c r="G17" s="51">
        <v>9.36</v>
      </c>
      <c r="H17" s="51">
        <v>3.38</v>
      </c>
      <c r="I17" s="51">
        <v>3.04</v>
      </c>
      <c r="J17" s="51">
        <v>1.3</v>
      </c>
      <c r="K17" s="51">
        <v>278.17</v>
      </c>
      <c r="L17" s="51">
        <v>27.55</v>
      </c>
      <c r="M17" s="51">
        <v>85.15</v>
      </c>
      <c r="N17" s="51">
        <v>195.1</v>
      </c>
      <c r="O17" s="51">
        <v>0</v>
      </c>
      <c r="P17" s="51">
        <v>0.33</v>
      </c>
      <c r="Q17" s="51">
        <v>4.63</v>
      </c>
    </row>
    <row r="18" spans="1:17" customFormat="1">
      <c r="A18" s="50">
        <v>45476.416666666664</v>
      </c>
      <c r="B18" s="51">
        <v>9.1999999999999993</v>
      </c>
      <c r="C18" s="51">
        <v>4.08</v>
      </c>
      <c r="D18" s="51">
        <v>13.95</v>
      </c>
      <c r="E18" s="51">
        <v>7.27</v>
      </c>
      <c r="F18" s="51">
        <v>4.8099999999999996</v>
      </c>
      <c r="G18" s="51">
        <v>14.45</v>
      </c>
      <c r="H18" s="51">
        <v>5.25</v>
      </c>
      <c r="I18" s="51">
        <v>2.97</v>
      </c>
      <c r="J18" s="51">
        <v>1.28</v>
      </c>
      <c r="K18" s="51">
        <v>281.66000000000003</v>
      </c>
      <c r="L18" s="51">
        <v>27.87</v>
      </c>
      <c r="M18" s="51">
        <v>83.31</v>
      </c>
      <c r="N18" s="51">
        <v>186.6</v>
      </c>
      <c r="O18" s="51">
        <v>0</v>
      </c>
      <c r="P18" s="51">
        <v>0.28000000000000003</v>
      </c>
      <c r="Q18" s="51">
        <v>4.6500000000000004</v>
      </c>
    </row>
    <row r="19" spans="1:17" customFormat="1">
      <c r="A19" s="50">
        <v>45476.458333333336</v>
      </c>
      <c r="B19" s="51">
        <v>9.1999999999999993</v>
      </c>
      <c r="C19" s="51">
        <v>4.1100000000000003</v>
      </c>
      <c r="D19" s="51">
        <v>13.96</v>
      </c>
      <c r="E19" s="51">
        <v>9.98</v>
      </c>
      <c r="F19" s="51">
        <v>4.9800000000000004</v>
      </c>
      <c r="G19" s="51">
        <v>20.25</v>
      </c>
      <c r="H19" s="51">
        <v>7.24</v>
      </c>
      <c r="I19" s="51">
        <v>3.39</v>
      </c>
      <c r="J19" s="51">
        <v>1.1399999999999999</v>
      </c>
      <c r="K19" s="51">
        <v>293.57</v>
      </c>
      <c r="L19" s="51">
        <v>29.29</v>
      </c>
      <c r="M19" s="51">
        <v>81.55</v>
      </c>
      <c r="N19" s="51">
        <v>313.2</v>
      </c>
      <c r="O19" s="51">
        <v>0</v>
      </c>
      <c r="P19" s="51">
        <v>0.34</v>
      </c>
      <c r="Q19" s="51">
        <v>4.6500000000000004</v>
      </c>
    </row>
    <row r="20" spans="1:17" customFormat="1">
      <c r="A20" s="50">
        <v>45476.5</v>
      </c>
      <c r="B20" s="51">
        <v>9.17</v>
      </c>
      <c r="C20" s="51">
        <v>4.08</v>
      </c>
      <c r="D20" s="51">
        <v>13.93</v>
      </c>
      <c r="E20" s="51">
        <v>10.41</v>
      </c>
      <c r="F20" s="51">
        <v>5.7</v>
      </c>
      <c r="G20" s="51">
        <v>22.74</v>
      </c>
      <c r="H20" s="51">
        <v>10.7</v>
      </c>
      <c r="I20" s="51">
        <v>4.22</v>
      </c>
      <c r="J20" s="51">
        <v>1.32</v>
      </c>
      <c r="K20" s="51">
        <v>285.23</v>
      </c>
      <c r="L20" s="51">
        <v>30.23</v>
      </c>
      <c r="M20" s="51">
        <v>76.489999999999995</v>
      </c>
      <c r="N20" s="51">
        <v>405</v>
      </c>
      <c r="O20" s="51">
        <v>0</v>
      </c>
      <c r="P20" s="51">
        <v>0.44</v>
      </c>
      <c r="Q20" s="51">
        <v>4.6500000000000004</v>
      </c>
    </row>
    <row r="21" spans="1:17" customFormat="1">
      <c r="A21" s="50">
        <v>45476.541666666664</v>
      </c>
      <c r="B21" s="51">
        <v>9.19</v>
      </c>
      <c r="C21" s="51">
        <v>4.0599999999999996</v>
      </c>
      <c r="D21" s="51">
        <v>13.94</v>
      </c>
      <c r="E21" s="51">
        <v>10.77</v>
      </c>
      <c r="F21" s="51">
        <v>6</v>
      </c>
      <c r="G21" s="51">
        <v>31.62</v>
      </c>
      <c r="H21" s="51">
        <v>13.01</v>
      </c>
      <c r="I21" s="51">
        <v>5.0599999999999996</v>
      </c>
      <c r="J21" s="51">
        <v>1.07</v>
      </c>
      <c r="K21" s="51">
        <v>279.08</v>
      </c>
      <c r="L21" s="51">
        <v>31.09</v>
      </c>
      <c r="M21" s="51">
        <v>73.83</v>
      </c>
      <c r="N21" s="51">
        <v>514.29999999999995</v>
      </c>
      <c r="O21" s="51">
        <v>0</v>
      </c>
      <c r="P21" s="51">
        <v>0.48</v>
      </c>
      <c r="Q21" s="51">
        <v>4.6500000000000004</v>
      </c>
    </row>
    <row r="22" spans="1:17" customFormat="1">
      <c r="A22" s="50">
        <v>45476.583333333336</v>
      </c>
      <c r="B22" s="51">
        <v>9.2100000000000009</v>
      </c>
      <c r="C22" s="51">
        <v>4.07</v>
      </c>
      <c r="D22" s="51">
        <v>13.95</v>
      </c>
      <c r="E22" s="51">
        <v>11.23</v>
      </c>
      <c r="F22" s="51">
        <v>8.8800000000000008</v>
      </c>
      <c r="G22" s="51">
        <v>33.880000000000003</v>
      </c>
      <c r="H22" s="51">
        <v>13.01</v>
      </c>
      <c r="I22" s="51">
        <v>5.2</v>
      </c>
      <c r="J22" s="51">
        <v>1.03</v>
      </c>
      <c r="K22" s="51">
        <v>279.95</v>
      </c>
      <c r="L22" s="51">
        <v>32.33</v>
      </c>
      <c r="M22" s="51">
        <v>67.739999999999995</v>
      </c>
      <c r="N22" s="51">
        <v>524</v>
      </c>
      <c r="O22" s="51">
        <v>0</v>
      </c>
      <c r="P22" s="51">
        <v>0.54</v>
      </c>
      <c r="Q22" s="51">
        <v>4.6500000000000004</v>
      </c>
    </row>
    <row r="23" spans="1:17" customFormat="1">
      <c r="A23" s="50">
        <v>45476.625</v>
      </c>
      <c r="B23" s="51">
        <v>9.16</v>
      </c>
      <c r="C23" s="51">
        <v>4.09</v>
      </c>
      <c r="D23" s="51">
        <v>13.91</v>
      </c>
      <c r="E23" s="51">
        <v>9.3800000000000008</v>
      </c>
      <c r="F23" s="51">
        <v>11.61</v>
      </c>
      <c r="G23" s="51">
        <v>33.880000000000003</v>
      </c>
      <c r="H23" s="51">
        <v>12.61</v>
      </c>
      <c r="I23" s="51">
        <v>5.1100000000000003</v>
      </c>
      <c r="J23" s="51">
        <v>0.94</v>
      </c>
      <c r="K23" s="51">
        <v>268.83999999999997</v>
      </c>
      <c r="L23" s="51">
        <v>32.229999999999997</v>
      </c>
      <c r="M23" s="51">
        <v>66.760000000000005</v>
      </c>
      <c r="N23" s="51">
        <v>338.4</v>
      </c>
      <c r="O23" s="51">
        <v>0</v>
      </c>
      <c r="P23" s="51">
        <v>0.43</v>
      </c>
      <c r="Q23" s="51">
        <v>4.6500000000000004</v>
      </c>
    </row>
    <row r="24" spans="1:17" customFormat="1">
      <c r="A24" s="50">
        <v>45476.666666666664</v>
      </c>
      <c r="B24" s="51">
        <v>9.1199999999999992</v>
      </c>
      <c r="C24" s="51">
        <v>4.05</v>
      </c>
      <c r="D24" s="51">
        <v>13.87</v>
      </c>
      <c r="E24" s="51">
        <v>9.99</v>
      </c>
      <c r="F24" s="51">
        <v>7.73</v>
      </c>
      <c r="G24" s="51">
        <v>29.28</v>
      </c>
      <c r="H24" s="51">
        <v>12.02</v>
      </c>
      <c r="I24" s="51">
        <v>4.78</v>
      </c>
      <c r="J24" s="51">
        <v>1.48</v>
      </c>
      <c r="K24" s="51">
        <v>282.64</v>
      </c>
      <c r="L24" s="51">
        <v>32.9</v>
      </c>
      <c r="M24" s="51">
        <v>69.95</v>
      </c>
      <c r="N24" s="51">
        <v>669.5</v>
      </c>
      <c r="O24" s="51">
        <v>0</v>
      </c>
      <c r="P24" s="51">
        <v>0.44</v>
      </c>
      <c r="Q24" s="51">
        <v>4.6399999999999997</v>
      </c>
    </row>
    <row r="25" spans="1:17" customFormat="1">
      <c r="A25" s="50">
        <v>45476.708333333336</v>
      </c>
      <c r="B25" s="51">
        <v>9.11</v>
      </c>
      <c r="C25" s="51">
        <v>4.07</v>
      </c>
      <c r="D25" s="51">
        <v>13.87</v>
      </c>
      <c r="E25" s="51">
        <v>8.0399999999999991</v>
      </c>
      <c r="F25" s="51">
        <v>8.7799999999999994</v>
      </c>
      <c r="G25" s="51">
        <v>29.28</v>
      </c>
      <c r="H25" s="51">
        <v>10.3</v>
      </c>
      <c r="I25" s="51">
        <v>4.8600000000000003</v>
      </c>
      <c r="J25" s="51">
        <v>1.1100000000000001</v>
      </c>
      <c r="K25" s="51">
        <v>284.52999999999997</v>
      </c>
      <c r="L25" s="51">
        <v>30.92</v>
      </c>
      <c r="M25" s="51">
        <v>71.06</v>
      </c>
      <c r="N25" s="51">
        <v>203.9</v>
      </c>
      <c r="O25" s="51">
        <v>0</v>
      </c>
      <c r="P25" s="51">
        <v>0.4</v>
      </c>
      <c r="Q25" s="51">
        <v>4.6500000000000004</v>
      </c>
    </row>
    <row r="26" spans="1:17" customFormat="1">
      <c r="A26" s="50">
        <v>45476.75</v>
      </c>
      <c r="B26" s="51">
        <v>9.1</v>
      </c>
      <c r="C26" s="51">
        <v>4.08</v>
      </c>
      <c r="D26" s="51">
        <v>13.87</v>
      </c>
      <c r="E26" s="51">
        <v>7.24</v>
      </c>
      <c r="F26" s="51">
        <v>16.04</v>
      </c>
      <c r="G26" s="51">
        <v>23.36</v>
      </c>
      <c r="H26" s="51">
        <v>11.1</v>
      </c>
      <c r="I26" s="51">
        <v>4.29</v>
      </c>
      <c r="J26" s="51">
        <v>0.81</v>
      </c>
      <c r="K26" s="51">
        <v>269.36</v>
      </c>
      <c r="L26" s="51">
        <v>30.01</v>
      </c>
      <c r="M26" s="51">
        <v>74</v>
      </c>
      <c r="N26" s="51">
        <v>28</v>
      </c>
      <c r="O26" s="51">
        <v>0</v>
      </c>
      <c r="P26" s="51">
        <v>0.36</v>
      </c>
      <c r="Q26" s="51">
        <v>4.6500000000000004</v>
      </c>
    </row>
    <row r="27" spans="1:17" customFormat="1">
      <c r="A27" s="50">
        <v>45476.791666666664</v>
      </c>
      <c r="B27" s="51">
        <v>9.2200000000000006</v>
      </c>
      <c r="C27" s="51">
        <v>4.09</v>
      </c>
      <c r="D27" s="51">
        <v>13.98</v>
      </c>
      <c r="E27" s="51">
        <v>10.27</v>
      </c>
      <c r="F27" s="51">
        <v>8.91</v>
      </c>
      <c r="G27" s="51">
        <v>24.24</v>
      </c>
      <c r="H27" s="51">
        <v>11.1</v>
      </c>
      <c r="I27" s="51">
        <v>3.88</v>
      </c>
      <c r="J27" s="51">
        <v>0.62</v>
      </c>
      <c r="K27" s="51">
        <v>264.74</v>
      </c>
      <c r="L27" s="51">
        <v>29.54</v>
      </c>
      <c r="M27" s="51">
        <v>78.72</v>
      </c>
      <c r="N27" s="51">
        <v>8.6</v>
      </c>
      <c r="O27" s="51">
        <v>0</v>
      </c>
      <c r="P27" s="51">
        <v>0.3</v>
      </c>
      <c r="Q27" s="51">
        <v>4.66</v>
      </c>
    </row>
    <row r="28" spans="1:17" customFormat="1">
      <c r="A28" s="50">
        <v>45476.833333333336</v>
      </c>
      <c r="B28" s="51">
        <v>9.1999999999999993</v>
      </c>
      <c r="C28" s="51">
        <v>4.09</v>
      </c>
      <c r="D28" s="51">
        <v>13.94</v>
      </c>
      <c r="E28" s="51">
        <v>11.18</v>
      </c>
      <c r="F28" s="51">
        <v>8.0299999999999994</v>
      </c>
      <c r="G28" s="51">
        <v>24.24</v>
      </c>
      <c r="H28" s="51">
        <v>8.1199999999999992</v>
      </c>
      <c r="I28" s="51">
        <v>3.82</v>
      </c>
      <c r="J28" s="51">
        <v>0.69</v>
      </c>
      <c r="K28" s="51">
        <v>269.10000000000002</v>
      </c>
      <c r="L28" s="51">
        <v>28.74</v>
      </c>
      <c r="M28" s="51">
        <v>79.95</v>
      </c>
      <c r="N28" s="51">
        <v>2.1</v>
      </c>
      <c r="O28" s="51">
        <v>0</v>
      </c>
      <c r="P28" s="51">
        <v>0.28000000000000003</v>
      </c>
      <c r="Q28" s="51">
        <v>4.6500000000000004</v>
      </c>
    </row>
    <row r="29" spans="1:17" customFormat="1">
      <c r="A29" s="50">
        <v>45476.875</v>
      </c>
      <c r="B29" s="51">
        <v>9.23</v>
      </c>
      <c r="C29" s="51">
        <v>4.1100000000000003</v>
      </c>
      <c r="D29" s="51">
        <v>13.98</v>
      </c>
      <c r="E29" s="51">
        <v>11.72</v>
      </c>
      <c r="F29" s="51">
        <v>8.92</v>
      </c>
      <c r="G29" s="51">
        <v>21.63</v>
      </c>
      <c r="H29" s="51">
        <v>8.49</v>
      </c>
      <c r="I29" s="51">
        <v>3.71</v>
      </c>
      <c r="J29" s="51">
        <v>0.34</v>
      </c>
      <c r="K29" s="51">
        <v>259.76</v>
      </c>
      <c r="L29" s="51">
        <v>28.49</v>
      </c>
      <c r="M29" s="51">
        <v>83.04</v>
      </c>
      <c r="N29" s="51">
        <v>2.2000000000000002</v>
      </c>
      <c r="O29" s="51">
        <v>0</v>
      </c>
      <c r="P29" s="51">
        <v>0.28000000000000003</v>
      </c>
      <c r="Q29" s="51">
        <v>4.66</v>
      </c>
    </row>
    <row r="30" spans="1:17" customFormat="1">
      <c r="A30" s="50">
        <v>45476.916666666664</v>
      </c>
      <c r="B30" s="51">
        <v>9.24</v>
      </c>
      <c r="C30" s="51">
        <v>4.08</v>
      </c>
      <c r="D30" s="51">
        <v>13.97</v>
      </c>
      <c r="E30" s="51">
        <v>12.65</v>
      </c>
      <c r="F30" s="51">
        <v>7.05</v>
      </c>
      <c r="G30" s="51">
        <v>18.96</v>
      </c>
      <c r="H30" s="51">
        <v>8.49</v>
      </c>
      <c r="I30" s="51">
        <v>3.64</v>
      </c>
      <c r="J30" s="51">
        <v>0.27</v>
      </c>
      <c r="K30" s="51">
        <v>252.03</v>
      </c>
      <c r="L30" s="51">
        <v>28.38</v>
      </c>
      <c r="M30" s="51">
        <v>83.1</v>
      </c>
      <c r="N30" s="51">
        <v>2.1</v>
      </c>
      <c r="O30" s="51">
        <v>0</v>
      </c>
      <c r="P30" s="51">
        <v>0.28000000000000003</v>
      </c>
      <c r="Q30" s="51">
        <v>4.6500000000000004</v>
      </c>
    </row>
    <row r="31" spans="1:17" customFormat="1">
      <c r="A31" s="50">
        <v>45476.958333333336</v>
      </c>
      <c r="B31" s="51">
        <v>9.2100000000000009</v>
      </c>
      <c r="C31" s="51">
        <v>4.08</v>
      </c>
      <c r="D31" s="51">
        <v>13.96</v>
      </c>
      <c r="E31" s="51">
        <v>12.85</v>
      </c>
      <c r="F31" s="51">
        <v>6.13</v>
      </c>
      <c r="G31" s="51">
        <v>18.96</v>
      </c>
      <c r="H31" s="51">
        <v>7.68</v>
      </c>
      <c r="I31" s="51">
        <v>3.62</v>
      </c>
      <c r="J31" s="51">
        <v>0.54</v>
      </c>
      <c r="K31" s="51">
        <v>263.02</v>
      </c>
      <c r="L31" s="51">
        <v>27.94</v>
      </c>
      <c r="M31" s="51">
        <v>84.44</v>
      </c>
      <c r="N31" s="51">
        <v>2.2999999999999998</v>
      </c>
      <c r="O31" s="51">
        <v>0</v>
      </c>
      <c r="P31" s="51">
        <v>0.28999999999999998</v>
      </c>
      <c r="Q31" s="51">
        <v>4.6500000000000004</v>
      </c>
    </row>
    <row r="32" spans="1:17" customFormat="1">
      <c r="A32" s="50">
        <v>45477</v>
      </c>
      <c r="B32" s="51">
        <v>9.23</v>
      </c>
      <c r="C32" s="51">
        <v>4.13</v>
      </c>
      <c r="D32" s="51">
        <v>13.96</v>
      </c>
      <c r="E32" s="51">
        <v>13.65</v>
      </c>
      <c r="F32" s="51">
        <v>7.43</v>
      </c>
      <c r="G32" s="51">
        <v>18.079999999999998</v>
      </c>
      <c r="H32" s="51">
        <v>6.68</v>
      </c>
      <c r="I32" s="51">
        <v>3.48</v>
      </c>
      <c r="J32" s="51">
        <v>0.23</v>
      </c>
      <c r="K32" s="51">
        <v>262.33999999999997</v>
      </c>
      <c r="L32" s="51">
        <v>27.32</v>
      </c>
      <c r="M32" s="51">
        <v>85.69</v>
      </c>
      <c r="N32" s="51">
        <v>2.4</v>
      </c>
      <c r="O32" s="51">
        <v>0</v>
      </c>
      <c r="P32" s="51">
        <v>0.31</v>
      </c>
      <c r="Q32" s="51">
        <v>4.63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9.08</v>
      </c>
      <c r="C34" s="41">
        <f t="shared" si="0"/>
        <v>4.05</v>
      </c>
      <c r="D34" s="41">
        <f t="shared" si="0"/>
        <v>13.86</v>
      </c>
      <c r="E34" s="41">
        <f t="shared" si="0"/>
        <v>6.62</v>
      </c>
      <c r="F34" s="41">
        <f t="shared" si="0"/>
        <v>3.8</v>
      </c>
      <c r="G34" s="41">
        <f t="shared" si="0"/>
        <v>6.93</v>
      </c>
      <c r="H34" s="41">
        <f t="shared" si="0"/>
        <v>2.33</v>
      </c>
      <c r="I34" s="41">
        <f t="shared" si="0"/>
        <v>2.92</v>
      </c>
      <c r="J34" s="41">
        <f t="shared" si="0"/>
        <v>0.23</v>
      </c>
      <c r="K34" s="41">
        <f t="shared" si="0"/>
        <v>252.03</v>
      </c>
      <c r="L34" s="41">
        <f t="shared" si="0"/>
        <v>25.22</v>
      </c>
      <c r="M34" s="41">
        <f t="shared" si="0"/>
        <v>66.760000000000005</v>
      </c>
      <c r="N34" s="41">
        <f t="shared" si="0"/>
        <v>2.1</v>
      </c>
      <c r="O34" s="41">
        <f t="shared" si="0"/>
        <v>0</v>
      </c>
      <c r="P34" s="41">
        <f t="shared" si="0"/>
        <v>0.28000000000000003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9.25</v>
      </c>
      <c r="C35" s="33">
        <f t="shared" si="1"/>
        <v>4.13</v>
      </c>
      <c r="D35" s="33">
        <f t="shared" si="1"/>
        <v>14</v>
      </c>
      <c r="E35" s="33">
        <f t="shared" si="1"/>
        <v>13.65</v>
      </c>
      <c r="F35" s="33">
        <f t="shared" si="1"/>
        <v>16.04</v>
      </c>
      <c r="G35" s="33">
        <f t="shared" si="1"/>
        <v>33.880000000000003</v>
      </c>
      <c r="H35" s="33">
        <f t="shared" si="1"/>
        <v>13.01</v>
      </c>
      <c r="I35" s="33">
        <f t="shared" si="1"/>
        <v>5.2</v>
      </c>
      <c r="J35" s="33">
        <f t="shared" si="1"/>
        <v>1.48</v>
      </c>
      <c r="K35" s="33">
        <f t="shared" si="1"/>
        <v>293.57</v>
      </c>
      <c r="L35" s="33">
        <f t="shared" si="1"/>
        <v>32.9</v>
      </c>
      <c r="M35" s="33">
        <f t="shared" si="1"/>
        <v>93.91</v>
      </c>
      <c r="N35" s="33">
        <f t="shared" si="1"/>
        <v>669.5</v>
      </c>
      <c r="O35" s="33">
        <f t="shared" si="1"/>
        <v>0.2</v>
      </c>
      <c r="P35" s="33">
        <f t="shared" si="1"/>
        <v>0.54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9.1774999999999984</v>
      </c>
      <c r="C36" s="41">
        <f t="shared" si="2"/>
        <v>4.0841666666666674</v>
      </c>
      <c r="D36" s="41">
        <f t="shared" si="2"/>
        <v>13.932083333333333</v>
      </c>
      <c r="E36" s="41">
        <f t="shared" si="2"/>
        <v>9.5341666666666693</v>
      </c>
      <c r="F36" s="41">
        <f t="shared" si="2"/>
        <v>6.652916666666667</v>
      </c>
      <c r="G36" s="41">
        <f t="shared" si="2"/>
        <v>19.029999999999998</v>
      </c>
      <c r="H36" s="41">
        <f t="shared" si="2"/>
        <v>7.2733333333333343</v>
      </c>
      <c r="I36" s="41">
        <f t="shared" si="2"/>
        <v>3.8670833333333334</v>
      </c>
      <c r="J36" s="41">
        <f t="shared" si="2"/>
        <v>0.90458333333333318</v>
      </c>
      <c r="K36" s="41">
        <f t="shared" si="2"/>
        <v>272.66416666666663</v>
      </c>
      <c r="L36" s="41">
        <f t="shared" si="2"/>
        <v>28.365000000000006</v>
      </c>
      <c r="M36" s="41">
        <f t="shared" si="2"/>
        <v>82.571666666666658</v>
      </c>
      <c r="N36" s="41">
        <f t="shared" si="2"/>
        <v>152.07083333333333</v>
      </c>
      <c r="O36" s="41">
        <f t="shared" si="2"/>
        <v>8.3333333333333332E-3</v>
      </c>
      <c r="P36" s="41">
        <f t="shared" si="2"/>
        <v>0.34875000000000006</v>
      </c>
      <c r="Q36" s="41">
        <f t="shared" si="2"/>
        <v>4.6525000000000007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5.4792097176905974E-2</v>
      </c>
      <c r="C37" s="41">
        <f t="shared" ref="C37:Q37" si="3">STDEV(C9:C32)</f>
        <v>2.0624313778658934E-2</v>
      </c>
      <c r="D37" s="41">
        <f t="shared" si="3"/>
        <v>4.6060373109805874E-2</v>
      </c>
      <c r="E37" s="41">
        <f t="shared" si="3"/>
        <v>2.0426536803802553</v>
      </c>
      <c r="F37" s="41">
        <f t="shared" si="3"/>
        <v>2.9077579577020658</v>
      </c>
      <c r="G37" s="41">
        <f t="shared" si="3"/>
        <v>8.5262535735221974</v>
      </c>
      <c r="H37" s="41">
        <f t="shared" si="3"/>
        <v>3.7854672523798913</v>
      </c>
      <c r="I37" s="41">
        <f t="shared" si="3"/>
        <v>0.71889092821280276</v>
      </c>
      <c r="J37" s="41">
        <f t="shared" si="3"/>
        <v>0.33821756782935736</v>
      </c>
      <c r="K37" s="41">
        <f t="shared" si="3"/>
        <v>9.5329537904595067</v>
      </c>
      <c r="L37" s="41">
        <f t="shared" si="3"/>
        <v>2.3977525709096903</v>
      </c>
      <c r="M37" s="41">
        <f t="shared" si="3"/>
        <v>8.6981340661020408</v>
      </c>
      <c r="N37" s="41">
        <f t="shared" si="3"/>
        <v>203.14545330692332</v>
      </c>
      <c r="O37" s="41">
        <f t="shared" si="3"/>
        <v>4.0824829046386311E-2</v>
      </c>
      <c r="P37" s="41">
        <f t="shared" si="3"/>
        <v>7.0729890366833553E-2</v>
      </c>
      <c r="Q37" s="41">
        <f t="shared" si="3"/>
        <v>1.0320936930842793E-2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6.42578125" style="42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45477.041666666664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45477.041666666664</v>
      </c>
      <c r="B9" s="51">
        <v>9.2799999999999994</v>
      </c>
      <c r="C9" s="51">
        <v>4.0999999999999996</v>
      </c>
      <c r="D9" s="51">
        <v>14.02</v>
      </c>
      <c r="E9" s="51">
        <v>11.82</v>
      </c>
      <c r="F9" s="51">
        <v>9.6300000000000008</v>
      </c>
      <c r="G9" s="51">
        <v>16.98</v>
      </c>
      <c r="H9" s="51">
        <v>6.29</v>
      </c>
      <c r="I9" s="51">
        <v>3.41</v>
      </c>
      <c r="J9" s="51">
        <v>0.19</v>
      </c>
      <c r="K9" s="51">
        <v>244.39</v>
      </c>
      <c r="L9" s="51">
        <v>26.84</v>
      </c>
      <c r="M9" s="51">
        <v>86.22</v>
      </c>
      <c r="N9" s="51">
        <v>2.1</v>
      </c>
      <c r="O9" s="51">
        <v>0</v>
      </c>
      <c r="P9" s="51">
        <v>0.3</v>
      </c>
      <c r="Q9" s="51">
        <v>4.63</v>
      </c>
    </row>
    <row r="10" spans="1:21" customFormat="1">
      <c r="A10" s="50">
        <v>45477.083333333336</v>
      </c>
      <c r="B10" s="51">
        <v>9.2899999999999991</v>
      </c>
      <c r="C10" s="51">
        <v>4.08</v>
      </c>
      <c r="D10" s="51">
        <v>14.03</v>
      </c>
      <c r="E10" s="51">
        <v>11.4</v>
      </c>
      <c r="F10" s="51">
        <v>8.23</v>
      </c>
      <c r="G10" s="51">
        <v>15.2</v>
      </c>
      <c r="H10" s="51">
        <v>6.29</v>
      </c>
      <c r="I10" s="51">
        <v>3.22</v>
      </c>
      <c r="J10" s="51">
        <v>0.81</v>
      </c>
      <c r="K10" s="51">
        <v>306.26</v>
      </c>
      <c r="L10" s="51">
        <v>26.91</v>
      </c>
      <c r="M10" s="51">
        <v>86.29</v>
      </c>
      <c r="N10" s="51">
        <v>2.2000000000000002</v>
      </c>
      <c r="O10" s="51">
        <v>0</v>
      </c>
      <c r="P10" s="51">
        <v>0.28999999999999998</v>
      </c>
      <c r="Q10" s="51">
        <v>4.6500000000000004</v>
      </c>
    </row>
    <row r="11" spans="1:21" customFormat="1">
      <c r="A11" s="50">
        <v>45477.125</v>
      </c>
      <c r="B11" s="51">
        <v>9.3000000000000007</v>
      </c>
      <c r="C11" s="51">
        <v>4.0999999999999996</v>
      </c>
      <c r="D11" s="51">
        <v>14.05</v>
      </c>
      <c r="E11" s="51">
        <v>10.39</v>
      </c>
      <c r="F11" s="51">
        <v>7.18</v>
      </c>
      <c r="G11" s="51">
        <v>15.2</v>
      </c>
      <c r="H11" s="51">
        <v>5.2</v>
      </c>
      <c r="I11" s="51">
        <v>3.17</v>
      </c>
      <c r="J11" s="51">
        <v>1.47</v>
      </c>
      <c r="K11" s="51">
        <v>322.33999999999997</v>
      </c>
      <c r="L11" s="51">
        <v>26.75</v>
      </c>
      <c r="M11" s="51">
        <v>90.85</v>
      </c>
      <c r="N11" s="51">
        <v>3.1</v>
      </c>
      <c r="O11" s="51">
        <v>0</v>
      </c>
      <c r="P11" s="51">
        <v>0.28999999999999998</v>
      </c>
      <c r="Q11" s="51">
        <v>4.6500000000000004</v>
      </c>
    </row>
    <row r="12" spans="1:21" customFormat="1">
      <c r="A12" s="50">
        <v>45477.166666666664</v>
      </c>
      <c r="B12" s="51">
        <v>9.3699999999999992</v>
      </c>
      <c r="C12" s="51">
        <v>4.0999999999999996</v>
      </c>
      <c r="D12" s="51">
        <v>14.1</v>
      </c>
      <c r="E12" s="51">
        <v>10.14</v>
      </c>
      <c r="F12" s="51">
        <v>7.66</v>
      </c>
      <c r="G12" s="51">
        <v>15.11</v>
      </c>
      <c r="H12" s="51">
        <v>5.2</v>
      </c>
      <c r="I12" s="51">
        <v>3.27</v>
      </c>
      <c r="J12" s="51">
        <v>0.92</v>
      </c>
      <c r="K12" s="51">
        <v>328.45</v>
      </c>
      <c r="L12" s="51">
        <v>25.83</v>
      </c>
      <c r="M12" s="51">
        <v>97.49</v>
      </c>
      <c r="N12" s="51">
        <v>2.2000000000000002</v>
      </c>
      <c r="O12" s="51">
        <v>0</v>
      </c>
      <c r="P12" s="51">
        <v>0.28999999999999998</v>
      </c>
      <c r="Q12" s="51">
        <v>4.6399999999999997</v>
      </c>
    </row>
    <row r="13" spans="1:21" customFormat="1">
      <c r="A13" s="50">
        <v>45477.208333333336</v>
      </c>
      <c r="B13" s="51">
        <v>9.4</v>
      </c>
      <c r="C13" s="51">
        <v>4.0999999999999996</v>
      </c>
      <c r="D13" s="51">
        <v>14.13</v>
      </c>
      <c r="E13" s="51">
        <v>10.72</v>
      </c>
      <c r="F13" s="51">
        <v>5.0199999999999996</v>
      </c>
      <c r="G13" s="51">
        <v>14.95</v>
      </c>
      <c r="H13" s="51">
        <v>4.1900000000000004</v>
      </c>
      <c r="I13" s="51">
        <v>3.18</v>
      </c>
      <c r="J13" s="51">
        <v>0.18</v>
      </c>
      <c r="K13" s="51">
        <v>341.64</v>
      </c>
      <c r="L13" s="51">
        <v>25.93</v>
      </c>
      <c r="M13" s="51">
        <v>98.71</v>
      </c>
      <c r="N13" s="51">
        <v>2.1</v>
      </c>
      <c r="O13" s="51">
        <v>0.2</v>
      </c>
      <c r="P13" s="51">
        <v>0.23</v>
      </c>
      <c r="Q13" s="51">
        <v>4.6500000000000004</v>
      </c>
    </row>
    <row r="14" spans="1:21" customFormat="1">
      <c r="A14" s="50">
        <v>45477.25</v>
      </c>
      <c r="B14" s="51">
        <v>9.41</v>
      </c>
      <c r="C14" s="51">
        <v>4.09</v>
      </c>
      <c r="D14" s="51">
        <v>14.11</v>
      </c>
      <c r="E14" s="51">
        <v>11.36</v>
      </c>
      <c r="F14" s="51">
        <v>4.3499999999999996</v>
      </c>
      <c r="G14" s="51">
        <v>15.45</v>
      </c>
      <c r="H14" s="51">
        <v>7.92</v>
      </c>
      <c r="I14" s="51">
        <v>3.2</v>
      </c>
      <c r="J14" s="51">
        <v>0.97</v>
      </c>
      <c r="K14" s="51">
        <v>304.33999999999997</v>
      </c>
      <c r="L14" s="51">
        <v>25.76</v>
      </c>
      <c r="M14" s="51">
        <v>101.06</v>
      </c>
      <c r="N14" s="51">
        <v>5.3</v>
      </c>
      <c r="O14" s="51">
        <v>4.4000000000000004</v>
      </c>
      <c r="P14" s="51">
        <v>0.24</v>
      </c>
      <c r="Q14" s="51">
        <v>4.66</v>
      </c>
    </row>
    <row r="15" spans="1:21" customFormat="1">
      <c r="A15" s="50">
        <v>45477.291666666664</v>
      </c>
      <c r="B15" s="51">
        <v>9.41</v>
      </c>
      <c r="C15" s="51">
        <v>4.09</v>
      </c>
      <c r="D15" s="51">
        <v>14.12</v>
      </c>
      <c r="E15" s="51">
        <v>11.54</v>
      </c>
      <c r="F15" s="51">
        <v>4.08</v>
      </c>
      <c r="G15" s="51">
        <v>15.45</v>
      </c>
      <c r="H15" s="51">
        <v>7.92</v>
      </c>
      <c r="I15" s="51">
        <v>3.22</v>
      </c>
      <c r="J15" s="51">
        <v>0.73</v>
      </c>
      <c r="K15" s="51">
        <v>263.16000000000003</v>
      </c>
      <c r="L15" s="51">
        <v>24.71</v>
      </c>
      <c r="M15" s="51">
        <v>102.91</v>
      </c>
      <c r="N15" s="51">
        <v>27.5</v>
      </c>
      <c r="O15" s="51">
        <v>1.4</v>
      </c>
      <c r="P15" s="51">
        <v>0.26</v>
      </c>
      <c r="Q15" s="51">
        <v>4.6500000000000004</v>
      </c>
    </row>
    <row r="16" spans="1:21" customFormat="1">
      <c r="A16" s="50">
        <v>45477.333333333336</v>
      </c>
      <c r="B16" s="51">
        <v>9.42</v>
      </c>
      <c r="C16" s="51">
        <v>4.08</v>
      </c>
      <c r="D16" s="51">
        <v>14.12</v>
      </c>
      <c r="E16" s="51">
        <v>12.25</v>
      </c>
      <c r="F16" s="51">
        <v>4.1900000000000004</v>
      </c>
      <c r="G16" s="51">
        <v>13.33</v>
      </c>
      <c r="H16" s="51">
        <v>6.43</v>
      </c>
      <c r="I16" s="51">
        <v>3.28</v>
      </c>
      <c r="J16" s="51">
        <v>0.76</v>
      </c>
      <c r="K16" s="51">
        <v>264.58</v>
      </c>
      <c r="L16" s="51">
        <v>24.78</v>
      </c>
      <c r="M16" s="51">
        <v>103.95</v>
      </c>
      <c r="N16" s="51">
        <v>67.2</v>
      </c>
      <c r="O16" s="51">
        <v>0.4</v>
      </c>
      <c r="P16" s="51">
        <v>0.26</v>
      </c>
      <c r="Q16" s="51">
        <v>4.6500000000000004</v>
      </c>
    </row>
    <row r="17" spans="1:17" customFormat="1">
      <c r="A17" s="50">
        <v>45477.375</v>
      </c>
      <c r="B17" s="51">
        <v>9.39</v>
      </c>
      <c r="C17" s="51">
        <v>4.12</v>
      </c>
      <c r="D17" s="51">
        <v>14.12</v>
      </c>
      <c r="E17" s="51">
        <v>12.44</v>
      </c>
      <c r="F17" s="51">
        <v>4.08</v>
      </c>
      <c r="G17" s="51">
        <v>9.9499999999999993</v>
      </c>
      <c r="H17" s="51">
        <v>4.7</v>
      </c>
      <c r="I17" s="51">
        <v>3.21</v>
      </c>
      <c r="J17" s="51">
        <v>0.56999999999999995</v>
      </c>
      <c r="K17" s="51">
        <v>261.01</v>
      </c>
      <c r="L17" s="51">
        <v>25.41</v>
      </c>
      <c r="M17" s="51">
        <v>104.16</v>
      </c>
      <c r="N17" s="51">
        <v>123.2</v>
      </c>
      <c r="O17" s="51">
        <v>0.4</v>
      </c>
      <c r="P17" s="51">
        <v>0.3</v>
      </c>
      <c r="Q17" s="51">
        <v>4.6500000000000004</v>
      </c>
    </row>
    <row r="18" spans="1:17" customFormat="1">
      <c r="A18" s="50">
        <v>45477.416666666664</v>
      </c>
      <c r="B18" s="51">
        <v>9.3800000000000008</v>
      </c>
      <c r="C18" s="51">
        <v>4.07</v>
      </c>
      <c r="D18" s="51">
        <v>14.09</v>
      </c>
      <c r="E18" s="51">
        <v>11.27</v>
      </c>
      <c r="F18" s="51">
        <v>4.45</v>
      </c>
      <c r="G18" s="51">
        <v>7.66</v>
      </c>
      <c r="H18" s="51">
        <v>3.44</v>
      </c>
      <c r="I18" s="51">
        <v>3.25</v>
      </c>
      <c r="J18" s="51">
        <v>0.79</v>
      </c>
      <c r="K18" s="51">
        <v>261.89999999999998</v>
      </c>
      <c r="L18" s="51">
        <v>26.47</v>
      </c>
      <c r="M18" s="51">
        <v>102.63</v>
      </c>
      <c r="N18" s="51">
        <v>222.1</v>
      </c>
      <c r="O18" s="51">
        <v>0</v>
      </c>
      <c r="P18" s="51">
        <v>0.3</v>
      </c>
      <c r="Q18" s="51">
        <v>4.66</v>
      </c>
    </row>
    <row r="19" spans="1:17" customFormat="1">
      <c r="A19" s="50">
        <v>45477.458333333336</v>
      </c>
      <c r="B19" s="51">
        <v>9.34</v>
      </c>
      <c r="C19" s="51">
        <v>4.07</v>
      </c>
      <c r="D19" s="51">
        <v>14.06</v>
      </c>
      <c r="E19" s="51">
        <v>9.76</v>
      </c>
      <c r="F19" s="51">
        <v>5.47</v>
      </c>
      <c r="G19" s="51">
        <v>7.66</v>
      </c>
      <c r="H19" s="51">
        <v>3.65</v>
      </c>
      <c r="I19" s="51">
        <v>3.35</v>
      </c>
      <c r="J19" s="51">
        <v>0.91</v>
      </c>
      <c r="K19" s="51">
        <v>277.44</v>
      </c>
      <c r="L19" s="51">
        <v>27.1</v>
      </c>
      <c r="M19" s="51">
        <v>93.92</v>
      </c>
      <c r="N19" s="51">
        <v>190.6</v>
      </c>
      <c r="O19" s="51">
        <v>0</v>
      </c>
      <c r="P19" s="51">
        <v>0.28999999999999998</v>
      </c>
      <c r="Q19" s="51">
        <v>4.6500000000000004</v>
      </c>
    </row>
    <row r="20" spans="1:17" customFormat="1">
      <c r="A20" s="50">
        <v>45477.5</v>
      </c>
      <c r="B20" s="51">
        <v>9.34</v>
      </c>
      <c r="C20" s="51">
        <v>4.09</v>
      </c>
      <c r="D20" s="51">
        <v>14.07</v>
      </c>
      <c r="E20" s="51">
        <v>9.1199999999999992</v>
      </c>
      <c r="F20" s="51">
        <v>5.15</v>
      </c>
      <c r="G20" s="51">
        <v>7.59</v>
      </c>
      <c r="H20" s="51">
        <v>4.33</v>
      </c>
      <c r="I20" s="51">
        <v>3.42</v>
      </c>
      <c r="J20" s="51">
        <v>0.98</v>
      </c>
      <c r="K20" s="51">
        <v>271.38</v>
      </c>
      <c r="L20" s="51">
        <v>28.16</v>
      </c>
      <c r="M20" s="51">
        <v>90.63</v>
      </c>
      <c r="N20" s="51">
        <v>264</v>
      </c>
      <c r="O20" s="51">
        <v>0</v>
      </c>
      <c r="P20" s="51">
        <v>0.3</v>
      </c>
      <c r="Q20" s="51">
        <v>4.6399999999999997</v>
      </c>
    </row>
    <row r="21" spans="1:17" customFormat="1">
      <c r="A21" s="50">
        <v>45477.541666666664</v>
      </c>
      <c r="B21" s="51">
        <v>9.35</v>
      </c>
      <c r="C21" s="51">
        <v>4.08</v>
      </c>
      <c r="D21" s="51">
        <v>14.07</v>
      </c>
      <c r="E21" s="51">
        <v>8.58</v>
      </c>
      <c r="F21" s="51">
        <v>5.74</v>
      </c>
      <c r="G21" s="51">
        <v>10.130000000000001</v>
      </c>
      <c r="H21" s="51">
        <v>4.33</v>
      </c>
      <c r="I21" s="51">
        <v>3.42</v>
      </c>
      <c r="J21" s="51">
        <v>1.1100000000000001</v>
      </c>
      <c r="K21" s="51">
        <v>267.66000000000003</v>
      </c>
      <c r="L21" s="51">
        <v>29.47</v>
      </c>
      <c r="M21" s="51">
        <v>86.23</v>
      </c>
      <c r="N21" s="51">
        <v>421.6</v>
      </c>
      <c r="O21" s="51">
        <v>0</v>
      </c>
      <c r="P21" s="51">
        <v>0.28999999999999998</v>
      </c>
      <c r="Q21" s="51">
        <v>4.6399999999999997</v>
      </c>
    </row>
    <row r="22" spans="1:17" customFormat="1">
      <c r="A22" s="50">
        <v>45477.583333333336</v>
      </c>
      <c r="B22" s="51">
        <v>9.43</v>
      </c>
      <c r="C22" s="51">
        <v>4.09</v>
      </c>
      <c r="D22" s="51">
        <v>14.15</v>
      </c>
      <c r="E22" s="51">
        <v>8.7899999999999991</v>
      </c>
      <c r="F22" s="51">
        <v>6.02</v>
      </c>
      <c r="G22" s="51">
        <v>10.130000000000001</v>
      </c>
      <c r="H22" s="51">
        <v>3.4</v>
      </c>
      <c r="I22" s="51">
        <v>3.34</v>
      </c>
      <c r="J22" s="51">
        <v>1.39</v>
      </c>
      <c r="K22" s="51">
        <v>269.19</v>
      </c>
      <c r="L22" s="51">
        <v>29.6</v>
      </c>
      <c r="M22" s="51">
        <v>80.930000000000007</v>
      </c>
      <c r="N22" s="51">
        <v>514.5</v>
      </c>
      <c r="O22" s="51">
        <v>0</v>
      </c>
      <c r="P22" s="51">
        <v>0.21</v>
      </c>
      <c r="Q22" s="51">
        <v>4.6500000000000004</v>
      </c>
    </row>
    <row r="23" spans="1:17" customFormat="1">
      <c r="A23" s="50">
        <v>45477.625</v>
      </c>
      <c r="B23" s="51">
        <v>9.41</v>
      </c>
      <c r="C23" s="51">
        <v>4.0999999999999996</v>
      </c>
      <c r="D23" s="51">
        <v>14.13</v>
      </c>
      <c r="E23" s="51">
        <v>9.39</v>
      </c>
      <c r="F23" s="51">
        <v>5.95</v>
      </c>
      <c r="G23" s="51">
        <v>13.13</v>
      </c>
      <c r="H23" s="51">
        <v>2.42</v>
      </c>
      <c r="I23" s="51">
        <v>3.11</v>
      </c>
      <c r="J23" s="51">
        <v>1.36</v>
      </c>
      <c r="K23" s="51">
        <v>285.95</v>
      </c>
      <c r="L23" s="51">
        <v>30.34</v>
      </c>
      <c r="M23" s="51">
        <v>74.349999999999994</v>
      </c>
      <c r="N23" s="51">
        <v>477.4</v>
      </c>
      <c r="O23" s="51">
        <v>0</v>
      </c>
      <c r="P23" s="51">
        <v>0.3</v>
      </c>
      <c r="Q23" s="51">
        <v>4.6500000000000004</v>
      </c>
    </row>
    <row r="24" spans="1:17" customFormat="1">
      <c r="A24" s="50">
        <v>45477.666666666664</v>
      </c>
      <c r="B24" s="51">
        <v>9.4</v>
      </c>
      <c r="C24" s="51">
        <v>4.09</v>
      </c>
      <c r="D24" s="51">
        <v>14.12</v>
      </c>
      <c r="E24" s="51">
        <v>10.210000000000001</v>
      </c>
      <c r="F24" s="51">
        <v>6.59</v>
      </c>
      <c r="G24" s="51">
        <v>15.71</v>
      </c>
      <c r="H24" s="51">
        <v>2.2200000000000002</v>
      </c>
      <c r="I24" s="51">
        <v>3.1</v>
      </c>
      <c r="J24" s="51">
        <v>0.79</v>
      </c>
      <c r="K24" s="51">
        <v>263.60000000000002</v>
      </c>
      <c r="L24" s="51">
        <v>29.92</v>
      </c>
      <c r="M24" s="51">
        <v>77.39</v>
      </c>
      <c r="N24" s="51">
        <v>205.9</v>
      </c>
      <c r="O24" s="51">
        <v>0</v>
      </c>
      <c r="P24" s="51">
        <v>0.3</v>
      </c>
      <c r="Q24" s="51">
        <v>4.6399999999999997</v>
      </c>
    </row>
    <row r="25" spans="1:17" customFormat="1">
      <c r="A25" s="50">
        <v>45477.708333333336</v>
      </c>
      <c r="B25" s="51">
        <v>9.42</v>
      </c>
      <c r="C25" s="51">
        <v>4.08</v>
      </c>
      <c r="D25" s="51">
        <v>14.13</v>
      </c>
      <c r="E25" s="51">
        <v>10.56</v>
      </c>
      <c r="F25" s="51">
        <v>7.84</v>
      </c>
      <c r="G25" s="51">
        <v>19.39</v>
      </c>
      <c r="H25" s="51">
        <v>5.25</v>
      </c>
      <c r="I25" s="51">
        <v>3.03</v>
      </c>
      <c r="J25" s="51">
        <v>0.61</v>
      </c>
      <c r="K25" s="51">
        <v>254.37</v>
      </c>
      <c r="L25" s="51">
        <v>30.41</v>
      </c>
      <c r="M25" s="51">
        <v>76.349999999999994</v>
      </c>
      <c r="N25" s="51">
        <v>189.4</v>
      </c>
      <c r="O25" s="51">
        <v>0</v>
      </c>
      <c r="P25" s="51">
        <v>0.3</v>
      </c>
      <c r="Q25" s="51">
        <v>4.6500000000000004</v>
      </c>
    </row>
    <row r="26" spans="1:17" customFormat="1">
      <c r="A26" s="50">
        <v>45477.75</v>
      </c>
      <c r="B26" s="51">
        <v>9.43</v>
      </c>
      <c r="C26" s="51">
        <v>4.1100000000000003</v>
      </c>
      <c r="D26" s="51">
        <v>14.16</v>
      </c>
      <c r="E26" s="51">
        <v>10.78</v>
      </c>
      <c r="F26" s="51">
        <v>8.6999999999999993</v>
      </c>
      <c r="G26" s="51">
        <v>19.39</v>
      </c>
      <c r="H26" s="51">
        <v>9.08</v>
      </c>
      <c r="I26" s="51">
        <v>2.89</v>
      </c>
      <c r="J26" s="51">
        <v>0.41</v>
      </c>
      <c r="K26" s="51">
        <v>257.01</v>
      </c>
      <c r="L26" s="51">
        <v>30.23</v>
      </c>
      <c r="M26" s="51">
        <v>78.27</v>
      </c>
      <c r="N26" s="51">
        <v>95.4</v>
      </c>
      <c r="O26" s="51">
        <v>0</v>
      </c>
      <c r="P26" s="51">
        <v>0.33</v>
      </c>
      <c r="Q26" s="51">
        <v>4.66</v>
      </c>
    </row>
    <row r="27" spans="1:17" customFormat="1">
      <c r="A27" s="50">
        <v>45477.791666666664</v>
      </c>
      <c r="B27" s="51">
        <v>9.41</v>
      </c>
      <c r="C27" s="51">
        <v>4.09</v>
      </c>
      <c r="D27" s="51">
        <v>14.14</v>
      </c>
      <c r="E27" s="51">
        <v>8.24</v>
      </c>
      <c r="F27" s="51">
        <v>15</v>
      </c>
      <c r="G27" s="51">
        <v>16.649999999999999</v>
      </c>
      <c r="H27" s="51">
        <v>9.08</v>
      </c>
      <c r="I27" s="51">
        <v>2.84</v>
      </c>
      <c r="J27" s="51">
        <v>0.4</v>
      </c>
      <c r="K27" s="51">
        <v>263.98</v>
      </c>
      <c r="L27" s="51">
        <v>29.36</v>
      </c>
      <c r="M27" s="51">
        <v>83.33</v>
      </c>
      <c r="N27" s="51">
        <v>15.4</v>
      </c>
      <c r="O27" s="51">
        <v>0</v>
      </c>
      <c r="P27" s="51">
        <v>0.37</v>
      </c>
      <c r="Q27" s="51">
        <v>4.6500000000000004</v>
      </c>
    </row>
    <row r="28" spans="1:17" customFormat="1">
      <c r="A28" s="50">
        <v>45477.833333333336</v>
      </c>
      <c r="B28" s="51">
        <v>9.33</v>
      </c>
      <c r="C28" s="51">
        <v>4.08</v>
      </c>
      <c r="D28" s="51">
        <v>14.06</v>
      </c>
      <c r="E28" s="51">
        <v>8.2100000000000009</v>
      </c>
      <c r="F28" s="51">
        <v>12.2</v>
      </c>
      <c r="G28" s="51">
        <v>16.649999999999999</v>
      </c>
      <c r="H28" s="51">
        <v>8.77</v>
      </c>
      <c r="I28" s="51">
        <v>3</v>
      </c>
      <c r="J28" s="51">
        <v>0.48</v>
      </c>
      <c r="K28" s="51">
        <v>256.22000000000003</v>
      </c>
      <c r="L28" s="51">
        <v>28.57</v>
      </c>
      <c r="M28" s="51">
        <v>85.72</v>
      </c>
      <c r="N28" s="51">
        <v>2.4</v>
      </c>
      <c r="O28" s="51">
        <v>0</v>
      </c>
      <c r="P28" s="51">
        <v>0.37</v>
      </c>
      <c r="Q28" s="51">
        <v>4.63</v>
      </c>
    </row>
    <row r="29" spans="1:17" customFormat="1">
      <c r="A29" s="50">
        <v>45477.875</v>
      </c>
      <c r="B29" s="51">
        <v>9.39</v>
      </c>
      <c r="C29" s="51">
        <v>4.08</v>
      </c>
      <c r="D29" s="51">
        <v>14.11</v>
      </c>
      <c r="E29" s="51">
        <v>7.6</v>
      </c>
      <c r="F29" s="51">
        <v>9.84</v>
      </c>
      <c r="G29" s="51">
        <v>16.579999999999998</v>
      </c>
      <c r="H29" s="51">
        <v>7.08</v>
      </c>
      <c r="I29" s="51">
        <v>3.09</v>
      </c>
      <c r="J29" s="51">
        <v>0.41</v>
      </c>
      <c r="K29" s="51">
        <v>257.95999999999998</v>
      </c>
      <c r="L29" s="51">
        <v>27.91</v>
      </c>
      <c r="M29" s="51">
        <v>85.86</v>
      </c>
      <c r="N29" s="51">
        <v>2.4</v>
      </c>
      <c r="O29" s="51">
        <v>0</v>
      </c>
      <c r="P29" s="51">
        <v>0.37</v>
      </c>
      <c r="Q29" s="51">
        <v>4.6399999999999997</v>
      </c>
    </row>
    <row r="30" spans="1:17" customFormat="1">
      <c r="A30" s="50">
        <v>45477.916666666664</v>
      </c>
      <c r="B30" s="51">
        <v>9.3699999999999992</v>
      </c>
      <c r="C30" s="51">
        <v>4.09</v>
      </c>
      <c r="D30" s="51">
        <v>14.1</v>
      </c>
      <c r="E30" s="51">
        <v>7.71</v>
      </c>
      <c r="F30" s="51">
        <v>9.06</v>
      </c>
      <c r="G30" s="51">
        <v>14.14</v>
      </c>
      <c r="H30" s="51">
        <v>6.01</v>
      </c>
      <c r="I30" s="51">
        <v>3.2</v>
      </c>
      <c r="J30" s="51">
        <v>0.36</v>
      </c>
      <c r="K30" s="51">
        <v>255.01</v>
      </c>
      <c r="L30" s="51">
        <v>27.42</v>
      </c>
      <c r="M30" s="51">
        <v>90.14</v>
      </c>
      <c r="N30" s="51">
        <v>2.2000000000000002</v>
      </c>
      <c r="O30" s="51">
        <v>0</v>
      </c>
      <c r="P30" s="51">
        <v>0.37</v>
      </c>
      <c r="Q30" s="51">
        <v>4.66</v>
      </c>
    </row>
    <row r="31" spans="1:17" customFormat="1">
      <c r="A31" s="50">
        <v>45477.958333333336</v>
      </c>
      <c r="B31" s="51">
        <v>9.36</v>
      </c>
      <c r="C31" s="51">
        <v>4.08</v>
      </c>
      <c r="D31" s="51">
        <v>14.08</v>
      </c>
      <c r="E31" s="51">
        <v>8.27</v>
      </c>
      <c r="F31" s="51">
        <v>8.65</v>
      </c>
      <c r="G31" s="51">
        <v>15.2</v>
      </c>
      <c r="H31" s="51">
        <v>5.76</v>
      </c>
      <c r="I31" s="51">
        <v>3.1</v>
      </c>
      <c r="J31" s="51">
        <v>0.34</v>
      </c>
      <c r="K31" s="51">
        <v>252.53</v>
      </c>
      <c r="L31" s="51">
        <v>27.04</v>
      </c>
      <c r="M31" s="51">
        <v>91.92</v>
      </c>
      <c r="N31" s="51">
        <v>2.1</v>
      </c>
      <c r="O31" s="51">
        <v>0</v>
      </c>
      <c r="P31" s="51">
        <v>0.37</v>
      </c>
      <c r="Q31" s="51">
        <v>4.6399999999999997</v>
      </c>
    </row>
    <row r="32" spans="1:17" customFormat="1">
      <c r="A32" s="50">
        <v>45478</v>
      </c>
      <c r="B32" s="51">
        <v>9.43</v>
      </c>
      <c r="C32" s="51">
        <v>4.09</v>
      </c>
      <c r="D32" s="51">
        <v>14.15</v>
      </c>
      <c r="E32" s="51">
        <v>9.16</v>
      </c>
      <c r="F32" s="51">
        <v>7.65</v>
      </c>
      <c r="G32" s="51">
        <v>15.2</v>
      </c>
      <c r="H32" s="51">
        <v>7.49</v>
      </c>
      <c r="I32" s="51">
        <v>3.03</v>
      </c>
      <c r="J32" s="51">
        <v>0.26</v>
      </c>
      <c r="K32" s="51">
        <v>243.37</v>
      </c>
      <c r="L32" s="51">
        <v>26.92</v>
      </c>
      <c r="M32" s="51">
        <v>89.72</v>
      </c>
      <c r="N32" s="51">
        <v>2.2000000000000002</v>
      </c>
      <c r="O32" s="51">
        <v>0</v>
      </c>
      <c r="P32" s="51">
        <v>0.3</v>
      </c>
      <c r="Q32" s="51">
        <v>4.6399999999999997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9.2799999999999994</v>
      </c>
      <c r="C34" s="41">
        <f t="shared" si="0"/>
        <v>4.07</v>
      </c>
      <c r="D34" s="41">
        <f t="shared" si="0"/>
        <v>14.02</v>
      </c>
      <c r="E34" s="41">
        <f t="shared" si="0"/>
        <v>7.6</v>
      </c>
      <c r="F34" s="41">
        <f t="shared" si="0"/>
        <v>4.08</v>
      </c>
      <c r="G34" s="41">
        <f t="shared" si="0"/>
        <v>7.59</v>
      </c>
      <c r="H34" s="41">
        <f t="shared" si="0"/>
        <v>2.2200000000000002</v>
      </c>
      <c r="I34" s="41">
        <f t="shared" si="0"/>
        <v>2.84</v>
      </c>
      <c r="J34" s="41">
        <f t="shared" si="0"/>
        <v>0.18</v>
      </c>
      <c r="K34" s="41">
        <f t="shared" si="0"/>
        <v>243.37</v>
      </c>
      <c r="L34" s="41">
        <f t="shared" si="0"/>
        <v>24.71</v>
      </c>
      <c r="M34" s="41">
        <f t="shared" si="0"/>
        <v>74.349999999999994</v>
      </c>
      <c r="N34" s="41">
        <f t="shared" si="0"/>
        <v>2.1</v>
      </c>
      <c r="O34" s="41">
        <f t="shared" si="0"/>
        <v>0</v>
      </c>
      <c r="P34" s="41">
        <f t="shared" si="0"/>
        <v>0.21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9.43</v>
      </c>
      <c r="C35" s="33">
        <f t="shared" si="1"/>
        <v>4.12</v>
      </c>
      <c r="D35" s="33">
        <f t="shared" si="1"/>
        <v>14.16</v>
      </c>
      <c r="E35" s="33">
        <f t="shared" si="1"/>
        <v>12.44</v>
      </c>
      <c r="F35" s="33">
        <f t="shared" si="1"/>
        <v>15</v>
      </c>
      <c r="G35" s="33">
        <f t="shared" si="1"/>
        <v>19.39</v>
      </c>
      <c r="H35" s="33">
        <f t="shared" si="1"/>
        <v>9.08</v>
      </c>
      <c r="I35" s="33">
        <f t="shared" si="1"/>
        <v>3.42</v>
      </c>
      <c r="J35" s="33">
        <f t="shared" si="1"/>
        <v>1.47</v>
      </c>
      <c r="K35" s="33">
        <f t="shared" si="1"/>
        <v>341.64</v>
      </c>
      <c r="L35" s="33">
        <f t="shared" si="1"/>
        <v>30.41</v>
      </c>
      <c r="M35" s="33">
        <f t="shared" si="1"/>
        <v>104.16</v>
      </c>
      <c r="N35" s="33">
        <f t="shared" si="1"/>
        <v>514.5</v>
      </c>
      <c r="O35" s="33">
        <f t="shared" si="1"/>
        <v>4.4000000000000004</v>
      </c>
      <c r="P35" s="33">
        <f t="shared" si="1"/>
        <v>0.37</v>
      </c>
      <c r="Q35" s="33">
        <f t="shared" si="1"/>
        <v>4.66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9.3774999999999995</v>
      </c>
      <c r="C36" s="41">
        <f t="shared" si="2"/>
        <v>4.0895833333333327</v>
      </c>
      <c r="D36" s="41">
        <f t="shared" si="2"/>
        <v>14.100833333333334</v>
      </c>
      <c r="E36" s="41">
        <f t="shared" si="2"/>
        <v>9.9879166666666688</v>
      </c>
      <c r="F36" s="41">
        <f t="shared" si="2"/>
        <v>7.1970833333333344</v>
      </c>
      <c r="G36" s="41">
        <f t="shared" si="2"/>
        <v>14.034583333333329</v>
      </c>
      <c r="H36" s="41">
        <f t="shared" si="2"/>
        <v>5.6854166666666677</v>
      </c>
      <c r="I36" s="41">
        <f t="shared" si="2"/>
        <v>3.1804166666666664</v>
      </c>
      <c r="J36" s="41">
        <f t="shared" si="2"/>
        <v>0.71666666666666667</v>
      </c>
      <c r="K36" s="41">
        <f t="shared" si="2"/>
        <v>273.90583333333342</v>
      </c>
      <c r="L36" s="41">
        <f t="shared" si="2"/>
        <v>27.576666666666664</v>
      </c>
      <c r="M36" s="41">
        <f t="shared" si="2"/>
        <v>89.959583333333327</v>
      </c>
      <c r="N36" s="41">
        <f t="shared" si="2"/>
        <v>118.4375</v>
      </c>
      <c r="O36" s="41">
        <f t="shared" si="2"/>
        <v>0.28333333333333338</v>
      </c>
      <c r="P36" s="41">
        <f t="shared" si="2"/>
        <v>0.30124999999999996</v>
      </c>
      <c r="Q36" s="41">
        <f t="shared" si="2"/>
        <v>4.6470833333333337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4.5132654716282104E-2</v>
      </c>
      <c r="C37" s="41">
        <f t="shared" ref="C37:Q37" si="3">STDEV(C9:C32)</f>
        <v>1.1970676733137236E-2</v>
      </c>
      <c r="D37" s="41">
        <f t="shared" si="3"/>
        <v>3.8438733484391266E-2</v>
      </c>
      <c r="E37" s="41">
        <f t="shared" si="3"/>
        <v>1.4664982816712953</v>
      </c>
      <c r="F37" s="41">
        <f t="shared" si="3"/>
        <v>2.7189487725104735</v>
      </c>
      <c r="G37" s="41">
        <f t="shared" si="3"/>
        <v>3.4372764485938685</v>
      </c>
      <c r="H37" s="41">
        <f t="shared" si="3"/>
        <v>2.0191258960396614</v>
      </c>
      <c r="I37" s="41">
        <f t="shared" si="3"/>
        <v>0.15512909537507008</v>
      </c>
      <c r="J37" s="41">
        <f t="shared" si="3"/>
        <v>0.37553054257383289</v>
      </c>
      <c r="K37" s="41">
        <f t="shared" si="3"/>
        <v>26.927002596660106</v>
      </c>
      <c r="L37" s="41">
        <f t="shared" si="3"/>
        <v>1.7955807263744998</v>
      </c>
      <c r="M37" s="41">
        <f t="shared" si="3"/>
        <v>9.1559890018202044</v>
      </c>
      <c r="N37" s="41">
        <f t="shared" si="3"/>
        <v>161.13717842800628</v>
      </c>
      <c r="O37" s="41">
        <f t="shared" si="3"/>
        <v>0.92673652119151162</v>
      </c>
      <c r="P37" s="41">
        <f t="shared" si="3"/>
        <v>4.4556998181615966E-2</v>
      </c>
      <c r="Q37" s="41">
        <f t="shared" si="3"/>
        <v>8.5867272029554031E-3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45478.041666666664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45478.041666666664</v>
      </c>
      <c r="B9" s="51">
        <v>9.1999999999999993</v>
      </c>
      <c r="C9" s="51">
        <v>4.0999999999999996</v>
      </c>
      <c r="D9" s="51">
        <v>13.96</v>
      </c>
      <c r="E9" s="51">
        <v>9.89</v>
      </c>
      <c r="F9" s="51">
        <v>6.04</v>
      </c>
      <c r="G9" s="51">
        <v>13.92</v>
      </c>
      <c r="H9" s="51">
        <v>7.61</v>
      </c>
      <c r="I9" s="51">
        <v>2.92</v>
      </c>
      <c r="J9" s="51">
        <v>0.31</v>
      </c>
      <c r="K9" s="51">
        <v>248.91</v>
      </c>
      <c r="L9" s="51">
        <v>26.51</v>
      </c>
      <c r="M9" s="51">
        <v>90.16</v>
      </c>
      <c r="N9" s="51">
        <v>2.1</v>
      </c>
      <c r="O9" s="51">
        <v>0</v>
      </c>
      <c r="P9" s="51">
        <v>0.31</v>
      </c>
      <c r="Q9" s="51">
        <v>4.66</v>
      </c>
    </row>
    <row r="10" spans="1:21" customFormat="1">
      <c r="A10" s="50">
        <v>45478.083333333336</v>
      </c>
      <c r="B10" s="51">
        <v>9.2100000000000009</v>
      </c>
      <c r="C10" s="51">
        <v>4.09</v>
      </c>
      <c r="D10" s="51">
        <v>13.97</v>
      </c>
      <c r="E10" s="51">
        <v>9.9499999999999993</v>
      </c>
      <c r="F10" s="51">
        <v>5.03</v>
      </c>
      <c r="G10" s="51">
        <v>12.57</v>
      </c>
      <c r="H10" s="51">
        <v>7.61</v>
      </c>
      <c r="I10" s="51">
        <v>2.86</v>
      </c>
      <c r="J10" s="51">
        <v>0.31</v>
      </c>
      <c r="K10" s="51">
        <v>252.18</v>
      </c>
      <c r="L10" s="51">
        <v>26.43</v>
      </c>
      <c r="M10" s="51">
        <v>91.87</v>
      </c>
      <c r="N10" s="51">
        <v>2.1</v>
      </c>
      <c r="O10" s="51">
        <v>0</v>
      </c>
      <c r="P10" s="51">
        <v>0.3</v>
      </c>
      <c r="Q10" s="51">
        <v>4.66</v>
      </c>
    </row>
    <row r="11" spans="1:21" customFormat="1">
      <c r="A11" s="50">
        <v>45478.125</v>
      </c>
      <c r="B11" s="51">
        <v>9.2100000000000009</v>
      </c>
      <c r="C11" s="51">
        <v>4.08</v>
      </c>
      <c r="D11" s="51">
        <v>13.97</v>
      </c>
      <c r="E11" s="51">
        <v>10.85</v>
      </c>
      <c r="F11" s="51">
        <v>4.09</v>
      </c>
      <c r="G11" s="51">
        <v>9.0299999999999994</v>
      </c>
      <c r="H11" s="51">
        <v>5.43</v>
      </c>
      <c r="I11" s="51">
        <v>2.8</v>
      </c>
      <c r="J11" s="51">
        <v>0.28000000000000003</v>
      </c>
      <c r="K11" s="51">
        <v>255.44</v>
      </c>
      <c r="L11" s="51">
        <v>26.07</v>
      </c>
      <c r="M11" s="51">
        <v>93.48</v>
      </c>
      <c r="N11" s="51">
        <v>2.1</v>
      </c>
      <c r="O11" s="51">
        <v>0</v>
      </c>
      <c r="P11" s="51">
        <v>0.31</v>
      </c>
      <c r="Q11" s="51">
        <v>4.66</v>
      </c>
    </row>
    <row r="12" spans="1:21" customFormat="1">
      <c r="A12" s="50">
        <v>45478.166666666664</v>
      </c>
      <c r="B12" s="51">
        <v>9.1999999999999993</v>
      </c>
      <c r="C12" s="51">
        <v>4.07</v>
      </c>
      <c r="D12" s="51">
        <v>13.96</v>
      </c>
      <c r="E12" s="51">
        <v>11.59</v>
      </c>
      <c r="F12" s="51">
        <v>4.97</v>
      </c>
      <c r="G12" s="51">
        <v>9.25</v>
      </c>
      <c r="H12" s="51">
        <v>6.09</v>
      </c>
      <c r="I12" s="51">
        <v>2.83</v>
      </c>
      <c r="J12" s="51">
        <v>0.45</v>
      </c>
      <c r="K12" s="51">
        <v>262.91000000000003</v>
      </c>
      <c r="L12" s="51">
        <v>25.98</v>
      </c>
      <c r="M12" s="51">
        <v>95.5</v>
      </c>
      <c r="N12" s="51">
        <v>2.9</v>
      </c>
      <c r="O12" s="51">
        <v>0.2</v>
      </c>
      <c r="P12" s="51">
        <v>0.35</v>
      </c>
      <c r="Q12" s="51">
        <v>4.66</v>
      </c>
    </row>
    <row r="13" spans="1:21" customFormat="1">
      <c r="A13" s="50">
        <v>45478.208333333336</v>
      </c>
      <c r="B13" s="51">
        <v>9.18</v>
      </c>
      <c r="C13" s="51">
        <v>4.07</v>
      </c>
      <c r="D13" s="51">
        <v>13.93</v>
      </c>
      <c r="E13" s="51">
        <v>9.7799999999999994</v>
      </c>
      <c r="F13" s="51">
        <v>7.49</v>
      </c>
      <c r="G13" s="51">
        <v>14.09</v>
      </c>
      <c r="H13" s="51">
        <v>6.09</v>
      </c>
      <c r="I13" s="51">
        <v>2.78</v>
      </c>
      <c r="J13" s="51">
        <v>0.66</v>
      </c>
      <c r="K13" s="51">
        <v>266.37</v>
      </c>
      <c r="L13" s="51">
        <v>25.87</v>
      </c>
      <c r="M13" s="51">
        <v>93.5</v>
      </c>
      <c r="N13" s="51">
        <v>2.4</v>
      </c>
      <c r="O13" s="51">
        <v>0</v>
      </c>
      <c r="P13" s="51">
        <v>0.33</v>
      </c>
      <c r="Q13" s="51">
        <v>4.66</v>
      </c>
    </row>
    <row r="14" spans="1:21" customFormat="1">
      <c r="A14" s="50">
        <v>45478.25</v>
      </c>
      <c r="B14" s="51">
        <v>9.15</v>
      </c>
      <c r="C14" s="51">
        <v>4.08</v>
      </c>
      <c r="D14" s="51">
        <v>13.9</v>
      </c>
      <c r="E14" s="51">
        <v>8.7100000000000009</v>
      </c>
      <c r="F14" s="51">
        <v>5.6</v>
      </c>
      <c r="G14" s="51">
        <v>14.09</v>
      </c>
      <c r="H14" s="51">
        <v>4.4000000000000004</v>
      </c>
      <c r="I14" s="51">
        <v>2.79</v>
      </c>
      <c r="J14" s="51">
        <v>1.07</v>
      </c>
      <c r="K14" s="51">
        <v>271.38</v>
      </c>
      <c r="L14" s="51">
        <v>25.96</v>
      </c>
      <c r="M14" s="51">
        <v>90.62</v>
      </c>
      <c r="N14" s="51">
        <v>31.2</v>
      </c>
      <c r="O14" s="51">
        <v>0</v>
      </c>
      <c r="P14" s="51">
        <v>0.34</v>
      </c>
      <c r="Q14" s="51">
        <v>4.63</v>
      </c>
    </row>
    <row r="15" spans="1:21" customFormat="1">
      <c r="A15" s="50">
        <v>45478.291666666664</v>
      </c>
      <c r="B15" s="51">
        <v>9.15</v>
      </c>
      <c r="C15" s="51">
        <v>4.08</v>
      </c>
      <c r="D15" s="51">
        <v>13.91</v>
      </c>
      <c r="E15" s="51">
        <v>8.64</v>
      </c>
      <c r="F15" s="51">
        <v>6.21</v>
      </c>
      <c r="G15" s="51">
        <v>11.17</v>
      </c>
      <c r="H15" s="51">
        <v>3.17</v>
      </c>
      <c r="I15" s="51">
        <v>2.87</v>
      </c>
      <c r="J15" s="51">
        <v>0.95</v>
      </c>
      <c r="K15" s="51">
        <v>267.95</v>
      </c>
      <c r="L15" s="51">
        <v>26.01</v>
      </c>
      <c r="M15" s="51">
        <v>88.42</v>
      </c>
      <c r="N15" s="51">
        <v>73.099999999999994</v>
      </c>
      <c r="O15" s="51">
        <v>0</v>
      </c>
      <c r="P15" s="51">
        <v>0.34</v>
      </c>
      <c r="Q15" s="51">
        <v>4.6399999999999997</v>
      </c>
    </row>
    <row r="16" spans="1:21" customFormat="1">
      <c r="A16" s="50">
        <v>45478.333333333336</v>
      </c>
      <c r="B16" s="51">
        <v>9.16</v>
      </c>
      <c r="C16" s="51">
        <v>4.07</v>
      </c>
      <c r="D16" s="51">
        <v>13.91</v>
      </c>
      <c r="E16" s="51">
        <v>8.32</v>
      </c>
      <c r="F16" s="51">
        <v>5.55</v>
      </c>
      <c r="G16" s="51">
        <v>11.17</v>
      </c>
      <c r="H16" s="51">
        <v>3.4</v>
      </c>
      <c r="I16" s="51">
        <v>2.85</v>
      </c>
      <c r="J16" s="51">
        <v>0.74</v>
      </c>
      <c r="K16" s="51">
        <v>263.37</v>
      </c>
      <c r="L16" s="51">
        <v>26.49</v>
      </c>
      <c r="M16" s="51">
        <v>88.1</v>
      </c>
      <c r="N16" s="51">
        <v>122.3</v>
      </c>
      <c r="O16" s="51">
        <v>0</v>
      </c>
      <c r="P16" s="51">
        <v>0.33</v>
      </c>
      <c r="Q16" s="51">
        <v>4.66</v>
      </c>
    </row>
    <row r="17" spans="1:17" customFormat="1">
      <c r="A17" s="50">
        <v>45478.375</v>
      </c>
      <c r="B17" s="51">
        <v>9.18</v>
      </c>
      <c r="C17" s="51">
        <v>4.08</v>
      </c>
      <c r="D17" s="51">
        <v>13.94</v>
      </c>
      <c r="E17" s="51">
        <v>8.59</v>
      </c>
      <c r="F17" s="51">
        <v>4.67</v>
      </c>
      <c r="G17" s="51">
        <v>10.29</v>
      </c>
      <c r="H17" s="51">
        <v>3.4</v>
      </c>
      <c r="I17" s="51">
        <v>2.87</v>
      </c>
      <c r="J17" s="51">
        <v>0.84</v>
      </c>
      <c r="K17" s="51">
        <v>266.25</v>
      </c>
      <c r="L17" s="51">
        <v>27.91</v>
      </c>
      <c r="M17" s="51">
        <v>85.36</v>
      </c>
      <c r="N17" s="51">
        <v>226.4</v>
      </c>
      <c r="O17" s="51">
        <v>0</v>
      </c>
      <c r="P17" s="51">
        <v>0.28999999999999998</v>
      </c>
      <c r="Q17" s="51">
        <v>4.6399999999999997</v>
      </c>
    </row>
    <row r="18" spans="1:17" customFormat="1">
      <c r="A18" s="50">
        <v>45478.416666666664</v>
      </c>
      <c r="B18" s="51">
        <v>9.19</v>
      </c>
      <c r="C18" s="51">
        <v>4.07</v>
      </c>
      <c r="D18" s="51">
        <v>13.95</v>
      </c>
      <c r="E18" s="51">
        <v>9.44</v>
      </c>
      <c r="F18" s="51">
        <v>5.19</v>
      </c>
      <c r="G18" s="51">
        <v>10.29</v>
      </c>
      <c r="H18" s="51">
        <v>4.25</v>
      </c>
      <c r="I18" s="51">
        <v>2.77</v>
      </c>
      <c r="J18" s="51">
        <v>1.01</v>
      </c>
      <c r="K18" s="51">
        <v>264.10000000000002</v>
      </c>
      <c r="L18" s="51">
        <v>30.08</v>
      </c>
      <c r="M18" s="51">
        <v>78.33</v>
      </c>
      <c r="N18" s="51">
        <v>279.7</v>
      </c>
      <c r="O18" s="51">
        <v>0</v>
      </c>
      <c r="P18" s="51">
        <v>0.28000000000000003</v>
      </c>
      <c r="Q18" s="51">
        <v>4.6500000000000004</v>
      </c>
    </row>
    <row r="19" spans="1:17" customFormat="1">
      <c r="A19" s="50">
        <v>45478.458333333336</v>
      </c>
      <c r="B19" s="51">
        <v>9.1999999999999993</v>
      </c>
      <c r="C19" s="51">
        <v>4.08</v>
      </c>
      <c r="D19" s="51">
        <v>13.95</v>
      </c>
      <c r="E19" s="51">
        <v>9.64</v>
      </c>
      <c r="F19" s="51">
        <v>6.1</v>
      </c>
      <c r="G19" s="51">
        <v>10.52</v>
      </c>
      <c r="H19" s="51">
        <v>4.25</v>
      </c>
      <c r="I19" s="51">
        <v>2.73</v>
      </c>
      <c r="J19" s="51">
        <v>1.2</v>
      </c>
      <c r="K19" s="51">
        <v>273.45</v>
      </c>
      <c r="L19" s="51">
        <v>31.22</v>
      </c>
      <c r="M19" s="51">
        <v>70.459999999999994</v>
      </c>
      <c r="N19" s="51">
        <v>301.7</v>
      </c>
      <c r="O19" s="51">
        <v>0</v>
      </c>
      <c r="P19" s="51">
        <v>0.28000000000000003</v>
      </c>
      <c r="Q19" s="51">
        <v>4.66</v>
      </c>
    </row>
    <row r="20" spans="1:17" customFormat="1">
      <c r="A20" s="50">
        <v>45478.5</v>
      </c>
      <c r="B20" s="51">
        <v>9.19</v>
      </c>
      <c r="C20" s="51">
        <v>4.07</v>
      </c>
      <c r="D20" s="51">
        <v>13.94</v>
      </c>
      <c r="E20" s="51">
        <v>10</v>
      </c>
      <c r="F20" s="51">
        <v>7</v>
      </c>
      <c r="G20" s="51">
        <v>11.2</v>
      </c>
      <c r="H20" s="51">
        <v>3.78</v>
      </c>
      <c r="I20" s="51">
        <v>2.72</v>
      </c>
      <c r="J20" s="51">
        <v>1.4</v>
      </c>
      <c r="K20" s="51">
        <v>281.91000000000003</v>
      </c>
      <c r="L20" s="51">
        <v>31.41</v>
      </c>
      <c r="M20" s="51">
        <v>68.83</v>
      </c>
      <c r="N20" s="51">
        <v>362.8</v>
      </c>
      <c r="O20" s="51">
        <v>0</v>
      </c>
      <c r="P20" s="51">
        <v>0.28999999999999998</v>
      </c>
      <c r="Q20" s="51">
        <v>4.66</v>
      </c>
    </row>
    <row r="21" spans="1:17" customFormat="1">
      <c r="A21" s="50">
        <v>45478.541666666664</v>
      </c>
      <c r="B21" s="51">
        <v>9.1999999999999993</v>
      </c>
      <c r="C21" s="51">
        <v>4.08</v>
      </c>
      <c r="D21" s="51">
        <v>13.95</v>
      </c>
      <c r="E21" s="51">
        <v>10.46</v>
      </c>
      <c r="F21" s="51">
        <v>7.1</v>
      </c>
      <c r="G21" s="51">
        <v>14.15</v>
      </c>
      <c r="H21" s="51">
        <v>4.1500000000000004</v>
      </c>
      <c r="I21" s="51">
        <v>3.53</v>
      </c>
      <c r="J21" s="51">
        <v>1.05</v>
      </c>
      <c r="K21" s="51">
        <v>282.89999999999998</v>
      </c>
      <c r="L21" s="51">
        <v>30.51</v>
      </c>
      <c r="M21" s="51">
        <v>81.150000000000006</v>
      </c>
      <c r="N21" s="51">
        <v>315.3</v>
      </c>
      <c r="O21" s="51">
        <v>0.2</v>
      </c>
      <c r="P21" s="51">
        <v>0.42</v>
      </c>
      <c r="Q21" s="51">
        <v>4.66</v>
      </c>
    </row>
    <row r="22" spans="1:17" customFormat="1">
      <c r="A22" s="50">
        <v>45478.583333333336</v>
      </c>
      <c r="B22" s="51">
        <v>9.17</v>
      </c>
      <c r="C22" s="51">
        <v>4.09</v>
      </c>
      <c r="D22" s="51">
        <v>13.93</v>
      </c>
      <c r="E22" s="51">
        <v>11.66</v>
      </c>
      <c r="F22" s="51">
        <v>11.09</v>
      </c>
      <c r="G22" s="51">
        <v>20.059999999999999</v>
      </c>
      <c r="H22" s="51">
        <v>4.1500000000000004</v>
      </c>
      <c r="I22" s="51">
        <v>4.1399999999999997</v>
      </c>
      <c r="J22" s="51">
        <v>1.05</v>
      </c>
      <c r="K22" s="51">
        <v>287.45</v>
      </c>
      <c r="L22" s="51">
        <v>31.28</v>
      </c>
      <c r="M22" s="51">
        <v>79.680000000000007</v>
      </c>
      <c r="N22" s="51">
        <v>290.10000000000002</v>
      </c>
      <c r="O22" s="51">
        <v>0</v>
      </c>
      <c r="P22" s="51">
        <v>0.45</v>
      </c>
      <c r="Q22" s="51">
        <v>4.6399999999999997</v>
      </c>
    </row>
    <row r="23" spans="1:17" customFormat="1">
      <c r="A23" s="50">
        <v>45478.625</v>
      </c>
      <c r="B23" s="51">
        <v>9.15</v>
      </c>
      <c r="C23" s="51">
        <v>4.09</v>
      </c>
      <c r="D23" s="51">
        <v>13.92</v>
      </c>
      <c r="E23" s="51">
        <v>8.69</v>
      </c>
      <c r="F23" s="51">
        <v>15.85</v>
      </c>
      <c r="G23" s="51">
        <v>23.72</v>
      </c>
      <c r="H23" s="51">
        <v>6</v>
      </c>
      <c r="I23" s="51">
        <v>4.28</v>
      </c>
      <c r="J23" s="51">
        <v>0.39</v>
      </c>
      <c r="K23" s="51">
        <v>312.24</v>
      </c>
      <c r="L23" s="51">
        <v>29.92</v>
      </c>
      <c r="M23" s="51">
        <v>83.68</v>
      </c>
      <c r="N23" s="51">
        <v>131</v>
      </c>
      <c r="O23" s="51">
        <v>0</v>
      </c>
      <c r="P23" s="51">
        <v>0.33</v>
      </c>
      <c r="Q23" s="51">
        <v>4.6500000000000004</v>
      </c>
    </row>
    <row r="24" spans="1:17" customFormat="1">
      <c r="A24" s="50">
        <v>45478.666666666664</v>
      </c>
      <c r="B24" s="51">
        <v>9.16</v>
      </c>
      <c r="C24" s="51">
        <v>4.07</v>
      </c>
      <c r="D24" s="51">
        <v>13.92</v>
      </c>
      <c r="E24" s="51">
        <v>8.98</v>
      </c>
      <c r="F24" s="51">
        <v>17.07</v>
      </c>
      <c r="G24" s="51">
        <v>23.72</v>
      </c>
      <c r="H24" s="51">
        <v>9.5299999999999994</v>
      </c>
      <c r="I24" s="51">
        <v>3.41</v>
      </c>
      <c r="J24" s="51">
        <v>0.71</v>
      </c>
      <c r="K24" s="51">
        <v>276.41000000000003</v>
      </c>
      <c r="L24" s="51">
        <v>31.76</v>
      </c>
      <c r="M24" s="51">
        <v>75.88</v>
      </c>
      <c r="N24" s="51">
        <v>339.7</v>
      </c>
      <c r="O24" s="51">
        <v>0</v>
      </c>
      <c r="P24" s="51">
        <v>0.33</v>
      </c>
      <c r="Q24" s="51">
        <v>4.6399999999999997</v>
      </c>
    </row>
    <row r="25" spans="1:17" customFormat="1">
      <c r="A25" s="50">
        <v>45478.708333333336</v>
      </c>
      <c r="B25" s="51">
        <v>9.16</v>
      </c>
      <c r="C25" s="51">
        <v>4.08</v>
      </c>
      <c r="D25" s="51">
        <v>13.93</v>
      </c>
      <c r="E25" s="51">
        <v>9.06</v>
      </c>
      <c r="F25" s="51">
        <v>16.23</v>
      </c>
      <c r="G25" s="51">
        <v>22.53</v>
      </c>
      <c r="H25" s="51">
        <v>11.8</v>
      </c>
      <c r="I25" s="51">
        <v>3.55</v>
      </c>
      <c r="J25" s="51">
        <v>1.01</v>
      </c>
      <c r="K25" s="51">
        <v>281.14999999999998</v>
      </c>
      <c r="L25" s="51">
        <v>32.11</v>
      </c>
      <c r="M25" s="51">
        <v>67.72</v>
      </c>
      <c r="N25" s="51">
        <v>208.4</v>
      </c>
      <c r="O25" s="51">
        <v>0</v>
      </c>
      <c r="P25" s="51">
        <v>0.33</v>
      </c>
      <c r="Q25" s="51">
        <v>4.6399999999999997</v>
      </c>
    </row>
    <row r="26" spans="1:17" customFormat="1">
      <c r="A26" s="50">
        <v>45478.75</v>
      </c>
      <c r="B26" s="51">
        <v>9.18</v>
      </c>
      <c r="C26" s="51">
        <v>4.08</v>
      </c>
      <c r="D26" s="51">
        <v>13.93</v>
      </c>
      <c r="E26" s="51">
        <v>9.41</v>
      </c>
      <c r="F26" s="51">
        <v>16.88</v>
      </c>
      <c r="G26" s="51">
        <v>23.88</v>
      </c>
      <c r="H26" s="51">
        <v>11.93</v>
      </c>
      <c r="I26" s="51">
        <v>3.43</v>
      </c>
      <c r="J26" s="51">
        <v>0.52</v>
      </c>
      <c r="K26" s="51">
        <v>269.07</v>
      </c>
      <c r="L26" s="51">
        <v>31.45</v>
      </c>
      <c r="M26" s="51">
        <v>72.34</v>
      </c>
      <c r="N26" s="51">
        <v>93.2</v>
      </c>
      <c r="O26" s="51">
        <v>0</v>
      </c>
      <c r="P26" s="51">
        <v>0.34</v>
      </c>
      <c r="Q26" s="51">
        <v>4.6500000000000004</v>
      </c>
    </row>
    <row r="27" spans="1:17" customFormat="1">
      <c r="A27" s="50">
        <v>45478.791666666664</v>
      </c>
      <c r="B27" s="51">
        <v>9.18</v>
      </c>
      <c r="C27" s="51">
        <v>4.0599999999999996</v>
      </c>
      <c r="D27" s="51">
        <v>13.93</v>
      </c>
      <c r="E27" s="51">
        <v>8.93</v>
      </c>
      <c r="F27" s="51">
        <v>14.16</v>
      </c>
      <c r="G27" s="51">
        <v>23.88</v>
      </c>
      <c r="H27" s="51">
        <v>11.93</v>
      </c>
      <c r="I27" s="51">
        <v>3.28</v>
      </c>
      <c r="J27" s="51">
        <v>0.23</v>
      </c>
      <c r="K27" s="51">
        <v>162.69999999999999</v>
      </c>
      <c r="L27" s="51">
        <v>30.67</v>
      </c>
      <c r="M27" s="51">
        <v>81.97</v>
      </c>
      <c r="N27" s="51">
        <v>20.100000000000001</v>
      </c>
      <c r="O27" s="51">
        <v>0</v>
      </c>
      <c r="P27" s="51">
        <v>0.27</v>
      </c>
      <c r="Q27" s="51">
        <v>4.66</v>
      </c>
    </row>
    <row r="28" spans="1:17" customFormat="1">
      <c r="A28" s="50">
        <v>45478.833333333336</v>
      </c>
      <c r="B28" s="51">
        <v>9.16</v>
      </c>
      <c r="C28" s="51">
        <v>4.08</v>
      </c>
      <c r="D28" s="51">
        <v>13.91</v>
      </c>
      <c r="E28" s="51">
        <v>9.82</v>
      </c>
      <c r="F28" s="51">
        <v>9.06</v>
      </c>
      <c r="G28" s="51">
        <v>23.51</v>
      </c>
      <c r="H28" s="51">
        <v>11.33</v>
      </c>
      <c r="I28" s="51">
        <v>3.66</v>
      </c>
      <c r="J28" s="51">
        <v>1.08</v>
      </c>
      <c r="K28" s="51">
        <v>264.72000000000003</v>
      </c>
      <c r="L28" s="51">
        <v>29.14</v>
      </c>
      <c r="M28" s="51">
        <v>86.45</v>
      </c>
      <c r="N28" s="51">
        <v>2.2000000000000002</v>
      </c>
      <c r="O28" s="51">
        <v>0</v>
      </c>
      <c r="P28" s="51">
        <v>0.3</v>
      </c>
      <c r="Q28" s="51">
        <v>4.66</v>
      </c>
    </row>
    <row r="29" spans="1:17" customFormat="1">
      <c r="A29" s="50">
        <v>45478.875</v>
      </c>
      <c r="B29" s="51">
        <v>9.15</v>
      </c>
      <c r="C29" s="51">
        <v>4.07</v>
      </c>
      <c r="D29" s="51">
        <v>13.91</v>
      </c>
      <c r="E29" s="51">
        <v>10.26</v>
      </c>
      <c r="F29" s="51">
        <v>6.17</v>
      </c>
      <c r="G29" s="51">
        <v>23.51</v>
      </c>
      <c r="H29" s="51">
        <v>8.4700000000000006</v>
      </c>
      <c r="I29" s="51">
        <v>3.62</v>
      </c>
      <c r="J29" s="51">
        <v>0.78</v>
      </c>
      <c r="K29" s="51">
        <v>257.95</v>
      </c>
      <c r="L29" s="51">
        <v>28.54</v>
      </c>
      <c r="M29" s="51">
        <v>80.83</v>
      </c>
      <c r="N29" s="51">
        <v>2.9</v>
      </c>
      <c r="O29" s="51">
        <v>0</v>
      </c>
      <c r="P29" s="51">
        <v>0.28999999999999998</v>
      </c>
      <c r="Q29" s="51">
        <v>4.66</v>
      </c>
    </row>
    <row r="30" spans="1:17" customFormat="1">
      <c r="A30" s="50">
        <v>45478.916666666664</v>
      </c>
      <c r="B30" s="51">
        <v>9.16</v>
      </c>
      <c r="C30" s="51">
        <v>4.08</v>
      </c>
      <c r="D30" s="51">
        <v>13.92</v>
      </c>
      <c r="E30" s="51">
        <v>10.29</v>
      </c>
      <c r="F30" s="51">
        <v>6.55</v>
      </c>
      <c r="G30" s="51">
        <v>19.329999999999998</v>
      </c>
      <c r="H30" s="51">
        <v>6.48</v>
      </c>
      <c r="I30" s="51">
        <v>3.5</v>
      </c>
      <c r="J30" s="51">
        <v>0.17</v>
      </c>
      <c r="K30" s="51">
        <v>228.52</v>
      </c>
      <c r="L30" s="51">
        <v>27.01</v>
      </c>
      <c r="M30" s="51">
        <v>83</v>
      </c>
      <c r="N30" s="51">
        <v>2.2000000000000002</v>
      </c>
      <c r="O30" s="51">
        <v>0</v>
      </c>
      <c r="P30" s="51">
        <v>0.28999999999999998</v>
      </c>
      <c r="Q30" s="51">
        <v>4.6500000000000004</v>
      </c>
    </row>
    <row r="31" spans="1:17" customFormat="1">
      <c r="A31" s="50">
        <v>45478.958333333336</v>
      </c>
      <c r="B31" s="51">
        <v>9.15</v>
      </c>
      <c r="C31" s="51">
        <v>4.09</v>
      </c>
      <c r="D31" s="51">
        <v>13.92</v>
      </c>
      <c r="E31" s="51">
        <v>10.79</v>
      </c>
      <c r="F31" s="51">
        <v>6.7</v>
      </c>
      <c r="G31" s="51">
        <v>18.309999999999999</v>
      </c>
      <c r="H31" s="51">
        <v>5.2</v>
      </c>
      <c r="I31" s="51">
        <v>3.42</v>
      </c>
      <c r="J31" s="51">
        <v>0.17</v>
      </c>
      <c r="K31" s="51">
        <v>222.66</v>
      </c>
      <c r="L31" s="51">
        <v>26.82</v>
      </c>
      <c r="M31" s="51">
        <v>88.62</v>
      </c>
      <c r="N31" s="51">
        <v>2.1</v>
      </c>
      <c r="O31" s="51">
        <v>0</v>
      </c>
      <c r="P31" s="51">
        <v>0.33</v>
      </c>
      <c r="Q31" s="51">
        <v>4.6500000000000004</v>
      </c>
    </row>
    <row r="32" spans="1:17" customFormat="1">
      <c r="A32" s="50">
        <v>45479</v>
      </c>
      <c r="B32" s="51">
        <v>9.18</v>
      </c>
      <c r="C32" s="51">
        <v>4.08</v>
      </c>
      <c r="D32" s="51">
        <v>13.93</v>
      </c>
      <c r="E32" s="51">
        <v>9.6</v>
      </c>
      <c r="F32" s="51">
        <v>5.96</v>
      </c>
      <c r="G32" s="51">
        <v>14.9</v>
      </c>
      <c r="H32" s="51">
        <v>5.2</v>
      </c>
      <c r="I32" s="51">
        <v>3.39</v>
      </c>
      <c r="J32" s="51">
        <v>0.61</v>
      </c>
      <c r="K32" s="51">
        <v>267.60000000000002</v>
      </c>
      <c r="L32" s="51">
        <v>27.04</v>
      </c>
      <c r="M32" s="51">
        <v>89.26</v>
      </c>
      <c r="N32" s="51">
        <v>2.1</v>
      </c>
      <c r="O32" s="51">
        <v>0</v>
      </c>
      <c r="P32" s="51">
        <v>0.33</v>
      </c>
      <c r="Q32" s="51">
        <v>4.6399999999999997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9.15</v>
      </c>
      <c r="C34" s="41">
        <f t="shared" si="0"/>
        <v>4.0599999999999996</v>
      </c>
      <c r="D34" s="41">
        <f t="shared" si="0"/>
        <v>13.9</v>
      </c>
      <c r="E34" s="41">
        <f t="shared" si="0"/>
        <v>8.32</v>
      </c>
      <c r="F34" s="41">
        <f t="shared" si="0"/>
        <v>4.09</v>
      </c>
      <c r="G34" s="41">
        <f t="shared" si="0"/>
        <v>9.0299999999999994</v>
      </c>
      <c r="H34" s="41">
        <f t="shared" si="0"/>
        <v>3.17</v>
      </c>
      <c r="I34" s="41">
        <f t="shared" si="0"/>
        <v>2.72</v>
      </c>
      <c r="J34" s="41">
        <f t="shared" si="0"/>
        <v>0.17</v>
      </c>
      <c r="K34" s="41">
        <f t="shared" si="0"/>
        <v>162.69999999999999</v>
      </c>
      <c r="L34" s="41">
        <f t="shared" si="0"/>
        <v>25.87</v>
      </c>
      <c r="M34" s="41">
        <f t="shared" si="0"/>
        <v>67.72</v>
      </c>
      <c r="N34" s="41">
        <f t="shared" si="0"/>
        <v>2.1</v>
      </c>
      <c r="O34" s="41">
        <f t="shared" si="0"/>
        <v>0</v>
      </c>
      <c r="P34" s="41">
        <f t="shared" si="0"/>
        <v>0.27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9.2100000000000009</v>
      </c>
      <c r="C35" s="33">
        <f t="shared" si="1"/>
        <v>4.0999999999999996</v>
      </c>
      <c r="D35" s="33">
        <f t="shared" si="1"/>
        <v>13.97</v>
      </c>
      <c r="E35" s="33">
        <f t="shared" si="1"/>
        <v>11.66</v>
      </c>
      <c r="F35" s="33">
        <f t="shared" si="1"/>
        <v>17.07</v>
      </c>
      <c r="G35" s="33">
        <f t="shared" si="1"/>
        <v>23.88</v>
      </c>
      <c r="H35" s="33">
        <f t="shared" si="1"/>
        <v>11.93</v>
      </c>
      <c r="I35" s="33">
        <f t="shared" si="1"/>
        <v>4.28</v>
      </c>
      <c r="J35" s="33">
        <f t="shared" si="1"/>
        <v>1.4</v>
      </c>
      <c r="K35" s="33">
        <f t="shared" si="1"/>
        <v>312.24</v>
      </c>
      <c r="L35" s="33">
        <f t="shared" si="1"/>
        <v>32.11</v>
      </c>
      <c r="M35" s="33">
        <f t="shared" si="1"/>
        <v>95.5</v>
      </c>
      <c r="N35" s="33">
        <f t="shared" si="1"/>
        <v>362.8</v>
      </c>
      <c r="O35" s="33">
        <f t="shared" si="1"/>
        <v>0.2</v>
      </c>
      <c r="P35" s="33">
        <f t="shared" si="1"/>
        <v>0.45</v>
      </c>
      <c r="Q35" s="33">
        <f t="shared" si="1"/>
        <v>4.66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9.1758333333333333</v>
      </c>
      <c r="C36" s="41">
        <f t="shared" si="2"/>
        <v>4.0787500000000003</v>
      </c>
      <c r="D36" s="41">
        <f t="shared" si="2"/>
        <v>13.932916666666669</v>
      </c>
      <c r="E36" s="41">
        <f t="shared" si="2"/>
        <v>9.7229166666666647</v>
      </c>
      <c r="F36" s="41">
        <f t="shared" si="2"/>
        <v>8.3649999999999984</v>
      </c>
      <c r="G36" s="41">
        <f t="shared" si="2"/>
        <v>16.212083333333332</v>
      </c>
      <c r="H36" s="41">
        <f t="shared" si="2"/>
        <v>6.4854166666666657</v>
      </c>
      <c r="I36" s="41">
        <f t="shared" si="2"/>
        <v>3.2083333333333339</v>
      </c>
      <c r="J36" s="41">
        <f t="shared" si="2"/>
        <v>0.70791666666666686</v>
      </c>
      <c r="K36" s="41">
        <f t="shared" si="2"/>
        <v>261.98291666666665</v>
      </c>
      <c r="L36" s="41">
        <f t="shared" si="2"/>
        <v>28.591249999999999</v>
      </c>
      <c r="M36" s="41">
        <f t="shared" si="2"/>
        <v>83.550416666666678</v>
      </c>
      <c r="N36" s="41">
        <f t="shared" si="2"/>
        <v>117.42083333333329</v>
      </c>
      <c r="O36" s="41">
        <f t="shared" si="2"/>
        <v>1.6666666666666666E-2</v>
      </c>
      <c r="P36" s="41">
        <f t="shared" si="2"/>
        <v>0.32333333333333336</v>
      </c>
      <c r="Q36" s="41">
        <f t="shared" si="2"/>
        <v>4.6516666666666673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2.0624313778658723E-2</v>
      </c>
      <c r="C37" s="41">
        <f t="shared" ref="C37:Q37" si="3">STDEV(C9:C32)</f>
        <v>8.9987921894864997E-3</v>
      </c>
      <c r="D37" s="41">
        <f t="shared" si="3"/>
        <v>1.988645303951302E-2</v>
      </c>
      <c r="E37" s="41">
        <f t="shared" si="3"/>
        <v>0.91620426413721079</v>
      </c>
      <c r="F37" s="41">
        <f t="shared" si="3"/>
        <v>4.2933760912444638</v>
      </c>
      <c r="G37" s="41">
        <f t="shared" si="3"/>
        <v>5.5863015525687443</v>
      </c>
      <c r="H37" s="41">
        <f t="shared" si="3"/>
        <v>2.9065772178265639</v>
      </c>
      <c r="I37" s="41">
        <f t="shared" si="3"/>
        <v>0.45480685500805162</v>
      </c>
      <c r="J37" s="41">
        <f t="shared" si="3"/>
        <v>0.36183084165257945</v>
      </c>
      <c r="K37" s="41">
        <f t="shared" si="3"/>
        <v>27.837339246785088</v>
      </c>
      <c r="L37" s="41">
        <f t="shared" si="3"/>
        <v>2.2942410178152945</v>
      </c>
      <c r="M37" s="41">
        <f t="shared" si="3"/>
        <v>8.0731215228799531</v>
      </c>
      <c r="N37" s="41">
        <f t="shared" si="3"/>
        <v>133.71136655909797</v>
      </c>
      <c r="O37" s="41">
        <f t="shared" si="3"/>
        <v>5.6465970257327996E-2</v>
      </c>
      <c r="P37" s="41">
        <f t="shared" si="3"/>
        <v>4.1563640743852569E-2</v>
      </c>
      <c r="Q37" s="41">
        <f t="shared" si="3"/>
        <v>9.6308682468616985E-3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45479.041666666664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45479.041666666664</v>
      </c>
      <c r="B9" s="51">
        <v>9.31</v>
      </c>
      <c r="C9" s="51">
        <v>4.1100000000000003</v>
      </c>
      <c r="D9" s="51">
        <v>14.05</v>
      </c>
      <c r="E9" s="51">
        <v>9.14</v>
      </c>
      <c r="F9" s="51">
        <v>6.51</v>
      </c>
      <c r="G9" s="51">
        <v>16.25</v>
      </c>
      <c r="H9" s="51">
        <v>5.44</v>
      </c>
      <c r="I9" s="51">
        <v>3.22</v>
      </c>
      <c r="J9" s="51">
        <v>0.65</v>
      </c>
      <c r="K9" s="51">
        <v>267.88</v>
      </c>
      <c r="L9" s="51">
        <v>27.12</v>
      </c>
      <c r="M9" s="51">
        <v>88.93</v>
      </c>
      <c r="N9" s="51">
        <v>2.4</v>
      </c>
      <c r="O9" s="51">
        <v>0</v>
      </c>
      <c r="P9" s="51">
        <v>0.32</v>
      </c>
      <c r="Q9" s="51">
        <v>4.6399999999999997</v>
      </c>
    </row>
    <row r="10" spans="1:21" customFormat="1">
      <c r="A10" s="50">
        <v>45479.083333333336</v>
      </c>
      <c r="B10" s="51">
        <v>9.34</v>
      </c>
      <c r="C10" s="51">
        <v>4.0999999999999996</v>
      </c>
      <c r="D10" s="51">
        <v>14.07</v>
      </c>
      <c r="E10" s="51">
        <v>8.68</v>
      </c>
      <c r="F10" s="51">
        <v>6.9</v>
      </c>
      <c r="G10" s="51">
        <v>16.25</v>
      </c>
      <c r="H10" s="51">
        <v>5.44</v>
      </c>
      <c r="I10" s="51">
        <v>3.29</v>
      </c>
      <c r="J10" s="51">
        <v>0.38</v>
      </c>
      <c r="K10" s="51">
        <v>263.39999999999998</v>
      </c>
      <c r="L10" s="51">
        <v>26.54</v>
      </c>
      <c r="M10" s="51">
        <v>90.96</v>
      </c>
      <c r="N10" s="51">
        <v>2.2000000000000002</v>
      </c>
      <c r="O10" s="51">
        <v>0</v>
      </c>
      <c r="P10" s="51">
        <v>0.31</v>
      </c>
      <c r="Q10" s="51">
        <v>4.62</v>
      </c>
    </row>
    <row r="11" spans="1:21" customFormat="1">
      <c r="A11" s="50">
        <v>45479.125</v>
      </c>
      <c r="B11" s="51">
        <v>9.32</v>
      </c>
      <c r="C11" s="51">
        <v>4.08</v>
      </c>
      <c r="D11" s="51">
        <v>14.05</v>
      </c>
      <c r="E11" s="51">
        <v>10.39</v>
      </c>
      <c r="F11" s="51">
        <v>6.55</v>
      </c>
      <c r="G11" s="51">
        <v>13.16</v>
      </c>
      <c r="H11" s="51">
        <v>3.81</v>
      </c>
      <c r="I11" s="51">
        <v>3.18</v>
      </c>
      <c r="J11" s="51">
        <v>0.42</v>
      </c>
      <c r="K11" s="51">
        <v>263.33999999999997</v>
      </c>
      <c r="L11" s="51">
        <v>26.24</v>
      </c>
      <c r="M11" s="51">
        <v>90.83</v>
      </c>
      <c r="N11" s="51">
        <v>2.1</v>
      </c>
      <c r="O11" s="51">
        <v>0</v>
      </c>
      <c r="P11" s="51">
        <v>0.3</v>
      </c>
      <c r="Q11" s="51">
        <v>4.63</v>
      </c>
    </row>
    <row r="12" spans="1:21" customFormat="1">
      <c r="A12" s="50">
        <v>45479.166666666664</v>
      </c>
      <c r="B12" s="51">
        <v>9.36</v>
      </c>
      <c r="C12" s="51">
        <v>4.1100000000000003</v>
      </c>
      <c r="D12" s="51">
        <v>14.09</v>
      </c>
      <c r="E12" s="51">
        <v>10.9</v>
      </c>
      <c r="F12" s="51">
        <v>4.9800000000000004</v>
      </c>
      <c r="G12" s="51">
        <v>12.46</v>
      </c>
      <c r="H12" s="51">
        <v>2.67</v>
      </c>
      <c r="I12" s="51">
        <v>3.14</v>
      </c>
      <c r="J12" s="51">
        <v>0.4</v>
      </c>
      <c r="K12" s="51">
        <v>254.78</v>
      </c>
      <c r="L12" s="51">
        <v>26.29</v>
      </c>
      <c r="M12" s="51">
        <v>91.98</v>
      </c>
      <c r="N12" s="51">
        <v>2.1</v>
      </c>
      <c r="O12" s="51">
        <v>0</v>
      </c>
      <c r="P12" s="51">
        <v>0.25</v>
      </c>
      <c r="Q12" s="51">
        <v>4.6500000000000004</v>
      </c>
    </row>
    <row r="13" spans="1:21" customFormat="1">
      <c r="A13" s="50">
        <v>45479.208333333336</v>
      </c>
      <c r="B13" s="51">
        <v>9.33</v>
      </c>
      <c r="C13" s="51">
        <v>4.08</v>
      </c>
      <c r="D13" s="51">
        <v>14.06</v>
      </c>
      <c r="E13" s="51">
        <v>11.64</v>
      </c>
      <c r="F13" s="51">
        <v>4.6900000000000004</v>
      </c>
      <c r="G13" s="51">
        <v>11.08</v>
      </c>
      <c r="H13" s="51">
        <v>2.52</v>
      </c>
      <c r="I13" s="51">
        <v>3.12</v>
      </c>
      <c r="J13" s="51">
        <v>0.52</v>
      </c>
      <c r="K13" s="51">
        <v>261.42</v>
      </c>
      <c r="L13" s="51">
        <v>26.24</v>
      </c>
      <c r="M13" s="51">
        <v>90.48</v>
      </c>
      <c r="N13" s="51">
        <v>2.2000000000000002</v>
      </c>
      <c r="O13" s="51">
        <v>0</v>
      </c>
      <c r="P13" s="51">
        <v>0.25</v>
      </c>
      <c r="Q13" s="51">
        <v>4.66</v>
      </c>
    </row>
    <row r="14" spans="1:21" customFormat="1">
      <c r="A14" s="50">
        <v>45479.25</v>
      </c>
      <c r="B14" s="51">
        <v>9.31</v>
      </c>
      <c r="C14" s="51">
        <v>4.09</v>
      </c>
      <c r="D14" s="51">
        <v>14.06</v>
      </c>
      <c r="E14" s="51">
        <v>11.64</v>
      </c>
      <c r="F14" s="51">
        <v>4.3099999999999996</v>
      </c>
      <c r="G14" s="51">
        <v>8.64</v>
      </c>
      <c r="H14" s="51">
        <v>2.0699999999999998</v>
      </c>
      <c r="I14" s="51">
        <v>3.03</v>
      </c>
      <c r="J14" s="51">
        <v>0.5</v>
      </c>
      <c r="K14" s="51">
        <v>264.7</v>
      </c>
      <c r="L14" s="51">
        <v>26.21</v>
      </c>
      <c r="M14" s="51">
        <v>88.04</v>
      </c>
      <c r="N14" s="51">
        <v>12.5</v>
      </c>
      <c r="O14" s="51">
        <v>0</v>
      </c>
      <c r="P14" s="51">
        <v>0.24</v>
      </c>
      <c r="Q14" s="51">
        <v>4.6399999999999997</v>
      </c>
    </row>
    <row r="15" spans="1:21" customFormat="1">
      <c r="A15" s="50">
        <v>45479.291666666664</v>
      </c>
      <c r="B15" s="51">
        <v>9.33</v>
      </c>
      <c r="C15" s="51">
        <v>4.08</v>
      </c>
      <c r="D15" s="51">
        <v>14.06</v>
      </c>
      <c r="E15" s="51">
        <v>12.05</v>
      </c>
      <c r="F15" s="51">
        <v>3.84</v>
      </c>
      <c r="G15" s="51">
        <v>9.36</v>
      </c>
      <c r="H15" s="51">
        <v>2.14</v>
      </c>
      <c r="I15" s="51">
        <v>2.95</v>
      </c>
      <c r="J15" s="51">
        <v>0.45</v>
      </c>
      <c r="K15" s="51">
        <v>279.16000000000003</v>
      </c>
      <c r="L15" s="51">
        <v>26.43</v>
      </c>
      <c r="M15" s="51">
        <v>87.84</v>
      </c>
      <c r="N15" s="51">
        <v>47.9</v>
      </c>
      <c r="O15" s="51">
        <v>0</v>
      </c>
      <c r="P15" s="51">
        <v>0.24</v>
      </c>
      <c r="Q15" s="51">
        <v>4.6500000000000004</v>
      </c>
    </row>
    <row r="16" spans="1:21" customFormat="1">
      <c r="A16" s="50">
        <v>45479.333333333336</v>
      </c>
      <c r="B16" s="51">
        <v>9.33</v>
      </c>
      <c r="C16" s="51">
        <v>4.08</v>
      </c>
      <c r="D16" s="51">
        <v>14.05</v>
      </c>
      <c r="E16" s="51">
        <v>12.67</v>
      </c>
      <c r="F16" s="51">
        <v>3.96</v>
      </c>
      <c r="G16" s="51">
        <v>9.58</v>
      </c>
      <c r="H16" s="51">
        <v>2.14</v>
      </c>
      <c r="I16" s="51">
        <v>2.92</v>
      </c>
      <c r="J16" s="51">
        <v>0.46</v>
      </c>
      <c r="K16" s="51">
        <v>272.08999999999997</v>
      </c>
      <c r="L16" s="51">
        <v>27</v>
      </c>
      <c r="M16" s="51">
        <v>86.2</v>
      </c>
      <c r="N16" s="51">
        <v>106.8</v>
      </c>
      <c r="O16" s="51">
        <v>0</v>
      </c>
      <c r="P16" s="51">
        <v>0.3</v>
      </c>
      <c r="Q16" s="51">
        <v>4.6399999999999997</v>
      </c>
    </row>
    <row r="17" spans="1:17" customFormat="1">
      <c r="A17" s="50">
        <v>45479.375</v>
      </c>
      <c r="B17" s="51">
        <v>9.36</v>
      </c>
      <c r="C17" s="51">
        <v>4.08</v>
      </c>
      <c r="D17" s="51">
        <v>14.08</v>
      </c>
      <c r="E17" s="51">
        <v>12.31</v>
      </c>
      <c r="F17" s="51">
        <v>5.42</v>
      </c>
      <c r="G17" s="51">
        <v>9.58</v>
      </c>
      <c r="H17" s="51">
        <v>1.75</v>
      </c>
      <c r="I17" s="51">
        <v>2.98</v>
      </c>
      <c r="J17" s="51">
        <v>0.71</v>
      </c>
      <c r="K17" s="51">
        <v>265.27</v>
      </c>
      <c r="L17" s="51">
        <v>28.14</v>
      </c>
      <c r="M17" s="51">
        <v>85.43</v>
      </c>
      <c r="N17" s="51">
        <v>235.4</v>
      </c>
      <c r="O17" s="51">
        <v>0</v>
      </c>
      <c r="P17" s="51">
        <v>0.3</v>
      </c>
      <c r="Q17" s="51">
        <v>4.6399999999999997</v>
      </c>
    </row>
    <row r="18" spans="1:17" customFormat="1">
      <c r="A18" s="50">
        <v>45479.416666666664</v>
      </c>
      <c r="B18" s="51">
        <v>9.32</v>
      </c>
      <c r="C18" s="51">
        <v>4.09</v>
      </c>
      <c r="D18" s="51">
        <v>14.04</v>
      </c>
      <c r="E18" s="51">
        <v>10.66</v>
      </c>
      <c r="F18" s="51">
        <v>5.27</v>
      </c>
      <c r="G18" s="51">
        <v>7.37</v>
      </c>
      <c r="H18" s="51">
        <v>2.0699999999999998</v>
      </c>
      <c r="I18" s="51">
        <v>3.03</v>
      </c>
      <c r="J18" s="51">
        <v>0.86</v>
      </c>
      <c r="K18" s="51">
        <v>265.36</v>
      </c>
      <c r="L18" s="51">
        <v>29.12</v>
      </c>
      <c r="M18" s="51">
        <v>81</v>
      </c>
      <c r="N18" s="51">
        <v>277.8</v>
      </c>
      <c r="O18" s="51">
        <v>0</v>
      </c>
      <c r="P18" s="51">
        <v>0.28999999999999998</v>
      </c>
      <c r="Q18" s="51">
        <v>4.6399999999999997</v>
      </c>
    </row>
    <row r="19" spans="1:17" customFormat="1">
      <c r="A19" s="50">
        <v>45479.458333333336</v>
      </c>
      <c r="B19" s="51">
        <v>9.3000000000000007</v>
      </c>
      <c r="C19" s="51">
        <v>4.09</v>
      </c>
      <c r="D19" s="51">
        <v>14.03</v>
      </c>
      <c r="E19" s="51">
        <v>10.36</v>
      </c>
      <c r="F19" s="51">
        <v>6.54</v>
      </c>
      <c r="G19" s="51">
        <v>7.37</v>
      </c>
      <c r="H19" s="51">
        <v>2.0699999999999998</v>
      </c>
      <c r="I19" s="51">
        <v>3.01</v>
      </c>
      <c r="J19" s="51">
        <v>0.81</v>
      </c>
      <c r="K19" s="51">
        <v>258.87</v>
      </c>
      <c r="L19" s="51">
        <v>29.12</v>
      </c>
      <c r="M19" s="51">
        <v>93.63</v>
      </c>
      <c r="N19" s="51">
        <v>264.60000000000002</v>
      </c>
      <c r="O19" s="51">
        <v>0.8</v>
      </c>
      <c r="P19" s="51">
        <v>0.3</v>
      </c>
      <c r="Q19" s="51">
        <v>4.63</v>
      </c>
    </row>
    <row r="20" spans="1:17" customFormat="1">
      <c r="A20" s="50">
        <v>45479.5</v>
      </c>
      <c r="B20" s="51">
        <v>9.3000000000000007</v>
      </c>
      <c r="C20" s="51">
        <v>4.0599999999999996</v>
      </c>
      <c r="D20" s="51">
        <v>14.03</v>
      </c>
      <c r="E20" s="51">
        <v>10.31</v>
      </c>
      <c r="F20" s="51">
        <v>6.5</v>
      </c>
      <c r="G20" s="51">
        <v>8.77</v>
      </c>
      <c r="H20" s="51">
        <v>3.68</v>
      </c>
      <c r="I20" s="51">
        <v>3</v>
      </c>
      <c r="J20" s="51">
        <v>0.66</v>
      </c>
      <c r="K20" s="51">
        <v>263.06</v>
      </c>
      <c r="L20" s="51">
        <v>30.31</v>
      </c>
      <c r="M20" s="51">
        <v>87.18</v>
      </c>
      <c r="N20" s="51">
        <v>400.7</v>
      </c>
      <c r="O20" s="51">
        <v>0</v>
      </c>
      <c r="P20" s="51">
        <v>0.28999999999999998</v>
      </c>
      <c r="Q20" s="51">
        <v>4.6399999999999997</v>
      </c>
    </row>
    <row r="21" spans="1:17" customFormat="1">
      <c r="A21" s="50">
        <v>45479.541666666664</v>
      </c>
      <c r="B21" s="51">
        <v>9.3800000000000008</v>
      </c>
      <c r="C21" s="51">
        <v>4.09</v>
      </c>
      <c r="D21" s="51">
        <v>14.11</v>
      </c>
      <c r="E21" s="51">
        <v>10.06</v>
      </c>
      <c r="F21" s="51">
        <v>8.0299999999999994</v>
      </c>
      <c r="G21" s="51">
        <v>10.75</v>
      </c>
      <c r="H21" s="51">
        <v>3.68</v>
      </c>
      <c r="I21" s="51">
        <v>3.14</v>
      </c>
      <c r="J21" s="51">
        <v>0.82</v>
      </c>
      <c r="K21" s="51">
        <v>272.83</v>
      </c>
      <c r="L21" s="51">
        <v>31.59</v>
      </c>
      <c r="M21" s="51">
        <v>75.03</v>
      </c>
      <c r="N21" s="51">
        <v>697.2</v>
      </c>
      <c r="O21" s="51">
        <v>0</v>
      </c>
      <c r="P21" s="51">
        <v>0.28999999999999998</v>
      </c>
      <c r="Q21" s="51">
        <v>4.63</v>
      </c>
    </row>
    <row r="22" spans="1:17" customFormat="1">
      <c r="A22" s="50">
        <v>45479.583333333336</v>
      </c>
      <c r="B22" s="51">
        <v>9.3699999999999992</v>
      </c>
      <c r="C22" s="51">
        <v>4.09</v>
      </c>
      <c r="D22" s="51">
        <v>14.09</v>
      </c>
      <c r="E22" s="51">
        <v>11.47</v>
      </c>
      <c r="F22" s="51">
        <v>7.26</v>
      </c>
      <c r="G22" s="51">
        <v>10.75</v>
      </c>
      <c r="H22" s="51">
        <v>2.89</v>
      </c>
      <c r="I22" s="51">
        <v>3.01</v>
      </c>
      <c r="J22" s="51">
        <v>0.86</v>
      </c>
      <c r="K22" s="51">
        <v>278.36</v>
      </c>
      <c r="L22" s="51">
        <v>32.770000000000003</v>
      </c>
      <c r="M22" s="51">
        <v>73.489999999999995</v>
      </c>
      <c r="N22" s="51">
        <v>552.6</v>
      </c>
      <c r="O22" s="51">
        <v>0</v>
      </c>
      <c r="P22" s="51">
        <v>0.21</v>
      </c>
      <c r="Q22" s="51">
        <v>4.66</v>
      </c>
    </row>
    <row r="23" spans="1:17" customFormat="1">
      <c r="A23" s="50">
        <v>45479.625</v>
      </c>
      <c r="B23" s="51">
        <v>9.39</v>
      </c>
      <c r="C23" s="51">
        <v>4.09</v>
      </c>
      <c r="D23" s="51">
        <v>14.1</v>
      </c>
      <c r="E23" s="51">
        <v>11.91</v>
      </c>
      <c r="F23" s="51">
        <v>9.77</v>
      </c>
      <c r="G23" s="51">
        <v>13.82</v>
      </c>
      <c r="H23" s="51">
        <v>2.57</v>
      </c>
      <c r="I23" s="51">
        <v>3.01</v>
      </c>
      <c r="J23" s="51">
        <v>0.83</v>
      </c>
      <c r="K23" s="51">
        <v>278.68</v>
      </c>
      <c r="L23" s="51">
        <v>33.630000000000003</v>
      </c>
      <c r="M23" s="51">
        <v>67.77</v>
      </c>
      <c r="N23" s="51">
        <v>721.4</v>
      </c>
      <c r="O23" s="51">
        <v>0</v>
      </c>
      <c r="P23" s="51">
        <v>0.26</v>
      </c>
      <c r="Q23" s="51">
        <v>4.6500000000000004</v>
      </c>
    </row>
    <row r="24" spans="1:17" customFormat="1">
      <c r="A24" s="50">
        <v>45479.666666666664</v>
      </c>
      <c r="B24" s="51">
        <v>9.33</v>
      </c>
      <c r="C24" s="51">
        <v>4.08</v>
      </c>
      <c r="D24" s="51">
        <v>14.05</v>
      </c>
      <c r="E24" s="51">
        <v>11.95</v>
      </c>
      <c r="F24" s="51">
        <v>8.73</v>
      </c>
      <c r="G24" s="51">
        <v>14.13</v>
      </c>
      <c r="H24" s="51">
        <v>4.6100000000000003</v>
      </c>
      <c r="I24" s="51">
        <v>2.81</v>
      </c>
      <c r="J24" s="51">
        <v>0.78</v>
      </c>
      <c r="K24" s="51">
        <v>268.26</v>
      </c>
      <c r="L24" s="51">
        <v>33.47</v>
      </c>
      <c r="M24" s="51">
        <v>64.92</v>
      </c>
      <c r="N24" s="51">
        <v>351.5</v>
      </c>
      <c r="O24" s="51">
        <v>0</v>
      </c>
      <c r="P24" s="51">
        <v>0.28000000000000003</v>
      </c>
      <c r="Q24" s="51">
        <v>4.6399999999999997</v>
      </c>
    </row>
    <row r="25" spans="1:17" customFormat="1">
      <c r="A25" s="50">
        <v>45479.708333333336</v>
      </c>
      <c r="B25" s="51">
        <v>9.33</v>
      </c>
      <c r="C25" s="51">
        <v>4.08</v>
      </c>
      <c r="D25" s="51">
        <v>14.06</v>
      </c>
      <c r="E25" s="51">
        <v>12.08</v>
      </c>
      <c r="F25" s="51">
        <v>10.76</v>
      </c>
      <c r="G25" s="51">
        <v>19.170000000000002</v>
      </c>
      <c r="H25" s="51">
        <v>6.34</v>
      </c>
      <c r="I25" s="51">
        <v>2.75</v>
      </c>
      <c r="J25" s="51">
        <v>0.63</v>
      </c>
      <c r="K25" s="51">
        <v>259.97000000000003</v>
      </c>
      <c r="L25" s="51">
        <v>33.58</v>
      </c>
      <c r="M25" s="51">
        <v>69.59</v>
      </c>
      <c r="N25" s="51">
        <v>326.39999999999998</v>
      </c>
      <c r="O25" s="51">
        <v>0</v>
      </c>
      <c r="P25" s="51">
        <v>0.28000000000000003</v>
      </c>
      <c r="Q25" s="51">
        <v>4.6399999999999997</v>
      </c>
    </row>
    <row r="26" spans="1:17" customFormat="1">
      <c r="A26" s="50">
        <v>45479.75</v>
      </c>
      <c r="B26" s="51">
        <v>9.3800000000000008</v>
      </c>
      <c r="C26" s="51">
        <v>4.09</v>
      </c>
      <c r="D26" s="51">
        <v>14.11</v>
      </c>
      <c r="E26" s="51">
        <v>12.24</v>
      </c>
      <c r="F26" s="51">
        <v>19.07</v>
      </c>
      <c r="G26" s="51">
        <v>19.170000000000002</v>
      </c>
      <c r="H26" s="51">
        <v>6.34</v>
      </c>
      <c r="I26" s="51">
        <v>2.71</v>
      </c>
      <c r="J26" s="51">
        <v>0.17</v>
      </c>
      <c r="K26" s="51">
        <v>238.47</v>
      </c>
      <c r="L26" s="51">
        <v>31.58</v>
      </c>
      <c r="M26" s="51">
        <v>74.66</v>
      </c>
      <c r="N26" s="51">
        <v>59.3</v>
      </c>
      <c r="O26" s="51">
        <v>0</v>
      </c>
      <c r="P26" s="51">
        <v>0.36</v>
      </c>
      <c r="Q26" s="51">
        <v>4.6399999999999997</v>
      </c>
    </row>
    <row r="27" spans="1:17" customFormat="1">
      <c r="A27" s="50">
        <v>45479.791666666664</v>
      </c>
      <c r="B27" s="51">
        <v>9.36</v>
      </c>
      <c r="C27" s="51">
        <v>4.1100000000000003</v>
      </c>
      <c r="D27" s="51">
        <v>14.1</v>
      </c>
      <c r="E27" s="51">
        <v>7.19</v>
      </c>
      <c r="F27" s="51">
        <v>18.23</v>
      </c>
      <c r="G27" s="51">
        <v>22.18</v>
      </c>
      <c r="H27" s="51">
        <v>7.9</v>
      </c>
      <c r="I27" s="51">
        <v>2.5</v>
      </c>
      <c r="J27" s="51">
        <v>0.13</v>
      </c>
      <c r="K27" s="51">
        <v>288.14999999999998</v>
      </c>
      <c r="L27" s="51">
        <v>30.82</v>
      </c>
      <c r="M27" s="51">
        <v>77.63</v>
      </c>
      <c r="N27" s="51">
        <v>36.200000000000003</v>
      </c>
      <c r="O27" s="51">
        <v>0</v>
      </c>
      <c r="P27" s="51">
        <v>0.35</v>
      </c>
      <c r="Q27" s="51">
        <v>4.6399999999999997</v>
      </c>
    </row>
    <row r="28" spans="1:17" customFormat="1">
      <c r="A28" s="50">
        <v>45479.833333333336</v>
      </c>
      <c r="B28" s="51">
        <v>9.31</v>
      </c>
      <c r="C28" s="51">
        <v>4.09</v>
      </c>
      <c r="D28" s="51">
        <v>14.05</v>
      </c>
      <c r="E28" s="51">
        <v>7.16</v>
      </c>
      <c r="F28" s="51">
        <v>15.02</v>
      </c>
      <c r="G28" s="51">
        <v>22.18</v>
      </c>
      <c r="H28" s="51">
        <v>7.9</v>
      </c>
      <c r="I28" s="51">
        <v>2.6</v>
      </c>
      <c r="J28" s="51">
        <v>0.17</v>
      </c>
      <c r="K28" s="51">
        <v>239.32</v>
      </c>
      <c r="L28" s="51">
        <v>29.55</v>
      </c>
      <c r="M28" s="51">
        <v>79.459999999999994</v>
      </c>
      <c r="N28" s="51">
        <v>2.1</v>
      </c>
      <c r="O28" s="51">
        <v>0</v>
      </c>
      <c r="P28" s="51">
        <v>0.37</v>
      </c>
      <c r="Q28" s="51">
        <v>4.6399999999999997</v>
      </c>
    </row>
    <row r="29" spans="1:17" customFormat="1">
      <c r="A29" s="50">
        <v>45479.875</v>
      </c>
      <c r="B29" s="51">
        <v>9.31</v>
      </c>
      <c r="C29" s="51">
        <v>4.08</v>
      </c>
      <c r="D29" s="51">
        <v>14.04</v>
      </c>
      <c r="E29" s="51">
        <v>6.78</v>
      </c>
      <c r="F29" s="51">
        <v>13.83</v>
      </c>
      <c r="G29" s="51">
        <v>23.6</v>
      </c>
      <c r="H29" s="51">
        <v>5.74</v>
      </c>
      <c r="I29" s="51">
        <v>3.07</v>
      </c>
      <c r="J29" s="51">
        <v>0.13</v>
      </c>
      <c r="K29" s="51">
        <v>229.82</v>
      </c>
      <c r="L29" s="51">
        <v>29.14</v>
      </c>
      <c r="M29" s="51">
        <v>81.05</v>
      </c>
      <c r="N29" s="51">
        <v>2.1</v>
      </c>
      <c r="O29" s="51">
        <v>0</v>
      </c>
      <c r="P29" s="51">
        <v>0.37</v>
      </c>
      <c r="Q29" s="51">
        <v>4.62</v>
      </c>
    </row>
    <row r="30" spans="1:17" customFormat="1">
      <c r="A30" s="50">
        <v>45479.916666666664</v>
      </c>
      <c r="B30" s="51">
        <v>9.33</v>
      </c>
      <c r="C30" s="51">
        <v>4.09</v>
      </c>
      <c r="D30" s="51">
        <v>14.07</v>
      </c>
      <c r="E30" s="51">
        <v>7.19</v>
      </c>
      <c r="F30" s="51">
        <v>12.59</v>
      </c>
      <c r="G30" s="51">
        <v>23.6</v>
      </c>
      <c r="H30" s="51">
        <v>8.2200000000000006</v>
      </c>
      <c r="I30" s="51">
        <v>3.26</v>
      </c>
      <c r="J30" s="51">
        <v>0.15</v>
      </c>
      <c r="K30" s="51">
        <v>251.15</v>
      </c>
      <c r="L30" s="51">
        <v>28.83</v>
      </c>
      <c r="M30" s="51">
        <v>83.72</v>
      </c>
      <c r="N30" s="51">
        <v>2.1</v>
      </c>
      <c r="O30" s="51">
        <v>0</v>
      </c>
      <c r="P30" s="51">
        <v>0.37</v>
      </c>
      <c r="Q30" s="51">
        <v>4.6399999999999997</v>
      </c>
    </row>
    <row r="31" spans="1:17" customFormat="1">
      <c r="A31" s="50">
        <v>45479.958333333336</v>
      </c>
      <c r="B31" s="51">
        <v>9.3800000000000008</v>
      </c>
      <c r="C31" s="51">
        <v>4.0999999999999996</v>
      </c>
      <c r="D31" s="51">
        <v>14.1</v>
      </c>
      <c r="E31" s="51">
        <v>8.41</v>
      </c>
      <c r="F31" s="51">
        <v>8.86</v>
      </c>
      <c r="G31" s="51">
        <v>23.31</v>
      </c>
      <c r="H31" s="51">
        <v>8.2200000000000006</v>
      </c>
      <c r="I31" s="51">
        <v>3.22</v>
      </c>
      <c r="J31" s="51">
        <v>0.15</v>
      </c>
      <c r="K31" s="51">
        <v>251.22</v>
      </c>
      <c r="L31" s="51">
        <v>28.48</v>
      </c>
      <c r="M31" s="51">
        <v>83.34</v>
      </c>
      <c r="N31" s="51">
        <v>2.1</v>
      </c>
      <c r="O31" s="51">
        <v>0</v>
      </c>
      <c r="P31" s="51">
        <v>0.31</v>
      </c>
      <c r="Q31" s="51">
        <v>4.6399999999999997</v>
      </c>
    </row>
    <row r="32" spans="1:17" customFormat="1">
      <c r="A32" s="50">
        <v>45480</v>
      </c>
      <c r="B32" s="51">
        <v>9.36</v>
      </c>
      <c r="C32" s="51">
        <v>4.08</v>
      </c>
      <c r="D32" s="51">
        <v>14.08</v>
      </c>
      <c r="E32" s="51">
        <v>8.6199999999999992</v>
      </c>
      <c r="F32" s="51">
        <v>6.89</v>
      </c>
      <c r="G32" s="51">
        <v>25.48</v>
      </c>
      <c r="H32" s="51">
        <v>8.0299999999999994</v>
      </c>
      <c r="I32" s="51">
        <v>3.13</v>
      </c>
      <c r="J32" s="51">
        <v>0.67</v>
      </c>
      <c r="K32" s="51">
        <v>277.89999999999998</v>
      </c>
      <c r="L32" s="51">
        <v>28.34</v>
      </c>
      <c r="M32" s="51">
        <v>84.58</v>
      </c>
      <c r="N32" s="51">
        <v>2.1</v>
      </c>
      <c r="O32" s="51">
        <v>0</v>
      </c>
      <c r="P32" s="51">
        <v>0.32</v>
      </c>
      <c r="Q32" s="51">
        <v>4.6399999999999997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9.3000000000000007</v>
      </c>
      <c r="C34" s="41">
        <f t="shared" si="0"/>
        <v>4.0599999999999996</v>
      </c>
      <c r="D34" s="41">
        <f t="shared" si="0"/>
        <v>14.03</v>
      </c>
      <c r="E34" s="41">
        <f t="shared" si="0"/>
        <v>6.78</v>
      </c>
      <c r="F34" s="41">
        <f t="shared" si="0"/>
        <v>3.84</v>
      </c>
      <c r="G34" s="41">
        <f t="shared" si="0"/>
        <v>7.37</v>
      </c>
      <c r="H34" s="41">
        <f t="shared" si="0"/>
        <v>1.75</v>
      </c>
      <c r="I34" s="41">
        <f t="shared" si="0"/>
        <v>2.5</v>
      </c>
      <c r="J34" s="41">
        <f t="shared" si="0"/>
        <v>0.13</v>
      </c>
      <c r="K34" s="41">
        <f t="shared" si="0"/>
        <v>229.82</v>
      </c>
      <c r="L34" s="41">
        <f t="shared" si="0"/>
        <v>26.21</v>
      </c>
      <c r="M34" s="41">
        <f t="shared" si="0"/>
        <v>64.92</v>
      </c>
      <c r="N34" s="41">
        <f t="shared" si="0"/>
        <v>2.1</v>
      </c>
      <c r="O34" s="41">
        <f t="shared" si="0"/>
        <v>0</v>
      </c>
      <c r="P34" s="41">
        <f t="shared" si="0"/>
        <v>0.21</v>
      </c>
      <c r="Q34" s="41">
        <f t="shared" si="0"/>
        <v>4.62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9.39</v>
      </c>
      <c r="C35" s="33">
        <f t="shared" si="1"/>
        <v>4.1100000000000003</v>
      </c>
      <c r="D35" s="33">
        <f t="shared" si="1"/>
        <v>14.11</v>
      </c>
      <c r="E35" s="33">
        <f t="shared" si="1"/>
        <v>12.67</v>
      </c>
      <c r="F35" s="33">
        <f t="shared" si="1"/>
        <v>19.07</v>
      </c>
      <c r="G35" s="33">
        <f t="shared" si="1"/>
        <v>25.48</v>
      </c>
      <c r="H35" s="33">
        <f t="shared" si="1"/>
        <v>8.2200000000000006</v>
      </c>
      <c r="I35" s="33">
        <f t="shared" si="1"/>
        <v>3.29</v>
      </c>
      <c r="J35" s="33">
        <f t="shared" si="1"/>
        <v>0.86</v>
      </c>
      <c r="K35" s="33">
        <f t="shared" si="1"/>
        <v>288.14999999999998</v>
      </c>
      <c r="L35" s="33">
        <f t="shared" si="1"/>
        <v>33.630000000000003</v>
      </c>
      <c r="M35" s="33">
        <f t="shared" si="1"/>
        <v>93.63</v>
      </c>
      <c r="N35" s="33">
        <f t="shared" si="1"/>
        <v>721.4</v>
      </c>
      <c r="O35" s="33">
        <f t="shared" si="1"/>
        <v>0.8</v>
      </c>
      <c r="P35" s="33">
        <f t="shared" si="1"/>
        <v>0.37</v>
      </c>
      <c r="Q35" s="33">
        <f t="shared" si="1"/>
        <v>4.66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9.3391666666666691</v>
      </c>
      <c r="C36" s="41">
        <f t="shared" si="2"/>
        <v>4.0883333333333338</v>
      </c>
      <c r="D36" s="41">
        <f t="shared" si="2"/>
        <v>14.067916666666671</v>
      </c>
      <c r="E36" s="41">
        <f t="shared" si="2"/>
        <v>10.242083333333333</v>
      </c>
      <c r="F36" s="41">
        <f t="shared" si="2"/>
        <v>8.5212500000000002</v>
      </c>
      <c r="G36" s="41">
        <f t="shared" si="2"/>
        <v>14.917083333333338</v>
      </c>
      <c r="H36" s="41">
        <f t="shared" si="2"/>
        <v>4.5100000000000007</v>
      </c>
      <c r="I36" s="41">
        <f t="shared" si="2"/>
        <v>3.0033333333333334</v>
      </c>
      <c r="J36" s="41">
        <f t="shared" si="2"/>
        <v>0.5129166666666668</v>
      </c>
      <c r="K36" s="41">
        <f t="shared" si="2"/>
        <v>263.06083333333328</v>
      </c>
      <c r="L36" s="41">
        <f t="shared" si="2"/>
        <v>29.189166666666669</v>
      </c>
      <c r="M36" s="41">
        <f t="shared" si="2"/>
        <v>82.405833333333334</v>
      </c>
      <c r="N36" s="41">
        <f t="shared" si="2"/>
        <v>171.32500000000007</v>
      </c>
      <c r="O36" s="41">
        <f t="shared" si="2"/>
        <v>3.3333333333333333E-2</v>
      </c>
      <c r="P36" s="41">
        <f t="shared" si="2"/>
        <v>0.29833333333333334</v>
      </c>
      <c r="Q36" s="41">
        <f t="shared" si="2"/>
        <v>4.6400000000000015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2.7962189792128372E-2</v>
      </c>
      <c r="C37" s="41">
        <f t="shared" ref="C37:Q37" si="3">STDEV(C9:C32)</f>
        <v>1.1671841502435356E-2</v>
      </c>
      <c r="D37" s="41">
        <f t="shared" si="3"/>
        <v>2.4843714394742391E-2</v>
      </c>
      <c r="E37" s="41">
        <f t="shared" si="3"/>
        <v>1.8923575798841383</v>
      </c>
      <c r="F37" s="41">
        <f t="shared" si="3"/>
        <v>4.3246576265591852</v>
      </c>
      <c r="G37" s="41">
        <f t="shared" si="3"/>
        <v>5.961418330774368</v>
      </c>
      <c r="H37" s="41">
        <f t="shared" si="3"/>
        <v>2.3328187838451724</v>
      </c>
      <c r="I37" s="41">
        <f t="shared" si="3"/>
        <v>0.20431575449835282</v>
      </c>
      <c r="J37" s="41">
        <f t="shared" si="3"/>
        <v>0.25967335947915082</v>
      </c>
      <c r="K37" s="41">
        <f t="shared" si="3"/>
        <v>13.957826514701289</v>
      </c>
      <c r="L37" s="41">
        <f t="shared" si="3"/>
        <v>2.5239804944237401</v>
      </c>
      <c r="M37" s="41">
        <f t="shared" si="3"/>
        <v>8.0700201587306193</v>
      </c>
      <c r="N37" s="41">
        <f t="shared" si="3"/>
        <v>230.25481395146994</v>
      </c>
      <c r="O37" s="41">
        <f t="shared" si="3"/>
        <v>0.16329931618554525</v>
      </c>
      <c r="P37" s="41">
        <f t="shared" si="3"/>
        <v>4.4101332590204829E-2</v>
      </c>
      <c r="Q37" s="41">
        <f t="shared" si="3"/>
        <v>9.780192938436582E-3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45480.041666666664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45480.041666666664</v>
      </c>
      <c r="B9" s="51">
        <v>9.25</v>
      </c>
      <c r="C9" s="51">
        <v>4.0999999999999996</v>
      </c>
      <c r="D9" s="51">
        <v>13.99</v>
      </c>
      <c r="E9" s="51">
        <v>9.07</v>
      </c>
      <c r="F9" s="51">
        <v>5.5</v>
      </c>
      <c r="G9" s="51">
        <v>25.48</v>
      </c>
      <c r="H9" s="51">
        <v>8.0299999999999994</v>
      </c>
      <c r="I9" s="51">
        <v>3.22</v>
      </c>
      <c r="J9" s="51">
        <v>0.74</v>
      </c>
      <c r="K9" s="51">
        <v>268.47000000000003</v>
      </c>
      <c r="L9" s="51">
        <v>28.13</v>
      </c>
      <c r="M9" s="51">
        <v>82.31</v>
      </c>
      <c r="N9" s="51">
        <v>2.6</v>
      </c>
      <c r="O9" s="51">
        <v>0</v>
      </c>
      <c r="P9" s="51">
        <v>0.31</v>
      </c>
      <c r="Q9" s="51">
        <v>4.62</v>
      </c>
    </row>
    <row r="10" spans="1:21" customFormat="1">
      <c r="A10" s="50">
        <v>45480.083333333336</v>
      </c>
      <c r="B10" s="51">
        <v>9.1999999999999993</v>
      </c>
      <c r="C10" s="51">
        <v>4.07</v>
      </c>
      <c r="D10" s="51">
        <v>13.95</v>
      </c>
      <c r="E10" s="51">
        <v>9.9499999999999993</v>
      </c>
      <c r="F10" s="51">
        <v>5.24</v>
      </c>
      <c r="G10" s="51">
        <v>23.44</v>
      </c>
      <c r="H10" s="51">
        <v>5.62</v>
      </c>
      <c r="I10" s="51">
        <v>3.07</v>
      </c>
      <c r="J10" s="51">
        <v>0.6</v>
      </c>
      <c r="K10" s="51">
        <v>268.3</v>
      </c>
      <c r="L10" s="51">
        <v>26.81</v>
      </c>
      <c r="M10" s="51">
        <v>86.85</v>
      </c>
      <c r="N10" s="51">
        <v>2.2000000000000002</v>
      </c>
      <c r="O10" s="51">
        <v>0</v>
      </c>
      <c r="P10" s="51">
        <v>0.31</v>
      </c>
      <c r="Q10" s="51">
        <v>4.62</v>
      </c>
    </row>
    <row r="11" spans="1:21" customFormat="1">
      <c r="A11" s="50">
        <v>45480.125</v>
      </c>
      <c r="B11" s="51">
        <v>9.1999999999999993</v>
      </c>
      <c r="C11" s="51">
        <v>4.08</v>
      </c>
      <c r="D11" s="51">
        <v>13.95</v>
      </c>
      <c r="E11" s="51">
        <v>9.84</v>
      </c>
      <c r="F11" s="51">
        <v>4.88</v>
      </c>
      <c r="G11" s="51">
        <v>16.690000000000001</v>
      </c>
      <c r="H11" s="51">
        <v>4.04</v>
      </c>
      <c r="I11" s="51">
        <v>2.77</v>
      </c>
      <c r="J11" s="51">
        <v>0.83</v>
      </c>
      <c r="K11" s="51">
        <v>274.82</v>
      </c>
      <c r="L11" s="51">
        <v>26.5</v>
      </c>
      <c r="M11" s="51">
        <v>89.11</v>
      </c>
      <c r="N11" s="51">
        <v>2.2999999999999998</v>
      </c>
      <c r="O11" s="51">
        <v>0</v>
      </c>
      <c r="P11" s="51">
        <v>0.35</v>
      </c>
      <c r="Q11" s="51">
        <v>4.6399999999999997</v>
      </c>
    </row>
    <row r="12" spans="1:21" customFormat="1">
      <c r="A12" s="50">
        <v>45480.166666666664</v>
      </c>
      <c r="B12" s="51">
        <v>9.2200000000000006</v>
      </c>
      <c r="C12" s="51">
        <v>4.09</v>
      </c>
      <c r="D12" s="51">
        <v>13.98</v>
      </c>
      <c r="E12" s="51">
        <v>9.18</v>
      </c>
      <c r="F12" s="51">
        <v>5.31</v>
      </c>
      <c r="G12" s="51">
        <v>15.72</v>
      </c>
      <c r="H12" s="51">
        <v>3.62</v>
      </c>
      <c r="I12" s="51">
        <v>2.74</v>
      </c>
      <c r="J12" s="51">
        <v>0.56000000000000005</v>
      </c>
      <c r="K12" s="51">
        <v>263.33999999999997</v>
      </c>
      <c r="L12" s="51">
        <v>26.24</v>
      </c>
      <c r="M12" s="51">
        <v>91.25</v>
      </c>
      <c r="N12" s="51">
        <v>2.2999999999999998</v>
      </c>
      <c r="O12" s="51">
        <v>0</v>
      </c>
      <c r="P12" s="51">
        <v>0.35</v>
      </c>
      <c r="Q12" s="51">
        <v>4.6399999999999997</v>
      </c>
    </row>
    <row r="13" spans="1:21" customFormat="1">
      <c r="A13" s="50">
        <v>45480.208333333336</v>
      </c>
      <c r="B13" s="51">
        <v>9.23</v>
      </c>
      <c r="C13" s="51">
        <v>4.08</v>
      </c>
      <c r="D13" s="51">
        <v>13.97</v>
      </c>
      <c r="E13" s="51">
        <v>7.96</v>
      </c>
      <c r="F13" s="51">
        <v>5.73</v>
      </c>
      <c r="G13" s="51">
        <v>11.47</v>
      </c>
      <c r="H13" s="51">
        <v>3.62</v>
      </c>
      <c r="I13" s="51">
        <v>2.77</v>
      </c>
      <c r="J13" s="51">
        <v>0.45</v>
      </c>
      <c r="K13" s="51">
        <v>271.27999999999997</v>
      </c>
      <c r="L13" s="51">
        <v>25.92</v>
      </c>
      <c r="M13" s="51">
        <v>91.77</v>
      </c>
      <c r="N13" s="51">
        <v>2.1</v>
      </c>
      <c r="O13" s="51">
        <v>0</v>
      </c>
      <c r="P13" s="51">
        <v>0.33</v>
      </c>
      <c r="Q13" s="51">
        <v>4.6399999999999997</v>
      </c>
    </row>
    <row r="14" spans="1:21" customFormat="1">
      <c r="A14" s="50">
        <v>45480.25</v>
      </c>
      <c r="B14" s="51">
        <v>9.25</v>
      </c>
      <c r="C14" s="51">
        <v>4.0599999999999996</v>
      </c>
      <c r="D14" s="51">
        <v>13.99</v>
      </c>
      <c r="E14" s="51">
        <v>7.34</v>
      </c>
      <c r="F14" s="51">
        <v>6.63</v>
      </c>
      <c r="G14" s="51">
        <v>9.58</v>
      </c>
      <c r="H14" s="51">
        <v>2.8</v>
      </c>
      <c r="I14" s="51">
        <v>2.75</v>
      </c>
      <c r="J14" s="51">
        <v>0.47</v>
      </c>
      <c r="K14" s="51">
        <v>267.94</v>
      </c>
      <c r="L14" s="51">
        <v>25.91</v>
      </c>
      <c r="M14" s="51">
        <v>92.78</v>
      </c>
      <c r="N14" s="51">
        <v>26.3</v>
      </c>
      <c r="O14" s="51">
        <v>0</v>
      </c>
      <c r="P14" s="51">
        <v>0.33</v>
      </c>
      <c r="Q14" s="51">
        <v>4.6399999999999997</v>
      </c>
    </row>
    <row r="15" spans="1:21" customFormat="1">
      <c r="A15" s="50">
        <v>45480.291666666664</v>
      </c>
      <c r="B15" s="51">
        <v>9.24</v>
      </c>
      <c r="C15" s="51">
        <v>4.09</v>
      </c>
      <c r="D15" s="51">
        <v>13.98</v>
      </c>
      <c r="E15" s="51">
        <v>7.22</v>
      </c>
      <c r="F15" s="51">
        <v>6.29</v>
      </c>
      <c r="G15" s="51">
        <v>9.58</v>
      </c>
      <c r="H15" s="51">
        <v>2.8</v>
      </c>
      <c r="I15" s="51">
        <v>2.81</v>
      </c>
      <c r="J15" s="51">
        <v>0.62</v>
      </c>
      <c r="K15" s="51">
        <v>273.92</v>
      </c>
      <c r="L15" s="51">
        <v>26.51</v>
      </c>
      <c r="M15" s="51">
        <v>89.58</v>
      </c>
      <c r="N15" s="51">
        <v>72.900000000000006</v>
      </c>
      <c r="O15" s="51">
        <v>0</v>
      </c>
      <c r="P15" s="51">
        <v>0.33</v>
      </c>
      <c r="Q15" s="51">
        <v>4.6399999999999997</v>
      </c>
    </row>
    <row r="16" spans="1:21" customFormat="1">
      <c r="A16" s="50">
        <v>45480.333333333336</v>
      </c>
      <c r="B16" s="51">
        <v>9.27</v>
      </c>
      <c r="C16" s="51">
        <v>4.07</v>
      </c>
      <c r="D16" s="51">
        <v>14</v>
      </c>
      <c r="E16" s="51">
        <v>7.46</v>
      </c>
      <c r="F16" s="51">
        <v>6</v>
      </c>
      <c r="G16" s="51">
        <v>7.08</v>
      </c>
      <c r="H16" s="51">
        <v>3.78</v>
      </c>
      <c r="I16" s="51">
        <v>2.82</v>
      </c>
      <c r="J16" s="51">
        <v>0.94</v>
      </c>
      <c r="K16" s="51">
        <v>272</v>
      </c>
      <c r="L16" s="51">
        <v>27.2</v>
      </c>
      <c r="M16" s="51">
        <v>87.07</v>
      </c>
      <c r="N16" s="51">
        <v>138.80000000000001</v>
      </c>
      <c r="O16" s="51">
        <v>0</v>
      </c>
      <c r="P16" s="51">
        <v>0.31</v>
      </c>
      <c r="Q16" s="51">
        <v>4.6399999999999997</v>
      </c>
    </row>
    <row r="17" spans="1:17" customFormat="1">
      <c r="A17" s="50">
        <v>45480.375</v>
      </c>
      <c r="B17" s="51">
        <v>9.24</v>
      </c>
      <c r="C17" s="51">
        <v>4.1100000000000003</v>
      </c>
      <c r="D17" s="51">
        <v>14</v>
      </c>
      <c r="E17" s="51">
        <v>8.08</v>
      </c>
      <c r="F17" s="51">
        <v>6.14</v>
      </c>
      <c r="G17" s="51">
        <v>5.62</v>
      </c>
      <c r="H17" s="51">
        <v>20.87</v>
      </c>
      <c r="I17" s="51">
        <v>2.78</v>
      </c>
      <c r="J17" s="51">
        <v>0.79</v>
      </c>
      <c r="K17" s="51">
        <v>280.04000000000002</v>
      </c>
      <c r="L17" s="51">
        <v>28.49</v>
      </c>
      <c r="M17" s="51">
        <v>83.99</v>
      </c>
      <c r="N17" s="51">
        <v>204.8</v>
      </c>
      <c r="O17" s="51">
        <v>0</v>
      </c>
      <c r="P17" s="51">
        <v>0.28999999999999998</v>
      </c>
      <c r="Q17" s="51">
        <v>4.66</v>
      </c>
    </row>
    <row r="18" spans="1:17" customFormat="1">
      <c r="A18" s="50">
        <v>45480.416666666664</v>
      </c>
      <c r="B18" s="51">
        <v>9.18</v>
      </c>
      <c r="C18" s="51">
        <v>4.07</v>
      </c>
      <c r="D18" s="51">
        <v>13.93</v>
      </c>
      <c r="E18" s="51">
        <v>8.66</v>
      </c>
      <c r="F18" s="51">
        <v>4.3499999999999996</v>
      </c>
      <c r="G18" s="51">
        <v>7.92</v>
      </c>
      <c r="H18" s="51">
        <v>146.72</v>
      </c>
      <c r="I18" s="51">
        <v>3.16</v>
      </c>
      <c r="J18" s="51">
        <v>1</v>
      </c>
      <c r="K18" s="51">
        <v>277.18</v>
      </c>
      <c r="L18" s="51">
        <v>28.72</v>
      </c>
      <c r="M18" s="51">
        <v>83.46</v>
      </c>
      <c r="N18" s="51">
        <v>211.3</v>
      </c>
      <c r="O18" s="51">
        <v>0</v>
      </c>
      <c r="P18" s="51">
        <v>0.32</v>
      </c>
      <c r="Q18" s="51">
        <v>4.6399999999999997</v>
      </c>
    </row>
    <row r="19" spans="1:17" customFormat="1">
      <c r="A19" s="50">
        <v>45480.458333333336</v>
      </c>
      <c r="B19" s="51">
        <v>9.16</v>
      </c>
      <c r="C19" s="51">
        <v>4.07</v>
      </c>
      <c r="D19" s="51">
        <v>13.92</v>
      </c>
      <c r="E19" s="51">
        <v>9.35</v>
      </c>
      <c r="F19" s="51">
        <v>4.91</v>
      </c>
      <c r="G19" s="51">
        <v>11.36</v>
      </c>
      <c r="H19" s="51">
        <v>146.72</v>
      </c>
      <c r="I19" s="51">
        <v>3.6</v>
      </c>
      <c r="J19" s="51">
        <v>0.65</v>
      </c>
      <c r="K19" s="51">
        <v>286.45999999999998</v>
      </c>
      <c r="L19" s="51">
        <v>28.78</v>
      </c>
      <c r="M19" s="51">
        <v>81.53</v>
      </c>
      <c r="N19" s="51">
        <v>233.9</v>
      </c>
      <c r="O19" s="51">
        <v>0</v>
      </c>
      <c r="P19" s="51">
        <v>0.35</v>
      </c>
      <c r="Q19" s="51">
        <v>4.6500000000000004</v>
      </c>
    </row>
    <row r="20" spans="1:17" customFormat="1">
      <c r="A20" s="50">
        <v>45480.5</v>
      </c>
      <c r="B20" s="51">
        <v>9.18</v>
      </c>
      <c r="C20" s="51">
        <v>4.07</v>
      </c>
      <c r="D20" s="51">
        <v>13.93</v>
      </c>
      <c r="E20" s="51">
        <v>9.76</v>
      </c>
      <c r="F20" s="51">
        <v>6.56</v>
      </c>
      <c r="G20" s="51">
        <v>12.06</v>
      </c>
      <c r="H20" s="51">
        <v>118.11</v>
      </c>
      <c r="I20" s="51">
        <v>4.03</v>
      </c>
      <c r="J20" s="51">
        <v>0.94</v>
      </c>
      <c r="K20" s="51">
        <v>307.8</v>
      </c>
      <c r="L20" s="51">
        <v>29.84</v>
      </c>
      <c r="M20" s="51">
        <v>77.87</v>
      </c>
      <c r="N20" s="51">
        <v>284.60000000000002</v>
      </c>
      <c r="O20" s="51">
        <v>0</v>
      </c>
      <c r="P20" s="51">
        <v>0.42</v>
      </c>
      <c r="Q20" s="51">
        <v>4.6500000000000004</v>
      </c>
    </row>
    <row r="21" spans="1:17" customFormat="1">
      <c r="A21" s="50">
        <v>45480.541666666664</v>
      </c>
      <c r="B21" s="51">
        <v>9.24</v>
      </c>
      <c r="C21" s="51">
        <v>4.08</v>
      </c>
      <c r="D21" s="51">
        <v>13.97</v>
      </c>
      <c r="E21" s="51">
        <v>10.130000000000001</v>
      </c>
      <c r="F21" s="51">
        <v>8.8699999999999992</v>
      </c>
      <c r="G21" s="51">
        <v>23.1</v>
      </c>
      <c r="H21" s="51">
        <v>118.11</v>
      </c>
      <c r="I21" s="51">
        <v>4.71</v>
      </c>
      <c r="J21" s="51">
        <v>0.6</v>
      </c>
      <c r="K21" s="51">
        <v>309.88</v>
      </c>
      <c r="L21" s="51">
        <v>30.69</v>
      </c>
      <c r="M21" s="51">
        <v>78</v>
      </c>
      <c r="N21" s="51">
        <v>331.8</v>
      </c>
      <c r="O21" s="51">
        <v>0</v>
      </c>
      <c r="P21" s="51">
        <v>0.51</v>
      </c>
      <c r="Q21" s="51">
        <v>4.6500000000000004</v>
      </c>
    </row>
    <row r="22" spans="1:17" customFormat="1">
      <c r="A22" s="50">
        <v>45480.583333333336</v>
      </c>
      <c r="B22" s="51">
        <v>9.24</v>
      </c>
      <c r="C22" s="51">
        <v>4.0999999999999996</v>
      </c>
      <c r="D22" s="51">
        <v>13.99</v>
      </c>
      <c r="E22" s="51">
        <v>8.6999999999999993</v>
      </c>
      <c r="F22" s="51">
        <v>10.5</v>
      </c>
      <c r="G22" s="51">
        <v>23.1</v>
      </c>
      <c r="H22" s="51">
        <v>108.49</v>
      </c>
      <c r="I22" s="51">
        <v>4.7300000000000004</v>
      </c>
      <c r="J22" s="51">
        <v>0.53</v>
      </c>
      <c r="K22" s="51">
        <v>301.95999999999998</v>
      </c>
      <c r="L22" s="51">
        <v>31.86</v>
      </c>
      <c r="M22" s="51">
        <v>74.87</v>
      </c>
      <c r="N22" s="51">
        <v>359.1</v>
      </c>
      <c r="O22" s="51">
        <v>0</v>
      </c>
      <c r="P22" s="51">
        <v>0.51</v>
      </c>
      <c r="Q22" s="51">
        <v>4.6500000000000004</v>
      </c>
    </row>
    <row r="23" spans="1:17" customFormat="1">
      <c r="A23" s="50">
        <v>45480.625</v>
      </c>
      <c r="B23" s="51">
        <v>9.24</v>
      </c>
      <c r="C23" s="51">
        <v>4.09</v>
      </c>
      <c r="D23" s="51">
        <v>13.99</v>
      </c>
      <c r="E23" s="51">
        <v>8.2100000000000009</v>
      </c>
      <c r="F23" s="51">
        <v>5.91</v>
      </c>
      <c r="G23" s="51">
        <v>22.11</v>
      </c>
      <c r="H23" s="51">
        <v>108.49</v>
      </c>
      <c r="I23" s="51">
        <v>4.66</v>
      </c>
      <c r="J23" s="51">
        <v>1.0900000000000001</v>
      </c>
      <c r="K23" s="51">
        <v>266.82</v>
      </c>
      <c r="L23" s="51">
        <v>29.51</v>
      </c>
      <c r="M23" s="51">
        <v>87.3</v>
      </c>
      <c r="N23" s="51">
        <v>120.4</v>
      </c>
      <c r="O23" s="51">
        <v>0</v>
      </c>
      <c r="P23" s="51">
        <v>0.4</v>
      </c>
      <c r="Q23" s="51">
        <v>4.6500000000000004</v>
      </c>
    </row>
    <row r="24" spans="1:17" customFormat="1">
      <c r="A24" s="50">
        <v>45480.666666666664</v>
      </c>
      <c r="B24" s="51">
        <v>9.25</v>
      </c>
      <c r="C24" s="51">
        <v>4.07</v>
      </c>
      <c r="D24" s="51">
        <v>13.99</v>
      </c>
      <c r="E24" s="51">
        <v>6.98</v>
      </c>
      <c r="F24" s="51">
        <v>9.08</v>
      </c>
      <c r="G24" s="51">
        <v>17.75</v>
      </c>
      <c r="H24" s="51">
        <v>88.21</v>
      </c>
      <c r="I24" s="51">
        <v>4.45</v>
      </c>
      <c r="J24" s="51">
        <v>0.79</v>
      </c>
      <c r="K24" s="51">
        <v>275.8</v>
      </c>
      <c r="L24" s="51">
        <v>28.32</v>
      </c>
      <c r="M24" s="51">
        <v>88.62</v>
      </c>
      <c r="N24" s="51">
        <v>101</v>
      </c>
      <c r="O24" s="51">
        <v>0</v>
      </c>
      <c r="P24" s="51">
        <v>0.38</v>
      </c>
      <c r="Q24" s="51">
        <v>4.6500000000000004</v>
      </c>
    </row>
    <row r="25" spans="1:17" customFormat="1">
      <c r="A25" s="50">
        <v>45480.708333333336</v>
      </c>
      <c r="B25" s="51">
        <v>9.23</v>
      </c>
      <c r="C25" s="51">
        <v>4.07</v>
      </c>
      <c r="D25" s="51">
        <v>13.96</v>
      </c>
      <c r="E25" s="51">
        <v>6.77</v>
      </c>
      <c r="F25" s="51">
        <v>10.33</v>
      </c>
      <c r="G25" s="51">
        <v>16.78</v>
      </c>
      <c r="H25" s="51">
        <v>11.63</v>
      </c>
      <c r="I25" s="51">
        <v>4.03</v>
      </c>
      <c r="J25" s="51">
        <v>0.55000000000000004</v>
      </c>
      <c r="K25" s="51">
        <v>279.88</v>
      </c>
      <c r="L25" s="51">
        <v>28.93</v>
      </c>
      <c r="M25" s="51">
        <v>89.34</v>
      </c>
      <c r="N25" s="51">
        <v>67.099999999999994</v>
      </c>
      <c r="O25" s="51">
        <v>0</v>
      </c>
      <c r="P25" s="51">
        <v>0.35</v>
      </c>
      <c r="Q25" s="51">
        <v>4.66</v>
      </c>
    </row>
    <row r="26" spans="1:17" customFormat="1">
      <c r="A26" s="50">
        <v>45480.75</v>
      </c>
      <c r="B26" s="51">
        <v>9.23</v>
      </c>
      <c r="C26" s="51">
        <v>4.09</v>
      </c>
      <c r="D26" s="51">
        <v>13.99</v>
      </c>
      <c r="E26" s="51">
        <v>7.87</v>
      </c>
      <c r="F26" s="51">
        <v>11.4</v>
      </c>
      <c r="G26" s="51">
        <v>17.3</v>
      </c>
      <c r="H26" s="51">
        <v>26.38</v>
      </c>
      <c r="I26" s="51">
        <v>3.92</v>
      </c>
      <c r="J26" s="51">
        <v>0.19</v>
      </c>
      <c r="K26" s="51">
        <v>289.51</v>
      </c>
      <c r="L26" s="51">
        <v>29.66</v>
      </c>
      <c r="M26" s="51">
        <v>84.87</v>
      </c>
      <c r="N26" s="51">
        <v>53</v>
      </c>
      <c r="O26" s="51">
        <v>0</v>
      </c>
      <c r="P26" s="51">
        <v>0.3</v>
      </c>
      <c r="Q26" s="51">
        <v>4.6500000000000004</v>
      </c>
    </row>
    <row r="27" spans="1:17" customFormat="1">
      <c r="A27" s="50">
        <v>45480.791666666664</v>
      </c>
      <c r="B27" s="51">
        <v>9.23</v>
      </c>
      <c r="C27" s="51">
        <v>4.0999999999999996</v>
      </c>
      <c r="D27" s="51">
        <v>13.98</v>
      </c>
      <c r="E27" s="51">
        <v>9.5</v>
      </c>
      <c r="F27" s="51">
        <v>10.35</v>
      </c>
      <c r="G27" s="51">
        <v>17.3</v>
      </c>
      <c r="H27" s="51">
        <v>26.38</v>
      </c>
      <c r="I27" s="51">
        <v>3.77</v>
      </c>
      <c r="J27" s="51">
        <v>0.17</v>
      </c>
      <c r="K27" s="51">
        <v>226.67</v>
      </c>
      <c r="L27" s="51">
        <v>29.23</v>
      </c>
      <c r="M27" s="51">
        <v>87.81</v>
      </c>
      <c r="N27" s="51">
        <v>23.2</v>
      </c>
      <c r="O27" s="51">
        <v>0</v>
      </c>
      <c r="P27" s="51">
        <v>0.3</v>
      </c>
      <c r="Q27" s="51">
        <v>4.63</v>
      </c>
    </row>
    <row r="28" spans="1:17" customFormat="1">
      <c r="A28" s="50">
        <v>45480.833333333336</v>
      </c>
      <c r="B28" s="51">
        <v>9.24</v>
      </c>
      <c r="C28" s="51">
        <v>4.07</v>
      </c>
      <c r="D28" s="51">
        <v>13.97</v>
      </c>
      <c r="E28" s="51">
        <v>9.9499999999999993</v>
      </c>
      <c r="F28" s="51">
        <v>10</v>
      </c>
      <c r="G28" s="51">
        <v>15.57</v>
      </c>
      <c r="H28" s="51">
        <v>17.29</v>
      </c>
      <c r="I28" s="51">
        <v>3.69</v>
      </c>
      <c r="J28" s="51">
        <v>0.18</v>
      </c>
      <c r="K28" s="51">
        <v>183.1</v>
      </c>
      <c r="L28" s="51">
        <v>28.49</v>
      </c>
      <c r="M28" s="51">
        <v>88.16</v>
      </c>
      <c r="N28" s="51">
        <v>2.1</v>
      </c>
      <c r="O28" s="51">
        <v>0</v>
      </c>
      <c r="P28" s="51">
        <v>0.31</v>
      </c>
      <c r="Q28" s="51">
        <v>4.6399999999999997</v>
      </c>
    </row>
    <row r="29" spans="1:17" customFormat="1">
      <c r="A29" s="50">
        <v>45480.875</v>
      </c>
      <c r="B29" s="51">
        <v>9.2200000000000006</v>
      </c>
      <c r="C29" s="51">
        <v>4.07</v>
      </c>
      <c r="D29" s="51">
        <v>13.97</v>
      </c>
      <c r="E29" s="51">
        <v>10.68</v>
      </c>
      <c r="F29" s="51">
        <v>8.1999999999999993</v>
      </c>
      <c r="G29" s="51">
        <v>13.14</v>
      </c>
      <c r="H29" s="51">
        <v>12.47</v>
      </c>
      <c r="I29" s="51">
        <v>3.91</v>
      </c>
      <c r="J29" s="51">
        <v>0.12</v>
      </c>
      <c r="K29" s="51">
        <v>232.31</v>
      </c>
      <c r="L29" s="51">
        <v>28.28</v>
      </c>
      <c r="M29" s="51">
        <v>89.4</v>
      </c>
      <c r="N29" s="51">
        <v>2.1</v>
      </c>
      <c r="O29" s="51">
        <v>0</v>
      </c>
      <c r="P29" s="51">
        <v>0.31</v>
      </c>
      <c r="Q29" s="51">
        <v>4.6500000000000004</v>
      </c>
    </row>
    <row r="30" spans="1:17" customFormat="1">
      <c r="A30" s="50">
        <v>45480.916666666664</v>
      </c>
      <c r="B30" s="51">
        <v>9.23</v>
      </c>
      <c r="C30" s="51">
        <v>4.09</v>
      </c>
      <c r="D30" s="51">
        <v>13.97</v>
      </c>
      <c r="E30" s="51">
        <v>10.53</v>
      </c>
      <c r="F30" s="51">
        <v>10.93</v>
      </c>
      <c r="G30" s="51">
        <v>15.03</v>
      </c>
      <c r="H30" s="51">
        <v>8.6300000000000008</v>
      </c>
      <c r="I30" s="51">
        <v>4</v>
      </c>
      <c r="J30" s="51">
        <v>0.15</v>
      </c>
      <c r="K30" s="51">
        <v>236.69</v>
      </c>
      <c r="L30" s="51">
        <v>28.1</v>
      </c>
      <c r="M30" s="51">
        <v>89.54</v>
      </c>
      <c r="N30" s="51">
        <v>2.1</v>
      </c>
      <c r="O30" s="51">
        <v>0</v>
      </c>
      <c r="P30" s="51">
        <v>0.39</v>
      </c>
      <c r="Q30" s="51">
        <v>4.6500000000000004</v>
      </c>
    </row>
    <row r="31" spans="1:17" customFormat="1">
      <c r="A31" s="50">
        <v>45480.958333333336</v>
      </c>
      <c r="B31" s="51">
        <v>9.25</v>
      </c>
      <c r="C31" s="51">
        <v>4.08</v>
      </c>
      <c r="D31" s="51">
        <v>14</v>
      </c>
      <c r="E31" s="51">
        <v>9.4</v>
      </c>
      <c r="F31" s="51">
        <v>7.42</v>
      </c>
      <c r="G31" s="51">
        <v>18.98</v>
      </c>
      <c r="H31" s="51">
        <v>10.56</v>
      </c>
      <c r="I31" s="51">
        <v>4.4000000000000004</v>
      </c>
      <c r="J31" s="51">
        <v>0.27</v>
      </c>
      <c r="K31" s="51">
        <v>173.17</v>
      </c>
      <c r="L31" s="51">
        <v>28.02</v>
      </c>
      <c r="M31" s="51">
        <v>93.39</v>
      </c>
      <c r="N31" s="51">
        <v>2.1</v>
      </c>
      <c r="O31" s="51">
        <v>0</v>
      </c>
      <c r="P31" s="51">
        <v>0.48</v>
      </c>
      <c r="Q31" s="51">
        <v>4.6500000000000004</v>
      </c>
    </row>
    <row r="32" spans="1:17" customFormat="1">
      <c r="A32" s="50">
        <v>45481</v>
      </c>
      <c r="B32" s="51">
        <v>9.25</v>
      </c>
      <c r="C32" s="51">
        <v>4.07</v>
      </c>
      <c r="D32" s="51">
        <v>13.99</v>
      </c>
      <c r="E32" s="51">
        <v>8.34</v>
      </c>
      <c r="F32" s="51">
        <v>6.02</v>
      </c>
      <c r="G32" s="51">
        <v>28.28</v>
      </c>
      <c r="H32" s="51">
        <v>13.68</v>
      </c>
      <c r="I32" s="51">
        <v>5.18</v>
      </c>
      <c r="J32" s="51">
        <v>0.22</v>
      </c>
      <c r="K32" s="51">
        <v>192.66</v>
      </c>
      <c r="L32" s="51">
        <v>27.58</v>
      </c>
      <c r="M32" s="51">
        <v>94.81</v>
      </c>
      <c r="N32" s="51">
        <v>2.1</v>
      </c>
      <c r="O32" s="51">
        <v>0</v>
      </c>
      <c r="P32" s="51">
        <v>0.44</v>
      </c>
      <c r="Q32" s="51">
        <v>4.6399999999999997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9.16</v>
      </c>
      <c r="C34" s="41">
        <f t="shared" si="0"/>
        <v>4.0599999999999996</v>
      </c>
      <c r="D34" s="41">
        <f t="shared" si="0"/>
        <v>13.92</v>
      </c>
      <c r="E34" s="41">
        <f t="shared" si="0"/>
        <v>6.77</v>
      </c>
      <c r="F34" s="41">
        <f t="shared" si="0"/>
        <v>4.3499999999999996</v>
      </c>
      <c r="G34" s="41">
        <f t="shared" si="0"/>
        <v>5.62</v>
      </c>
      <c r="H34" s="41">
        <f t="shared" si="0"/>
        <v>2.8</v>
      </c>
      <c r="I34" s="41">
        <f t="shared" si="0"/>
        <v>2.74</v>
      </c>
      <c r="J34" s="41">
        <f t="shared" si="0"/>
        <v>0.12</v>
      </c>
      <c r="K34" s="41">
        <f t="shared" si="0"/>
        <v>173.17</v>
      </c>
      <c r="L34" s="41">
        <f t="shared" si="0"/>
        <v>25.91</v>
      </c>
      <c r="M34" s="41">
        <f t="shared" si="0"/>
        <v>74.87</v>
      </c>
      <c r="N34" s="41">
        <f t="shared" si="0"/>
        <v>2.1</v>
      </c>
      <c r="O34" s="41">
        <f t="shared" si="0"/>
        <v>0</v>
      </c>
      <c r="P34" s="41">
        <f t="shared" si="0"/>
        <v>0.28999999999999998</v>
      </c>
      <c r="Q34" s="41">
        <f t="shared" si="0"/>
        <v>4.62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9.27</v>
      </c>
      <c r="C35" s="33">
        <f t="shared" si="1"/>
        <v>4.1100000000000003</v>
      </c>
      <c r="D35" s="33">
        <f t="shared" si="1"/>
        <v>14</v>
      </c>
      <c r="E35" s="33">
        <f t="shared" si="1"/>
        <v>10.68</v>
      </c>
      <c r="F35" s="33">
        <f t="shared" si="1"/>
        <v>11.4</v>
      </c>
      <c r="G35" s="33">
        <f t="shared" si="1"/>
        <v>28.28</v>
      </c>
      <c r="H35" s="33">
        <f t="shared" si="1"/>
        <v>146.72</v>
      </c>
      <c r="I35" s="33">
        <f t="shared" si="1"/>
        <v>5.18</v>
      </c>
      <c r="J35" s="33">
        <f t="shared" si="1"/>
        <v>1.0900000000000001</v>
      </c>
      <c r="K35" s="33">
        <f t="shared" si="1"/>
        <v>309.88</v>
      </c>
      <c r="L35" s="33">
        <f t="shared" si="1"/>
        <v>31.86</v>
      </c>
      <c r="M35" s="33">
        <f t="shared" si="1"/>
        <v>94.81</v>
      </c>
      <c r="N35" s="33">
        <f t="shared" si="1"/>
        <v>359.1</v>
      </c>
      <c r="O35" s="33">
        <f t="shared" si="1"/>
        <v>0</v>
      </c>
      <c r="P35" s="33">
        <f t="shared" si="1"/>
        <v>0.51</v>
      </c>
      <c r="Q35" s="33">
        <f t="shared" si="1"/>
        <v>4.66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9.2279166666666637</v>
      </c>
      <c r="C36" s="41">
        <f t="shared" si="2"/>
        <v>4.0808333333333335</v>
      </c>
      <c r="D36" s="41">
        <f t="shared" si="2"/>
        <v>13.973333333333338</v>
      </c>
      <c r="E36" s="41">
        <f t="shared" si="2"/>
        <v>8.7887500000000003</v>
      </c>
      <c r="F36" s="41">
        <f t="shared" si="2"/>
        <v>7.3562500000000002</v>
      </c>
      <c r="G36" s="41">
        <f t="shared" si="2"/>
        <v>16.018333333333334</v>
      </c>
      <c r="H36" s="41">
        <f t="shared" si="2"/>
        <v>42.377083333333331</v>
      </c>
      <c r="I36" s="41">
        <f t="shared" si="2"/>
        <v>3.6654166666666668</v>
      </c>
      <c r="J36" s="41">
        <f t="shared" si="2"/>
        <v>0.56041666666666667</v>
      </c>
      <c r="K36" s="41">
        <f t="shared" si="2"/>
        <v>261.66666666666669</v>
      </c>
      <c r="L36" s="41">
        <f t="shared" si="2"/>
        <v>28.23833333333333</v>
      </c>
      <c r="M36" s="41">
        <f t="shared" si="2"/>
        <v>86.820000000000007</v>
      </c>
      <c r="N36" s="41">
        <f t="shared" si="2"/>
        <v>93.758333333333312</v>
      </c>
      <c r="O36" s="41">
        <f t="shared" si="2"/>
        <v>0</v>
      </c>
      <c r="P36" s="41">
        <f t="shared" si="2"/>
        <v>0.36166666666666658</v>
      </c>
      <c r="Q36" s="41">
        <f t="shared" si="2"/>
        <v>4.6437500000000007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2.6371784438918008E-2</v>
      </c>
      <c r="C37" s="41">
        <f t="shared" ref="C37:Q37" si="3">STDEV(C9:C32)</f>
        <v>1.3160106602801435E-2</v>
      </c>
      <c r="D37" s="41">
        <f t="shared" si="3"/>
        <v>2.2968156910907419E-2</v>
      </c>
      <c r="E37" s="41">
        <f t="shared" si="3"/>
        <v>1.1580767883979264</v>
      </c>
      <c r="F37" s="41">
        <f t="shared" si="3"/>
        <v>2.2378596383306868</v>
      </c>
      <c r="G37" s="41">
        <f t="shared" si="3"/>
        <v>6.088341436653768</v>
      </c>
      <c r="H37" s="41">
        <f t="shared" si="3"/>
        <v>51.975653705169584</v>
      </c>
      <c r="I37" s="41">
        <f t="shared" si="3"/>
        <v>0.76663567202628413</v>
      </c>
      <c r="J37" s="41">
        <f t="shared" si="3"/>
        <v>0.29527406821852631</v>
      </c>
      <c r="K37" s="41">
        <f t="shared" si="3"/>
        <v>36.554964412352952</v>
      </c>
      <c r="L37" s="41">
        <f t="shared" si="3"/>
        <v>1.5019021755519206</v>
      </c>
      <c r="M37" s="41">
        <f t="shared" si="3"/>
        <v>5.1005242697278952</v>
      </c>
      <c r="N37" s="41">
        <f t="shared" si="3"/>
        <v>115.76459215624374</v>
      </c>
      <c r="O37" s="41">
        <f t="shared" si="3"/>
        <v>0</v>
      </c>
      <c r="P37" s="41">
        <f t="shared" si="3"/>
        <v>6.6441649239187342E-2</v>
      </c>
      <c r="Q37" s="41">
        <f t="shared" si="3"/>
        <v>1.013495887038279E-2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45481.041666666664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45481.041666666664</v>
      </c>
      <c r="B9" s="51">
        <v>9.32</v>
      </c>
      <c r="C9" s="51">
        <v>4.07</v>
      </c>
      <c r="D9" s="51">
        <v>14.04</v>
      </c>
      <c r="E9" s="51">
        <v>8.36</v>
      </c>
      <c r="F9" s="51">
        <v>5.64</v>
      </c>
      <c r="G9" s="51">
        <v>28.92</v>
      </c>
      <c r="H9" s="51">
        <v>13.68</v>
      </c>
      <c r="I9" s="51">
        <v>4.47</v>
      </c>
      <c r="J9" s="51">
        <v>0.14000000000000001</v>
      </c>
      <c r="K9" s="51">
        <v>196.89</v>
      </c>
      <c r="L9" s="51">
        <v>27.44</v>
      </c>
      <c r="M9" s="51">
        <v>95.36</v>
      </c>
      <c r="N9" s="51">
        <v>2.6</v>
      </c>
      <c r="O9" s="51">
        <v>0.6</v>
      </c>
      <c r="P9" s="51">
        <v>0.44</v>
      </c>
      <c r="Q9" s="51">
        <v>4.62</v>
      </c>
    </row>
    <row r="10" spans="1:21" customFormat="1">
      <c r="A10" s="50">
        <v>45481.083333333336</v>
      </c>
      <c r="B10" s="51">
        <v>9.3000000000000007</v>
      </c>
      <c r="C10" s="51">
        <v>4.0999999999999996</v>
      </c>
      <c r="D10" s="51">
        <v>14.05</v>
      </c>
      <c r="E10" s="51">
        <v>8.18</v>
      </c>
      <c r="F10" s="51">
        <v>6.87</v>
      </c>
      <c r="G10" s="51">
        <v>28.92</v>
      </c>
      <c r="H10" s="51">
        <v>8.66</v>
      </c>
      <c r="I10" s="51">
        <v>4.5599999999999996</v>
      </c>
      <c r="J10" s="51">
        <v>0.11</v>
      </c>
      <c r="K10" s="51">
        <v>192.78</v>
      </c>
      <c r="L10" s="51">
        <v>27.05</v>
      </c>
      <c r="M10" s="51">
        <v>99.23</v>
      </c>
      <c r="N10" s="51">
        <v>2.6</v>
      </c>
      <c r="O10" s="51">
        <v>0</v>
      </c>
      <c r="P10" s="51">
        <v>0.42</v>
      </c>
      <c r="Q10" s="51">
        <v>4.62</v>
      </c>
    </row>
    <row r="11" spans="1:21" customFormat="1">
      <c r="A11" s="50">
        <v>45481.125</v>
      </c>
      <c r="B11" s="51">
        <v>9.31</v>
      </c>
      <c r="C11" s="51">
        <v>4.08</v>
      </c>
      <c r="D11" s="51">
        <v>14.04</v>
      </c>
      <c r="E11" s="51">
        <v>9.6999999999999993</v>
      </c>
      <c r="F11" s="51">
        <v>6.46</v>
      </c>
      <c r="G11" s="51">
        <v>24.85</v>
      </c>
      <c r="H11" s="51">
        <v>5.41</v>
      </c>
      <c r="I11" s="51">
        <v>4.68</v>
      </c>
      <c r="J11" s="51">
        <v>0.14000000000000001</v>
      </c>
      <c r="K11" s="51">
        <v>192.51</v>
      </c>
      <c r="L11" s="51">
        <v>26.8</v>
      </c>
      <c r="M11" s="51">
        <v>99.02</v>
      </c>
      <c r="N11" s="51">
        <v>2.5</v>
      </c>
      <c r="O11" s="51">
        <v>0</v>
      </c>
      <c r="P11" s="51">
        <v>0.4</v>
      </c>
      <c r="Q11" s="51">
        <v>4.6399999999999997</v>
      </c>
    </row>
    <row r="12" spans="1:21" customFormat="1">
      <c r="A12" s="50">
        <v>45481.166666666664</v>
      </c>
      <c r="B12" s="51">
        <v>9.2899999999999991</v>
      </c>
      <c r="C12" s="51">
        <v>4.08</v>
      </c>
      <c r="D12" s="51">
        <v>14.03</v>
      </c>
      <c r="E12" s="51">
        <v>10.3</v>
      </c>
      <c r="F12" s="51">
        <v>5.52</v>
      </c>
      <c r="G12" s="51">
        <v>21.26</v>
      </c>
      <c r="H12" s="51">
        <v>5.41</v>
      </c>
      <c r="I12" s="51">
        <v>4.55</v>
      </c>
      <c r="J12" s="51">
        <v>0.12</v>
      </c>
      <c r="K12" s="51">
        <v>227.2</v>
      </c>
      <c r="L12" s="51">
        <v>26.82</v>
      </c>
      <c r="M12" s="51">
        <v>98.34</v>
      </c>
      <c r="N12" s="51">
        <v>2.6</v>
      </c>
      <c r="O12" s="51">
        <v>0</v>
      </c>
      <c r="P12" s="51">
        <v>0.33</v>
      </c>
      <c r="Q12" s="51">
        <v>4.6399999999999997</v>
      </c>
    </row>
    <row r="13" spans="1:21" customFormat="1">
      <c r="A13" s="50">
        <v>45481.208333333336</v>
      </c>
      <c r="B13" s="51">
        <v>9.2799999999999994</v>
      </c>
      <c r="C13" s="51">
        <v>4.08</v>
      </c>
      <c r="D13" s="51">
        <v>14.02</v>
      </c>
      <c r="E13" s="51">
        <v>11.18</v>
      </c>
      <c r="F13" s="51">
        <v>4.95</v>
      </c>
      <c r="G13" s="51">
        <v>19.16</v>
      </c>
      <c r="H13" s="51">
        <v>6.19</v>
      </c>
      <c r="I13" s="51">
        <v>4.47</v>
      </c>
      <c r="J13" s="51">
        <v>0.57999999999999996</v>
      </c>
      <c r="K13" s="51">
        <v>265.92</v>
      </c>
      <c r="L13" s="51">
        <v>26.78</v>
      </c>
      <c r="M13" s="51">
        <v>96.12</v>
      </c>
      <c r="N13" s="51">
        <v>3.2</v>
      </c>
      <c r="O13" s="51">
        <v>0</v>
      </c>
      <c r="P13" s="51">
        <v>0.32</v>
      </c>
      <c r="Q13" s="51">
        <v>4.6399999999999997</v>
      </c>
    </row>
    <row r="14" spans="1:21" customFormat="1">
      <c r="A14" s="50">
        <v>45481.25</v>
      </c>
      <c r="B14" s="51">
        <v>9.2799999999999994</v>
      </c>
      <c r="C14" s="51">
        <v>4.09</v>
      </c>
      <c r="D14" s="51">
        <v>14.01</v>
      </c>
      <c r="E14" s="51">
        <v>11.25</v>
      </c>
      <c r="F14" s="51">
        <v>4.7699999999999996</v>
      </c>
      <c r="G14" s="51">
        <v>19.16</v>
      </c>
      <c r="H14" s="51">
        <v>6.62</v>
      </c>
      <c r="I14" s="51">
        <v>4.2300000000000004</v>
      </c>
      <c r="J14" s="51">
        <v>0.45</v>
      </c>
      <c r="K14" s="51">
        <v>265.66000000000003</v>
      </c>
      <c r="L14" s="51">
        <v>26.3</v>
      </c>
      <c r="M14" s="51">
        <v>94.54</v>
      </c>
      <c r="N14" s="51">
        <v>13.1</v>
      </c>
      <c r="O14" s="51">
        <v>0</v>
      </c>
      <c r="P14" s="51">
        <v>0.31</v>
      </c>
      <c r="Q14" s="51">
        <v>4.6399999999999997</v>
      </c>
    </row>
    <row r="15" spans="1:21" customFormat="1">
      <c r="A15" s="50">
        <v>45481.291666666664</v>
      </c>
      <c r="B15" s="51">
        <v>9.2799999999999994</v>
      </c>
      <c r="C15" s="51">
        <v>4.08</v>
      </c>
      <c r="D15" s="51">
        <v>14.02</v>
      </c>
      <c r="E15" s="51">
        <v>11.58</v>
      </c>
      <c r="F15" s="51">
        <v>4.3499999999999996</v>
      </c>
      <c r="G15" s="51">
        <v>14.29</v>
      </c>
      <c r="H15" s="51">
        <v>6.62</v>
      </c>
      <c r="I15" s="51">
        <v>3.9</v>
      </c>
      <c r="J15" s="51">
        <v>0.66</v>
      </c>
      <c r="K15" s="51">
        <v>266.06</v>
      </c>
      <c r="L15" s="51">
        <v>26.26</v>
      </c>
      <c r="M15" s="51">
        <v>95.67</v>
      </c>
      <c r="N15" s="51">
        <v>76.5</v>
      </c>
      <c r="O15" s="51">
        <v>0.2</v>
      </c>
      <c r="P15" s="51">
        <v>0.3</v>
      </c>
      <c r="Q15" s="51">
        <v>4.6399999999999997</v>
      </c>
    </row>
    <row r="16" spans="1:21" customFormat="1">
      <c r="A16" s="50">
        <v>45481.333333333336</v>
      </c>
      <c r="B16" s="51">
        <v>9.2799999999999994</v>
      </c>
      <c r="C16" s="51">
        <v>4.07</v>
      </c>
      <c r="D16" s="51">
        <v>14.01</v>
      </c>
      <c r="E16" s="51">
        <v>12.19</v>
      </c>
      <c r="F16" s="51">
        <v>4.7699999999999996</v>
      </c>
      <c r="G16" s="51">
        <v>13.15</v>
      </c>
      <c r="H16" s="51">
        <v>5.61</v>
      </c>
      <c r="I16" s="51">
        <v>3.64</v>
      </c>
      <c r="J16" s="51">
        <v>0.44</v>
      </c>
      <c r="K16" s="51">
        <v>290.16000000000003</v>
      </c>
      <c r="L16" s="51">
        <v>25.17</v>
      </c>
      <c r="M16" s="51">
        <v>102.68</v>
      </c>
      <c r="N16" s="51">
        <v>34.9</v>
      </c>
      <c r="O16" s="51">
        <v>2</v>
      </c>
      <c r="P16" s="51">
        <v>0.34</v>
      </c>
      <c r="Q16" s="51">
        <v>4.6399999999999997</v>
      </c>
    </row>
    <row r="17" spans="1:17" customFormat="1">
      <c r="A17" s="50">
        <v>45481.375</v>
      </c>
      <c r="B17" s="51">
        <v>9.26</v>
      </c>
      <c r="C17" s="51">
        <v>4.07</v>
      </c>
      <c r="D17" s="51">
        <v>13.99</v>
      </c>
      <c r="E17" s="51">
        <v>10.050000000000001</v>
      </c>
      <c r="F17" s="51">
        <v>7.58</v>
      </c>
      <c r="G17" s="51">
        <v>9.73</v>
      </c>
      <c r="H17" s="51">
        <v>5.61</v>
      </c>
      <c r="I17" s="51">
        <v>3.68</v>
      </c>
      <c r="J17" s="51">
        <v>0.32</v>
      </c>
      <c r="K17" s="51">
        <v>285.07</v>
      </c>
      <c r="L17" s="51">
        <v>26.5</v>
      </c>
      <c r="M17" s="51">
        <v>100.53</v>
      </c>
      <c r="N17" s="51">
        <v>161.9</v>
      </c>
      <c r="O17" s="51">
        <v>0</v>
      </c>
      <c r="P17" s="51">
        <v>0.33</v>
      </c>
      <c r="Q17" s="51">
        <v>4.66</v>
      </c>
    </row>
    <row r="18" spans="1:17" customFormat="1">
      <c r="A18" s="50">
        <v>45481.416666666664</v>
      </c>
      <c r="B18" s="51">
        <v>9.25</v>
      </c>
      <c r="C18" s="51">
        <v>4.0999999999999996</v>
      </c>
      <c r="D18" s="51">
        <v>14.01</v>
      </c>
      <c r="E18" s="51">
        <v>9.17</v>
      </c>
      <c r="F18" s="51">
        <v>8.4</v>
      </c>
      <c r="G18" s="51">
        <v>16.2</v>
      </c>
      <c r="H18" s="51">
        <v>1.98</v>
      </c>
      <c r="I18" s="51">
        <v>3.93</v>
      </c>
      <c r="J18" s="51">
        <v>0.51</v>
      </c>
      <c r="K18" s="51">
        <v>333.21</v>
      </c>
      <c r="L18" s="51">
        <v>29.2</v>
      </c>
      <c r="M18" s="51">
        <v>94.93</v>
      </c>
      <c r="N18" s="51">
        <v>323.39999999999998</v>
      </c>
      <c r="O18" s="51">
        <v>0</v>
      </c>
      <c r="P18" s="51">
        <v>0.37</v>
      </c>
      <c r="Q18" s="51">
        <v>4.6399999999999997</v>
      </c>
    </row>
    <row r="19" spans="1:17" customFormat="1">
      <c r="A19" s="50">
        <v>45481.458333333336</v>
      </c>
      <c r="B19" s="51">
        <v>9.25</v>
      </c>
      <c r="C19" s="51">
        <v>4.09</v>
      </c>
      <c r="D19" s="51">
        <v>14</v>
      </c>
      <c r="E19" s="51">
        <v>11.07</v>
      </c>
      <c r="F19" s="51">
        <v>6.55</v>
      </c>
      <c r="G19" s="51">
        <v>18.13</v>
      </c>
      <c r="H19" s="51">
        <v>30.66</v>
      </c>
      <c r="I19" s="51">
        <v>3.91</v>
      </c>
      <c r="J19" s="51">
        <v>0.69</v>
      </c>
      <c r="K19" s="51">
        <v>291.81</v>
      </c>
      <c r="L19" s="51">
        <v>29.85</v>
      </c>
      <c r="M19" s="51">
        <v>85.48</v>
      </c>
      <c r="N19" s="51">
        <v>370.8</v>
      </c>
      <c r="O19" s="51">
        <v>0</v>
      </c>
      <c r="P19" s="51">
        <v>0.37</v>
      </c>
      <c r="Q19" s="51">
        <v>4.6500000000000004</v>
      </c>
    </row>
    <row r="20" spans="1:17" customFormat="1">
      <c r="A20" s="50">
        <v>45481.5</v>
      </c>
      <c r="B20" s="51">
        <v>9.26</v>
      </c>
      <c r="C20" s="51">
        <v>4.0999999999999996</v>
      </c>
      <c r="D20" s="51">
        <v>14</v>
      </c>
      <c r="E20" s="51">
        <v>11.28</v>
      </c>
      <c r="F20" s="51">
        <v>7.8</v>
      </c>
      <c r="G20" s="51">
        <v>19.670000000000002</v>
      </c>
      <c r="H20" s="51">
        <v>38.4</v>
      </c>
      <c r="I20" s="51">
        <v>4</v>
      </c>
      <c r="J20" s="51">
        <v>1</v>
      </c>
      <c r="K20" s="51">
        <v>316.37</v>
      </c>
      <c r="L20" s="51">
        <v>31.19</v>
      </c>
      <c r="M20" s="51">
        <v>81.3</v>
      </c>
      <c r="N20" s="51">
        <v>441.6</v>
      </c>
      <c r="O20" s="51">
        <v>0</v>
      </c>
      <c r="P20" s="51">
        <v>0.37</v>
      </c>
      <c r="Q20" s="51">
        <v>4.6500000000000004</v>
      </c>
    </row>
    <row r="21" spans="1:17" customFormat="1">
      <c r="A21" s="50">
        <v>45481.541666666664</v>
      </c>
      <c r="B21" s="51">
        <v>9.3000000000000007</v>
      </c>
      <c r="C21" s="51">
        <v>4.12</v>
      </c>
      <c r="D21" s="51">
        <v>14.06</v>
      </c>
      <c r="E21" s="51">
        <v>14.59</v>
      </c>
      <c r="F21" s="51">
        <v>10.58</v>
      </c>
      <c r="G21" s="51">
        <v>23.73</v>
      </c>
      <c r="H21" s="51">
        <v>47.55</v>
      </c>
      <c r="I21" s="51">
        <v>4.1399999999999997</v>
      </c>
      <c r="J21" s="51">
        <v>0.4</v>
      </c>
      <c r="K21" s="51">
        <v>269.52999999999997</v>
      </c>
      <c r="L21" s="51">
        <v>31.12</v>
      </c>
      <c r="M21" s="51">
        <v>78.59</v>
      </c>
      <c r="N21" s="51">
        <v>258.60000000000002</v>
      </c>
      <c r="O21" s="51">
        <v>0</v>
      </c>
      <c r="P21" s="51">
        <v>0.33</v>
      </c>
      <c r="Q21" s="51">
        <v>4.6500000000000004</v>
      </c>
    </row>
    <row r="22" spans="1:17" customFormat="1">
      <c r="A22" s="50">
        <v>45481.583333333336</v>
      </c>
      <c r="B22" s="51">
        <v>9.27</v>
      </c>
      <c r="C22" s="51">
        <v>4.09</v>
      </c>
      <c r="D22" s="51">
        <v>14.01</v>
      </c>
      <c r="E22" s="51">
        <v>15.07</v>
      </c>
      <c r="F22" s="51">
        <v>13.28</v>
      </c>
      <c r="G22" s="51">
        <v>35.049999999999997</v>
      </c>
      <c r="H22" s="51">
        <v>66.540000000000006</v>
      </c>
      <c r="I22" s="51">
        <v>4.57</v>
      </c>
      <c r="J22" s="51">
        <v>0.34</v>
      </c>
      <c r="K22" s="51">
        <v>206.29</v>
      </c>
      <c r="L22" s="51">
        <v>32.46</v>
      </c>
      <c r="M22" s="51">
        <v>79.94</v>
      </c>
      <c r="N22" s="51">
        <v>305.89999999999998</v>
      </c>
      <c r="O22" s="51">
        <v>0</v>
      </c>
      <c r="P22" s="51">
        <v>0.37</v>
      </c>
      <c r="Q22" s="51">
        <v>4.6500000000000004</v>
      </c>
    </row>
    <row r="23" spans="1:17" customFormat="1">
      <c r="A23" s="50">
        <v>45481.625</v>
      </c>
      <c r="B23" s="51">
        <v>9.25</v>
      </c>
      <c r="C23" s="51">
        <v>4.07</v>
      </c>
      <c r="D23" s="51">
        <v>13.99</v>
      </c>
      <c r="E23" s="51">
        <v>15.29</v>
      </c>
      <c r="F23" s="51">
        <v>11.16</v>
      </c>
      <c r="G23" s="51">
        <v>47.2</v>
      </c>
      <c r="H23" s="51">
        <v>71.5</v>
      </c>
      <c r="I23" s="51">
        <v>5.13</v>
      </c>
      <c r="J23" s="51">
        <v>0.68</v>
      </c>
      <c r="K23" s="51">
        <v>146.63999999999999</v>
      </c>
      <c r="L23" s="51">
        <v>34.33</v>
      </c>
      <c r="M23" s="51">
        <v>71.790000000000006</v>
      </c>
      <c r="N23" s="51">
        <v>772.4</v>
      </c>
      <c r="O23" s="51">
        <v>0</v>
      </c>
      <c r="P23" s="51">
        <v>0.39</v>
      </c>
      <c r="Q23" s="51">
        <v>4.6500000000000004</v>
      </c>
    </row>
    <row r="24" spans="1:17" customFormat="1">
      <c r="A24" s="50">
        <v>45481.666666666664</v>
      </c>
      <c r="B24" s="51">
        <v>9.26</v>
      </c>
      <c r="C24" s="51">
        <v>4.08</v>
      </c>
      <c r="D24" s="51">
        <v>14.01</v>
      </c>
      <c r="E24" s="51">
        <v>14.13</v>
      </c>
      <c r="F24" s="51">
        <v>9.34</v>
      </c>
      <c r="G24" s="51">
        <v>47.2</v>
      </c>
      <c r="H24" s="51">
        <v>84.21</v>
      </c>
      <c r="I24" s="51">
        <v>5.05</v>
      </c>
      <c r="J24" s="51">
        <v>0.55000000000000004</v>
      </c>
      <c r="K24" s="51">
        <v>187.29</v>
      </c>
      <c r="L24" s="51">
        <v>33.770000000000003</v>
      </c>
      <c r="M24" s="51">
        <v>67.56</v>
      </c>
      <c r="N24" s="51">
        <v>384.1</v>
      </c>
      <c r="O24" s="51">
        <v>0</v>
      </c>
      <c r="P24" s="51">
        <v>0.36</v>
      </c>
      <c r="Q24" s="51">
        <v>4.6500000000000004</v>
      </c>
    </row>
    <row r="25" spans="1:17" customFormat="1">
      <c r="A25" s="50">
        <v>45481.708333333336</v>
      </c>
      <c r="B25" s="51">
        <v>9.27</v>
      </c>
      <c r="C25" s="51">
        <v>4.09</v>
      </c>
      <c r="D25" s="51">
        <v>14.03</v>
      </c>
      <c r="E25" s="51">
        <v>13.42</v>
      </c>
      <c r="F25" s="51">
        <v>15.15</v>
      </c>
      <c r="G25" s="51">
        <v>30.93</v>
      </c>
      <c r="H25" s="51">
        <v>84.21</v>
      </c>
      <c r="I25" s="51">
        <v>4.62</v>
      </c>
      <c r="J25" s="51">
        <v>0.35</v>
      </c>
      <c r="K25" s="51">
        <v>166.97</v>
      </c>
      <c r="L25" s="51">
        <v>31.58</v>
      </c>
      <c r="M25" s="51">
        <v>79.59</v>
      </c>
      <c r="N25" s="51">
        <v>136.19999999999999</v>
      </c>
      <c r="O25" s="51">
        <v>0</v>
      </c>
      <c r="P25" s="51">
        <v>0.38</v>
      </c>
      <c r="Q25" s="51">
        <v>4.66</v>
      </c>
    </row>
    <row r="26" spans="1:17" customFormat="1">
      <c r="A26" s="50">
        <v>45481.75</v>
      </c>
      <c r="B26" s="51">
        <v>9.2799999999999994</v>
      </c>
      <c r="C26" s="51">
        <v>4.09</v>
      </c>
      <c r="D26" s="51">
        <v>14.03</v>
      </c>
      <c r="E26" s="51">
        <v>12.11</v>
      </c>
      <c r="F26" s="51">
        <v>20.29</v>
      </c>
      <c r="G26" s="51">
        <v>30.93</v>
      </c>
      <c r="H26" s="51">
        <v>81.819999999999993</v>
      </c>
      <c r="I26" s="51">
        <v>3.97</v>
      </c>
      <c r="J26" s="51">
        <v>0.3</v>
      </c>
      <c r="K26" s="51">
        <v>190.2</v>
      </c>
      <c r="L26" s="51">
        <v>30.84</v>
      </c>
      <c r="M26" s="51">
        <v>83.86</v>
      </c>
      <c r="N26" s="51">
        <v>52.8</v>
      </c>
      <c r="O26" s="51">
        <v>0</v>
      </c>
      <c r="P26" s="51">
        <v>0.38</v>
      </c>
      <c r="Q26" s="51">
        <v>4.6500000000000004</v>
      </c>
    </row>
    <row r="27" spans="1:17" customFormat="1">
      <c r="A27" s="50">
        <v>45481.791666666664</v>
      </c>
      <c r="B27" s="51">
        <v>9.27</v>
      </c>
      <c r="C27" s="51">
        <v>4.07</v>
      </c>
      <c r="D27" s="51">
        <v>14.01</v>
      </c>
      <c r="E27" s="51">
        <v>8.08</v>
      </c>
      <c r="F27" s="51">
        <v>22.46</v>
      </c>
      <c r="G27" s="51">
        <v>27.72</v>
      </c>
      <c r="H27" s="51">
        <v>63.16</v>
      </c>
      <c r="I27" s="51">
        <v>3.41</v>
      </c>
      <c r="J27" s="51">
        <v>0.2</v>
      </c>
      <c r="K27" s="51">
        <v>226.95</v>
      </c>
      <c r="L27" s="51">
        <v>30.68</v>
      </c>
      <c r="M27" s="51">
        <v>87.31</v>
      </c>
      <c r="N27" s="51">
        <v>31.1</v>
      </c>
      <c r="O27" s="51">
        <v>0</v>
      </c>
      <c r="P27" s="51">
        <v>0.38</v>
      </c>
      <c r="Q27" s="51">
        <v>4.63</v>
      </c>
    </row>
    <row r="28" spans="1:17" customFormat="1">
      <c r="A28" s="50">
        <v>45481.833333333336</v>
      </c>
      <c r="B28" s="51">
        <v>9.2899999999999991</v>
      </c>
      <c r="C28" s="51">
        <v>4.09</v>
      </c>
      <c r="D28" s="51">
        <v>14.03</v>
      </c>
      <c r="E28" s="51">
        <v>7.9</v>
      </c>
      <c r="F28" s="51">
        <v>10.52</v>
      </c>
      <c r="G28" s="51">
        <v>32.840000000000003</v>
      </c>
      <c r="H28" s="51">
        <v>44.17</v>
      </c>
      <c r="I28" s="51">
        <v>4.97</v>
      </c>
      <c r="J28" s="51">
        <v>0.33</v>
      </c>
      <c r="K28" s="51">
        <v>181.99</v>
      </c>
      <c r="L28" s="51">
        <v>29.49</v>
      </c>
      <c r="M28" s="51">
        <v>87.63</v>
      </c>
      <c r="N28" s="51">
        <v>2.2000000000000002</v>
      </c>
      <c r="O28" s="51">
        <v>0</v>
      </c>
      <c r="P28" s="51">
        <v>0.59</v>
      </c>
      <c r="Q28" s="51">
        <v>4.6399999999999997</v>
      </c>
    </row>
    <row r="29" spans="1:17" customFormat="1">
      <c r="A29" s="50">
        <v>45481.875</v>
      </c>
      <c r="B29" s="51">
        <v>9.2899999999999991</v>
      </c>
      <c r="C29" s="51">
        <v>4.08</v>
      </c>
      <c r="D29" s="51">
        <v>14.04</v>
      </c>
      <c r="E29" s="51">
        <v>7.5</v>
      </c>
      <c r="F29" s="51">
        <v>11.33</v>
      </c>
      <c r="G29" s="51">
        <v>35.71</v>
      </c>
      <c r="H29" s="51">
        <v>29.24</v>
      </c>
      <c r="I29" s="51">
        <v>5.6</v>
      </c>
      <c r="J29" s="51">
        <v>0.24</v>
      </c>
      <c r="K29" s="51">
        <v>180.28</v>
      </c>
      <c r="L29" s="51">
        <v>28.52</v>
      </c>
      <c r="M29" s="51">
        <v>93.19</v>
      </c>
      <c r="N29" s="51">
        <v>2.4</v>
      </c>
      <c r="O29" s="51">
        <v>0</v>
      </c>
      <c r="P29" s="51">
        <v>0.47</v>
      </c>
      <c r="Q29" s="51">
        <v>4.6500000000000004</v>
      </c>
    </row>
    <row r="30" spans="1:17" customFormat="1">
      <c r="A30" s="50">
        <v>45481.916666666664</v>
      </c>
      <c r="B30" s="51">
        <v>9.2799999999999994</v>
      </c>
      <c r="C30" s="51">
        <v>4.08</v>
      </c>
      <c r="D30" s="51">
        <v>14.02</v>
      </c>
      <c r="E30" s="51">
        <v>8.76</v>
      </c>
      <c r="F30" s="51">
        <v>8</v>
      </c>
      <c r="G30" s="51">
        <v>44.01</v>
      </c>
      <c r="H30" s="51">
        <v>20.8</v>
      </c>
      <c r="I30" s="51">
        <v>5.36</v>
      </c>
      <c r="J30" s="51">
        <v>0.15</v>
      </c>
      <c r="K30" s="51">
        <v>173.11</v>
      </c>
      <c r="L30" s="51">
        <v>28.33</v>
      </c>
      <c r="M30" s="51">
        <v>95.05</v>
      </c>
      <c r="N30" s="51">
        <v>2.1</v>
      </c>
      <c r="O30" s="51">
        <v>0</v>
      </c>
      <c r="P30" s="51">
        <v>0.46</v>
      </c>
      <c r="Q30" s="51">
        <v>4.6500000000000004</v>
      </c>
    </row>
    <row r="31" spans="1:17" customFormat="1">
      <c r="A31" s="50">
        <v>45481.958333333336</v>
      </c>
      <c r="B31" s="51">
        <v>9.25</v>
      </c>
      <c r="C31" s="51">
        <v>4.0599999999999996</v>
      </c>
      <c r="D31" s="51">
        <v>13.98</v>
      </c>
      <c r="E31" s="51">
        <v>9.14</v>
      </c>
      <c r="F31" s="51">
        <v>5.61</v>
      </c>
      <c r="G31" s="51">
        <v>44.01</v>
      </c>
      <c r="H31" s="51">
        <v>15.51</v>
      </c>
      <c r="I31" s="51">
        <v>5.72</v>
      </c>
      <c r="J31" s="51">
        <v>0.28999999999999998</v>
      </c>
      <c r="K31" s="51">
        <v>226.21</v>
      </c>
      <c r="L31" s="51">
        <v>28.52</v>
      </c>
      <c r="M31" s="51">
        <v>96.69</v>
      </c>
      <c r="N31" s="51">
        <v>2.1</v>
      </c>
      <c r="O31" s="51">
        <v>0</v>
      </c>
      <c r="P31" s="51">
        <v>0.49</v>
      </c>
      <c r="Q31" s="51">
        <v>4.6500000000000004</v>
      </c>
    </row>
    <row r="32" spans="1:17" customFormat="1">
      <c r="A32" s="50">
        <v>45482</v>
      </c>
      <c r="B32" s="51">
        <v>9.2200000000000006</v>
      </c>
      <c r="C32" s="51">
        <v>4.09</v>
      </c>
      <c r="D32" s="51">
        <v>13.98</v>
      </c>
      <c r="E32" s="51">
        <v>9.74</v>
      </c>
      <c r="F32" s="51">
        <v>4.68</v>
      </c>
      <c r="G32" s="51">
        <v>44.02</v>
      </c>
      <c r="H32" s="51">
        <v>15.04</v>
      </c>
      <c r="I32" s="51">
        <v>6.08</v>
      </c>
      <c r="J32" s="51">
        <v>0.32</v>
      </c>
      <c r="K32" s="51">
        <v>223.17</v>
      </c>
      <c r="L32" s="51">
        <v>28.3</v>
      </c>
      <c r="M32" s="51">
        <v>98.22</v>
      </c>
      <c r="N32" s="51">
        <v>2.1</v>
      </c>
      <c r="O32" s="51">
        <v>0</v>
      </c>
      <c r="P32" s="51">
        <v>0.5</v>
      </c>
      <c r="Q32" s="51">
        <v>4.6399999999999997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9.2200000000000006</v>
      </c>
      <c r="C34" s="41">
        <f t="shared" si="0"/>
        <v>4.0599999999999996</v>
      </c>
      <c r="D34" s="41">
        <f t="shared" si="0"/>
        <v>13.98</v>
      </c>
      <c r="E34" s="41">
        <f t="shared" si="0"/>
        <v>7.5</v>
      </c>
      <c r="F34" s="41">
        <f t="shared" si="0"/>
        <v>4.3499999999999996</v>
      </c>
      <c r="G34" s="41">
        <f t="shared" si="0"/>
        <v>9.73</v>
      </c>
      <c r="H34" s="41">
        <f t="shared" si="0"/>
        <v>1.98</v>
      </c>
      <c r="I34" s="41">
        <f t="shared" si="0"/>
        <v>3.41</v>
      </c>
      <c r="J34" s="41">
        <f t="shared" si="0"/>
        <v>0.11</v>
      </c>
      <c r="K34" s="41">
        <f t="shared" si="0"/>
        <v>146.63999999999999</v>
      </c>
      <c r="L34" s="41">
        <f t="shared" si="0"/>
        <v>25.17</v>
      </c>
      <c r="M34" s="41">
        <f t="shared" si="0"/>
        <v>67.56</v>
      </c>
      <c r="N34" s="41">
        <f t="shared" si="0"/>
        <v>2.1</v>
      </c>
      <c r="O34" s="41">
        <f t="shared" si="0"/>
        <v>0</v>
      </c>
      <c r="P34" s="41">
        <f t="shared" si="0"/>
        <v>0.3</v>
      </c>
      <c r="Q34" s="41">
        <f t="shared" si="0"/>
        <v>4.62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9.32</v>
      </c>
      <c r="C35" s="33">
        <f t="shared" si="1"/>
        <v>4.12</v>
      </c>
      <c r="D35" s="33">
        <f t="shared" si="1"/>
        <v>14.06</v>
      </c>
      <c r="E35" s="33">
        <f t="shared" si="1"/>
        <v>15.29</v>
      </c>
      <c r="F35" s="33">
        <f t="shared" si="1"/>
        <v>22.46</v>
      </c>
      <c r="G35" s="33">
        <f t="shared" si="1"/>
        <v>47.2</v>
      </c>
      <c r="H35" s="33">
        <f t="shared" si="1"/>
        <v>84.21</v>
      </c>
      <c r="I35" s="33">
        <f t="shared" si="1"/>
        <v>6.08</v>
      </c>
      <c r="J35" s="33">
        <f t="shared" si="1"/>
        <v>1</v>
      </c>
      <c r="K35" s="33">
        <f t="shared" si="1"/>
        <v>333.21</v>
      </c>
      <c r="L35" s="33">
        <f t="shared" si="1"/>
        <v>34.33</v>
      </c>
      <c r="M35" s="33">
        <f t="shared" si="1"/>
        <v>102.68</v>
      </c>
      <c r="N35" s="33">
        <f t="shared" si="1"/>
        <v>772.4</v>
      </c>
      <c r="O35" s="33">
        <f t="shared" si="1"/>
        <v>2</v>
      </c>
      <c r="P35" s="33">
        <f t="shared" si="1"/>
        <v>0.59</v>
      </c>
      <c r="Q35" s="33">
        <f t="shared" si="1"/>
        <v>4.66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9.2745833333333341</v>
      </c>
      <c r="C36" s="41">
        <f t="shared" si="2"/>
        <v>4.0841666666666674</v>
      </c>
      <c r="D36" s="41">
        <f t="shared" si="2"/>
        <v>14.017083333333334</v>
      </c>
      <c r="E36" s="41">
        <f t="shared" si="2"/>
        <v>10.834999999999999</v>
      </c>
      <c r="F36" s="41">
        <f t="shared" si="2"/>
        <v>9.0025000000000013</v>
      </c>
      <c r="G36" s="41">
        <f t="shared" si="2"/>
        <v>28.199583333333337</v>
      </c>
      <c r="H36" s="41">
        <f t="shared" si="2"/>
        <v>31.608333333333324</v>
      </c>
      <c r="I36" s="41">
        <f t="shared" si="2"/>
        <v>4.5266666666666664</v>
      </c>
      <c r="J36" s="41">
        <f t="shared" si="2"/>
        <v>0.38791666666666663</v>
      </c>
      <c r="K36" s="41">
        <f t="shared" si="2"/>
        <v>229.26124999999993</v>
      </c>
      <c r="L36" s="41">
        <f t="shared" si="2"/>
        <v>29.05416666666666</v>
      </c>
      <c r="M36" s="41">
        <f t="shared" si="2"/>
        <v>90.109166666666638</v>
      </c>
      <c r="N36" s="41">
        <f t="shared" si="2"/>
        <v>141.15416666666664</v>
      </c>
      <c r="O36" s="41">
        <f t="shared" si="2"/>
        <v>0.11666666666666665</v>
      </c>
      <c r="P36" s="41">
        <f t="shared" si="2"/>
        <v>0.39166666666666666</v>
      </c>
      <c r="Q36" s="41">
        <f t="shared" si="2"/>
        <v>4.6437500000000007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2.2453655975512441E-2</v>
      </c>
      <c r="C37" s="41">
        <f t="shared" ref="C37:Q37" si="3">STDEV(C9:C32)</f>
        <v>1.3160106602801465E-2</v>
      </c>
      <c r="D37" s="41">
        <f t="shared" si="3"/>
        <v>2.1157621027332554E-2</v>
      </c>
      <c r="E37" s="41">
        <f t="shared" si="3"/>
        <v>2.3574525676449296</v>
      </c>
      <c r="F37" s="41">
        <f t="shared" si="3"/>
        <v>4.7956776281400986</v>
      </c>
      <c r="G37" s="41">
        <f t="shared" si="3"/>
        <v>11.297012486635039</v>
      </c>
      <c r="H37" s="41">
        <f t="shared" si="3"/>
        <v>28.984670711117008</v>
      </c>
      <c r="I37" s="41">
        <f t="shared" si="3"/>
        <v>0.69980535596113369</v>
      </c>
      <c r="J37" s="41">
        <f t="shared" si="3"/>
        <v>0.22159459981386445</v>
      </c>
      <c r="K37" s="41">
        <f t="shared" si="3"/>
        <v>51.443088631368219</v>
      </c>
      <c r="L37" s="41">
        <f t="shared" si="3"/>
        <v>2.5029858980420441</v>
      </c>
      <c r="M37" s="41">
        <f t="shared" si="3"/>
        <v>9.6014699584138334</v>
      </c>
      <c r="N37" s="41">
        <f t="shared" si="3"/>
        <v>199.92451831969566</v>
      </c>
      <c r="O37" s="41">
        <f t="shared" si="3"/>
        <v>0.42083423016119109</v>
      </c>
      <c r="P37" s="41">
        <f t="shared" si="3"/>
        <v>6.9886035593775778E-2</v>
      </c>
      <c r="Q37" s="41">
        <f t="shared" si="3"/>
        <v>1.013495887038279E-2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45482.041666666664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45482.041666666664</v>
      </c>
      <c r="B9" s="51">
        <v>9.25</v>
      </c>
      <c r="C9" s="51">
        <v>4.17</v>
      </c>
      <c r="D9" s="51">
        <v>14.03</v>
      </c>
      <c r="E9" s="51">
        <v>9.99</v>
      </c>
      <c r="F9" s="51">
        <v>5.88</v>
      </c>
      <c r="G9" s="51">
        <v>44.02</v>
      </c>
      <c r="H9" s="51">
        <v>14.56</v>
      </c>
      <c r="I9" s="51">
        <v>6.08</v>
      </c>
      <c r="J9" s="51">
        <v>0.4</v>
      </c>
      <c r="K9" s="51">
        <v>275.48</v>
      </c>
      <c r="L9" s="51">
        <v>27.83</v>
      </c>
      <c r="M9" s="51">
        <v>92.75</v>
      </c>
      <c r="N9" s="51">
        <v>2.6</v>
      </c>
      <c r="O9" s="51">
        <v>0</v>
      </c>
      <c r="P9" s="51">
        <v>0.49</v>
      </c>
      <c r="Q9" s="51">
        <v>4.62</v>
      </c>
    </row>
    <row r="10" spans="1:21" customFormat="1">
      <c r="A10" s="50">
        <v>45482.083333333336</v>
      </c>
      <c r="B10" s="51">
        <v>9.26</v>
      </c>
      <c r="C10" s="51">
        <v>4.09</v>
      </c>
      <c r="D10" s="51">
        <v>14.01</v>
      </c>
      <c r="E10" s="51">
        <v>10.32</v>
      </c>
      <c r="F10" s="51">
        <v>5.13</v>
      </c>
      <c r="G10" s="51">
        <v>36.44</v>
      </c>
      <c r="H10" s="51">
        <v>8.59</v>
      </c>
      <c r="I10" s="51">
        <v>5.62</v>
      </c>
      <c r="J10" s="51">
        <v>0.27</v>
      </c>
      <c r="K10" s="51">
        <v>259.81</v>
      </c>
      <c r="L10" s="51">
        <v>26.76</v>
      </c>
      <c r="M10" s="51">
        <v>91.99</v>
      </c>
      <c r="N10" s="51">
        <v>2.2999999999999998</v>
      </c>
      <c r="O10" s="51">
        <v>0</v>
      </c>
      <c r="P10" s="51">
        <v>0.44</v>
      </c>
      <c r="Q10" s="51">
        <v>4.62</v>
      </c>
    </row>
    <row r="11" spans="1:21" customFormat="1">
      <c r="A11" s="50">
        <v>45482.125</v>
      </c>
      <c r="B11" s="51">
        <v>9.31</v>
      </c>
      <c r="C11" s="51">
        <v>4.0599999999999996</v>
      </c>
      <c r="D11" s="51">
        <v>14.04</v>
      </c>
      <c r="E11" s="51">
        <v>8.76</v>
      </c>
      <c r="F11" s="51">
        <v>5.46</v>
      </c>
      <c r="G11" s="51">
        <v>30.07</v>
      </c>
      <c r="H11" s="51">
        <v>5.88</v>
      </c>
      <c r="I11" s="51">
        <v>5.14</v>
      </c>
      <c r="J11" s="51">
        <v>0.37</v>
      </c>
      <c r="K11" s="51">
        <v>197.44</v>
      </c>
      <c r="L11" s="51">
        <v>26.05</v>
      </c>
      <c r="M11" s="51">
        <v>95.27</v>
      </c>
      <c r="N11" s="51">
        <v>2</v>
      </c>
      <c r="O11" s="51">
        <v>0</v>
      </c>
      <c r="P11" s="51">
        <v>0.45</v>
      </c>
      <c r="Q11" s="51">
        <v>4.6399999999999997</v>
      </c>
    </row>
    <row r="12" spans="1:21" customFormat="1">
      <c r="A12" s="50">
        <v>45482.166666666664</v>
      </c>
      <c r="B12" s="51">
        <v>9.32</v>
      </c>
      <c r="C12" s="51">
        <v>4.0999999999999996</v>
      </c>
      <c r="D12" s="51">
        <v>14.06</v>
      </c>
      <c r="E12" s="51">
        <v>7.28</v>
      </c>
      <c r="F12" s="51">
        <v>4.55</v>
      </c>
      <c r="G12" s="51">
        <v>21.52</v>
      </c>
      <c r="H12" s="51">
        <v>4.26</v>
      </c>
      <c r="I12" s="51">
        <v>4.7699999999999996</v>
      </c>
      <c r="J12" s="51">
        <v>0.21</v>
      </c>
      <c r="K12" s="51">
        <v>325.39999999999998</v>
      </c>
      <c r="L12" s="51">
        <v>25.7</v>
      </c>
      <c r="M12" s="51">
        <v>96.71</v>
      </c>
      <c r="N12" s="51">
        <v>2.1</v>
      </c>
      <c r="O12" s="51">
        <v>0</v>
      </c>
      <c r="P12" s="51">
        <v>0.43</v>
      </c>
      <c r="Q12" s="51">
        <v>4.6399999999999997</v>
      </c>
    </row>
    <row r="13" spans="1:21" customFormat="1">
      <c r="A13" s="50">
        <v>45482.208333333336</v>
      </c>
      <c r="B13" s="51">
        <v>9.32</v>
      </c>
      <c r="C13" s="51">
        <v>4.0999999999999996</v>
      </c>
      <c r="D13" s="51">
        <v>14.07</v>
      </c>
      <c r="E13" s="51">
        <v>6.54</v>
      </c>
      <c r="F13" s="51">
        <v>5.18</v>
      </c>
      <c r="G13" s="51">
        <v>21.47</v>
      </c>
      <c r="H13" s="51">
        <v>3.2</v>
      </c>
      <c r="I13" s="51">
        <v>4.54</v>
      </c>
      <c r="J13" s="51">
        <v>0.18</v>
      </c>
      <c r="K13" s="51">
        <v>219.73</v>
      </c>
      <c r="L13" s="51">
        <v>25.73</v>
      </c>
      <c r="M13" s="51">
        <v>99.02</v>
      </c>
      <c r="N13" s="51">
        <v>2.1</v>
      </c>
      <c r="O13" s="51">
        <v>0</v>
      </c>
      <c r="P13" s="51">
        <v>0.4</v>
      </c>
      <c r="Q13" s="51">
        <v>4.6399999999999997</v>
      </c>
    </row>
    <row r="14" spans="1:21" customFormat="1">
      <c r="A14" s="50">
        <v>45482.25</v>
      </c>
      <c r="B14" s="51">
        <v>9.36</v>
      </c>
      <c r="C14" s="51">
        <v>4.08</v>
      </c>
      <c r="D14" s="51">
        <v>14.08</v>
      </c>
      <c r="E14" s="51">
        <v>6.81</v>
      </c>
      <c r="F14" s="51">
        <v>5.93</v>
      </c>
      <c r="G14" s="51">
        <v>21.47</v>
      </c>
      <c r="H14" s="51">
        <v>2.17</v>
      </c>
      <c r="I14" s="51">
        <v>4.26</v>
      </c>
      <c r="J14" s="51">
        <v>0.17</v>
      </c>
      <c r="K14" s="51">
        <v>203.07</v>
      </c>
      <c r="L14" s="51">
        <v>25.59</v>
      </c>
      <c r="M14" s="51">
        <v>98.47</v>
      </c>
      <c r="N14" s="51">
        <v>27</v>
      </c>
      <c r="O14" s="51">
        <v>0</v>
      </c>
      <c r="P14" s="51">
        <v>0.36</v>
      </c>
      <c r="Q14" s="51">
        <v>4.6399999999999997</v>
      </c>
    </row>
    <row r="15" spans="1:21" customFormat="1">
      <c r="A15" s="50">
        <v>45482.291666666664</v>
      </c>
      <c r="B15" s="51">
        <v>9.35</v>
      </c>
      <c r="C15" s="51">
        <v>4.08</v>
      </c>
      <c r="D15" s="51">
        <v>14.07</v>
      </c>
      <c r="E15" s="51">
        <v>7.63</v>
      </c>
      <c r="F15" s="51">
        <v>4.43</v>
      </c>
      <c r="G15" s="51">
        <v>18.579999999999998</v>
      </c>
      <c r="H15" s="51">
        <v>4.3899999999999997</v>
      </c>
      <c r="I15" s="51">
        <v>4.3899999999999997</v>
      </c>
      <c r="J15" s="51">
        <v>0.22</v>
      </c>
      <c r="K15" s="51">
        <v>296.58999999999997</v>
      </c>
      <c r="L15" s="51">
        <v>26.67</v>
      </c>
      <c r="M15" s="51">
        <v>96.47</v>
      </c>
      <c r="N15" s="51">
        <v>69</v>
      </c>
      <c r="O15" s="51">
        <v>0</v>
      </c>
      <c r="P15" s="51">
        <v>0.4</v>
      </c>
      <c r="Q15" s="51">
        <v>4.6399999999999997</v>
      </c>
    </row>
    <row r="16" spans="1:21" customFormat="1">
      <c r="A16" s="50">
        <v>45482.333333333336</v>
      </c>
      <c r="B16" s="51">
        <v>9.34</v>
      </c>
      <c r="C16" s="51">
        <v>4.08</v>
      </c>
      <c r="D16" s="51">
        <v>14.07</v>
      </c>
      <c r="E16" s="51">
        <v>8.32</v>
      </c>
      <c r="F16" s="51">
        <v>5.31</v>
      </c>
      <c r="G16" s="51">
        <v>18.579999999999998</v>
      </c>
      <c r="H16" s="51">
        <v>6.15</v>
      </c>
      <c r="I16" s="51">
        <v>4.41</v>
      </c>
      <c r="J16" s="51">
        <v>0.3</v>
      </c>
      <c r="K16" s="51">
        <v>269.89</v>
      </c>
      <c r="L16" s="51">
        <v>27.27</v>
      </c>
      <c r="M16" s="51">
        <v>92.04</v>
      </c>
      <c r="N16" s="51">
        <v>133.5</v>
      </c>
      <c r="O16" s="51">
        <v>0</v>
      </c>
      <c r="P16" s="51">
        <v>0.33</v>
      </c>
      <c r="Q16" s="51">
        <v>4.6399999999999997</v>
      </c>
    </row>
    <row r="17" spans="1:17" customFormat="1">
      <c r="A17" s="50">
        <v>45482.375</v>
      </c>
      <c r="B17" s="51">
        <v>9.3000000000000007</v>
      </c>
      <c r="C17" s="51">
        <v>4.1100000000000003</v>
      </c>
      <c r="D17" s="51">
        <v>14.04</v>
      </c>
      <c r="E17" s="51">
        <v>8.93</v>
      </c>
      <c r="F17" s="51">
        <v>4.0199999999999996</v>
      </c>
      <c r="G17" s="51">
        <v>13.04</v>
      </c>
      <c r="H17" s="51">
        <v>14.7</v>
      </c>
      <c r="I17" s="51">
        <v>3.92</v>
      </c>
      <c r="J17" s="51">
        <v>0.47</v>
      </c>
      <c r="K17" s="51">
        <v>295.75</v>
      </c>
      <c r="L17" s="51">
        <v>29.25</v>
      </c>
      <c r="M17" s="51">
        <v>87</v>
      </c>
      <c r="N17" s="51">
        <v>211.8</v>
      </c>
      <c r="O17" s="51">
        <v>0</v>
      </c>
      <c r="P17" s="51">
        <v>0.31</v>
      </c>
      <c r="Q17" s="51">
        <v>4.66</v>
      </c>
    </row>
    <row r="18" spans="1:17" customFormat="1">
      <c r="A18" s="50">
        <v>45482.416666666664</v>
      </c>
      <c r="B18" s="51">
        <v>9.31</v>
      </c>
      <c r="C18" s="51">
        <v>4.1100000000000003</v>
      </c>
      <c r="D18" s="51">
        <v>14.05</v>
      </c>
      <c r="E18" s="51">
        <v>9.3000000000000007</v>
      </c>
      <c r="F18" s="51">
        <v>4.45</v>
      </c>
      <c r="G18" s="51">
        <v>9.61</v>
      </c>
      <c r="H18" s="51">
        <v>36.39</v>
      </c>
      <c r="I18" s="51">
        <v>3.75</v>
      </c>
      <c r="J18" s="51">
        <v>0.51</v>
      </c>
      <c r="K18" s="51">
        <v>325.89</v>
      </c>
      <c r="L18" s="51">
        <v>30.96</v>
      </c>
      <c r="M18" s="51">
        <v>79.3</v>
      </c>
      <c r="N18" s="51">
        <v>235.8</v>
      </c>
      <c r="O18" s="51">
        <v>0</v>
      </c>
      <c r="P18" s="51">
        <v>0.32</v>
      </c>
      <c r="Q18" s="51">
        <v>4.6399999999999997</v>
      </c>
    </row>
    <row r="19" spans="1:17" customFormat="1">
      <c r="A19" s="50">
        <v>45482.458333333336</v>
      </c>
      <c r="B19" s="51">
        <v>9.33</v>
      </c>
      <c r="C19" s="51">
        <v>4.0999999999999996</v>
      </c>
      <c r="D19" s="51">
        <v>14.06</v>
      </c>
      <c r="E19" s="51">
        <v>10.86</v>
      </c>
      <c r="F19" s="51">
        <v>5.39</v>
      </c>
      <c r="G19" s="51">
        <v>17.63</v>
      </c>
      <c r="H19" s="51">
        <v>37.65</v>
      </c>
      <c r="I19" s="51">
        <v>3.87</v>
      </c>
      <c r="J19" s="51">
        <v>0.52</v>
      </c>
      <c r="K19" s="51">
        <v>287.93</v>
      </c>
      <c r="L19" s="51">
        <v>31.62</v>
      </c>
      <c r="M19" s="51">
        <v>73.55</v>
      </c>
      <c r="N19" s="51">
        <v>268.2</v>
      </c>
      <c r="O19" s="51">
        <v>0</v>
      </c>
      <c r="P19" s="51">
        <v>0.32</v>
      </c>
      <c r="Q19" s="51">
        <v>4.6500000000000004</v>
      </c>
    </row>
    <row r="20" spans="1:17" customFormat="1">
      <c r="A20" s="50">
        <v>45482.5</v>
      </c>
      <c r="B20" s="51">
        <v>9.34</v>
      </c>
      <c r="C20" s="51">
        <v>4.0599999999999996</v>
      </c>
      <c r="D20" s="51">
        <v>14.05</v>
      </c>
      <c r="E20" s="51">
        <v>10.96</v>
      </c>
      <c r="F20" s="51">
        <v>7.73</v>
      </c>
      <c r="G20" s="51">
        <v>23.97</v>
      </c>
      <c r="H20" s="51">
        <v>39.119999999999997</v>
      </c>
      <c r="I20" s="51">
        <v>3.81</v>
      </c>
      <c r="J20" s="51">
        <v>0.51</v>
      </c>
      <c r="K20" s="51">
        <v>268.08999999999997</v>
      </c>
      <c r="L20" s="51">
        <v>31.65</v>
      </c>
      <c r="M20" s="51">
        <v>76.75</v>
      </c>
      <c r="N20" s="51">
        <v>393.3</v>
      </c>
      <c r="O20" s="51">
        <v>0</v>
      </c>
      <c r="P20" s="51">
        <v>0.35</v>
      </c>
      <c r="Q20" s="51">
        <v>4.6500000000000004</v>
      </c>
    </row>
    <row r="21" spans="1:17" customFormat="1">
      <c r="A21" s="50">
        <v>45482.541666666664</v>
      </c>
      <c r="B21" s="51">
        <v>9.33</v>
      </c>
      <c r="C21" s="51">
        <v>4.09</v>
      </c>
      <c r="D21" s="51">
        <v>14.06</v>
      </c>
      <c r="E21" s="51">
        <v>9.42</v>
      </c>
      <c r="F21" s="51">
        <v>12.88</v>
      </c>
      <c r="G21" s="51">
        <v>23.97</v>
      </c>
      <c r="H21" s="51">
        <v>47.29</v>
      </c>
      <c r="I21" s="51">
        <v>3.64</v>
      </c>
      <c r="J21" s="51">
        <v>0.62</v>
      </c>
      <c r="K21" s="51">
        <v>321.38</v>
      </c>
      <c r="L21" s="51">
        <v>33.53</v>
      </c>
      <c r="M21" s="51">
        <v>71.28</v>
      </c>
      <c r="N21" s="51">
        <v>958.6</v>
      </c>
      <c r="O21" s="51">
        <v>0</v>
      </c>
      <c r="P21" s="51">
        <v>0.36</v>
      </c>
      <c r="Q21" s="51">
        <v>4.6500000000000004</v>
      </c>
    </row>
    <row r="22" spans="1:17" customFormat="1">
      <c r="A22" s="50">
        <v>45482.583333333336</v>
      </c>
      <c r="B22" s="51">
        <v>9.31</v>
      </c>
      <c r="C22" s="51">
        <v>4.1100000000000003</v>
      </c>
      <c r="D22" s="51">
        <v>14.06</v>
      </c>
      <c r="E22" s="51">
        <v>9.84</v>
      </c>
      <c r="F22" s="51">
        <v>16.97</v>
      </c>
      <c r="G22" s="51">
        <v>21.33</v>
      </c>
      <c r="H22" s="51">
        <v>50.73</v>
      </c>
      <c r="I22" s="51">
        <v>4.2</v>
      </c>
      <c r="J22" s="51">
        <v>0.87</v>
      </c>
      <c r="K22" s="51">
        <v>65.59</v>
      </c>
      <c r="L22" s="51">
        <v>34.28</v>
      </c>
      <c r="M22" s="51">
        <v>62.77</v>
      </c>
      <c r="N22" s="51">
        <v>456.6</v>
      </c>
      <c r="O22" s="51">
        <v>0</v>
      </c>
      <c r="P22" s="51">
        <v>0.38</v>
      </c>
      <c r="Q22" s="51">
        <v>4.6500000000000004</v>
      </c>
    </row>
    <row r="23" spans="1:17" customFormat="1">
      <c r="A23" s="50">
        <v>45482.625</v>
      </c>
      <c r="B23" s="51">
        <v>9.32</v>
      </c>
      <c r="C23" s="51">
        <v>4.07</v>
      </c>
      <c r="D23" s="51">
        <v>14.04</v>
      </c>
      <c r="E23" s="51">
        <v>8.83</v>
      </c>
      <c r="F23" s="51">
        <v>23.37</v>
      </c>
      <c r="G23" s="51">
        <v>33.049999999999997</v>
      </c>
      <c r="H23" s="51">
        <v>64.03</v>
      </c>
      <c r="I23" s="51">
        <v>4.37</v>
      </c>
      <c r="J23" s="51">
        <v>0.3</v>
      </c>
      <c r="K23" s="51">
        <v>301.58999999999997</v>
      </c>
      <c r="L23" s="51">
        <v>34.979999999999997</v>
      </c>
      <c r="M23" s="51">
        <v>64.3</v>
      </c>
      <c r="N23" s="51">
        <v>686.6</v>
      </c>
      <c r="O23" s="51">
        <v>0</v>
      </c>
      <c r="P23" s="51">
        <v>0.39</v>
      </c>
      <c r="Q23" s="51">
        <v>4.6500000000000004</v>
      </c>
    </row>
    <row r="24" spans="1:17" customFormat="1">
      <c r="A24" s="50">
        <v>45482.666666666664</v>
      </c>
      <c r="B24" s="51">
        <v>9.3000000000000007</v>
      </c>
      <c r="C24" s="51">
        <v>4.09</v>
      </c>
      <c r="D24" s="51">
        <v>14.04</v>
      </c>
      <c r="E24" s="51">
        <v>10.91</v>
      </c>
      <c r="F24" s="51">
        <v>24.59</v>
      </c>
      <c r="G24" s="51">
        <v>33.049999999999997</v>
      </c>
      <c r="H24" s="51">
        <v>69.319999999999993</v>
      </c>
      <c r="I24" s="51">
        <v>4.3099999999999996</v>
      </c>
      <c r="J24" s="51">
        <v>0.92</v>
      </c>
      <c r="K24" s="51">
        <v>98.83</v>
      </c>
      <c r="L24" s="51">
        <v>35.56</v>
      </c>
      <c r="M24" s="51">
        <v>60.1</v>
      </c>
      <c r="N24" s="51">
        <v>627.70000000000005</v>
      </c>
      <c r="O24" s="51">
        <v>0</v>
      </c>
      <c r="P24" s="51">
        <v>0.43</v>
      </c>
      <c r="Q24" s="51">
        <v>4.6500000000000004</v>
      </c>
    </row>
    <row r="25" spans="1:17" customFormat="1">
      <c r="A25" s="50">
        <v>45482.708333333336</v>
      </c>
      <c r="B25" s="51">
        <v>9.33</v>
      </c>
      <c r="C25" s="51">
        <v>4.08</v>
      </c>
      <c r="D25" s="51">
        <v>14.06</v>
      </c>
      <c r="E25" s="51">
        <v>12.19</v>
      </c>
      <c r="F25" s="51">
        <v>25.51</v>
      </c>
      <c r="G25" s="51">
        <v>31.8</v>
      </c>
      <c r="H25" s="51">
        <v>75.319999999999993</v>
      </c>
      <c r="I25" s="51">
        <v>4.4400000000000004</v>
      </c>
      <c r="J25" s="51">
        <v>0.41</v>
      </c>
      <c r="K25" s="51">
        <v>234.24</v>
      </c>
      <c r="L25" s="51">
        <v>34.549999999999997</v>
      </c>
      <c r="M25" s="51">
        <v>63.23</v>
      </c>
      <c r="N25" s="51">
        <v>178.5</v>
      </c>
      <c r="O25" s="51">
        <v>0</v>
      </c>
      <c r="P25" s="51">
        <v>0.38</v>
      </c>
      <c r="Q25" s="51">
        <v>4.66</v>
      </c>
    </row>
    <row r="26" spans="1:17" customFormat="1">
      <c r="A26" s="50">
        <v>45482.75</v>
      </c>
      <c r="B26" s="51">
        <v>9.32</v>
      </c>
      <c r="C26" s="51">
        <v>4.07</v>
      </c>
      <c r="D26" s="51">
        <v>14.04</v>
      </c>
      <c r="E26" s="51">
        <v>11.82</v>
      </c>
      <c r="F26" s="51">
        <v>19.48</v>
      </c>
      <c r="G26" s="51">
        <v>37.67</v>
      </c>
      <c r="H26" s="51">
        <v>80.45</v>
      </c>
      <c r="I26" s="51">
        <v>4.38</v>
      </c>
      <c r="J26" s="51">
        <v>0.65</v>
      </c>
      <c r="K26" s="51">
        <v>264.39</v>
      </c>
      <c r="L26" s="51">
        <v>34.090000000000003</v>
      </c>
      <c r="M26" s="51">
        <v>101.38</v>
      </c>
      <c r="N26" s="51">
        <v>155.19999999999999</v>
      </c>
      <c r="O26" s="51">
        <v>26.2</v>
      </c>
      <c r="P26" s="51">
        <v>0.33</v>
      </c>
      <c r="Q26" s="51">
        <v>4.6500000000000004</v>
      </c>
    </row>
    <row r="27" spans="1:17" customFormat="1">
      <c r="A27" s="50">
        <v>45482.791666666664</v>
      </c>
      <c r="B27" s="51">
        <v>9.26</v>
      </c>
      <c r="C27" s="51">
        <v>4.09</v>
      </c>
      <c r="D27" s="51">
        <v>14</v>
      </c>
      <c r="E27" s="51">
        <v>10.220000000000001</v>
      </c>
      <c r="F27" s="51">
        <v>7.28</v>
      </c>
      <c r="G27" s="51">
        <v>37.67</v>
      </c>
      <c r="H27" s="51">
        <v>80.45</v>
      </c>
      <c r="I27" s="51">
        <v>4.42</v>
      </c>
      <c r="J27" s="51">
        <v>0.7</v>
      </c>
      <c r="K27" s="51">
        <v>263.98</v>
      </c>
      <c r="L27" s="51">
        <v>26.36</v>
      </c>
      <c r="M27" s="51">
        <v>101.91</v>
      </c>
      <c r="N27" s="51">
        <v>9</v>
      </c>
      <c r="O27" s="51">
        <v>0</v>
      </c>
      <c r="P27" s="51">
        <v>0.34</v>
      </c>
      <c r="Q27" s="51">
        <v>4.63</v>
      </c>
    </row>
    <row r="28" spans="1:17" customFormat="1">
      <c r="A28" s="50">
        <v>45482.833333333336</v>
      </c>
      <c r="B28" s="51">
        <v>9.2799999999999994</v>
      </c>
      <c r="C28" s="51">
        <v>4.08</v>
      </c>
      <c r="D28" s="51">
        <v>14.01</v>
      </c>
      <c r="E28" s="51">
        <v>10.74</v>
      </c>
      <c r="F28" s="51">
        <v>4.17</v>
      </c>
      <c r="G28" s="51">
        <v>57.36</v>
      </c>
      <c r="H28" s="51">
        <v>53.21</v>
      </c>
      <c r="I28" s="51">
        <v>4.8899999999999997</v>
      </c>
      <c r="J28" s="51">
        <v>0.23</v>
      </c>
      <c r="K28" s="51">
        <v>210.73</v>
      </c>
      <c r="L28" s="51">
        <v>26.62</v>
      </c>
      <c r="M28" s="51">
        <v>101.92</v>
      </c>
      <c r="N28" s="51">
        <v>2.4</v>
      </c>
      <c r="O28" s="51">
        <v>0</v>
      </c>
      <c r="P28" s="51">
        <v>0.46</v>
      </c>
      <c r="Q28" s="51">
        <v>4.6399999999999997</v>
      </c>
    </row>
    <row r="29" spans="1:17" customFormat="1">
      <c r="A29" s="50">
        <v>45482.875</v>
      </c>
      <c r="B29" s="51">
        <v>9.2799999999999994</v>
      </c>
      <c r="C29" s="51">
        <v>4.12</v>
      </c>
      <c r="D29" s="51">
        <v>14.04</v>
      </c>
      <c r="E29" s="51">
        <v>10.94</v>
      </c>
      <c r="F29" s="51">
        <v>5.14</v>
      </c>
      <c r="G29" s="51">
        <v>57.36</v>
      </c>
      <c r="H29" s="51">
        <v>36.76</v>
      </c>
      <c r="I29" s="51">
        <v>5.1100000000000003</v>
      </c>
      <c r="J29" s="51">
        <v>0.18</v>
      </c>
      <c r="K29" s="51">
        <v>227.77</v>
      </c>
      <c r="L29" s="51">
        <v>26.78</v>
      </c>
      <c r="M29" s="51">
        <v>103.85</v>
      </c>
      <c r="N29" s="51">
        <v>2.2999999999999998</v>
      </c>
      <c r="O29" s="51">
        <v>0</v>
      </c>
      <c r="P29" s="51">
        <v>0.46</v>
      </c>
      <c r="Q29" s="51">
        <v>4.6500000000000004</v>
      </c>
    </row>
    <row r="30" spans="1:17" customFormat="1">
      <c r="A30" s="50">
        <v>45482.916666666664</v>
      </c>
      <c r="B30" s="51">
        <v>9.33</v>
      </c>
      <c r="C30" s="51">
        <v>4.09</v>
      </c>
      <c r="D30" s="51">
        <v>14.07</v>
      </c>
      <c r="E30" s="51">
        <v>9.9499999999999993</v>
      </c>
      <c r="F30" s="51">
        <v>8.4700000000000006</v>
      </c>
      <c r="G30" s="51">
        <v>39.409999999999997</v>
      </c>
      <c r="H30" s="51">
        <v>20.3</v>
      </c>
      <c r="I30" s="51">
        <v>5.15</v>
      </c>
      <c r="J30" s="51">
        <v>0.15</v>
      </c>
      <c r="K30" s="51">
        <v>190.9</v>
      </c>
      <c r="L30" s="51">
        <v>26.94</v>
      </c>
      <c r="M30" s="51">
        <v>102.88</v>
      </c>
      <c r="N30" s="51">
        <v>2.1</v>
      </c>
      <c r="O30" s="51">
        <v>0</v>
      </c>
      <c r="P30" s="51">
        <v>0.51</v>
      </c>
      <c r="Q30" s="51">
        <v>4.6500000000000004</v>
      </c>
    </row>
    <row r="31" spans="1:17" customFormat="1">
      <c r="A31" s="50">
        <v>45482.958333333336</v>
      </c>
      <c r="B31" s="51">
        <v>9.34</v>
      </c>
      <c r="C31" s="51">
        <v>4.0999999999999996</v>
      </c>
      <c r="D31" s="51">
        <v>14.07</v>
      </c>
      <c r="E31" s="51">
        <v>9.1300000000000008</v>
      </c>
      <c r="F31" s="51">
        <v>9.0299999999999994</v>
      </c>
      <c r="G31" s="51">
        <v>30.78</v>
      </c>
      <c r="H31" s="51">
        <v>15.76</v>
      </c>
      <c r="I31" s="51">
        <v>5</v>
      </c>
      <c r="J31" s="51">
        <v>0.35</v>
      </c>
      <c r="K31" s="51">
        <v>256.3</v>
      </c>
      <c r="L31" s="51">
        <v>26.81</v>
      </c>
      <c r="M31" s="51">
        <v>102.53</v>
      </c>
      <c r="N31" s="51">
        <v>2.7</v>
      </c>
      <c r="O31" s="51">
        <v>0</v>
      </c>
      <c r="P31" s="51">
        <v>0.45</v>
      </c>
      <c r="Q31" s="51">
        <v>4.6500000000000004</v>
      </c>
    </row>
    <row r="32" spans="1:17" customFormat="1">
      <c r="A32" s="50">
        <v>45483</v>
      </c>
      <c r="B32" s="51">
        <v>9.31</v>
      </c>
      <c r="C32" s="51">
        <v>4.0999999999999996</v>
      </c>
      <c r="D32" s="51">
        <v>14.04</v>
      </c>
      <c r="E32" s="51">
        <v>8.57</v>
      </c>
      <c r="F32" s="51">
        <v>8.4700000000000006</v>
      </c>
      <c r="G32" s="51">
        <v>30.78</v>
      </c>
      <c r="H32" s="51">
        <v>12.47</v>
      </c>
      <c r="I32" s="51">
        <v>4.74</v>
      </c>
      <c r="J32" s="51">
        <v>0.45</v>
      </c>
      <c r="K32" s="51">
        <v>265.29000000000002</v>
      </c>
      <c r="L32" s="51">
        <v>26.65</v>
      </c>
      <c r="M32" s="51">
        <v>94.15</v>
      </c>
      <c r="N32" s="51">
        <v>2.9</v>
      </c>
      <c r="O32" s="51">
        <v>0</v>
      </c>
      <c r="P32" s="51">
        <v>0.44</v>
      </c>
      <c r="Q32" s="51">
        <v>4.6399999999999997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9.25</v>
      </c>
      <c r="C34" s="41">
        <f t="shared" si="0"/>
        <v>4.0599999999999996</v>
      </c>
      <c r="D34" s="41">
        <f t="shared" si="0"/>
        <v>14</v>
      </c>
      <c r="E34" s="41">
        <f t="shared" si="0"/>
        <v>6.54</v>
      </c>
      <c r="F34" s="41">
        <f t="shared" si="0"/>
        <v>4.0199999999999996</v>
      </c>
      <c r="G34" s="41">
        <f t="shared" si="0"/>
        <v>9.61</v>
      </c>
      <c r="H34" s="41">
        <f t="shared" si="0"/>
        <v>2.17</v>
      </c>
      <c r="I34" s="41">
        <f t="shared" si="0"/>
        <v>3.64</v>
      </c>
      <c r="J34" s="41">
        <f t="shared" si="0"/>
        <v>0.15</v>
      </c>
      <c r="K34" s="41">
        <f t="shared" si="0"/>
        <v>65.59</v>
      </c>
      <c r="L34" s="41">
        <f t="shared" si="0"/>
        <v>25.59</v>
      </c>
      <c r="M34" s="41">
        <f t="shared" si="0"/>
        <v>60.1</v>
      </c>
      <c r="N34" s="41">
        <f t="shared" si="0"/>
        <v>2</v>
      </c>
      <c r="O34" s="41">
        <f t="shared" si="0"/>
        <v>0</v>
      </c>
      <c r="P34" s="41">
        <f t="shared" si="0"/>
        <v>0.31</v>
      </c>
      <c r="Q34" s="41">
        <f t="shared" si="0"/>
        <v>4.62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9.36</v>
      </c>
      <c r="C35" s="33">
        <f t="shared" si="1"/>
        <v>4.17</v>
      </c>
      <c r="D35" s="33">
        <f t="shared" si="1"/>
        <v>14.08</v>
      </c>
      <c r="E35" s="33">
        <f t="shared" si="1"/>
        <v>12.19</v>
      </c>
      <c r="F35" s="33">
        <f t="shared" si="1"/>
        <v>25.51</v>
      </c>
      <c r="G35" s="33">
        <f t="shared" si="1"/>
        <v>57.36</v>
      </c>
      <c r="H35" s="33">
        <f t="shared" si="1"/>
        <v>80.45</v>
      </c>
      <c r="I35" s="33">
        <f t="shared" si="1"/>
        <v>6.08</v>
      </c>
      <c r="J35" s="33">
        <f t="shared" si="1"/>
        <v>0.92</v>
      </c>
      <c r="K35" s="33">
        <f t="shared" si="1"/>
        <v>325.89</v>
      </c>
      <c r="L35" s="33">
        <f t="shared" si="1"/>
        <v>35.56</v>
      </c>
      <c r="M35" s="33">
        <f t="shared" si="1"/>
        <v>103.85</v>
      </c>
      <c r="N35" s="33">
        <f t="shared" si="1"/>
        <v>958.6</v>
      </c>
      <c r="O35" s="33">
        <f t="shared" si="1"/>
        <v>26.2</v>
      </c>
      <c r="P35" s="33">
        <f t="shared" si="1"/>
        <v>0.51</v>
      </c>
      <c r="Q35" s="33">
        <f t="shared" si="1"/>
        <v>4.66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9.3125000000000018</v>
      </c>
      <c r="C36" s="41">
        <f t="shared" si="2"/>
        <v>4.0929166666666665</v>
      </c>
      <c r="D36" s="41">
        <f t="shared" si="2"/>
        <v>14.048333333333334</v>
      </c>
      <c r="E36" s="41">
        <f t="shared" si="2"/>
        <v>9.5108333333333324</v>
      </c>
      <c r="F36" s="41">
        <f t="shared" si="2"/>
        <v>9.5341666666666658</v>
      </c>
      <c r="G36" s="41">
        <f t="shared" si="2"/>
        <v>29.609583333333333</v>
      </c>
      <c r="H36" s="41">
        <f t="shared" si="2"/>
        <v>32.631250000000001</v>
      </c>
      <c r="I36" s="41">
        <f t="shared" si="2"/>
        <v>4.5504166666666661</v>
      </c>
      <c r="J36" s="41">
        <f t="shared" si="2"/>
        <v>0.41499999999999998</v>
      </c>
      <c r="K36" s="41">
        <f t="shared" si="2"/>
        <v>246.91916666666665</v>
      </c>
      <c r="L36" s="41">
        <f t="shared" si="2"/>
        <v>29.259583333333335</v>
      </c>
      <c r="M36" s="41">
        <f t="shared" si="2"/>
        <v>87.90083333333331</v>
      </c>
      <c r="N36" s="41">
        <f t="shared" si="2"/>
        <v>184.76249999999996</v>
      </c>
      <c r="O36" s="41">
        <f t="shared" si="2"/>
        <v>1.0916666666666666</v>
      </c>
      <c r="P36" s="41">
        <f t="shared" si="2"/>
        <v>0.39708333333333323</v>
      </c>
      <c r="Q36" s="41">
        <f t="shared" si="2"/>
        <v>4.6437500000000007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2.8930200858948953E-2</v>
      </c>
      <c r="C37" s="41">
        <f t="shared" ref="C37:Q37" si="3">STDEV(C9:C32)</f>
        <v>2.2742254613989737E-2</v>
      </c>
      <c r="D37" s="41">
        <f t="shared" si="3"/>
        <v>2.0989990713312378E-2</v>
      </c>
      <c r="E37" s="41">
        <f t="shared" si="3"/>
        <v>1.5054998207057222</v>
      </c>
      <c r="F37" s="41">
        <f t="shared" si="3"/>
        <v>6.9817899266384513</v>
      </c>
      <c r="G37" s="41">
        <f t="shared" si="3"/>
        <v>12.235646241587544</v>
      </c>
      <c r="H37" s="41">
        <f t="shared" si="3"/>
        <v>26.925550063009883</v>
      </c>
      <c r="I37" s="41">
        <f t="shared" si="3"/>
        <v>0.596544244991005</v>
      </c>
      <c r="J37" s="41">
        <f t="shared" si="3"/>
        <v>0.21697525404885509</v>
      </c>
      <c r="K37" s="41">
        <f t="shared" si="3"/>
        <v>64.382734109769572</v>
      </c>
      <c r="L37" s="41">
        <f t="shared" si="3"/>
        <v>3.5442795050820575</v>
      </c>
      <c r="M37" s="41">
        <f t="shared" si="3"/>
        <v>14.826189787777357</v>
      </c>
      <c r="N37" s="41">
        <f t="shared" si="3"/>
        <v>262.099184366629</v>
      </c>
      <c r="O37" s="41">
        <f t="shared" si="3"/>
        <v>5.3480526050766048</v>
      </c>
      <c r="P37" s="41">
        <f t="shared" si="3"/>
        <v>5.8270670276673896E-2</v>
      </c>
      <c r="Q37" s="41">
        <f t="shared" si="3"/>
        <v>1.013495887038279E-2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45483.041666666664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45483.041666666664</v>
      </c>
      <c r="B9" s="51">
        <v>9.32</v>
      </c>
      <c r="C9" s="51">
        <v>4.0999999999999996</v>
      </c>
      <c r="D9" s="51">
        <v>14.05</v>
      </c>
      <c r="E9" s="51">
        <v>8.26</v>
      </c>
      <c r="F9" s="51">
        <v>9.5399999999999991</v>
      </c>
      <c r="G9" s="51">
        <v>20.309999999999999</v>
      </c>
      <c r="H9" s="51">
        <v>8.98</v>
      </c>
      <c r="I9" s="51">
        <v>4.51</v>
      </c>
      <c r="J9" s="51">
        <v>0.38</v>
      </c>
      <c r="K9" s="51">
        <v>263.88</v>
      </c>
      <c r="L9" s="51">
        <v>25.89</v>
      </c>
      <c r="M9" s="51">
        <v>94.53</v>
      </c>
      <c r="N9" s="51">
        <v>2.5</v>
      </c>
      <c r="O9" s="51">
        <v>0</v>
      </c>
      <c r="P9" s="51">
        <v>0.4</v>
      </c>
      <c r="Q9" s="51">
        <v>4.66</v>
      </c>
    </row>
    <row r="10" spans="1:21" customFormat="1">
      <c r="A10" s="50">
        <v>45483.083333333336</v>
      </c>
      <c r="B10" s="51">
        <v>9.32</v>
      </c>
      <c r="C10" s="51">
        <v>4.09</v>
      </c>
      <c r="D10" s="51">
        <v>14.06</v>
      </c>
      <c r="E10" s="51">
        <v>8.86</v>
      </c>
      <c r="F10" s="51">
        <v>5.18</v>
      </c>
      <c r="G10" s="51">
        <v>15.5</v>
      </c>
      <c r="H10" s="51">
        <v>6.99</v>
      </c>
      <c r="I10" s="51">
        <v>4.54</v>
      </c>
      <c r="J10" s="51">
        <v>0.28999999999999998</v>
      </c>
      <c r="K10" s="51">
        <v>258.41000000000003</v>
      </c>
      <c r="L10" s="51">
        <v>25.49</v>
      </c>
      <c r="M10" s="51">
        <v>97.65</v>
      </c>
      <c r="N10" s="51">
        <v>2.1</v>
      </c>
      <c r="O10" s="51">
        <v>0</v>
      </c>
      <c r="P10" s="51">
        <v>0.42</v>
      </c>
      <c r="Q10" s="51">
        <v>4.6500000000000004</v>
      </c>
    </row>
    <row r="11" spans="1:21" customFormat="1">
      <c r="A11" s="50">
        <v>45483.125</v>
      </c>
      <c r="B11" s="51">
        <v>9.33</v>
      </c>
      <c r="C11" s="51">
        <v>4.09</v>
      </c>
      <c r="D11" s="51">
        <v>14.06</v>
      </c>
      <c r="E11" s="51">
        <v>11.19</v>
      </c>
      <c r="F11" s="51">
        <v>5.36</v>
      </c>
      <c r="G11" s="51">
        <v>10.85</v>
      </c>
      <c r="H11" s="51">
        <v>4.74</v>
      </c>
      <c r="I11" s="51">
        <v>4.4000000000000004</v>
      </c>
      <c r="J11" s="51">
        <v>0.15</v>
      </c>
      <c r="K11" s="51">
        <v>186.55</v>
      </c>
      <c r="L11" s="51">
        <v>25.29</v>
      </c>
      <c r="M11" s="51">
        <v>98.6</v>
      </c>
      <c r="N11" s="51">
        <v>2.1</v>
      </c>
      <c r="O11" s="51">
        <v>0</v>
      </c>
      <c r="P11" s="51">
        <v>0.34</v>
      </c>
      <c r="Q11" s="51">
        <v>4.66</v>
      </c>
    </row>
    <row r="12" spans="1:21" customFormat="1">
      <c r="A12" s="50">
        <v>45483.166666666664</v>
      </c>
      <c r="B12" s="51">
        <v>9.3000000000000007</v>
      </c>
      <c r="C12" s="51">
        <v>4.0999999999999996</v>
      </c>
      <c r="D12" s="51">
        <v>14.03</v>
      </c>
      <c r="E12" s="51">
        <v>11.62</v>
      </c>
      <c r="F12" s="51">
        <v>3.72</v>
      </c>
      <c r="G12" s="51">
        <v>7.6</v>
      </c>
      <c r="H12" s="51">
        <v>3.53</v>
      </c>
      <c r="I12" s="51">
        <v>4.12</v>
      </c>
      <c r="J12" s="51">
        <v>0.22</v>
      </c>
      <c r="K12" s="51">
        <v>190.89</v>
      </c>
      <c r="L12" s="51">
        <v>25.02</v>
      </c>
      <c r="M12" s="51">
        <v>99.12</v>
      </c>
      <c r="N12" s="51">
        <v>2</v>
      </c>
      <c r="O12" s="51">
        <v>0</v>
      </c>
      <c r="P12" s="51">
        <v>0.32</v>
      </c>
      <c r="Q12" s="51">
        <v>4.6399999999999997</v>
      </c>
    </row>
    <row r="13" spans="1:21" customFormat="1">
      <c r="A13" s="50">
        <v>45483.208333333336</v>
      </c>
      <c r="B13" s="51">
        <v>9.2899999999999991</v>
      </c>
      <c r="C13" s="51">
        <v>4.09</v>
      </c>
      <c r="D13" s="51">
        <v>14.04</v>
      </c>
      <c r="E13" s="51">
        <v>12.28</v>
      </c>
      <c r="F13" s="51">
        <v>3.64</v>
      </c>
      <c r="G13" s="51">
        <v>6.93</v>
      </c>
      <c r="H13" s="51">
        <v>2.54</v>
      </c>
      <c r="I13" s="51">
        <v>3.92</v>
      </c>
      <c r="J13" s="51">
        <v>0.15</v>
      </c>
      <c r="K13" s="51">
        <v>199.05</v>
      </c>
      <c r="L13" s="51">
        <v>25.16</v>
      </c>
      <c r="M13" s="51">
        <v>98.84</v>
      </c>
      <c r="N13" s="51">
        <v>2.1</v>
      </c>
      <c r="O13" s="51">
        <v>0</v>
      </c>
      <c r="P13" s="51">
        <v>0.3</v>
      </c>
      <c r="Q13" s="51">
        <v>4.6399999999999997</v>
      </c>
    </row>
    <row r="14" spans="1:21" customFormat="1">
      <c r="A14" s="50">
        <v>45483.25</v>
      </c>
      <c r="B14" s="51">
        <v>9.33</v>
      </c>
      <c r="C14" s="51">
        <v>4.09</v>
      </c>
      <c r="D14" s="51">
        <v>14.05</v>
      </c>
      <c r="E14" s="51">
        <v>12.85</v>
      </c>
      <c r="F14" s="51">
        <v>3.41</v>
      </c>
      <c r="G14" s="51">
        <v>6.93</v>
      </c>
      <c r="H14" s="51">
        <v>2.04</v>
      </c>
      <c r="I14" s="51">
        <v>3.63</v>
      </c>
      <c r="J14" s="51">
        <v>0.16</v>
      </c>
      <c r="K14" s="51">
        <v>265.75</v>
      </c>
      <c r="L14" s="51">
        <v>25.28</v>
      </c>
      <c r="M14" s="51">
        <v>100.24</v>
      </c>
      <c r="N14" s="51">
        <v>28.2</v>
      </c>
      <c r="O14" s="51">
        <v>0</v>
      </c>
      <c r="P14" s="51">
        <v>0.31</v>
      </c>
      <c r="Q14" s="51">
        <v>4.6500000000000004</v>
      </c>
    </row>
    <row r="15" spans="1:21" customFormat="1">
      <c r="A15" s="50">
        <v>45483.291666666664</v>
      </c>
      <c r="B15" s="51">
        <v>9.33</v>
      </c>
      <c r="C15" s="51">
        <v>4.07</v>
      </c>
      <c r="D15" s="51">
        <v>14.05</v>
      </c>
      <c r="E15" s="51">
        <v>12.83</v>
      </c>
      <c r="F15" s="51">
        <v>4.7300000000000004</v>
      </c>
      <c r="G15" s="51">
        <v>7.39</v>
      </c>
      <c r="H15" s="51">
        <v>1.57</v>
      </c>
      <c r="I15" s="51">
        <v>3.4</v>
      </c>
      <c r="J15" s="51">
        <v>0.17</v>
      </c>
      <c r="K15" s="51">
        <v>296.95</v>
      </c>
      <c r="L15" s="51">
        <v>26</v>
      </c>
      <c r="M15" s="51">
        <v>98.92</v>
      </c>
      <c r="N15" s="51">
        <v>79.599999999999994</v>
      </c>
      <c r="O15" s="51">
        <v>0</v>
      </c>
      <c r="P15" s="51">
        <v>0.33</v>
      </c>
      <c r="Q15" s="51">
        <v>4.6399999999999997</v>
      </c>
    </row>
    <row r="16" spans="1:21" customFormat="1">
      <c r="A16" s="50">
        <v>45483.333333333336</v>
      </c>
      <c r="B16" s="51">
        <v>9.31</v>
      </c>
      <c r="C16" s="51">
        <v>4.09</v>
      </c>
      <c r="D16" s="51">
        <v>14.05</v>
      </c>
      <c r="E16" s="51">
        <v>11.1</v>
      </c>
      <c r="F16" s="51">
        <v>6.69</v>
      </c>
      <c r="G16" s="51">
        <v>7.39</v>
      </c>
      <c r="H16" s="51">
        <v>2.68</v>
      </c>
      <c r="I16" s="51">
        <v>3.33</v>
      </c>
      <c r="J16" s="51">
        <v>0.59</v>
      </c>
      <c r="K16" s="51">
        <v>265.83999999999997</v>
      </c>
      <c r="L16" s="51">
        <v>27.45</v>
      </c>
      <c r="M16" s="51">
        <v>93.94</v>
      </c>
      <c r="N16" s="51">
        <v>164.3</v>
      </c>
      <c r="O16" s="51">
        <v>0</v>
      </c>
      <c r="P16" s="51">
        <v>0.31</v>
      </c>
      <c r="Q16" s="51">
        <v>4.6399999999999997</v>
      </c>
    </row>
    <row r="17" spans="1:17" customFormat="1">
      <c r="A17" s="50">
        <v>45483.375</v>
      </c>
      <c r="B17" s="51">
        <v>9.32</v>
      </c>
      <c r="C17" s="51">
        <v>4.07</v>
      </c>
      <c r="D17" s="51">
        <v>14.04</v>
      </c>
      <c r="E17" s="51">
        <v>9.9499999999999993</v>
      </c>
      <c r="F17" s="51">
        <v>8.01</v>
      </c>
      <c r="G17" s="51">
        <v>9.0299999999999994</v>
      </c>
      <c r="H17" s="51">
        <v>4.28</v>
      </c>
      <c r="I17" s="51">
        <v>3.3</v>
      </c>
      <c r="J17" s="51">
        <v>0.6</v>
      </c>
      <c r="K17" s="51">
        <v>270.02</v>
      </c>
      <c r="L17" s="51">
        <v>28.15</v>
      </c>
      <c r="M17" s="51">
        <v>88.48</v>
      </c>
      <c r="N17" s="51">
        <v>226.9</v>
      </c>
      <c r="O17" s="51">
        <v>0</v>
      </c>
      <c r="P17" s="51">
        <v>0.3</v>
      </c>
      <c r="Q17" s="51">
        <v>4.6500000000000004</v>
      </c>
    </row>
    <row r="18" spans="1:17" customFormat="1">
      <c r="A18" s="50">
        <v>45483.416666666664</v>
      </c>
      <c r="B18" s="51">
        <v>9.2799999999999994</v>
      </c>
      <c r="C18" s="51">
        <v>4.0999999999999996</v>
      </c>
      <c r="D18" s="51">
        <v>14.03</v>
      </c>
      <c r="E18" s="51">
        <v>9.56</v>
      </c>
      <c r="F18" s="51">
        <v>7.31</v>
      </c>
      <c r="G18" s="51">
        <v>9.5500000000000007</v>
      </c>
      <c r="H18" s="51">
        <v>4.28</v>
      </c>
      <c r="I18" s="51">
        <v>3.23</v>
      </c>
      <c r="J18" s="51">
        <v>0.85</v>
      </c>
      <c r="K18" s="51">
        <v>270.04000000000002</v>
      </c>
      <c r="L18" s="51">
        <v>30.04</v>
      </c>
      <c r="M18" s="51">
        <v>84.44</v>
      </c>
      <c r="N18" s="51">
        <v>271.5</v>
      </c>
      <c r="O18" s="51">
        <v>0</v>
      </c>
      <c r="P18" s="51">
        <v>0.3</v>
      </c>
      <c r="Q18" s="51">
        <v>4.6100000000000003</v>
      </c>
    </row>
    <row r="19" spans="1:17" customFormat="1">
      <c r="A19" s="50">
        <v>45483.458333333336</v>
      </c>
      <c r="B19" s="51">
        <v>9.2799999999999994</v>
      </c>
      <c r="C19" s="51">
        <v>4.08</v>
      </c>
      <c r="D19" s="51">
        <v>14.03</v>
      </c>
      <c r="E19" s="51">
        <v>8.2100000000000009</v>
      </c>
      <c r="F19" s="51">
        <v>8.2100000000000009</v>
      </c>
      <c r="G19" s="51">
        <v>10.38</v>
      </c>
      <c r="H19" s="51">
        <v>6.42</v>
      </c>
      <c r="I19" s="51">
        <v>3.44</v>
      </c>
      <c r="J19" s="51">
        <v>0.83</v>
      </c>
      <c r="K19" s="51">
        <v>270.24</v>
      </c>
      <c r="L19" s="51">
        <v>31.4</v>
      </c>
      <c r="M19" s="51">
        <v>78.52</v>
      </c>
      <c r="N19" s="51">
        <v>292.2</v>
      </c>
      <c r="O19" s="51">
        <v>0</v>
      </c>
      <c r="P19" s="51">
        <v>0.31</v>
      </c>
      <c r="Q19" s="51">
        <v>4.6500000000000004</v>
      </c>
    </row>
    <row r="20" spans="1:17" customFormat="1">
      <c r="A20" s="50">
        <v>45483.5</v>
      </c>
      <c r="B20" s="51">
        <v>9.31</v>
      </c>
      <c r="C20" s="51">
        <v>4.09</v>
      </c>
      <c r="D20" s="51">
        <v>14.05</v>
      </c>
      <c r="E20" s="51">
        <v>8.3000000000000007</v>
      </c>
      <c r="F20" s="51">
        <v>9.39</v>
      </c>
      <c r="G20" s="51">
        <v>14.97</v>
      </c>
      <c r="H20" s="51">
        <v>6.42</v>
      </c>
      <c r="I20" s="51">
        <v>3.47</v>
      </c>
      <c r="J20" s="51">
        <v>0.8</v>
      </c>
      <c r="K20" s="51">
        <v>294</v>
      </c>
      <c r="L20" s="51">
        <v>32.1</v>
      </c>
      <c r="M20" s="51">
        <v>76.09</v>
      </c>
      <c r="N20" s="51">
        <v>307.3</v>
      </c>
      <c r="O20" s="51">
        <v>0</v>
      </c>
      <c r="P20" s="51">
        <v>0.26</v>
      </c>
      <c r="Q20" s="51">
        <v>4.6500000000000004</v>
      </c>
    </row>
    <row r="21" spans="1:17" customFormat="1">
      <c r="A21" s="50">
        <v>45483.541666666664</v>
      </c>
      <c r="B21" s="51">
        <v>9.2799999999999994</v>
      </c>
      <c r="C21" s="51">
        <v>4.09</v>
      </c>
      <c r="D21" s="51">
        <v>14.02</v>
      </c>
      <c r="E21" s="51">
        <v>10.33</v>
      </c>
      <c r="F21" s="51">
        <v>10.98</v>
      </c>
      <c r="G21" s="51">
        <v>16.34</v>
      </c>
      <c r="H21" s="51">
        <v>16.2</v>
      </c>
      <c r="I21" s="51">
        <v>3.36</v>
      </c>
      <c r="J21" s="51">
        <v>0.45</v>
      </c>
      <c r="K21" s="51">
        <v>354.88</v>
      </c>
      <c r="L21" s="51">
        <v>31.38</v>
      </c>
      <c r="M21" s="51">
        <v>76.59</v>
      </c>
      <c r="N21" s="51">
        <v>355.1</v>
      </c>
      <c r="O21" s="51">
        <v>0</v>
      </c>
      <c r="P21" s="51">
        <v>0.31</v>
      </c>
      <c r="Q21" s="51">
        <v>4.6399999999999997</v>
      </c>
    </row>
    <row r="22" spans="1:17" customFormat="1">
      <c r="A22" s="50">
        <v>45483.583333333336</v>
      </c>
      <c r="B22" s="51">
        <v>9.26</v>
      </c>
      <c r="C22" s="51">
        <v>4.09</v>
      </c>
      <c r="D22" s="51">
        <v>14</v>
      </c>
      <c r="E22" s="51">
        <v>11.01</v>
      </c>
      <c r="F22" s="51">
        <v>8.73</v>
      </c>
      <c r="G22" s="51">
        <v>45.76</v>
      </c>
      <c r="H22" s="51">
        <v>18.739999999999998</v>
      </c>
      <c r="I22" s="51">
        <v>4.18</v>
      </c>
      <c r="J22" s="51">
        <v>1.08</v>
      </c>
      <c r="K22" s="51">
        <v>330.28</v>
      </c>
      <c r="L22" s="51">
        <v>31.19</v>
      </c>
      <c r="M22" s="51">
        <v>92.38</v>
      </c>
      <c r="N22" s="51">
        <v>270.10000000000002</v>
      </c>
      <c r="O22" s="51">
        <v>1.6</v>
      </c>
      <c r="P22" s="51">
        <v>0.36</v>
      </c>
      <c r="Q22" s="51">
        <v>4.6500000000000004</v>
      </c>
    </row>
    <row r="23" spans="1:17" customFormat="1">
      <c r="A23" s="50">
        <v>45483.625</v>
      </c>
      <c r="B23" s="51">
        <v>9.26</v>
      </c>
      <c r="C23" s="51">
        <v>4.0599999999999996</v>
      </c>
      <c r="D23" s="51">
        <v>13.99</v>
      </c>
      <c r="E23" s="51">
        <v>10.94</v>
      </c>
      <c r="F23" s="51">
        <v>6.59</v>
      </c>
      <c r="G23" s="51">
        <v>45.76</v>
      </c>
      <c r="H23" s="51">
        <v>20.2</v>
      </c>
      <c r="I23" s="51">
        <v>4.2699999999999996</v>
      </c>
      <c r="J23" s="51">
        <v>0.75</v>
      </c>
      <c r="K23" s="51">
        <v>302.63</v>
      </c>
      <c r="L23" s="51">
        <v>31.15</v>
      </c>
      <c r="M23" s="51">
        <v>95.29</v>
      </c>
      <c r="N23" s="51">
        <v>669</v>
      </c>
      <c r="O23" s="51">
        <v>0</v>
      </c>
      <c r="P23" s="51">
        <v>0.38</v>
      </c>
      <c r="Q23" s="51">
        <v>4.66</v>
      </c>
    </row>
    <row r="24" spans="1:17" customFormat="1">
      <c r="A24" s="50">
        <v>45483.666666666664</v>
      </c>
      <c r="B24" s="51">
        <v>9.26</v>
      </c>
      <c r="C24" s="51">
        <v>4.1100000000000003</v>
      </c>
      <c r="D24" s="51">
        <v>14.01</v>
      </c>
      <c r="E24" s="51">
        <v>12.49</v>
      </c>
      <c r="F24" s="51">
        <v>7.46</v>
      </c>
      <c r="G24" s="51">
        <v>45.7</v>
      </c>
      <c r="H24" s="51">
        <v>20.2</v>
      </c>
      <c r="I24" s="51">
        <v>4.63</v>
      </c>
      <c r="J24" s="51">
        <v>0.6</v>
      </c>
      <c r="K24" s="51">
        <v>290.75</v>
      </c>
      <c r="L24" s="51">
        <v>32.25</v>
      </c>
      <c r="M24" s="51">
        <v>80.25</v>
      </c>
      <c r="N24" s="51">
        <v>420.3</v>
      </c>
      <c r="O24" s="51">
        <v>0</v>
      </c>
      <c r="P24" s="51">
        <v>0.49</v>
      </c>
      <c r="Q24" s="51">
        <v>4.66</v>
      </c>
    </row>
    <row r="25" spans="1:17" customFormat="1">
      <c r="A25" s="50">
        <v>45483.708333333336</v>
      </c>
      <c r="B25" s="51">
        <v>9.26</v>
      </c>
      <c r="C25" s="51">
        <v>4.0599999999999996</v>
      </c>
      <c r="D25" s="51">
        <v>13.99</v>
      </c>
      <c r="E25" s="51">
        <v>23.21</v>
      </c>
      <c r="F25" s="51">
        <v>19.12</v>
      </c>
      <c r="G25" s="51">
        <v>48.95</v>
      </c>
      <c r="H25" s="51">
        <v>17.100000000000001</v>
      </c>
      <c r="I25" s="51">
        <v>7.37</v>
      </c>
      <c r="J25" s="51">
        <v>0.59</v>
      </c>
      <c r="K25" s="51">
        <v>298.22000000000003</v>
      </c>
      <c r="L25" s="51">
        <v>31.38</v>
      </c>
      <c r="M25" s="51">
        <v>78.77</v>
      </c>
      <c r="N25" s="51">
        <v>175.9</v>
      </c>
      <c r="O25" s="51">
        <v>0</v>
      </c>
      <c r="P25" s="51">
        <v>0.71</v>
      </c>
      <c r="Q25" s="51">
        <v>4.66</v>
      </c>
    </row>
    <row r="26" spans="1:17" customFormat="1">
      <c r="A26" s="50">
        <v>45483.75</v>
      </c>
      <c r="B26" s="51">
        <v>9.27</v>
      </c>
      <c r="C26" s="51">
        <v>4.1100000000000003</v>
      </c>
      <c r="D26" s="51">
        <v>14.01</v>
      </c>
      <c r="E26" s="51">
        <v>21.99</v>
      </c>
      <c r="F26" s="51">
        <v>17.170000000000002</v>
      </c>
      <c r="G26" s="51">
        <v>48.95</v>
      </c>
      <c r="H26" s="51">
        <v>16.309999999999999</v>
      </c>
      <c r="I26" s="51">
        <v>8.01</v>
      </c>
      <c r="J26" s="51">
        <v>0.38</v>
      </c>
      <c r="K26" s="51">
        <v>272.22000000000003</v>
      </c>
      <c r="L26" s="51">
        <v>31.29</v>
      </c>
      <c r="M26" s="51">
        <v>77.290000000000006</v>
      </c>
      <c r="N26" s="51">
        <v>88.8</v>
      </c>
      <c r="O26" s="51">
        <v>0</v>
      </c>
      <c r="P26" s="51">
        <v>0.69</v>
      </c>
      <c r="Q26" s="51">
        <v>4.66</v>
      </c>
    </row>
    <row r="27" spans="1:17" customFormat="1">
      <c r="A27" s="50">
        <v>45483.791666666664</v>
      </c>
      <c r="B27" s="51">
        <v>9.3000000000000007</v>
      </c>
      <c r="C27" s="51">
        <v>4.08</v>
      </c>
      <c r="D27" s="51">
        <v>14.03</v>
      </c>
      <c r="E27" s="51">
        <v>11.62</v>
      </c>
      <c r="F27" s="51">
        <v>20.239999999999998</v>
      </c>
      <c r="G27" s="51">
        <v>45.08</v>
      </c>
      <c r="H27" s="51">
        <v>16.2</v>
      </c>
      <c r="I27" s="51">
        <v>6.45</v>
      </c>
      <c r="J27" s="51">
        <v>0.21</v>
      </c>
      <c r="K27" s="51">
        <v>242.57</v>
      </c>
      <c r="L27" s="51">
        <v>30.2</v>
      </c>
      <c r="M27" s="51">
        <v>81.87</v>
      </c>
      <c r="N27" s="51">
        <v>12.2</v>
      </c>
      <c r="O27" s="51">
        <v>0</v>
      </c>
      <c r="P27" s="51">
        <v>0.56000000000000005</v>
      </c>
      <c r="Q27" s="51">
        <v>4.6500000000000004</v>
      </c>
    </row>
    <row r="28" spans="1:17" customFormat="1">
      <c r="A28" s="50">
        <v>45483.833333333336</v>
      </c>
      <c r="B28" s="51">
        <v>9.3000000000000007</v>
      </c>
      <c r="C28" s="51">
        <v>4.08</v>
      </c>
      <c r="D28" s="51">
        <v>14.02</v>
      </c>
      <c r="E28" s="51">
        <v>9.06</v>
      </c>
      <c r="F28" s="51">
        <v>18.71</v>
      </c>
      <c r="G28" s="51">
        <v>39.08</v>
      </c>
      <c r="H28" s="51">
        <v>14.71</v>
      </c>
      <c r="I28" s="51">
        <v>5.71</v>
      </c>
      <c r="J28" s="51">
        <v>0.1</v>
      </c>
      <c r="K28" s="51">
        <v>305.55</v>
      </c>
      <c r="L28" s="51">
        <v>29.19</v>
      </c>
      <c r="M28" s="51">
        <v>86.41</v>
      </c>
      <c r="N28" s="51">
        <v>2.4</v>
      </c>
      <c r="O28" s="51">
        <v>0</v>
      </c>
      <c r="P28" s="51">
        <v>0.52</v>
      </c>
      <c r="Q28" s="51">
        <v>4.66</v>
      </c>
    </row>
    <row r="29" spans="1:17" customFormat="1">
      <c r="A29" s="50">
        <v>45483.875</v>
      </c>
      <c r="B29" s="51">
        <v>9.3000000000000007</v>
      </c>
      <c r="C29" s="51">
        <v>4.07</v>
      </c>
      <c r="D29" s="51">
        <v>14.02</v>
      </c>
      <c r="E29" s="51">
        <v>8.8800000000000008</v>
      </c>
      <c r="F29" s="51">
        <v>17.010000000000002</v>
      </c>
      <c r="G29" s="51">
        <v>38.64</v>
      </c>
      <c r="H29" s="51">
        <v>12.94</v>
      </c>
      <c r="I29" s="51">
        <v>4.9000000000000004</v>
      </c>
      <c r="J29" s="51">
        <v>0.15</v>
      </c>
      <c r="K29" s="51">
        <v>230.8</v>
      </c>
      <c r="L29" s="51">
        <v>28</v>
      </c>
      <c r="M29" s="51">
        <v>91.02</v>
      </c>
      <c r="N29" s="51">
        <v>2.1</v>
      </c>
      <c r="O29" s="51">
        <v>0</v>
      </c>
      <c r="P29" s="51">
        <v>0.45</v>
      </c>
      <c r="Q29" s="51">
        <v>4.66</v>
      </c>
    </row>
    <row r="30" spans="1:17" customFormat="1">
      <c r="A30" s="50">
        <v>45483.916666666664</v>
      </c>
      <c r="B30" s="51">
        <v>9.3000000000000007</v>
      </c>
      <c r="C30" s="51">
        <v>4.12</v>
      </c>
      <c r="D30" s="51">
        <v>14.04</v>
      </c>
      <c r="E30" s="51">
        <v>9.6</v>
      </c>
      <c r="F30" s="51">
        <v>8.44</v>
      </c>
      <c r="G30" s="51">
        <v>31.39</v>
      </c>
      <c r="H30" s="51">
        <v>10.84</v>
      </c>
      <c r="I30" s="51">
        <v>5.19</v>
      </c>
      <c r="J30" s="51">
        <v>0.16</v>
      </c>
      <c r="K30" s="51">
        <v>256.22000000000003</v>
      </c>
      <c r="L30" s="51">
        <v>27.82</v>
      </c>
      <c r="M30" s="51">
        <v>91.08</v>
      </c>
      <c r="N30" s="51">
        <v>2</v>
      </c>
      <c r="O30" s="51">
        <v>0</v>
      </c>
      <c r="P30" s="51">
        <v>0.43</v>
      </c>
      <c r="Q30" s="51">
        <v>4.66</v>
      </c>
    </row>
    <row r="31" spans="1:17" customFormat="1">
      <c r="A31" s="50">
        <v>45483.958333333336</v>
      </c>
      <c r="B31" s="51">
        <v>9.2899999999999991</v>
      </c>
      <c r="C31" s="51">
        <v>4.08</v>
      </c>
      <c r="D31" s="51">
        <v>14.03</v>
      </c>
      <c r="E31" s="51">
        <v>9.8699999999999992</v>
      </c>
      <c r="F31" s="51">
        <v>7.76</v>
      </c>
      <c r="G31" s="51">
        <v>28.28</v>
      </c>
      <c r="H31" s="51">
        <v>12</v>
      </c>
      <c r="I31" s="51">
        <v>4.95</v>
      </c>
      <c r="J31" s="51">
        <v>0.23</v>
      </c>
      <c r="K31" s="51">
        <v>250.61</v>
      </c>
      <c r="L31" s="51">
        <v>27.91</v>
      </c>
      <c r="M31" s="51">
        <v>90</v>
      </c>
      <c r="N31" s="51">
        <v>2.1</v>
      </c>
      <c r="O31" s="51">
        <v>0</v>
      </c>
      <c r="P31" s="51">
        <v>0.4</v>
      </c>
      <c r="Q31" s="51">
        <v>4.6399999999999997</v>
      </c>
    </row>
    <row r="32" spans="1:17" customFormat="1">
      <c r="A32" s="50">
        <v>45484</v>
      </c>
      <c r="B32" s="51">
        <v>9.3000000000000007</v>
      </c>
      <c r="C32" s="51">
        <v>4.1100000000000003</v>
      </c>
      <c r="D32" s="51">
        <v>14.04</v>
      </c>
      <c r="E32" s="51">
        <v>10.34</v>
      </c>
      <c r="F32" s="51">
        <v>7.73</v>
      </c>
      <c r="G32" s="51">
        <v>27.75</v>
      </c>
      <c r="H32" s="51">
        <v>12</v>
      </c>
      <c r="I32" s="51">
        <v>4.6399999999999997</v>
      </c>
      <c r="J32" s="51">
        <v>0.4</v>
      </c>
      <c r="K32" s="51">
        <v>265.81</v>
      </c>
      <c r="L32" s="51">
        <v>28</v>
      </c>
      <c r="M32" s="51">
        <v>89.75</v>
      </c>
      <c r="N32" s="51">
        <v>2.1</v>
      </c>
      <c r="O32" s="51">
        <v>0</v>
      </c>
      <c r="P32" s="51">
        <v>0.37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9.26</v>
      </c>
      <c r="C34" s="41">
        <f t="shared" si="0"/>
        <v>4.0599999999999996</v>
      </c>
      <c r="D34" s="41">
        <f t="shared" si="0"/>
        <v>13.99</v>
      </c>
      <c r="E34" s="41">
        <f t="shared" si="0"/>
        <v>8.2100000000000009</v>
      </c>
      <c r="F34" s="41">
        <f t="shared" si="0"/>
        <v>3.41</v>
      </c>
      <c r="G34" s="41">
        <f t="shared" si="0"/>
        <v>6.93</v>
      </c>
      <c r="H34" s="41">
        <f t="shared" si="0"/>
        <v>1.57</v>
      </c>
      <c r="I34" s="41">
        <f t="shared" si="0"/>
        <v>3.23</v>
      </c>
      <c r="J34" s="41">
        <f t="shared" si="0"/>
        <v>0.1</v>
      </c>
      <c r="K34" s="41">
        <f t="shared" si="0"/>
        <v>186.55</v>
      </c>
      <c r="L34" s="41">
        <f t="shared" si="0"/>
        <v>25.02</v>
      </c>
      <c r="M34" s="41">
        <f t="shared" si="0"/>
        <v>76.09</v>
      </c>
      <c r="N34" s="41">
        <f t="shared" si="0"/>
        <v>2</v>
      </c>
      <c r="O34" s="41">
        <f t="shared" si="0"/>
        <v>0</v>
      </c>
      <c r="P34" s="41">
        <f t="shared" si="0"/>
        <v>0.26</v>
      </c>
      <c r="Q34" s="41">
        <f t="shared" si="0"/>
        <v>4.6100000000000003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9.33</v>
      </c>
      <c r="C35" s="33">
        <f t="shared" si="1"/>
        <v>4.12</v>
      </c>
      <c r="D35" s="33">
        <f t="shared" si="1"/>
        <v>14.06</v>
      </c>
      <c r="E35" s="33">
        <f t="shared" si="1"/>
        <v>23.21</v>
      </c>
      <c r="F35" s="33">
        <f t="shared" si="1"/>
        <v>20.239999999999998</v>
      </c>
      <c r="G35" s="33">
        <f t="shared" si="1"/>
        <v>48.95</v>
      </c>
      <c r="H35" s="33">
        <f t="shared" si="1"/>
        <v>20.2</v>
      </c>
      <c r="I35" s="33">
        <f t="shared" si="1"/>
        <v>8.01</v>
      </c>
      <c r="J35" s="33">
        <f t="shared" si="1"/>
        <v>1.08</v>
      </c>
      <c r="K35" s="33">
        <f t="shared" si="1"/>
        <v>354.88</v>
      </c>
      <c r="L35" s="33">
        <f t="shared" si="1"/>
        <v>32.25</v>
      </c>
      <c r="M35" s="33">
        <f t="shared" si="1"/>
        <v>100.24</v>
      </c>
      <c r="N35" s="33">
        <f t="shared" si="1"/>
        <v>669</v>
      </c>
      <c r="O35" s="33">
        <f t="shared" si="1"/>
        <v>1.6</v>
      </c>
      <c r="P35" s="33">
        <f t="shared" si="1"/>
        <v>0.71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9.2958333333333343</v>
      </c>
      <c r="C36" s="41">
        <f t="shared" si="2"/>
        <v>4.0883333333333338</v>
      </c>
      <c r="D36" s="41">
        <f t="shared" si="2"/>
        <v>14.030833333333334</v>
      </c>
      <c r="E36" s="41">
        <f t="shared" si="2"/>
        <v>11.431249999999999</v>
      </c>
      <c r="F36" s="41">
        <f t="shared" si="2"/>
        <v>9.3804166666666671</v>
      </c>
      <c r="G36" s="41">
        <f t="shared" si="2"/>
        <v>24.521249999999995</v>
      </c>
      <c r="H36" s="41">
        <f t="shared" si="2"/>
        <v>10.079583333333334</v>
      </c>
      <c r="I36" s="41">
        <f t="shared" si="2"/>
        <v>4.5395833333333337</v>
      </c>
      <c r="J36" s="41">
        <f t="shared" si="2"/>
        <v>0.42875000000000013</v>
      </c>
      <c r="K36" s="41">
        <f t="shared" si="2"/>
        <v>268.00666666666672</v>
      </c>
      <c r="L36" s="41">
        <f t="shared" si="2"/>
        <v>28.626250000000002</v>
      </c>
      <c r="M36" s="41">
        <f t="shared" si="2"/>
        <v>89.169583333333321</v>
      </c>
      <c r="N36" s="41">
        <f t="shared" si="2"/>
        <v>140.95416666666668</v>
      </c>
      <c r="O36" s="41">
        <f t="shared" si="2"/>
        <v>6.6666666666666666E-2</v>
      </c>
      <c r="P36" s="41">
        <f t="shared" si="2"/>
        <v>0.39874999999999994</v>
      </c>
      <c r="Q36" s="41">
        <f t="shared" si="2"/>
        <v>4.6504166666666658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2.3203572938266671E-2</v>
      </c>
      <c r="C37" s="41">
        <f t="shared" ref="C37:Q37" si="3">STDEV(C9:C32)</f>
        <v>1.5788456616111713E-2</v>
      </c>
      <c r="D37" s="41">
        <f t="shared" si="3"/>
        <v>2.0198292365761025E-2</v>
      </c>
      <c r="E37" s="41">
        <f t="shared" si="3"/>
        <v>3.7274893199625434</v>
      </c>
      <c r="F37" s="41">
        <f t="shared" si="3"/>
        <v>5.1511083477388571</v>
      </c>
      <c r="G37" s="41">
        <f t="shared" si="3"/>
        <v>16.219140145680271</v>
      </c>
      <c r="H37" s="41">
        <f t="shared" si="3"/>
        <v>6.2738730005903252</v>
      </c>
      <c r="I37" s="41">
        <f t="shared" si="3"/>
        <v>1.2714540774304404</v>
      </c>
      <c r="J37" s="41">
        <f t="shared" si="3"/>
        <v>0.28153789612860586</v>
      </c>
      <c r="K37" s="41">
        <f t="shared" si="3"/>
        <v>40.076818482885393</v>
      </c>
      <c r="L37" s="41">
        <f t="shared" si="3"/>
        <v>2.5368189812200228</v>
      </c>
      <c r="M37" s="41">
        <f t="shared" si="3"/>
        <v>8.1658719703553864</v>
      </c>
      <c r="N37" s="41">
        <f t="shared" si="3"/>
        <v>177.49301267120757</v>
      </c>
      <c r="O37" s="41">
        <f t="shared" si="3"/>
        <v>0.32659863237109049</v>
      </c>
      <c r="P37" s="41">
        <f t="shared" si="3"/>
        <v>0.12011995815777715</v>
      </c>
      <c r="Q37" s="41">
        <f t="shared" si="3"/>
        <v>1.2328534123049253E-2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45484.041666666664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45484.041666666664</v>
      </c>
      <c r="B9" s="51">
        <v>9.41</v>
      </c>
      <c r="C9" s="51">
        <v>4.09</v>
      </c>
      <c r="D9" s="51">
        <v>14.13</v>
      </c>
      <c r="E9" s="51">
        <v>10.94</v>
      </c>
      <c r="F9" s="51">
        <v>6.86</v>
      </c>
      <c r="G9" s="51">
        <v>25.12</v>
      </c>
      <c r="H9" s="51">
        <v>10.44</v>
      </c>
      <c r="I9" s="51">
        <v>4.3499999999999996</v>
      </c>
      <c r="J9" s="51">
        <v>0.31</v>
      </c>
      <c r="K9" s="51">
        <v>271.2</v>
      </c>
      <c r="L9" s="51">
        <v>27.74</v>
      </c>
      <c r="M9" s="51">
        <v>91.91</v>
      </c>
      <c r="N9" s="51">
        <v>2.2000000000000002</v>
      </c>
      <c r="O9" s="51">
        <v>0</v>
      </c>
      <c r="P9" s="51">
        <v>0.35</v>
      </c>
      <c r="Q9" s="51">
        <v>4.67</v>
      </c>
    </row>
    <row r="10" spans="1:21" customFormat="1">
      <c r="A10" s="50">
        <v>45484.083333333336</v>
      </c>
      <c r="B10" s="51">
        <v>9.42</v>
      </c>
      <c r="C10" s="51">
        <v>4.1100000000000003</v>
      </c>
      <c r="D10" s="51">
        <v>14.13</v>
      </c>
      <c r="E10" s="51">
        <v>11.18</v>
      </c>
      <c r="F10" s="51">
        <v>8.81</v>
      </c>
      <c r="G10" s="51">
        <v>22.68</v>
      </c>
      <c r="H10" s="51">
        <v>10.44</v>
      </c>
      <c r="I10" s="51">
        <v>4.09</v>
      </c>
      <c r="J10" s="51">
        <v>0.28000000000000003</v>
      </c>
      <c r="K10" s="51">
        <v>265.77</v>
      </c>
      <c r="L10" s="51">
        <v>27.18</v>
      </c>
      <c r="M10" s="51">
        <v>92.67</v>
      </c>
      <c r="N10" s="51">
        <v>2.1</v>
      </c>
      <c r="O10" s="51">
        <v>0</v>
      </c>
      <c r="P10" s="51">
        <v>0.36</v>
      </c>
      <c r="Q10" s="51">
        <v>4.67</v>
      </c>
    </row>
    <row r="11" spans="1:21" customFormat="1">
      <c r="A11" s="50">
        <v>45484.125</v>
      </c>
      <c r="B11" s="51">
        <v>9.3699999999999992</v>
      </c>
      <c r="C11" s="51">
        <v>4.09</v>
      </c>
      <c r="D11" s="51">
        <v>14.09</v>
      </c>
      <c r="E11" s="51">
        <v>8.42</v>
      </c>
      <c r="F11" s="51">
        <v>10.3</v>
      </c>
      <c r="G11" s="51">
        <v>22.68</v>
      </c>
      <c r="H11" s="51">
        <v>7.75</v>
      </c>
      <c r="I11" s="51">
        <v>3.73</v>
      </c>
      <c r="J11" s="51">
        <v>0.28000000000000003</v>
      </c>
      <c r="K11" s="51">
        <v>260.11</v>
      </c>
      <c r="L11" s="51">
        <v>26.61</v>
      </c>
      <c r="M11" s="51">
        <v>94.69</v>
      </c>
      <c r="N11" s="51">
        <v>2.1</v>
      </c>
      <c r="O11" s="51">
        <v>0</v>
      </c>
      <c r="P11" s="51">
        <v>0.36</v>
      </c>
      <c r="Q11" s="51">
        <v>4.66</v>
      </c>
    </row>
    <row r="12" spans="1:21" customFormat="1">
      <c r="A12" s="50">
        <v>45484.166666666664</v>
      </c>
      <c r="B12" s="51">
        <v>9.36</v>
      </c>
      <c r="C12" s="51">
        <v>4.12</v>
      </c>
      <c r="D12" s="51">
        <v>14.09</v>
      </c>
      <c r="E12" s="51">
        <v>8.32</v>
      </c>
      <c r="F12" s="51">
        <v>10.06</v>
      </c>
      <c r="G12" s="51">
        <v>19.63</v>
      </c>
      <c r="H12" s="51">
        <v>7.2</v>
      </c>
      <c r="I12" s="51">
        <v>3.69</v>
      </c>
      <c r="J12" s="51">
        <v>0.28999999999999998</v>
      </c>
      <c r="K12" s="51">
        <v>268.11</v>
      </c>
      <c r="L12" s="51">
        <v>26.36</v>
      </c>
      <c r="M12" s="51">
        <v>96.09</v>
      </c>
      <c r="N12" s="51">
        <v>2.1</v>
      </c>
      <c r="O12" s="51">
        <v>0</v>
      </c>
      <c r="P12" s="51">
        <v>0.34</v>
      </c>
      <c r="Q12" s="51">
        <v>4.67</v>
      </c>
    </row>
    <row r="13" spans="1:21" customFormat="1">
      <c r="A13" s="50">
        <v>45484.208333333336</v>
      </c>
      <c r="B13" s="51">
        <v>9.36</v>
      </c>
      <c r="C13" s="51">
        <v>4.0599999999999996</v>
      </c>
      <c r="D13" s="51">
        <v>14.08</v>
      </c>
      <c r="E13" s="51">
        <v>7.77</v>
      </c>
      <c r="F13" s="51">
        <v>11.36</v>
      </c>
      <c r="G13" s="51">
        <v>19.28</v>
      </c>
      <c r="H13" s="51">
        <v>6.22</v>
      </c>
      <c r="I13" s="51">
        <v>3.75</v>
      </c>
      <c r="J13" s="51">
        <v>0.22</v>
      </c>
      <c r="K13" s="51">
        <v>255.36</v>
      </c>
      <c r="L13" s="51">
        <v>26.47</v>
      </c>
      <c r="M13" s="51">
        <v>95.41</v>
      </c>
      <c r="N13" s="51">
        <v>2.1</v>
      </c>
      <c r="O13" s="51">
        <v>0</v>
      </c>
      <c r="P13" s="51">
        <v>0.32</v>
      </c>
      <c r="Q13" s="51">
        <v>4.6500000000000004</v>
      </c>
    </row>
    <row r="14" spans="1:21" customFormat="1">
      <c r="A14" s="50">
        <v>45484.25</v>
      </c>
      <c r="B14" s="51">
        <v>9.3699999999999992</v>
      </c>
      <c r="C14" s="51">
        <v>4.0999999999999996</v>
      </c>
      <c r="D14" s="51">
        <v>14.1</v>
      </c>
      <c r="E14" s="51">
        <v>7.85</v>
      </c>
      <c r="F14" s="51">
        <v>9.93</v>
      </c>
      <c r="G14" s="51">
        <v>23.7</v>
      </c>
      <c r="H14" s="51">
        <v>8.11</v>
      </c>
      <c r="I14" s="51">
        <v>3.42</v>
      </c>
      <c r="J14" s="51">
        <v>0.23</v>
      </c>
      <c r="K14" s="51">
        <v>249.69</v>
      </c>
      <c r="L14" s="51">
        <v>26.44</v>
      </c>
      <c r="M14" s="51">
        <v>96.45</v>
      </c>
      <c r="N14" s="51">
        <v>26.2</v>
      </c>
      <c r="O14" s="51">
        <v>0</v>
      </c>
      <c r="P14" s="51">
        <v>0.32</v>
      </c>
      <c r="Q14" s="51">
        <v>4.6500000000000004</v>
      </c>
    </row>
    <row r="15" spans="1:21" customFormat="1">
      <c r="A15" s="50">
        <v>45484.291666666664</v>
      </c>
      <c r="B15" s="51">
        <v>9.3800000000000008</v>
      </c>
      <c r="C15" s="51">
        <v>4.07</v>
      </c>
      <c r="D15" s="51">
        <v>14.1</v>
      </c>
      <c r="E15" s="51">
        <v>8.4700000000000006</v>
      </c>
      <c r="F15" s="51">
        <v>7.72</v>
      </c>
      <c r="G15" s="51">
        <v>23.7</v>
      </c>
      <c r="H15" s="51">
        <v>10.39</v>
      </c>
      <c r="I15" s="51">
        <v>3.59</v>
      </c>
      <c r="J15" s="51">
        <v>0.38</v>
      </c>
      <c r="K15" s="51">
        <v>275.08999999999997</v>
      </c>
      <c r="L15" s="51">
        <v>27.25</v>
      </c>
      <c r="M15" s="51">
        <v>94.8</v>
      </c>
      <c r="N15" s="51">
        <v>77.5</v>
      </c>
      <c r="O15" s="51">
        <v>0</v>
      </c>
      <c r="P15" s="51">
        <v>0.28000000000000003</v>
      </c>
      <c r="Q15" s="51">
        <v>4.66</v>
      </c>
    </row>
    <row r="16" spans="1:21" customFormat="1">
      <c r="A16" s="50">
        <v>45484.333333333336</v>
      </c>
      <c r="B16" s="51">
        <v>9.3800000000000008</v>
      </c>
      <c r="C16" s="51">
        <v>4.09</v>
      </c>
      <c r="D16" s="51">
        <v>14.1</v>
      </c>
      <c r="E16" s="51">
        <v>8.98</v>
      </c>
      <c r="F16" s="51">
        <v>6.62</v>
      </c>
      <c r="G16" s="51">
        <v>22.97</v>
      </c>
      <c r="H16" s="51">
        <v>10.39</v>
      </c>
      <c r="I16" s="51">
        <v>3.57</v>
      </c>
      <c r="J16" s="51">
        <v>0.49</v>
      </c>
      <c r="K16" s="51">
        <v>267.45</v>
      </c>
      <c r="L16" s="51">
        <v>28.01</v>
      </c>
      <c r="M16" s="51">
        <v>89.66</v>
      </c>
      <c r="N16" s="51">
        <v>121.6</v>
      </c>
      <c r="O16" s="51">
        <v>0</v>
      </c>
      <c r="P16" s="51">
        <v>0.27</v>
      </c>
      <c r="Q16" s="51">
        <v>4.66</v>
      </c>
    </row>
    <row r="17" spans="1:17" customFormat="1">
      <c r="A17" s="50">
        <v>45484.375</v>
      </c>
      <c r="B17" s="51">
        <v>9.3699999999999992</v>
      </c>
      <c r="C17" s="51">
        <v>4.0999999999999996</v>
      </c>
      <c r="D17" s="51">
        <v>14.1</v>
      </c>
      <c r="E17" s="51">
        <v>9.6300000000000008</v>
      </c>
      <c r="F17" s="51">
        <v>5.59</v>
      </c>
      <c r="G17" s="51">
        <v>19.68</v>
      </c>
      <c r="H17" s="51">
        <v>10.48</v>
      </c>
      <c r="I17" s="51">
        <v>3.49</v>
      </c>
      <c r="J17" s="51">
        <v>0.56000000000000005</v>
      </c>
      <c r="K17" s="51">
        <v>263.68</v>
      </c>
      <c r="L17" s="51">
        <v>28.82</v>
      </c>
      <c r="M17" s="51">
        <v>87.66</v>
      </c>
      <c r="N17" s="51">
        <v>182.3</v>
      </c>
      <c r="O17" s="51">
        <v>0</v>
      </c>
      <c r="P17" s="51">
        <v>0.27</v>
      </c>
      <c r="Q17" s="51">
        <v>4.63</v>
      </c>
    </row>
    <row r="18" spans="1:17" customFormat="1">
      <c r="A18" s="50">
        <v>45484.416666666664</v>
      </c>
      <c r="B18" s="51">
        <v>9.39</v>
      </c>
      <c r="C18" s="51">
        <v>4.09</v>
      </c>
      <c r="D18" s="51">
        <v>14.11</v>
      </c>
      <c r="E18" s="51">
        <v>9.76</v>
      </c>
      <c r="F18" s="51">
        <v>5.94</v>
      </c>
      <c r="G18" s="51">
        <v>20.100000000000001</v>
      </c>
      <c r="H18" s="51">
        <v>10.48</v>
      </c>
      <c r="I18" s="51">
        <v>3.4</v>
      </c>
      <c r="J18" s="51">
        <v>0.72</v>
      </c>
      <c r="K18" s="51">
        <v>272.26</v>
      </c>
      <c r="L18" s="51">
        <v>29.39</v>
      </c>
      <c r="M18" s="51">
        <v>85.35</v>
      </c>
      <c r="N18" s="51">
        <v>223.1</v>
      </c>
      <c r="O18" s="51">
        <v>0</v>
      </c>
      <c r="P18" s="51">
        <v>0.27</v>
      </c>
      <c r="Q18" s="51">
        <v>4.6500000000000004</v>
      </c>
    </row>
    <row r="19" spans="1:17" customFormat="1">
      <c r="A19" s="50">
        <v>45484.458333333336</v>
      </c>
      <c r="B19" s="51">
        <v>9.39</v>
      </c>
      <c r="C19" s="51">
        <v>4.13</v>
      </c>
      <c r="D19" s="51">
        <v>14.11</v>
      </c>
      <c r="E19" s="51">
        <v>9.25</v>
      </c>
      <c r="F19" s="51">
        <v>6.52</v>
      </c>
      <c r="G19" s="51">
        <v>24.5</v>
      </c>
      <c r="H19" s="51">
        <v>11.24</v>
      </c>
      <c r="I19" s="51">
        <v>3.39</v>
      </c>
      <c r="J19" s="51">
        <v>1.23</v>
      </c>
      <c r="K19" s="51">
        <v>281.52</v>
      </c>
      <c r="L19" s="51">
        <v>31.05</v>
      </c>
      <c r="M19" s="51">
        <v>81.37</v>
      </c>
      <c r="N19" s="51">
        <v>332.2</v>
      </c>
      <c r="O19" s="51">
        <v>0</v>
      </c>
      <c r="P19" s="51">
        <v>0.32</v>
      </c>
      <c r="Q19" s="51">
        <v>4.6500000000000004</v>
      </c>
    </row>
    <row r="20" spans="1:17" customFormat="1">
      <c r="A20" s="50">
        <v>45484.5</v>
      </c>
      <c r="B20" s="51">
        <v>9.3699999999999992</v>
      </c>
      <c r="C20" s="51">
        <v>4.1100000000000003</v>
      </c>
      <c r="D20" s="51">
        <v>14.1</v>
      </c>
      <c r="E20" s="51">
        <v>9.7100000000000009</v>
      </c>
      <c r="F20" s="51">
        <v>11.71</v>
      </c>
      <c r="G20" s="51">
        <v>24.68</v>
      </c>
      <c r="H20" s="51">
        <v>12.31</v>
      </c>
      <c r="I20" s="51">
        <v>3.5</v>
      </c>
      <c r="J20" s="51">
        <v>1.1499999999999999</v>
      </c>
      <c r="K20" s="51">
        <v>276.60000000000002</v>
      </c>
      <c r="L20" s="51">
        <v>31.89</v>
      </c>
      <c r="M20" s="51">
        <v>76.36</v>
      </c>
      <c r="N20" s="51">
        <v>498.7</v>
      </c>
      <c r="O20" s="51">
        <v>0</v>
      </c>
      <c r="P20" s="51">
        <v>0.33</v>
      </c>
      <c r="Q20" s="51">
        <v>4.6500000000000004</v>
      </c>
    </row>
    <row r="21" spans="1:17" customFormat="1">
      <c r="A21" s="50">
        <v>45484.541666666664</v>
      </c>
      <c r="B21" s="51">
        <v>9.3699999999999992</v>
      </c>
      <c r="C21" s="51">
        <v>4.08</v>
      </c>
      <c r="D21" s="51">
        <v>14.09</v>
      </c>
      <c r="E21" s="51">
        <v>7.69</v>
      </c>
      <c r="F21" s="51">
        <v>11.21</v>
      </c>
      <c r="G21" s="51">
        <v>24.81</v>
      </c>
      <c r="H21" s="51">
        <v>15.55</v>
      </c>
      <c r="I21" s="51">
        <v>3.43</v>
      </c>
      <c r="J21" s="51">
        <v>1.41</v>
      </c>
      <c r="K21" s="51">
        <v>271.94</v>
      </c>
      <c r="L21" s="51">
        <v>32.08</v>
      </c>
      <c r="M21" s="51">
        <v>87.8</v>
      </c>
      <c r="N21" s="51">
        <v>545.20000000000005</v>
      </c>
      <c r="O21" s="51">
        <v>0</v>
      </c>
      <c r="P21" s="51">
        <v>0.32</v>
      </c>
      <c r="Q21" s="51">
        <v>4.6500000000000004</v>
      </c>
    </row>
    <row r="22" spans="1:17" customFormat="1">
      <c r="A22" s="50">
        <v>45484.583333333336</v>
      </c>
      <c r="B22" s="51">
        <v>9.3699999999999992</v>
      </c>
      <c r="C22" s="51">
        <v>4.09</v>
      </c>
      <c r="D22" s="51">
        <v>14.09</v>
      </c>
      <c r="E22" s="51">
        <v>6.14</v>
      </c>
      <c r="F22" s="51">
        <v>9.32</v>
      </c>
      <c r="G22" s="51">
        <v>24.81</v>
      </c>
      <c r="H22" s="51">
        <v>15.55</v>
      </c>
      <c r="I22" s="51">
        <v>3.42</v>
      </c>
      <c r="J22" s="51">
        <v>1.28</v>
      </c>
      <c r="K22" s="51">
        <v>278.16000000000003</v>
      </c>
      <c r="L22" s="51">
        <v>31.17</v>
      </c>
      <c r="M22" s="51">
        <v>80.69</v>
      </c>
      <c r="N22" s="51">
        <v>535.29999999999995</v>
      </c>
      <c r="O22" s="51">
        <v>0</v>
      </c>
      <c r="P22" s="51">
        <v>0.28000000000000003</v>
      </c>
      <c r="Q22" s="51">
        <v>4.6500000000000004</v>
      </c>
    </row>
    <row r="23" spans="1:17" customFormat="1">
      <c r="A23" s="50">
        <v>45484.625</v>
      </c>
      <c r="B23" s="51">
        <v>9.3699999999999992</v>
      </c>
      <c r="C23" s="51">
        <v>4.07</v>
      </c>
      <c r="D23" s="51">
        <v>14.08</v>
      </c>
      <c r="E23" s="51">
        <v>5.73</v>
      </c>
      <c r="F23" s="51">
        <v>9.81</v>
      </c>
      <c r="G23" s="51">
        <v>22.1</v>
      </c>
      <c r="H23" s="51">
        <v>11.5</v>
      </c>
      <c r="I23" s="51">
        <v>3.26</v>
      </c>
      <c r="J23" s="51">
        <v>1.1399999999999999</v>
      </c>
      <c r="K23" s="51">
        <v>269.24</v>
      </c>
      <c r="L23" s="51">
        <v>32.270000000000003</v>
      </c>
      <c r="M23" s="51">
        <v>73.55</v>
      </c>
      <c r="N23" s="51">
        <v>744.1</v>
      </c>
      <c r="O23" s="51">
        <v>0</v>
      </c>
      <c r="P23" s="51">
        <v>0.31</v>
      </c>
      <c r="Q23" s="51">
        <v>4.6500000000000004</v>
      </c>
    </row>
    <row r="24" spans="1:17" customFormat="1">
      <c r="A24" s="50">
        <v>45484.666666666664</v>
      </c>
      <c r="B24" s="51">
        <v>9.4</v>
      </c>
      <c r="C24" s="51">
        <v>4.09</v>
      </c>
      <c r="D24" s="51">
        <v>14.12</v>
      </c>
      <c r="E24" s="51">
        <v>5.63</v>
      </c>
      <c r="F24" s="51">
        <v>9.26</v>
      </c>
      <c r="G24" s="51">
        <v>22.1</v>
      </c>
      <c r="H24" s="51">
        <v>13.39</v>
      </c>
      <c r="I24" s="51">
        <v>3.18</v>
      </c>
      <c r="J24" s="51">
        <v>1.28</v>
      </c>
      <c r="K24" s="51">
        <v>276.45999999999998</v>
      </c>
      <c r="L24" s="51">
        <v>32.58</v>
      </c>
      <c r="M24" s="51">
        <v>72.180000000000007</v>
      </c>
      <c r="N24" s="51">
        <v>429.7</v>
      </c>
      <c r="O24" s="51">
        <v>0</v>
      </c>
      <c r="P24" s="51">
        <v>0.28999999999999998</v>
      </c>
      <c r="Q24" s="51">
        <v>4.6399999999999997</v>
      </c>
    </row>
    <row r="25" spans="1:17" customFormat="1">
      <c r="A25" s="50">
        <v>45484.708333333336</v>
      </c>
      <c r="B25" s="51">
        <v>9.4600000000000009</v>
      </c>
      <c r="C25" s="51">
        <v>4.1100000000000003</v>
      </c>
      <c r="D25" s="51">
        <v>14.18</v>
      </c>
      <c r="E25" s="51">
        <v>7.31</v>
      </c>
      <c r="F25" s="51">
        <v>12.23</v>
      </c>
      <c r="G25" s="51">
        <v>18.010000000000002</v>
      </c>
      <c r="H25" s="51">
        <v>18.57</v>
      </c>
      <c r="I25" s="51">
        <v>3.23</v>
      </c>
      <c r="J25" s="51">
        <v>0.97</v>
      </c>
      <c r="K25" s="51">
        <v>271.24</v>
      </c>
      <c r="L25" s="51">
        <v>32</v>
      </c>
      <c r="M25" s="51">
        <v>72.75</v>
      </c>
      <c r="N25" s="51">
        <v>190.9</v>
      </c>
      <c r="O25" s="51">
        <v>0</v>
      </c>
      <c r="P25" s="51">
        <v>0.25</v>
      </c>
      <c r="Q25" s="51">
        <v>4.6500000000000004</v>
      </c>
    </row>
    <row r="26" spans="1:17" customFormat="1">
      <c r="A26" s="50">
        <v>45484.75</v>
      </c>
      <c r="B26" s="51">
        <v>9.4499999999999993</v>
      </c>
      <c r="C26" s="51">
        <v>4.0999999999999996</v>
      </c>
      <c r="D26" s="51">
        <v>14.17</v>
      </c>
      <c r="E26" s="51">
        <v>8.48</v>
      </c>
      <c r="F26" s="51">
        <v>10.67</v>
      </c>
      <c r="G26" s="51">
        <v>19.41</v>
      </c>
      <c r="H26" s="51">
        <v>18.57</v>
      </c>
      <c r="I26" s="51">
        <v>3.23</v>
      </c>
      <c r="J26" s="51">
        <v>1.05</v>
      </c>
      <c r="K26" s="51">
        <v>279.2</v>
      </c>
      <c r="L26" s="51">
        <v>31.85</v>
      </c>
      <c r="M26" s="51">
        <v>73.11</v>
      </c>
      <c r="N26" s="51">
        <v>112.2</v>
      </c>
      <c r="O26" s="51">
        <v>0</v>
      </c>
      <c r="P26" s="51">
        <v>0.3</v>
      </c>
      <c r="Q26" s="51">
        <v>4.6500000000000004</v>
      </c>
    </row>
    <row r="27" spans="1:17" customFormat="1">
      <c r="A27" s="50">
        <v>45484.791666666664</v>
      </c>
      <c r="B27" s="51">
        <v>9.4499999999999993</v>
      </c>
      <c r="C27" s="51">
        <v>4.0999999999999996</v>
      </c>
      <c r="D27" s="51">
        <v>14.16</v>
      </c>
      <c r="E27" s="51">
        <v>11.7</v>
      </c>
      <c r="F27" s="51">
        <v>12.04</v>
      </c>
      <c r="G27" s="51">
        <v>24.79</v>
      </c>
      <c r="H27" s="51">
        <v>18.13</v>
      </c>
      <c r="I27" s="51">
        <v>3.68</v>
      </c>
      <c r="J27" s="51">
        <v>0.93</v>
      </c>
      <c r="K27" s="51">
        <v>269.57</v>
      </c>
      <c r="L27" s="51">
        <v>30.76</v>
      </c>
      <c r="M27" s="51">
        <v>78.73</v>
      </c>
      <c r="N27" s="51">
        <v>14.1</v>
      </c>
      <c r="O27" s="51">
        <v>0</v>
      </c>
      <c r="P27" s="51">
        <v>0.34</v>
      </c>
      <c r="Q27" s="51">
        <v>4.66</v>
      </c>
    </row>
    <row r="28" spans="1:17" customFormat="1">
      <c r="A28" s="50">
        <v>45484.833333333336</v>
      </c>
      <c r="B28" s="51">
        <v>9.4600000000000009</v>
      </c>
      <c r="C28" s="51">
        <v>4.09</v>
      </c>
      <c r="D28" s="51">
        <v>14.15</v>
      </c>
      <c r="E28" s="51">
        <v>10.95</v>
      </c>
      <c r="F28" s="51">
        <v>11.84</v>
      </c>
      <c r="G28" s="51">
        <v>26.02</v>
      </c>
      <c r="H28" s="51">
        <v>18.13</v>
      </c>
      <c r="I28" s="51">
        <v>3.8</v>
      </c>
      <c r="J28" s="51">
        <v>0.56999999999999995</v>
      </c>
      <c r="K28" s="51">
        <v>264.22000000000003</v>
      </c>
      <c r="L28" s="51">
        <v>30.04</v>
      </c>
      <c r="M28" s="51">
        <v>81.27</v>
      </c>
      <c r="N28" s="51">
        <v>3</v>
      </c>
      <c r="O28" s="51">
        <v>0</v>
      </c>
      <c r="P28" s="51">
        <v>0.34</v>
      </c>
      <c r="Q28" s="51">
        <v>4.6500000000000004</v>
      </c>
    </row>
    <row r="29" spans="1:17" customFormat="1">
      <c r="A29" s="50">
        <v>45484.875</v>
      </c>
      <c r="B29" s="51">
        <v>9.44</v>
      </c>
      <c r="C29" s="51">
        <v>4.08</v>
      </c>
      <c r="D29" s="51">
        <v>14.15</v>
      </c>
      <c r="E29" s="51">
        <v>11.55</v>
      </c>
      <c r="F29" s="51">
        <v>8.41</v>
      </c>
      <c r="G29" s="51">
        <v>26.02</v>
      </c>
      <c r="H29" s="51">
        <v>17.510000000000002</v>
      </c>
      <c r="I29" s="51">
        <v>3.93</v>
      </c>
      <c r="J29" s="51">
        <v>0.43</v>
      </c>
      <c r="K29" s="51">
        <v>265.10000000000002</v>
      </c>
      <c r="L29" s="51">
        <v>28.21</v>
      </c>
      <c r="M29" s="51">
        <v>84.84</v>
      </c>
      <c r="N29" s="51">
        <v>2.1</v>
      </c>
      <c r="O29" s="51">
        <v>0</v>
      </c>
      <c r="P29" s="51">
        <v>0.44</v>
      </c>
      <c r="Q29" s="51">
        <v>4.66</v>
      </c>
    </row>
    <row r="30" spans="1:17" customFormat="1">
      <c r="A30" s="50">
        <v>45484.916666666664</v>
      </c>
      <c r="B30" s="51">
        <v>9.39</v>
      </c>
      <c r="C30" s="51">
        <v>4.0999999999999996</v>
      </c>
      <c r="D30" s="51">
        <v>14.1</v>
      </c>
      <c r="E30" s="51">
        <v>10.82</v>
      </c>
      <c r="F30" s="51">
        <v>8.73</v>
      </c>
      <c r="G30" s="51">
        <v>28.33</v>
      </c>
      <c r="H30" s="51">
        <v>15.83</v>
      </c>
      <c r="I30" s="51">
        <v>4.42</v>
      </c>
      <c r="J30" s="51">
        <v>0.54</v>
      </c>
      <c r="K30" s="51">
        <v>266.17</v>
      </c>
      <c r="L30" s="51">
        <v>28.2</v>
      </c>
      <c r="M30" s="51">
        <v>87.32</v>
      </c>
      <c r="N30" s="51">
        <v>2.1</v>
      </c>
      <c r="O30" s="51">
        <v>0</v>
      </c>
      <c r="P30" s="51">
        <v>0.46</v>
      </c>
      <c r="Q30" s="51">
        <v>4.6500000000000004</v>
      </c>
    </row>
    <row r="31" spans="1:17" customFormat="1">
      <c r="A31" s="50">
        <v>45484.958333333336</v>
      </c>
      <c r="B31" s="51">
        <v>9.3800000000000008</v>
      </c>
      <c r="C31" s="51">
        <v>4.1100000000000003</v>
      </c>
      <c r="D31" s="51">
        <v>14.11</v>
      </c>
      <c r="E31" s="51">
        <v>10.1</v>
      </c>
      <c r="F31" s="51">
        <v>9.24</v>
      </c>
      <c r="G31" s="51">
        <v>29.73</v>
      </c>
      <c r="H31" s="51">
        <v>15.83</v>
      </c>
      <c r="I31" s="51">
        <v>4.51</v>
      </c>
      <c r="J31" s="51">
        <v>0.43</v>
      </c>
      <c r="K31" s="51">
        <v>267.05</v>
      </c>
      <c r="L31" s="51">
        <v>27.82</v>
      </c>
      <c r="M31" s="51">
        <v>85.32</v>
      </c>
      <c r="N31" s="51">
        <v>2.1</v>
      </c>
      <c r="O31" s="51">
        <v>0</v>
      </c>
      <c r="P31" s="51">
        <v>0.47</v>
      </c>
      <c r="Q31" s="51">
        <v>4.6500000000000004</v>
      </c>
    </row>
    <row r="32" spans="1:17" customFormat="1">
      <c r="A32" s="50">
        <v>45485</v>
      </c>
      <c r="B32" s="51">
        <v>9.3800000000000008</v>
      </c>
      <c r="C32" s="51">
        <v>4.1100000000000003</v>
      </c>
      <c r="D32" s="51">
        <v>14.11</v>
      </c>
      <c r="E32" s="51">
        <v>9.23</v>
      </c>
      <c r="F32" s="51">
        <v>11.21</v>
      </c>
      <c r="G32" s="51">
        <v>29.73</v>
      </c>
      <c r="H32" s="51">
        <v>16.64</v>
      </c>
      <c r="I32" s="51">
        <v>4.13</v>
      </c>
      <c r="J32" s="51">
        <v>0.45</v>
      </c>
      <c r="K32" s="51">
        <v>262.58999999999997</v>
      </c>
      <c r="L32" s="51">
        <v>27.6</v>
      </c>
      <c r="M32" s="51">
        <v>85.55</v>
      </c>
      <c r="N32" s="51">
        <v>2.2000000000000002</v>
      </c>
      <c r="O32" s="51">
        <v>0</v>
      </c>
      <c r="P32" s="51">
        <v>0.42</v>
      </c>
      <c r="Q32" s="51">
        <v>4.63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9.36</v>
      </c>
      <c r="C34" s="41">
        <f t="shared" si="0"/>
        <v>4.0599999999999996</v>
      </c>
      <c r="D34" s="41">
        <f t="shared" si="0"/>
        <v>14.08</v>
      </c>
      <c r="E34" s="41">
        <f t="shared" si="0"/>
        <v>5.63</v>
      </c>
      <c r="F34" s="41">
        <f t="shared" si="0"/>
        <v>5.59</v>
      </c>
      <c r="G34" s="41">
        <f t="shared" si="0"/>
        <v>18.010000000000002</v>
      </c>
      <c r="H34" s="41">
        <f t="shared" si="0"/>
        <v>6.22</v>
      </c>
      <c r="I34" s="41">
        <f t="shared" si="0"/>
        <v>3.18</v>
      </c>
      <c r="J34" s="41">
        <f t="shared" si="0"/>
        <v>0.22</v>
      </c>
      <c r="K34" s="41">
        <f t="shared" si="0"/>
        <v>249.69</v>
      </c>
      <c r="L34" s="41">
        <f t="shared" si="0"/>
        <v>26.36</v>
      </c>
      <c r="M34" s="41">
        <f t="shared" si="0"/>
        <v>72.180000000000007</v>
      </c>
      <c r="N34" s="41">
        <f t="shared" si="0"/>
        <v>2.1</v>
      </c>
      <c r="O34" s="41">
        <f t="shared" si="0"/>
        <v>0</v>
      </c>
      <c r="P34" s="41">
        <f t="shared" si="0"/>
        <v>0.25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9.4600000000000009</v>
      </c>
      <c r="C35" s="33">
        <f t="shared" si="1"/>
        <v>4.13</v>
      </c>
      <c r="D35" s="33">
        <f t="shared" si="1"/>
        <v>14.18</v>
      </c>
      <c r="E35" s="33">
        <f t="shared" si="1"/>
        <v>11.7</v>
      </c>
      <c r="F35" s="33">
        <f t="shared" si="1"/>
        <v>12.23</v>
      </c>
      <c r="G35" s="33">
        <f t="shared" si="1"/>
        <v>29.73</v>
      </c>
      <c r="H35" s="33">
        <f t="shared" si="1"/>
        <v>18.57</v>
      </c>
      <c r="I35" s="33">
        <f t="shared" si="1"/>
        <v>4.51</v>
      </c>
      <c r="J35" s="33">
        <f t="shared" si="1"/>
        <v>1.41</v>
      </c>
      <c r="K35" s="33">
        <f t="shared" si="1"/>
        <v>281.52</v>
      </c>
      <c r="L35" s="33">
        <f t="shared" si="1"/>
        <v>32.58</v>
      </c>
      <c r="M35" s="33">
        <f t="shared" si="1"/>
        <v>96.45</v>
      </c>
      <c r="N35" s="33">
        <f t="shared" si="1"/>
        <v>744.1</v>
      </c>
      <c r="O35" s="33">
        <f t="shared" si="1"/>
        <v>0</v>
      </c>
      <c r="P35" s="33">
        <f t="shared" si="1"/>
        <v>0.47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9.3954166666666676</v>
      </c>
      <c r="C36" s="41">
        <f t="shared" si="2"/>
        <v>4.095416666666666</v>
      </c>
      <c r="D36" s="41">
        <f t="shared" si="2"/>
        <v>14.114583333333334</v>
      </c>
      <c r="E36" s="41">
        <f t="shared" si="2"/>
        <v>8.9837499999999988</v>
      </c>
      <c r="F36" s="41">
        <f t="shared" si="2"/>
        <v>9.3912499999999994</v>
      </c>
      <c r="G36" s="41">
        <f t="shared" si="2"/>
        <v>23.52416666666667</v>
      </c>
      <c r="H36" s="41">
        <f t="shared" si="2"/>
        <v>12.943749999999996</v>
      </c>
      <c r="I36" s="41">
        <f t="shared" si="2"/>
        <v>3.6745833333333331</v>
      </c>
      <c r="J36" s="41">
        <f t="shared" si="2"/>
        <v>0.6925</v>
      </c>
      <c r="K36" s="41">
        <f t="shared" si="2"/>
        <v>268.65750000000003</v>
      </c>
      <c r="L36" s="41">
        <f t="shared" si="2"/>
        <v>29.241250000000004</v>
      </c>
      <c r="M36" s="41">
        <f t="shared" si="2"/>
        <v>85.230416666666642</v>
      </c>
      <c r="N36" s="41">
        <f t="shared" si="2"/>
        <v>168.96666666666661</v>
      </c>
      <c r="O36" s="41">
        <f t="shared" si="2"/>
        <v>0</v>
      </c>
      <c r="P36" s="41">
        <f t="shared" si="2"/>
        <v>0.33374999999999999</v>
      </c>
      <c r="Q36" s="41">
        <f t="shared" si="2"/>
        <v>4.6525000000000007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3.3097900454451268E-2</v>
      </c>
      <c r="C37" s="41">
        <f t="shared" ref="C37:Q37" si="3">STDEV(C9:C32)</f>
        <v>1.6412923504696413E-2</v>
      </c>
      <c r="D37" s="41">
        <f t="shared" si="3"/>
        <v>2.8434389262891335E-2</v>
      </c>
      <c r="E37" s="41">
        <f t="shared" si="3"/>
        <v>1.7595523454906812</v>
      </c>
      <c r="F37" s="41">
        <f t="shared" si="3"/>
        <v>2.0171100991700803</v>
      </c>
      <c r="G37" s="41">
        <f t="shared" si="3"/>
        <v>3.1977314195979707</v>
      </c>
      <c r="H37" s="41">
        <f t="shared" si="3"/>
        <v>3.9215744536668309</v>
      </c>
      <c r="I37" s="41">
        <f t="shared" si="3"/>
        <v>0.38561051725088025</v>
      </c>
      <c r="J37" s="41">
        <f t="shared" si="3"/>
        <v>0.39795400651877821</v>
      </c>
      <c r="K37" s="41">
        <f t="shared" si="3"/>
        <v>7.4970639180471412</v>
      </c>
      <c r="L37" s="41">
        <f t="shared" si="3"/>
        <v>2.1823786633933562</v>
      </c>
      <c r="M37" s="41">
        <f t="shared" si="3"/>
        <v>7.9311770490929776</v>
      </c>
      <c r="N37" s="41">
        <f t="shared" si="3"/>
        <v>223.5822087241537</v>
      </c>
      <c r="O37" s="41">
        <f t="shared" si="3"/>
        <v>0</v>
      </c>
      <c r="P37" s="41">
        <f t="shared" si="3"/>
        <v>6.0563477299513613E-2</v>
      </c>
      <c r="Q37" s="41">
        <f t="shared" si="3"/>
        <v>1.0320936930842793E-2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45485.041666666664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45485.041666666664</v>
      </c>
      <c r="B9" s="51">
        <v>9.27</v>
      </c>
      <c r="C9" s="51">
        <v>4.07</v>
      </c>
      <c r="D9" s="51">
        <v>14</v>
      </c>
      <c r="E9" s="51">
        <v>8.42</v>
      </c>
      <c r="F9" s="51">
        <v>12.26</v>
      </c>
      <c r="G9" s="51">
        <v>29.67</v>
      </c>
      <c r="H9" s="51">
        <v>16.64</v>
      </c>
      <c r="I9" s="51">
        <v>3.87</v>
      </c>
      <c r="J9" s="51">
        <v>0.34</v>
      </c>
      <c r="K9" s="51">
        <v>263.75</v>
      </c>
      <c r="L9" s="51">
        <v>27.48</v>
      </c>
      <c r="M9" s="51">
        <v>87.68</v>
      </c>
      <c r="N9" s="51">
        <v>2.2000000000000002</v>
      </c>
      <c r="O9" s="51">
        <v>0</v>
      </c>
      <c r="P9" s="51">
        <v>0.39</v>
      </c>
      <c r="Q9" s="51">
        <v>4.67</v>
      </c>
    </row>
    <row r="10" spans="1:21" customFormat="1">
      <c r="A10" s="50">
        <v>45485.083333333336</v>
      </c>
      <c r="B10" s="51">
        <v>9.2899999999999991</v>
      </c>
      <c r="C10" s="51">
        <v>4.09</v>
      </c>
      <c r="D10" s="51">
        <v>14.04</v>
      </c>
      <c r="E10" s="51">
        <v>9.23</v>
      </c>
      <c r="F10" s="51">
        <v>8.3699999999999992</v>
      </c>
      <c r="G10" s="51">
        <v>26.26</v>
      </c>
      <c r="H10" s="51">
        <v>11.71</v>
      </c>
      <c r="I10" s="51">
        <v>4</v>
      </c>
      <c r="J10" s="51">
        <v>0.2</v>
      </c>
      <c r="K10" s="51">
        <v>243.48</v>
      </c>
      <c r="L10" s="51">
        <v>27.27</v>
      </c>
      <c r="M10" s="51">
        <v>88.91</v>
      </c>
      <c r="N10" s="51">
        <v>2.1</v>
      </c>
      <c r="O10" s="51">
        <v>0</v>
      </c>
      <c r="P10" s="51">
        <v>0.34</v>
      </c>
      <c r="Q10" s="51">
        <v>4.67</v>
      </c>
    </row>
    <row r="11" spans="1:21" customFormat="1">
      <c r="A11" s="50">
        <v>45485.125</v>
      </c>
      <c r="B11" s="51">
        <v>9.2899999999999991</v>
      </c>
      <c r="C11" s="51">
        <v>4.0599999999999996</v>
      </c>
      <c r="D11" s="51">
        <v>14.03</v>
      </c>
      <c r="E11" s="51">
        <v>10.67</v>
      </c>
      <c r="F11" s="51">
        <v>7.2</v>
      </c>
      <c r="G11" s="51">
        <v>23.53</v>
      </c>
      <c r="H11" s="51">
        <v>10.34</v>
      </c>
      <c r="I11" s="51">
        <v>3.86</v>
      </c>
      <c r="J11" s="51">
        <v>0.28000000000000003</v>
      </c>
      <c r="K11" s="51">
        <v>259.14999999999998</v>
      </c>
      <c r="L11" s="51">
        <v>26.89</v>
      </c>
      <c r="M11" s="51">
        <v>90.78</v>
      </c>
      <c r="N11" s="51">
        <v>2.1</v>
      </c>
      <c r="O11" s="51">
        <v>0</v>
      </c>
      <c r="P11" s="51">
        <v>0.32</v>
      </c>
      <c r="Q11" s="51">
        <v>4.66</v>
      </c>
    </row>
    <row r="12" spans="1:21" customFormat="1">
      <c r="A12" s="50">
        <v>45485.166666666664</v>
      </c>
      <c r="B12" s="51">
        <v>9.31</v>
      </c>
      <c r="C12" s="51">
        <v>4.1100000000000003</v>
      </c>
      <c r="D12" s="51">
        <v>14.05</v>
      </c>
      <c r="E12" s="51">
        <v>11.11</v>
      </c>
      <c r="F12" s="51">
        <v>6.23</v>
      </c>
      <c r="G12" s="51">
        <v>19.489999999999998</v>
      </c>
      <c r="H12" s="51">
        <v>7.68</v>
      </c>
      <c r="I12" s="51">
        <v>3.62</v>
      </c>
      <c r="J12" s="51">
        <v>0.16</v>
      </c>
      <c r="K12" s="51">
        <v>236.19</v>
      </c>
      <c r="L12" s="51">
        <v>26.8</v>
      </c>
      <c r="M12" s="51">
        <v>91.97</v>
      </c>
      <c r="N12" s="51">
        <v>2.1</v>
      </c>
      <c r="O12" s="51">
        <v>0</v>
      </c>
      <c r="P12" s="51">
        <v>0.3</v>
      </c>
      <c r="Q12" s="51">
        <v>4.67</v>
      </c>
    </row>
    <row r="13" spans="1:21" customFormat="1">
      <c r="A13" s="50">
        <v>45485.208333333336</v>
      </c>
      <c r="B13" s="51">
        <v>9.32</v>
      </c>
      <c r="C13" s="51">
        <v>4.09</v>
      </c>
      <c r="D13" s="51">
        <v>14.05</v>
      </c>
      <c r="E13" s="51">
        <v>11.99</v>
      </c>
      <c r="F13" s="51">
        <v>4.8600000000000003</v>
      </c>
      <c r="G13" s="51">
        <v>17.600000000000001</v>
      </c>
      <c r="H13" s="51">
        <v>6.77</v>
      </c>
      <c r="I13" s="51">
        <v>3.43</v>
      </c>
      <c r="J13" s="51">
        <v>0.21</v>
      </c>
      <c r="K13" s="51">
        <v>248.81</v>
      </c>
      <c r="L13" s="51">
        <v>26.35</v>
      </c>
      <c r="M13" s="51">
        <v>92.86</v>
      </c>
      <c r="N13" s="51">
        <v>2.1</v>
      </c>
      <c r="O13" s="51">
        <v>0</v>
      </c>
      <c r="P13" s="51">
        <v>0.3</v>
      </c>
      <c r="Q13" s="51">
        <v>4.6500000000000004</v>
      </c>
    </row>
    <row r="14" spans="1:21" customFormat="1">
      <c r="A14" s="50">
        <v>45485.25</v>
      </c>
      <c r="B14" s="51">
        <v>9.33</v>
      </c>
      <c r="C14" s="51">
        <v>4.09</v>
      </c>
      <c r="D14" s="51">
        <v>14.06</v>
      </c>
      <c r="E14" s="51">
        <v>12.04</v>
      </c>
      <c r="F14" s="51">
        <v>4.3600000000000003</v>
      </c>
      <c r="G14" s="51">
        <v>17.600000000000001</v>
      </c>
      <c r="H14" s="51">
        <v>6.77</v>
      </c>
      <c r="I14" s="51">
        <v>3.33</v>
      </c>
      <c r="J14" s="51">
        <v>0.15</v>
      </c>
      <c r="K14" s="51">
        <v>225.91</v>
      </c>
      <c r="L14" s="51">
        <v>26.22</v>
      </c>
      <c r="M14" s="51">
        <v>95.68</v>
      </c>
      <c r="N14" s="51">
        <v>16.600000000000001</v>
      </c>
      <c r="O14" s="51">
        <v>0</v>
      </c>
      <c r="P14" s="51">
        <v>0.33</v>
      </c>
      <c r="Q14" s="51">
        <v>4.6500000000000004</v>
      </c>
    </row>
    <row r="15" spans="1:21" customFormat="1">
      <c r="A15" s="50">
        <v>45485.291666666664</v>
      </c>
      <c r="B15" s="51">
        <v>9.3000000000000007</v>
      </c>
      <c r="C15" s="51">
        <v>4.0999999999999996</v>
      </c>
      <c r="D15" s="51">
        <v>14.04</v>
      </c>
      <c r="E15" s="51">
        <v>12.63</v>
      </c>
      <c r="F15" s="51">
        <v>6.71</v>
      </c>
      <c r="G15" s="51">
        <v>16.760000000000002</v>
      </c>
      <c r="H15" s="51">
        <v>5.01</v>
      </c>
      <c r="I15" s="51">
        <v>3.32</v>
      </c>
      <c r="J15" s="51">
        <v>0.35</v>
      </c>
      <c r="K15" s="51">
        <v>269.07</v>
      </c>
      <c r="L15" s="51">
        <v>26.87</v>
      </c>
      <c r="M15" s="51">
        <v>92.97</v>
      </c>
      <c r="N15" s="51">
        <v>55.1</v>
      </c>
      <c r="O15" s="51">
        <v>0</v>
      </c>
      <c r="P15" s="51">
        <v>0.34</v>
      </c>
      <c r="Q15" s="51">
        <v>4.66</v>
      </c>
    </row>
    <row r="16" spans="1:21" customFormat="1">
      <c r="A16" s="50">
        <v>45485.333333333336</v>
      </c>
      <c r="B16" s="51">
        <v>9.2799999999999994</v>
      </c>
      <c r="C16" s="51">
        <v>4.08</v>
      </c>
      <c r="D16" s="51">
        <v>14.01</v>
      </c>
      <c r="E16" s="51">
        <v>10.44</v>
      </c>
      <c r="F16" s="51">
        <v>6.92</v>
      </c>
      <c r="G16" s="51">
        <v>15.26</v>
      </c>
      <c r="H16" s="51">
        <v>4.8499999999999996</v>
      </c>
      <c r="I16" s="51">
        <v>3.33</v>
      </c>
      <c r="J16" s="51">
        <v>0.52</v>
      </c>
      <c r="K16" s="51">
        <v>271.93</v>
      </c>
      <c r="L16" s="51">
        <v>27.13</v>
      </c>
      <c r="M16" s="51">
        <v>93.87</v>
      </c>
      <c r="N16" s="51">
        <v>61.9</v>
      </c>
      <c r="O16" s="51">
        <v>1</v>
      </c>
      <c r="P16" s="51">
        <v>0.33</v>
      </c>
      <c r="Q16" s="51">
        <v>4.66</v>
      </c>
    </row>
    <row r="17" spans="1:17" customFormat="1">
      <c r="A17" s="50">
        <v>45485.375</v>
      </c>
      <c r="B17" s="51">
        <v>9.2799999999999994</v>
      </c>
      <c r="C17" s="51">
        <v>4.0999999999999996</v>
      </c>
      <c r="D17" s="51">
        <v>14.02</v>
      </c>
      <c r="E17" s="51">
        <v>10.37</v>
      </c>
      <c r="F17" s="51">
        <v>6.17</v>
      </c>
      <c r="G17" s="51">
        <v>12.58</v>
      </c>
      <c r="H17" s="51">
        <v>7.8</v>
      </c>
      <c r="I17" s="51">
        <v>3.37</v>
      </c>
      <c r="J17" s="51">
        <v>0.79</v>
      </c>
      <c r="K17" s="51">
        <v>267.94</v>
      </c>
      <c r="L17" s="51">
        <v>27.97</v>
      </c>
      <c r="M17" s="51">
        <v>97.89</v>
      </c>
      <c r="N17" s="51">
        <v>219.3</v>
      </c>
      <c r="O17" s="51">
        <v>0.4</v>
      </c>
      <c r="P17" s="51">
        <v>0.34</v>
      </c>
      <c r="Q17" s="51">
        <v>4.63</v>
      </c>
    </row>
    <row r="18" spans="1:17" customFormat="1">
      <c r="A18" s="50">
        <v>45485.416666666664</v>
      </c>
      <c r="B18" s="51">
        <v>9.2899999999999991</v>
      </c>
      <c r="C18" s="51">
        <v>4.08</v>
      </c>
      <c r="D18" s="51">
        <v>14.02</v>
      </c>
      <c r="E18" s="51">
        <v>10.98</v>
      </c>
      <c r="F18" s="51">
        <v>6.11</v>
      </c>
      <c r="G18" s="51">
        <v>15.02</v>
      </c>
      <c r="H18" s="51">
        <v>8.9</v>
      </c>
      <c r="I18" s="51">
        <v>3.45</v>
      </c>
      <c r="J18" s="51">
        <v>1.1000000000000001</v>
      </c>
      <c r="K18" s="51">
        <v>277.18</v>
      </c>
      <c r="L18" s="51">
        <v>29.43</v>
      </c>
      <c r="M18" s="51">
        <v>89.37</v>
      </c>
      <c r="N18" s="51">
        <v>293.3</v>
      </c>
      <c r="O18" s="51">
        <v>0</v>
      </c>
      <c r="P18" s="51">
        <v>0.39</v>
      </c>
      <c r="Q18" s="51">
        <v>4.6500000000000004</v>
      </c>
    </row>
    <row r="19" spans="1:17" customFormat="1">
      <c r="A19" s="50">
        <v>45485.458333333336</v>
      </c>
      <c r="B19" s="51">
        <v>9.36</v>
      </c>
      <c r="C19" s="51">
        <v>4.07</v>
      </c>
      <c r="D19" s="51">
        <v>14.08</v>
      </c>
      <c r="E19" s="51">
        <v>11.94</v>
      </c>
      <c r="F19" s="51">
        <v>7.23</v>
      </c>
      <c r="G19" s="51">
        <v>29.65</v>
      </c>
      <c r="H19" s="51">
        <v>12.7</v>
      </c>
      <c r="I19" s="51">
        <v>4.13</v>
      </c>
      <c r="J19" s="51">
        <v>1.0900000000000001</v>
      </c>
      <c r="K19" s="51">
        <v>285.41000000000003</v>
      </c>
      <c r="L19" s="51">
        <v>30.32</v>
      </c>
      <c r="M19" s="51">
        <v>80.72</v>
      </c>
      <c r="N19" s="51">
        <v>313</v>
      </c>
      <c r="O19" s="51">
        <v>0</v>
      </c>
      <c r="P19" s="51">
        <v>0.39</v>
      </c>
      <c r="Q19" s="51">
        <v>4.6500000000000004</v>
      </c>
    </row>
    <row r="20" spans="1:17" customFormat="1">
      <c r="A20" s="50">
        <v>45485.5</v>
      </c>
      <c r="B20" s="51">
        <v>9.3699999999999992</v>
      </c>
      <c r="C20" s="51">
        <v>4.09</v>
      </c>
      <c r="D20" s="51">
        <v>14.08</v>
      </c>
      <c r="E20" s="51">
        <v>12.3</v>
      </c>
      <c r="F20" s="51">
        <v>7.62</v>
      </c>
      <c r="G20" s="51">
        <v>38.299999999999997</v>
      </c>
      <c r="H20" s="51">
        <v>13.71</v>
      </c>
      <c r="I20" s="51">
        <v>4.6900000000000004</v>
      </c>
      <c r="J20" s="51">
        <v>1.1100000000000001</v>
      </c>
      <c r="K20" s="51">
        <v>283.07</v>
      </c>
      <c r="L20" s="51">
        <v>31.78</v>
      </c>
      <c r="M20" s="51">
        <v>76.12</v>
      </c>
      <c r="N20" s="51">
        <v>590.6</v>
      </c>
      <c r="O20" s="51">
        <v>0</v>
      </c>
      <c r="P20" s="51">
        <v>0.4</v>
      </c>
      <c r="Q20" s="51">
        <v>4.6500000000000004</v>
      </c>
    </row>
    <row r="21" spans="1:17" customFormat="1">
      <c r="A21" s="50">
        <v>45485.541666666664</v>
      </c>
      <c r="B21" s="51">
        <v>9.31</v>
      </c>
      <c r="C21" s="51">
        <v>4.09</v>
      </c>
      <c r="D21" s="51">
        <v>14.05</v>
      </c>
      <c r="E21" s="51">
        <v>12.08</v>
      </c>
      <c r="F21" s="51">
        <v>7.98</v>
      </c>
      <c r="G21" s="51">
        <v>38.299999999999997</v>
      </c>
      <c r="H21" s="51">
        <v>22.44</v>
      </c>
      <c r="I21" s="51">
        <v>4.8099999999999996</v>
      </c>
      <c r="J21" s="51">
        <v>1.33</v>
      </c>
      <c r="K21" s="51">
        <v>292.05</v>
      </c>
      <c r="L21" s="51">
        <v>32.1</v>
      </c>
      <c r="M21" s="51">
        <v>70.040000000000006</v>
      </c>
      <c r="N21" s="51">
        <v>622.1</v>
      </c>
      <c r="O21" s="51">
        <v>0</v>
      </c>
      <c r="P21" s="51">
        <v>0.41</v>
      </c>
      <c r="Q21" s="51">
        <v>4.6500000000000004</v>
      </c>
    </row>
    <row r="22" spans="1:17" customFormat="1">
      <c r="A22" s="50">
        <v>45485.583333333336</v>
      </c>
      <c r="B22" s="51">
        <v>9.32</v>
      </c>
      <c r="C22" s="51">
        <v>4.08</v>
      </c>
      <c r="D22" s="51">
        <v>14.05</v>
      </c>
      <c r="E22" s="51">
        <v>13.35</v>
      </c>
      <c r="F22" s="51">
        <v>11.57</v>
      </c>
      <c r="G22" s="51">
        <v>35.29</v>
      </c>
      <c r="H22" s="51">
        <v>22.44</v>
      </c>
      <c r="I22" s="51">
        <v>4.7300000000000004</v>
      </c>
      <c r="J22" s="51">
        <v>1.29</v>
      </c>
      <c r="K22" s="51">
        <v>302.23</v>
      </c>
      <c r="L22" s="51">
        <v>31.75</v>
      </c>
      <c r="M22" s="51">
        <v>71.83</v>
      </c>
      <c r="N22" s="51">
        <v>269.7</v>
      </c>
      <c r="O22" s="51">
        <v>0</v>
      </c>
      <c r="P22" s="51">
        <v>0.42</v>
      </c>
      <c r="Q22" s="51">
        <v>4.6500000000000004</v>
      </c>
    </row>
    <row r="23" spans="1:17" customFormat="1">
      <c r="A23" s="50">
        <v>45485.625</v>
      </c>
      <c r="B23" s="51">
        <v>9.31</v>
      </c>
      <c r="C23" s="51">
        <v>4.0999999999999996</v>
      </c>
      <c r="D23" s="51">
        <v>14.05</v>
      </c>
      <c r="E23" s="51">
        <v>14.18</v>
      </c>
      <c r="F23" s="51">
        <v>11.05</v>
      </c>
      <c r="G23" s="51">
        <v>42.95</v>
      </c>
      <c r="H23" s="51">
        <v>25.75</v>
      </c>
      <c r="I23" s="51">
        <v>4.9000000000000004</v>
      </c>
      <c r="J23" s="51">
        <v>0.77</v>
      </c>
      <c r="K23" s="51">
        <v>285.14999999999998</v>
      </c>
      <c r="L23" s="51">
        <v>31.76</v>
      </c>
      <c r="M23" s="51">
        <v>73.95</v>
      </c>
      <c r="N23" s="51">
        <v>197.6</v>
      </c>
      <c r="O23" s="51">
        <v>0</v>
      </c>
      <c r="P23" s="51">
        <v>0.5</v>
      </c>
      <c r="Q23" s="51">
        <v>4.6500000000000004</v>
      </c>
    </row>
    <row r="24" spans="1:17" customFormat="1">
      <c r="A24" s="50">
        <v>45485.666666666664</v>
      </c>
      <c r="B24" s="51">
        <v>9.34</v>
      </c>
      <c r="C24" s="51">
        <v>4.1100000000000003</v>
      </c>
      <c r="D24" s="51">
        <v>14.06</v>
      </c>
      <c r="E24" s="51">
        <v>12.88</v>
      </c>
      <c r="F24" s="51">
        <v>21.81</v>
      </c>
      <c r="G24" s="51">
        <v>42.95</v>
      </c>
      <c r="H24" s="51">
        <v>25.75</v>
      </c>
      <c r="I24" s="51">
        <v>4.6500000000000004</v>
      </c>
      <c r="J24" s="51">
        <v>0.6</v>
      </c>
      <c r="K24" s="51">
        <v>277.33999999999997</v>
      </c>
      <c r="L24" s="51">
        <v>30.58</v>
      </c>
      <c r="M24" s="51">
        <v>75.180000000000007</v>
      </c>
      <c r="N24" s="51">
        <v>91.4</v>
      </c>
      <c r="O24" s="51">
        <v>0</v>
      </c>
      <c r="P24" s="51">
        <v>0.52</v>
      </c>
      <c r="Q24" s="51">
        <v>4.6399999999999997</v>
      </c>
    </row>
    <row r="25" spans="1:17" customFormat="1">
      <c r="A25" s="50">
        <v>45485.708333333336</v>
      </c>
      <c r="B25" s="51">
        <v>9.35</v>
      </c>
      <c r="C25" s="51">
        <v>4.07</v>
      </c>
      <c r="D25" s="51">
        <v>14.06</v>
      </c>
      <c r="E25" s="51">
        <v>21.56</v>
      </c>
      <c r="F25" s="51">
        <v>13.72</v>
      </c>
      <c r="G25" s="51">
        <v>42.56</v>
      </c>
      <c r="H25" s="51">
        <v>23.99</v>
      </c>
      <c r="I25" s="51">
        <v>5.31</v>
      </c>
      <c r="J25" s="51">
        <v>1.67</v>
      </c>
      <c r="K25" s="51">
        <v>44.1</v>
      </c>
      <c r="L25" s="51">
        <v>30.95</v>
      </c>
      <c r="M25" s="51">
        <v>81.400000000000006</v>
      </c>
      <c r="N25" s="51">
        <v>82.4</v>
      </c>
      <c r="O25" s="51">
        <v>0</v>
      </c>
      <c r="P25" s="51">
        <v>0.6</v>
      </c>
      <c r="Q25" s="51">
        <v>4.6500000000000004</v>
      </c>
    </row>
    <row r="26" spans="1:17" customFormat="1">
      <c r="A26" s="50">
        <v>45485.75</v>
      </c>
      <c r="B26" s="51">
        <v>9.36</v>
      </c>
      <c r="C26" s="51">
        <v>4.0999999999999996</v>
      </c>
      <c r="D26" s="51">
        <v>14.09</v>
      </c>
      <c r="E26" s="51">
        <v>29.09</v>
      </c>
      <c r="F26" s="51">
        <v>5.36</v>
      </c>
      <c r="G26" s="51">
        <v>59.97</v>
      </c>
      <c r="H26" s="51">
        <v>25.63</v>
      </c>
      <c r="I26" s="51">
        <v>4.82</v>
      </c>
      <c r="J26" s="51">
        <v>1.56</v>
      </c>
      <c r="K26" s="51">
        <v>48.51</v>
      </c>
      <c r="L26" s="51">
        <v>27.65</v>
      </c>
      <c r="M26" s="51">
        <v>87.61</v>
      </c>
      <c r="N26" s="51">
        <v>40.9</v>
      </c>
      <c r="O26" s="51">
        <v>0</v>
      </c>
      <c r="P26" s="51">
        <v>0.6</v>
      </c>
      <c r="Q26" s="51">
        <v>4.6500000000000004</v>
      </c>
    </row>
    <row r="27" spans="1:17" customFormat="1">
      <c r="A27" s="50">
        <v>45485.791666666664</v>
      </c>
      <c r="B27" s="51">
        <v>9.3699999999999992</v>
      </c>
      <c r="C27" s="51">
        <v>4.0999999999999996</v>
      </c>
      <c r="D27" s="51">
        <v>14.1</v>
      </c>
      <c r="E27" s="51">
        <v>17.670000000000002</v>
      </c>
      <c r="F27" s="51">
        <v>7.8</v>
      </c>
      <c r="G27" s="51">
        <v>70.11</v>
      </c>
      <c r="H27" s="51">
        <v>25.63</v>
      </c>
      <c r="I27" s="51">
        <v>4.95</v>
      </c>
      <c r="J27" s="51">
        <v>0.92</v>
      </c>
      <c r="K27" s="51">
        <v>350.12</v>
      </c>
      <c r="L27" s="51">
        <v>26.99</v>
      </c>
      <c r="M27" s="51">
        <v>89.36</v>
      </c>
      <c r="N27" s="51">
        <v>11.4</v>
      </c>
      <c r="O27" s="51">
        <v>0</v>
      </c>
      <c r="P27" s="51">
        <v>0.61</v>
      </c>
      <c r="Q27" s="51">
        <v>4.66</v>
      </c>
    </row>
    <row r="28" spans="1:17" customFormat="1">
      <c r="A28" s="50">
        <v>45485.833333333336</v>
      </c>
      <c r="B28" s="51">
        <v>9.33</v>
      </c>
      <c r="C28" s="51">
        <v>4.09</v>
      </c>
      <c r="D28" s="51">
        <v>14.05</v>
      </c>
      <c r="E28" s="51">
        <v>14.48</v>
      </c>
      <c r="F28" s="51">
        <v>7.08</v>
      </c>
      <c r="G28" s="51">
        <v>70.11</v>
      </c>
      <c r="H28" s="51">
        <v>24.82</v>
      </c>
      <c r="I28" s="51">
        <v>4.8</v>
      </c>
      <c r="J28" s="51">
        <v>0.32</v>
      </c>
      <c r="K28" s="51">
        <v>259.51</v>
      </c>
      <c r="L28" s="51">
        <v>27.11</v>
      </c>
      <c r="M28" s="51">
        <v>92.2</v>
      </c>
      <c r="N28" s="51">
        <v>2.1</v>
      </c>
      <c r="O28" s="51">
        <v>0</v>
      </c>
      <c r="P28" s="51">
        <v>0.6</v>
      </c>
      <c r="Q28" s="51">
        <v>4.6500000000000004</v>
      </c>
    </row>
    <row r="29" spans="1:17" customFormat="1">
      <c r="A29" s="50">
        <v>45485.875</v>
      </c>
      <c r="B29" s="51">
        <v>9.34</v>
      </c>
      <c r="C29" s="51">
        <v>4.09</v>
      </c>
      <c r="D29" s="51">
        <v>14.07</v>
      </c>
      <c r="E29" s="51">
        <v>9.6300000000000008</v>
      </c>
      <c r="F29" s="51">
        <v>6.82</v>
      </c>
      <c r="G29" s="51">
        <v>64.819999999999993</v>
      </c>
      <c r="H29" s="51">
        <v>22.48</v>
      </c>
      <c r="I29" s="51">
        <v>4.87</v>
      </c>
      <c r="J29" s="51">
        <v>0.37</v>
      </c>
      <c r="K29" s="51">
        <v>266.95999999999998</v>
      </c>
      <c r="L29" s="51">
        <v>27.02</v>
      </c>
      <c r="M29" s="51">
        <v>93.56</v>
      </c>
      <c r="N29" s="51">
        <v>2.1</v>
      </c>
      <c r="O29" s="51">
        <v>0</v>
      </c>
      <c r="P29" s="51">
        <v>0.53</v>
      </c>
      <c r="Q29" s="51">
        <v>4.66</v>
      </c>
    </row>
    <row r="30" spans="1:17" customFormat="1">
      <c r="A30" s="50">
        <v>45485.916666666664</v>
      </c>
      <c r="B30" s="51">
        <v>9.32</v>
      </c>
      <c r="C30" s="51">
        <v>4.0999999999999996</v>
      </c>
      <c r="D30" s="51">
        <v>14.05</v>
      </c>
      <c r="E30" s="51">
        <v>9.7799999999999994</v>
      </c>
      <c r="F30" s="51">
        <v>5.5</v>
      </c>
      <c r="G30" s="51">
        <v>50.71</v>
      </c>
      <c r="H30" s="51">
        <v>16.87</v>
      </c>
      <c r="I30" s="51">
        <v>4.63</v>
      </c>
      <c r="J30" s="51">
        <v>0.23</v>
      </c>
      <c r="K30" s="51">
        <v>248.58</v>
      </c>
      <c r="L30" s="51">
        <v>26.56</v>
      </c>
      <c r="M30" s="51">
        <v>92.5</v>
      </c>
      <c r="N30" s="51">
        <v>2.2000000000000002</v>
      </c>
      <c r="O30" s="51">
        <v>0</v>
      </c>
      <c r="P30" s="51">
        <v>0.5</v>
      </c>
      <c r="Q30" s="51">
        <v>4.6500000000000004</v>
      </c>
    </row>
    <row r="31" spans="1:17" customFormat="1">
      <c r="A31" s="50">
        <v>45485.958333333336</v>
      </c>
      <c r="B31" s="51">
        <v>9.3000000000000007</v>
      </c>
      <c r="C31" s="51">
        <v>4.0999999999999996</v>
      </c>
      <c r="D31" s="51">
        <v>14.04</v>
      </c>
      <c r="E31" s="51">
        <v>10.62</v>
      </c>
      <c r="F31" s="51">
        <v>4.8600000000000003</v>
      </c>
      <c r="G31" s="51">
        <v>33.049999999999997</v>
      </c>
      <c r="H31" s="51">
        <v>13.12</v>
      </c>
      <c r="I31" s="51">
        <v>4.3600000000000003</v>
      </c>
      <c r="J31" s="51">
        <v>0.26</v>
      </c>
      <c r="K31" s="51">
        <v>262.47000000000003</v>
      </c>
      <c r="L31" s="51">
        <v>26.34</v>
      </c>
      <c r="M31" s="51">
        <v>94.84</v>
      </c>
      <c r="N31" s="51">
        <v>1.8</v>
      </c>
      <c r="O31" s="51">
        <v>0</v>
      </c>
      <c r="P31" s="51">
        <v>0.46</v>
      </c>
      <c r="Q31" s="51">
        <v>4.6500000000000004</v>
      </c>
    </row>
    <row r="32" spans="1:17" customFormat="1">
      <c r="A32" s="50">
        <v>45486</v>
      </c>
      <c r="B32" s="51">
        <v>9.3000000000000007</v>
      </c>
      <c r="C32" s="51">
        <v>4.09</v>
      </c>
      <c r="D32" s="51">
        <v>14.03</v>
      </c>
      <c r="E32" s="51">
        <v>10.77</v>
      </c>
      <c r="F32" s="51">
        <v>3.79</v>
      </c>
      <c r="G32" s="51">
        <v>23.39</v>
      </c>
      <c r="H32" s="51">
        <v>13.12</v>
      </c>
      <c r="I32" s="51">
        <v>4.25</v>
      </c>
      <c r="J32" s="51">
        <v>0.24</v>
      </c>
      <c r="K32" s="51">
        <v>256</v>
      </c>
      <c r="L32" s="51">
        <v>25.77</v>
      </c>
      <c r="M32" s="51">
        <v>96.46</v>
      </c>
      <c r="N32" s="51">
        <v>1.7</v>
      </c>
      <c r="O32" s="51">
        <v>0</v>
      </c>
      <c r="P32" s="51">
        <v>0.45</v>
      </c>
      <c r="Q32" s="51">
        <v>4.63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9.27</v>
      </c>
      <c r="C34" s="41">
        <f t="shared" si="0"/>
        <v>4.0599999999999996</v>
      </c>
      <c r="D34" s="41">
        <f t="shared" si="0"/>
        <v>14</v>
      </c>
      <c r="E34" s="41">
        <f t="shared" si="0"/>
        <v>8.42</v>
      </c>
      <c r="F34" s="41">
        <f t="shared" si="0"/>
        <v>3.79</v>
      </c>
      <c r="G34" s="41">
        <f t="shared" si="0"/>
        <v>12.58</v>
      </c>
      <c r="H34" s="41">
        <f t="shared" si="0"/>
        <v>4.8499999999999996</v>
      </c>
      <c r="I34" s="41">
        <f t="shared" si="0"/>
        <v>3.32</v>
      </c>
      <c r="J34" s="41">
        <f t="shared" si="0"/>
        <v>0.15</v>
      </c>
      <c r="K34" s="41">
        <f t="shared" si="0"/>
        <v>44.1</v>
      </c>
      <c r="L34" s="41">
        <f t="shared" si="0"/>
        <v>25.77</v>
      </c>
      <c r="M34" s="41">
        <f t="shared" si="0"/>
        <v>70.040000000000006</v>
      </c>
      <c r="N34" s="41">
        <f t="shared" si="0"/>
        <v>1.7</v>
      </c>
      <c r="O34" s="41">
        <f t="shared" si="0"/>
        <v>0</v>
      </c>
      <c r="P34" s="41">
        <f t="shared" si="0"/>
        <v>0.3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9.3699999999999992</v>
      </c>
      <c r="C35" s="33">
        <f t="shared" si="1"/>
        <v>4.1100000000000003</v>
      </c>
      <c r="D35" s="33">
        <f t="shared" si="1"/>
        <v>14.1</v>
      </c>
      <c r="E35" s="33">
        <f t="shared" si="1"/>
        <v>29.09</v>
      </c>
      <c r="F35" s="33">
        <f t="shared" si="1"/>
        <v>21.81</v>
      </c>
      <c r="G35" s="33">
        <f t="shared" si="1"/>
        <v>70.11</v>
      </c>
      <c r="H35" s="33">
        <f t="shared" si="1"/>
        <v>25.75</v>
      </c>
      <c r="I35" s="33">
        <f t="shared" si="1"/>
        <v>5.31</v>
      </c>
      <c r="J35" s="33">
        <f t="shared" si="1"/>
        <v>1.67</v>
      </c>
      <c r="K35" s="33">
        <f t="shared" si="1"/>
        <v>350.12</v>
      </c>
      <c r="L35" s="33">
        <f t="shared" si="1"/>
        <v>32.1</v>
      </c>
      <c r="M35" s="33">
        <f t="shared" si="1"/>
        <v>97.89</v>
      </c>
      <c r="N35" s="33">
        <f t="shared" si="1"/>
        <v>622.1</v>
      </c>
      <c r="O35" s="33">
        <f t="shared" si="1"/>
        <v>1</v>
      </c>
      <c r="P35" s="33">
        <f t="shared" si="1"/>
        <v>0.61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9.3183333333333351</v>
      </c>
      <c r="C36" s="41">
        <f t="shared" si="2"/>
        <v>4.0895833333333336</v>
      </c>
      <c r="D36" s="41">
        <f t="shared" si="2"/>
        <v>14.049166666666672</v>
      </c>
      <c r="E36" s="41">
        <f t="shared" si="2"/>
        <v>12.842083333333333</v>
      </c>
      <c r="F36" s="41">
        <f t="shared" si="2"/>
        <v>7.9741666666666688</v>
      </c>
      <c r="G36" s="41">
        <f t="shared" si="2"/>
        <v>34.830416666666665</v>
      </c>
      <c r="H36" s="41">
        <f t="shared" si="2"/>
        <v>15.621666666666668</v>
      </c>
      <c r="I36" s="41">
        <f t="shared" si="2"/>
        <v>4.2283333333333335</v>
      </c>
      <c r="J36" s="41">
        <f t="shared" si="2"/>
        <v>0.66083333333333327</v>
      </c>
      <c r="K36" s="41">
        <f t="shared" si="2"/>
        <v>251.03791666666669</v>
      </c>
      <c r="L36" s="41">
        <f t="shared" si="2"/>
        <v>28.295416666666664</v>
      </c>
      <c r="M36" s="41">
        <f t="shared" si="2"/>
        <v>87.40625</v>
      </c>
      <c r="N36" s="41">
        <f t="shared" si="2"/>
        <v>120.24166666666666</v>
      </c>
      <c r="O36" s="41">
        <f t="shared" si="2"/>
        <v>5.8333333333333327E-2</v>
      </c>
      <c r="P36" s="41">
        <f t="shared" si="2"/>
        <v>0.43208333333333337</v>
      </c>
      <c r="Q36" s="41">
        <f t="shared" si="2"/>
        <v>4.6525000000000007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2.9439202887759409E-2</v>
      </c>
      <c r="C37" s="41">
        <f t="shared" ref="C37:Q37" si="3">STDEV(C9:C32)</f>
        <v>1.3014763077790264E-2</v>
      </c>
      <c r="D37" s="41">
        <f t="shared" si="3"/>
        <v>2.4301845817652105E-2</v>
      </c>
      <c r="E37" s="41">
        <f t="shared" si="3"/>
        <v>4.4513515086570301</v>
      </c>
      <c r="F37" s="41">
        <f t="shared" si="3"/>
        <v>3.8685115851006473</v>
      </c>
      <c r="G37" s="41">
        <f t="shared" si="3"/>
        <v>17.819835913743812</v>
      </c>
      <c r="H37" s="41">
        <f t="shared" si="3"/>
        <v>7.591252211916526</v>
      </c>
      <c r="I37" s="41">
        <f t="shared" si="3"/>
        <v>0.6428717274628043</v>
      </c>
      <c r="J37" s="41">
        <f t="shared" si="3"/>
        <v>0.48296112604987412</v>
      </c>
      <c r="K37" s="41">
        <f t="shared" si="3"/>
        <v>67.689314870553375</v>
      </c>
      <c r="L37" s="41">
        <f t="shared" si="3"/>
        <v>2.1273416339498348</v>
      </c>
      <c r="M37" s="41">
        <f t="shared" si="3"/>
        <v>8.4185312219401762</v>
      </c>
      <c r="N37" s="41">
        <f t="shared" si="3"/>
        <v>181.39861683156732</v>
      </c>
      <c r="O37" s="41">
        <f t="shared" si="3"/>
        <v>0.21652726842366646</v>
      </c>
      <c r="P37" s="41">
        <f t="shared" si="3"/>
        <v>0.10312420399341429</v>
      </c>
      <c r="Q37" s="41">
        <f t="shared" si="3"/>
        <v>1.0320936930842793E-2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45486.041666666664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45486.041666666664</v>
      </c>
      <c r="B9" s="51">
        <v>9.2799999999999994</v>
      </c>
      <c r="C9" s="51">
        <v>4.08</v>
      </c>
      <c r="D9" s="51">
        <v>14</v>
      </c>
      <c r="E9" s="51">
        <v>11.06</v>
      </c>
      <c r="F9" s="51">
        <v>3.91</v>
      </c>
      <c r="G9" s="51">
        <v>19.25</v>
      </c>
      <c r="H9" s="51">
        <v>10.14</v>
      </c>
      <c r="I9" s="51">
        <v>3.83</v>
      </c>
      <c r="J9" s="51">
        <v>0.24</v>
      </c>
      <c r="K9" s="51">
        <v>260.66000000000003</v>
      </c>
      <c r="L9" s="51">
        <v>25.99</v>
      </c>
      <c r="M9" s="51">
        <v>96.83</v>
      </c>
      <c r="N9" s="51">
        <v>2.1</v>
      </c>
      <c r="O9" s="51">
        <v>0</v>
      </c>
      <c r="P9" s="51">
        <v>0.46</v>
      </c>
      <c r="Q9" s="51">
        <v>4.66</v>
      </c>
    </row>
    <row r="10" spans="1:21" customFormat="1">
      <c r="A10" s="50">
        <v>45486.083333333336</v>
      </c>
      <c r="B10" s="51">
        <v>9.3000000000000007</v>
      </c>
      <c r="C10" s="51">
        <v>4.08</v>
      </c>
      <c r="D10" s="51">
        <v>14.02</v>
      </c>
      <c r="E10" s="51">
        <v>10.55</v>
      </c>
      <c r="F10" s="51">
        <v>6.44</v>
      </c>
      <c r="G10" s="51">
        <v>16.98</v>
      </c>
      <c r="H10" s="51">
        <v>7.54</v>
      </c>
      <c r="I10" s="51">
        <v>3.6</v>
      </c>
      <c r="J10" s="51">
        <v>0.17</v>
      </c>
      <c r="K10" s="51">
        <v>227.81</v>
      </c>
      <c r="L10" s="51">
        <v>25.99</v>
      </c>
      <c r="M10" s="51">
        <v>96.06</v>
      </c>
      <c r="N10" s="51">
        <v>2.1</v>
      </c>
      <c r="O10" s="51">
        <v>0</v>
      </c>
      <c r="P10" s="51">
        <v>0.47</v>
      </c>
      <c r="Q10" s="51">
        <v>4.6500000000000004</v>
      </c>
    </row>
    <row r="11" spans="1:21" customFormat="1">
      <c r="A11" s="50">
        <v>45486.125</v>
      </c>
      <c r="B11" s="51">
        <v>9.2899999999999991</v>
      </c>
      <c r="C11" s="51">
        <v>4.09</v>
      </c>
      <c r="D11" s="51">
        <v>14.02</v>
      </c>
      <c r="E11" s="51">
        <v>10.18</v>
      </c>
      <c r="F11" s="51">
        <v>7.35</v>
      </c>
      <c r="G11" s="51">
        <v>13.97</v>
      </c>
      <c r="H11" s="51">
        <v>5.96</v>
      </c>
      <c r="I11" s="51">
        <v>3.53</v>
      </c>
      <c r="J11" s="51">
        <v>0.14000000000000001</v>
      </c>
      <c r="K11" s="51">
        <v>220.4</v>
      </c>
      <c r="L11" s="51">
        <v>26.02</v>
      </c>
      <c r="M11" s="51">
        <v>98.06</v>
      </c>
      <c r="N11" s="51">
        <v>2.2999999999999998</v>
      </c>
      <c r="O11" s="51">
        <v>0</v>
      </c>
      <c r="P11" s="51">
        <v>0.44</v>
      </c>
      <c r="Q11" s="51">
        <v>4.66</v>
      </c>
    </row>
    <row r="12" spans="1:21" customFormat="1">
      <c r="A12" s="50">
        <v>45486.166666666664</v>
      </c>
      <c r="B12" s="51">
        <v>9.2799999999999994</v>
      </c>
      <c r="C12" s="51">
        <v>4.0999999999999996</v>
      </c>
      <c r="D12" s="51">
        <v>14.03</v>
      </c>
      <c r="E12" s="51">
        <v>9.7100000000000009</v>
      </c>
      <c r="F12" s="51">
        <v>7.64</v>
      </c>
      <c r="G12" s="51">
        <v>13.97</v>
      </c>
      <c r="H12" s="51">
        <v>5.96</v>
      </c>
      <c r="I12" s="51">
        <v>3.52</v>
      </c>
      <c r="J12" s="51">
        <v>0.18</v>
      </c>
      <c r="K12" s="51">
        <v>259.73</v>
      </c>
      <c r="L12" s="51">
        <v>25.58</v>
      </c>
      <c r="M12" s="51">
        <v>99.62</v>
      </c>
      <c r="N12" s="51">
        <v>2.1</v>
      </c>
      <c r="O12" s="51">
        <v>0</v>
      </c>
      <c r="P12" s="51">
        <v>0.43</v>
      </c>
      <c r="Q12" s="51">
        <v>4.6399999999999997</v>
      </c>
    </row>
    <row r="13" spans="1:21" customFormat="1">
      <c r="A13" s="50">
        <v>45486.208333333336</v>
      </c>
      <c r="B13" s="51">
        <v>9.2899999999999991</v>
      </c>
      <c r="C13" s="51">
        <v>4.0599999999999996</v>
      </c>
      <c r="D13" s="51">
        <v>14.02</v>
      </c>
      <c r="E13" s="51">
        <v>9.7899999999999991</v>
      </c>
      <c r="F13" s="51">
        <v>7</v>
      </c>
      <c r="G13" s="51">
        <v>10.17</v>
      </c>
      <c r="H13" s="51">
        <v>5.12</v>
      </c>
      <c r="I13" s="51">
        <v>3.44</v>
      </c>
      <c r="J13" s="51">
        <v>0.15</v>
      </c>
      <c r="K13" s="51">
        <v>253.59</v>
      </c>
      <c r="L13" s="51">
        <v>25.49</v>
      </c>
      <c r="M13" s="51">
        <v>100.23</v>
      </c>
      <c r="N13" s="51">
        <v>2.1</v>
      </c>
      <c r="O13" s="51">
        <v>0</v>
      </c>
      <c r="P13" s="51">
        <v>0.41</v>
      </c>
      <c r="Q13" s="51">
        <v>4.6399999999999997</v>
      </c>
    </row>
    <row r="14" spans="1:21" customFormat="1">
      <c r="A14" s="50">
        <v>45486.25</v>
      </c>
      <c r="B14" s="51">
        <v>9.27</v>
      </c>
      <c r="C14" s="51">
        <v>4.08</v>
      </c>
      <c r="D14" s="51">
        <v>14</v>
      </c>
      <c r="E14" s="51">
        <v>10.01</v>
      </c>
      <c r="F14" s="51">
        <v>6.86</v>
      </c>
      <c r="G14" s="51">
        <v>13</v>
      </c>
      <c r="H14" s="51">
        <v>3.8</v>
      </c>
      <c r="I14" s="51">
        <v>3.58</v>
      </c>
      <c r="J14" s="51">
        <v>0.27</v>
      </c>
      <c r="K14" s="51">
        <v>254.28</v>
      </c>
      <c r="L14" s="51">
        <v>25.97</v>
      </c>
      <c r="M14" s="51">
        <v>99.73</v>
      </c>
      <c r="N14" s="51">
        <v>11.3</v>
      </c>
      <c r="O14" s="51">
        <v>0</v>
      </c>
      <c r="P14" s="51">
        <v>0.4</v>
      </c>
      <c r="Q14" s="51">
        <v>4.6500000000000004</v>
      </c>
    </row>
    <row r="15" spans="1:21" customFormat="1">
      <c r="A15" s="50">
        <v>45486.291666666664</v>
      </c>
      <c r="B15" s="51">
        <v>9.25</v>
      </c>
      <c r="C15" s="51">
        <v>4.0599999999999996</v>
      </c>
      <c r="D15" s="51">
        <v>13.98</v>
      </c>
      <c r="E15" s="51">
        <v>10.73</v>
      </c>
      <c r="F15" s="51">
        <v>5.38</v>
      </c>
      <c r="G15" s="51">
        <v>13</v>
      </c>
      <c r="H15" s="51">
        <v>3.57</v>
      </c>
      <c r="I15" s="51">
        <v>3.43</v>
      </c>
      <c r="J15" s="51">
        <v>0.61</v>
      </c>
      <c r="K15" s="51">
        <v>275.76</v>
      </c>
      <c r="L15" s="51">
        <v>26.94</v>
      </c>
      <c r="M15" s="51">
        <v>96.76</v>
      </c>
      <c r="N15" s="51">
        <v>126.7</v>
      </c>
      <c r="O15" s="51">
        <v>0</v>
      </c>
      <c r="P15" s="51">
        <v>0.36</v>
      </c>
      <c r="Q15" s="51">
        <v>4.6399999999999997</v>
      </c>
    </row>
    <row r="16" spans="1:21" customFormat="1">
      <c r="A16" s="50">
        <v>45486.333333333336</v>
      </c>
      <c r="B16" s="51">
        <v>9.2200000000000006</v>
      </c>
      <c r="C16" s="51">
        <v>4.08</v>
      </c>
      <c r="D16" s="51">
        <v>13.97</v>
      </c>
      <c r="E16" s="51">
        <v>11.36</v>
      </c>
      <c r="F16" s="51">
        <v>5.1100000000000003</v>
      </c>
      <c r="G16" s="51">
        <v>15.63</v>
      </c>
      <c r="H16" s="51">
        <v>7.39</v>
      </c>
      <c r="I16" s="51">
        <v>3.76</v>
      </c>
      <c r="J16" s="51">
        <v>0.79</v>
      </c>
      <c r="K16" s="51">
        <v>293.19</v>
      </c>
      <c r="L16" s="51">
        <v>28.18</v>
      </c>
      <c r="M16" s="51">
        <v>90.43</v>
      </c>
      <c r="N16" s="51">
        <v>175.4</v>
      </c>
      <c r="O16" s="51">
        <v>0</v>
      </c>
      <c r="P16" s="51">
        <v>0.42</v>
      </c>
      <c r="Q16" s="51">
        <v>4.6399999999999997</v>
      </c>
    </row>
    <row r="17" spans="1:17" customFormat="1">
      <c r="A17" s="50">
        <v>45486.375</v>
      </c>
      <c r="B17" s="51">
        <v>9.2200000000000006</v>
      </c>
      <c r="C17" s="51">
        <v>4.08</v>
      </c>
      <c r="D17" s="51">
        <v>13.97</v>
      </c>
      <c r="E17" s="51">
        <v>11.75</v>
      </c>
      <c r="F17" s="51">
        <v>4.71</v>
      </c>
      <c r="G17" s="51">
        <v>25.41</v>
      </c>
      <c r="H17" s="51">
        <v>7.39</v>
      </c>
      <c r="I17" s="51">
        <v>4.07</v>
      </c>
      <c r="J17" s="51">
        <v>0.71</v>
      </c>
      <c r="K17" s="51">
        <v>300.8</v>
      </c>
      <c r="L17" s="51">
        <v>29.15</v>
      </c>
      <c r="M17" s="51">
        <v>86.69</v>
      </c>
      <c r="N17" s="51">
        <v>185.6</v>
      </c>
      <c r="O17" s="51">
        <v>0</v>
      </c>
      <c r="P17" s="51">
        <v>0.44</v>
      </c>
      <c r="Q17" s="51">
        <v>4.6500000000000004</v>
      </c>
    </row>
    <row r="18" spans="1:17" customFormat="1">
      <c r="A18" s="50">
        <v>45486.416666666664</v>
      </c>
      <c r="B18" s="51">
        <v>9.24</v>
      </c>
      <c r="C18" s="51">
        <v>4.09</v>
      </c>
      <c r="D18" s="51">
        <v>13.98</v>
      </c>
      <c r="E18" s="51">
        <v>11.89</v>
      </c>
      <c r="F18" s="51">
        <v>4.7300000000000004</v>
      </c>
      <c r="G18" s="51">
        <v>27.78</v>
      </c>
      <c r="H18" s="51">
        <v>9.73</v>
      </c>
      <c r="I18" s="51">
        <v>4.1900000000000004</v>
      </c>
      <c r="J18" s="51">
        <v>1.08</v>
      </c>
      <c r="K18" s="51">
        <v>309.7</v>
      </c>
      <c r="L18" s="51">
        <v>30.12</v>
      </c>
      <c r="M18" s="51">
        <v>84.82</v>
      </c>
      <c r="N18" s="51">
        <v>264.89999999999998</v>
      </c>
      <c r="O18" s="51">
        <v>0</v>
      </c>
      <c r="P18" s="51">
        <v>0.47</v>
      </c>
      <c r="Q18" s="51">
        <v>4.6100000000000003</v>
      </c>
    </row>
    <row r="19" spans="1:17" customFormat="1">
      <c r="A19" s="50">
        <v>45486.458333333336</v>
      </c>
      <c r="B19" s="51">
        <v>9.31</v>
      </c>
      <c r="C19" s="51">
        <v>4.07</v>
      </c>
      <c r="D19" s="51">
        <v>14.04</v>
      </c>
      <c r="E19" s="51">
        <v>10.9</v>
      </c>
      <c r="F19" s="51">
        <v>10.26</v>
      </c>
      <c r="G19" s="51">
        <v>31.04</v>
      </c>
      <c r="H19" s="51">
        <v>9.9600000000000009</v>
      </c>
      <c r="I19" s="51">
        <v>4.45</v>
      </c>
      <c r="J19" s="51">
        <v>0.95</v>
      </c>
      <c r="K19" s="51">
        <v>312.60000000000002</v>
      </c>
      <c r="L19" s="51">
        <v>30.5</v>
      </c>
      <c r="M19" s="51">
        <v>78.28</v>
      </c>
      <c r="N19" s="51">
        <v>290.2</v>
      </c>
      <c r="O19" s="51">
        <v>0</v>
      </c>
      <c r="P19" s="51">
        <v>0.53</v>
      </c>
      <c r="Q19" s="51">
        <v>4.6500000000000004</v>
      </c>
    </row>
    <row r="20" spans="1:17" customFormat="1">
      <c r="A20" s="50">
        <v>45486.5</v>
      </c>
      <c r="B20" s="51">
        <v>9.32</v>
      </c>
      <c r="C20" s="51">
        <v>4.0999999999999996</v>
      </c>
      <c r="D20" s="51">
        <v>14.05</v>
      </c>
      <c r="E20" s="51">
        <v>9.25</v>
      </c>
      <c r="F20" s="51">
        <v>14.91</v>
      </c>
      <c r="G20" s="51">
        <v>36.31</v>
      </c>
      <c r="H20" s="51">
        <v>9.9600000000000009</v>
      </c>
      <c r="I20" s="51">
        <v>4.26</v>
      </c>
      <c r="J20" s="51">
        <v>0.8</v>
      </c>
      <c r="K20" s="51">
        <v>344.01</v>
      </c>
      <c r="L20" s="51">
        <v>31.2</v>
      </c>
      <c r="M20" s="51">
        <v>75.400000000000006</v>
      </c>
      <c r="N20" s="51">
        <v>306</v>
      </c>
      <c r="O20" s="51">
        <v>0</v>
      </c>
      <c r="P20" s="51">
        <v>0.54</v>
      </c>
      <c r="Q20" s="51">
        <v>4.6500000000000004</v>
      </c>
    </row>
    <row r="21" spans="1:17" customFormat="1">
      <c r="A21" s="50">
        <v>45486.541666666664</v>
      </c>
      <c r="B21" s="51">
        <v>9.33</v>
      </c>
      <c r="C21" s="51">
        <v>4.0999999999999996</v>
      </c>
      <c r="D21" s="51">
        <v>14.05</v>
      </c>
      <c r="E21" s="51">
        <v>8.4499999999999993</v>
      </c>
      <c r="F21" s="51">
        <v>18.91</v>
      </c>
      <c r="G21" s="51">
        <v>36.31</v>
      </c>
      <c r="H21" s="51">
        <v>12.29</v>
      </c>
      <c r="I21" s="51">
        <v>4.18</v>
      </c>
      <c r="J21" s="51">
        <v>0.69</v>
      </c>
      <c r="K21" s="51">
        <v>267.8</v>
      </c>
      <c r="L21" s="51">
        <v>29.47</v>
      </c>
      <c r="M21" s="51">
        <v>97.92</v>
      </c>
      <c r="N21" s="51">
        <v>136</v>
      </c>
      <c r="O21" s="51">
        <v>4.4000000000000004</v>
      </c>
      <c r="P21" s="51">
        <v>0.54</v>
      </c>
      <c r="Q21" s="51">
        <v>4.6399999999999997</v>
      </c>
    </row>
    <row r="22" spans="1:17" customFormat="1">
      <c r="A22" s="50">
        <v>45486.583333333336</v>
      </c>
      <c r="B22" s="51">
        <v>9.32</v>
      </c>
      <c r="C22" s="51">
        <v>4.09</v>
      </c>
      <c r="D22" s="51">
        <v>14.05</v>
      </c>
      <c r="E22" s="51">
        <v>8.27</v>
      </c>
      <c r="F22" s="51">
        <v>13.17</v>
      </c>
      <c r="G22" s="51">
        <v>34.17</v>
      </c>
      <c r="H22" s="51">
        <v>12.29</v>
      </c>
      <c r="I22" s="51">
        <v>4.2300000000000004</v>
      </c>
      <c r="J22" s="51">
        <v>0.6</v>
      </c>
      <c r="K22" s="51">
        <v>272.12</v>
      </c>
      <c r="L22" s="51">
        <v>27.68</v>
      </c>
      <c r="M22" s="51">
        <v>100.69</v>
      </c>
      <c r="N22" s="51">
        <v>123.6</v>
      </c>
      <c r="O22" s="51">
        <v>0</v>
      </c>
      <c r="P22" s="51">
        <v>0.49</v>
      </c>
      <c r="Q22" s="51">
        <v>4.6500000000000004</v>
      </c>
    </row>
    <row r="23" spans="1:17" customFormat="1">
      <c r="A23" s="50">
        <v>45486.625</v>
      </c>
      <c r="B23" s="51">
        <v>9.31</v>
      </c>
      <c r="C23" s="51">
        <v>4.07</v>
      </c>
      <c r="D23" s="51">
        <v>14.03</v>
      </c>
      <c r="E23" s="51">
        <v>8.44</v>
      </c>
      <c r="F23" s="51">
        <v>6.97</v>
      </c>
      <c r="G23" s="51">
        <v>24.78</v>
      </c>
      <c r="H23" s="51">
        <v>10.34</v>
      </c>
      <c r="I23" s="51">
        <v>4.3899999999999997</v>
      </c>
      <c r="J23" s="51">
        <v>1.21</v>
      </c>
      <c r="K23" s="51">
        <v>288.83</v>
      </c>
      <c r="L23" s="51">
        <v>26.92</v>
      </c>
      <c r="M23" s="51">
        <v>94.61</v>
      </c>
      <c r="N23" s="51">
        <v>103.7</v>
      </c>
      <c r="O23" s="51">
        <v>0.2</v>
      </c>
      <c r="P23" s="51">
        <v>0.42</v>
      </c>
      <c r="Q23" s="51">
        <v>4.66</v>
      </c>
    </row>
    <row r="24" spans="1:17" customFormat="1">
      <c r="A24" s="50">
        <v>45486.666666666664</v>
      </c>
      <c r="B24" s="51">
        <v>9.31</v>
      </c>
      <c r="C24" s="51">
        <v>4.0999999999999996</v>
      </c>
      <c r="D24" s="51">
        <v>14.05</v>
      </c>
      <c r="E24" s="51">
        <v>8.01</v>
      </c>
      <c r="F24" s="51">
        <v>6.81</v>
      </c>
      <c r="G24" s="51">
        <v>24.78</v>
      </c>
      <c r="H24" s="51">
        <v>7.24</v>
      </c>
      <c r="I24" s="51">
        <v>4.2300000000000004</v>
      </c>
      <c r="J24" s="51">
        <v>0.62</v>
      </c>
      <c r="K24" s="51">
        <v>293.20999999999998</v>
      </c>
      <c r="L24" s="51">
        <v>27</v>
      </c>
      <c r="M24" s="51">
        <v>96.49</v>
      </c>
      <c r="N24" s="51">
        <v>152.80000000000001</v>
      </c>
      <c r="O24" s="51">
        <v>0</v>
      </c>
      <c r="P24" s="51">
        <v>0.38</v>
      </c>
      <c r="Q24" s="51">
        <v>4.66</v>
      </c>
    </row>
    <row r="25" spans="1:17" customFormat="1">
      <c r="A25" s="50">
        <v>45486.708333333336</v>
      </c>
      <c r="B25" s="51">
        <v>9.1999999999999993</v>
      </c>
      <c r="C25" s="51">
        <v>4.09</v>
      </c>
      <c r="D25" s="51">
        <v>13.96</v>
      </c>
      <c r="E25" s="51">
        <v>9.89</v>
      </c>
      <c r="F25" s="51">
        <v>5.4</v>
      </c>
      <c r="G25" s="51">
        <v>19.21</v>
      </c>
      <c r="H25" s="51">
        <v>6.95</v>
      </c>
      <c r="I25" s="51">
        <v>4.4400000000000004</v>
      </c>
      <c r="J25" s="51">
        <v>0.85</v>
      </c>
      <c r="K25" s="51">
        <v>282.08999999999997</v>
      </c>
      <c r="L25" s="51">
        <v>27.68</v>
      </c>
      <c r="M25" s="51">
        <v>91.28</v>
      </c>
      <c r="N25" s="51">
        <v>120.8</v>
      </c>
      <c r="O25" s="51">
        <v>0</v>
      </c>
      <c r="P25" s="51">
        <v>0.41</v>
      </c>
      <c r="Q25" s="51">
        <v>4.66</v>
      </c>
    </row>
    <row r="26" spans="1:17" customFormat="1">
      <c r="A26" s="50">
        <v>45486.75</v>
      </c>
      <c r="B26" s="51">
        <v>9.18</v>
      </c>
      <c r="C26" s="51">
        <v>4.08</v>
      </c>
      <c r="D26" s="51">
        <v>13.94</v>
      </c>
      <c r="E26" s="51">
        <v>9.9499999999999993</v>
      </c>
      <c r="F26" s="51">
        <v>5.94</v>
      </c>
      <c r="G26" s="51">
        <v>19.21</v>
      </c>
      <c r="H26" s="51">
        <v>7.39</v>
      </c>
      <c r="I26" s="51">
        <v>4.68</v>
      </c>
      <c r="J26" s="51">
        <v>0.88</v>
      </c>
      <c r="K26" s="51">
        <v>289.95</v>
      </c>
      <c r="L26" s="51">
        <v>27.16</v>
      </c>
      <c r="M26" s="51">
        <v>89.5</v>
      </c>
      <c r="N26" s="51">
        <v>41.2</v>
      </c>
      <c r="O26" s="51">
        <v>0</v>
      </c>
      <c r="P26" s="51">
        <v>0.46</v>
      </c>
      <c r="Q26" s="51">
        <v>4.66</v>
      </c>
    </row>
    <row r="27" spans="1:17" customFormat="1">
      <c r="A27" s="50">
        <v>45486.791666666664</v>
      </c>
      <c r="B27" s="51">
        <v>9.19</v>
      </c>
      <c r="C27" s="51">
        <v>4.08</v>
      </c>
      <c r="D27" s="51">
        <v>13.94</v>
      </c>
      <c r="E27" s="51">
        <v>10.44</v>
      </c>
      <c r="F27" s="51">
        <v>5.0199999999999996</v>
      </c>
      <c r="G27" s="51">
        <v>27.31</v>
      </c>
      <c r="H27" s="51">
        <v>9.08</v>
      </c>
      <c r="I27" s="51">
        <v>5.44</v>
      </c>
      <c r="J27" s="51">
        <v>0.72</v>
      </c>
      <c r="K27" s="51">
        <v>275.92</v>
      </c>
      <c r="L27" s="51">
        <v>26.97</v>
      </c>
      <c r="M27" s="51">
        <v>94.31</v>
      </c>
      <c r="N27" s="51">
        <v>9.6</v>
      </c>
      <c r="O27" s="51">
        <v>0</v>
      </c>
      <c r="P27" s="51">
        <v>0.53</v>
      </c>
      <c r="Q27" s="51">
        <v>4.6500000000000004</v>
      </c>
    </row>
    <row r="28" spans="1:17" customFormat="1">
      <c r="A28" s="50">
        <v>45486.833333333336</v>
      </c>
      <c r="B28" s="51">
        <v>9.1999999999999993</v>
      </c>
      <c r="C28" s="51">
        <v>4.05</v>
      </c>
      <c r="D28" s="51">
        <v>13.95</v>
      </c>
      <c r="E28" s="51">
        <v>11.05</v>
      </c>
      <c r="F28" s="51">
        <v>4.43</v>
      </c>
      <c r="G28" s="51">
        <v>27.31</v>
      </c>
      <c r="H28" s="51">
        <v>9.32</v>
      </c>
      <c r="I28" s="51">
        <v>5.66</v>
      </c>
      <c r="J28" s="51">
        <v>0.45</v>
      </c>
      <c r="K28" s="51">
        <v>274.37</v>
      </c>
      <c r="L28" s="51">
        <v>26.4</v>
      </c>
      <c r="M28" s="51">
        <v>98.08</v>
      </c>
      <c r="N28" s="51">
        <v>2.2000000000000002</v>
      </c>
      <c r="O28" s="51">
        <v>0</v>
      </c>
      <c r="P28" s="51">
        <v>0.6</v>
      </c>
      <c r="Q28" s="51">
        <v>4.66</v>
      </c>
    </row>
    <row r="29" spans="1:17" customFormat="1">
      <c r="A29" s="50">
        <v>45486.875</v>
      </c>
      <c r="B29" s="51">
        <v>9.2899999999999991</v>
      </c>
      <c r="C29" s="51">
        <v>4.0999999999999996</v>
      </c>
      <c r="D29" s="51">
        <v>14.04</v>
      </c>
      <c r="E29" s="51">
        <v>10.29</v>
      </c>
      <c r="F29" s="51">
        <v>7.37</v>
      </c>
      <c r="G29" s="51">
        <v>25.26</v>
      </c>
      <c r="H29" s="51">
        <v>9.32</v>
      </c>
      <c r="I29" s="51">
        <v>5.77</v>
      </c>
      <c r="J29" s="51">
        <v>0.63</v>
      </c>
      <c r="K29" s="51">
        <v>283.54000000000002</v>
      </c>
      <c r="L29" s="51">
        <v>26.12</v>
      </c>
      <c r="M29" s="51">
        <v>99.5</v>
      </c>
      <c r="N29" s="51">
        <v>2.1</v>
      </c>
      <c r="O29" s="51">
        <v>0</v>
      </c>
      <c r="P29" s="51">
        <v>0.6</v>
      </c>
      <c r="Q29" s="51">
        <v>4.66</v>
      </c>
    </row>
    <row r="30" spans="1:17" customFormat="1">
      <c r="A30" s="50">
        <v>45486.916666666664</v>
      </c>
      <c r="B30" s="51">
        <v>9.3000000000000007</v>
      </c>
      <c r="C30" s="51">
        <v>4.08</v>
      </c>
      <c r="D30" s="51">
        <v>14.03</v>
      </c>
      <c r="E30" s="51">
        <v>8.66</v>
      </c>
      <c r="F30" s="51">
        <v>6.48</v>
      </c>
      <c r="G30" s="51">
        <v>21.79</v>
      </c>
      <c r="H30" s="51">
        <v>6.6</v>
      </c>
      <c r="I30" s="51">
        <v>5.93</v>
      </c>
      <c r="J30" s="51">
        <v>0.56000000000000005</v>
      </c>
      <c r="K30" s="51">
        <v>274.14999999999998</v>
      </c>
      <c r="L30" s="51">
        <v>26.07</v>
      </c>
      <c r="M30" s="51">
        <v>96.35</v>
      </c>
      <c r="N30" s="51">
        <v>2.1</v>
      </c>
      <c r="O30" s="51">
        <v>0</v>
      </c>
      <c r="P30" s="51">
        <v>0.61</v>
      </c>
      <c r="Q30" s="51">
        <v>4.66</v>
      </c>
    </row>
    <row r="31" spans="1:17" customFormat="1">
      <c r="A31" s="50">
        <v>45486.958333333336</v>
      </c>
      <c r="B31" s="51">
        <v>9.2799999999999994</v>
      </c>
      <c r="C31" s="51">
        <v>4.09</v>
      </c>
      <c r="D31" s="51">
        <v>14.02</v>
      </c>
      <c r="E31" s="51">
        <v>8.26</v>
      </c>
      <c r="F31" s="51">
        <v>8.18</v>
      </c>
      <c r="G31" s="51">
        <v>20.64</v>
      </c>
      <c r="H31" s="51">
        <v>5.52</v>
      </c>
      <c r="I31" s="51">
        <v>5.75</v>
      </c>
      <c r="J31" s="51">
        <v>0.38</v>
      </c>
      <c r="K31" s="51">
        <v>268.04000000000002</v>
      </c>
      <c r="L31" s="51">
        <v>26.01</v>
      </c>
      <c r="M31" s="51">
        <v>96.32</v>
      </c>
      <c r="N31" s="51">
        <v>2.1</v>
      </c>
      <c r="O31" s="51">
        <v>0</v>
      </c>
      <c r="P31" s="51">
        <v>0.56000000000000005</v>
      </c>
      <c r="Q31" s="51">
        <v>4.6399999999999997</v>
      </c>
    </row>
    <row r="32" spans="1:17" customFormat="1">
      <c r="A32" s="50">
        <v>45487</v>
      </c>
      <c r="B32" s="51">
        <v>9.3000000000000007</v>
      </c>
      <c r="C32" s="51">
        <v>4.09</v>
      </c>
      <c r="D32" s="51">
        <v>14.03</v>
      </c>
      <c r="E32" s="51">
        <v>8.23</v>
      </c>
      <c r="F32" s="51">
        <v>9.32</v>
      </c>
      <c r="G32" s="51">
        <v>18.899999999999999</v>
      </c>
      <c r="H32" s="51">
        <v>8.9700000000000006</v>
      </c>
      <c r="I32" s="51">
        <v>5.0999999999999996</v>
      </c>
      <c r="J32" s="51">
        <v>0.46</v>
      </c>
      <c r="K32" s="51">
        <v>270.05</v>
      </c>
      <c r="L32" s="51">
        <v>25.98</v>
      </c>
      <c r="M32" s="51">
        <v>97.08</v>
      </c>
      <c r="N32" s="51">
        <v>2.1</v>
      </c>
      <c r="O32" s="51">
        <v>0</v>
      </c>
      <c r="P32" s="51">
        <v>0.52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9.18</v>
      </c>
      <c r="C34" s="41">
        <f t="shared" si="0"/>
        <v>4.05</v>
      </c>
      <c r="D34" s="41">
        <f t="shared" si="0"/>
        <v>13.94</v>
      </c>
      <c r="E34" s="41">
        <f t="shared" si="0"/>
        <v>8.01</v>
      </c>
      <c r="F34" s="41">
        <f t="shared" si="0"/>
        <v>3.91</v>
      </c>
      <c r="G34" s="41">
        <f t="shared" si="0"/>
        <v>10.17</v>
      </c>
      <c r="H34" s="41">
        <f t="shared" si="0"/>
        <v>3.57</v>
      </c>
      <c r="I34" s="41">
        <f t="shared" si="0"/>
        <v>3.43</v>
      </c>
      <c r="J34" s="41">
        <f t="shared" si="0"/>
        <v>0.14000000000000001</v>
      </c>
      <c r="K34" s="41">
        <f t="shared" si="0"/>
        <v>220.4</v>
      </c>
      <c r="L34" s="41">
        <f t="shared" si="0"/>
        <v>25.49</v>
      </c>
      <c r="M34" s="41">
        <f t="shared" si="0"/>
        <v>75.400000000000006</v>
      </c>
      <c r="N34" s="41">
        <f t="shared" si="0"/>
        <v>2.1</v>
      </c>
      <c r="O34" s="41">
        <f t="shared" si="0"/>
        <v>0</v>
      </c>
      <c r="P34" s="41">
        <f t="shared" si="0"/>
        <v>0.36</v>
      </c>
      <c r="Q34" s="41">
        <f t="shared" si="0"/>
        <v>4.6100000000000003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9.33</v>
      </c>
      <c r="C35" s="33">
        <f t="shared" si="1"/>
        <v>4.0999999999999996</v>
      </c>
      <c r="D35" s="33">
        <f t="shared" si="1"/>
        <v>14.05</v>
      </c>
      <c r="E35" s="33">
        <f t="shared" si="1"/>
        <v>11.89</v>
      </c>
      <c r="F35" s="33">
        <f t="shared" si="1"/>
        <v>18.91</v>
      </c>
      <c r="G35" s="33">
        <f t="shared" si="1"/>
        <v>36.31</v>
      </c>
      <c r="H35" s="33">
        <f t="shared" si="1"/>
        <v>12.29</v>
      </c>
      <c r="I35" s="33">
        <f t="shared" si="1"/>
        <v>5.93</v>
      </c>
      <c r="J35" s="33">
        <f t="shared" si="1"/>
        <v>1.21</v>
      </c>
      <c r="K35" s="33">
        <f t="shared" si="1"/>
        <v>344.01</v>
      </c>
      <c r="L35" s="33">
        <f t="shared" si="1"/>
        <v>31.2</v>
      </c>
      <c r="M35" s="33">
        <f t="shared" si="1"/>
        <v>100.69</v>
      </c>
      <c r="N35" s="33">
        <f t="shared" si="1"/>
        <v>306</v>
      </c>
      <c r="O35" s="33">
        <f t="shared" si="1"/>
        <v>4.4000000000000004</v>
      </c>
      <c r="P35" s="33">
        <f t="shared" si="1"/>
        <v>0.61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9.27</v>
      </c>
      <c r="C36" s="41">
        <f t="shared" si="2"/>
        <v>4.0829166666666667</v>
      </c>
      <c r="D36" s="41">
        <f t="shared" si="2"/>
        <v>14.007083333333334</v>
      </c>
      <c r="E36" s="41">
        <f t="shared" si="2"/>
        <v>9.879999999999999</v>
      </c>
      <c r="F36" s="41">
        <f t="shared" si="2"/>
        <v>7.5958333333333341</v>
      </c>
      <c r="G36" s="41">
        <f t="shared" si="2"/>
        <v>22.340833333333332</v>
      </c>
      <c r="H36" s="41">
        <f t="shared" si="2"/>
        <v>7.992916666666666</v>
      </c>
      <c r="I36" s="41">
        <f t="shared" si="2"/>
        <v>4.3941666666666661</v>
      </c>
      <c r="J36" s="41">
        <f t="shared" si="2"/>
        <v>0.58916666666666673</v>
      </c>
      <c r="K36" s="41">
        <f t="shared" si="2"/>
        <v>277.19166666666666</v>
      </c>
      <c r="L36" s="41">
        <f t="shared" si="2"/>
        <v>27.274583333333339</v>
      </c>
      <c r="M36" s="41">
        <f t="shared" si="2"/>
        <v>93.96</v>
      </c>
      <c r="N36" s="41">
        <f t="shared" si="2"/>
        <v>86.212499999999963</v>
      </c>
      <c r="O36" s="41">
        <f t="shared" si="2"/>
        <v>0.19166666666666668</v>
      </c>
      <c r="P36" s="41">
        <f t="shared" si="2"/>
        <v>0.47874999999999995</v>
      </c>
      <c r="Q36" s="41">
        <f t="shared" si="2"/>
        <v>4.6504166666666658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4.577829369813885E-2</v>
      </c>
      <c r="C37" s="41">
        <f t="shared" ref="C37:Q37" si="3">STDEV(C9:C32)</f>
        <v>1.3666578295931965E-2</v>
      </c>
      <c r="D37" s="41">
        <f t="shared" si="3"/>
        <v>3.6769454083834134E-2</v>
      </c>
      <c r="E37" s="41">
        <f t="shared" si="3"/>
        <v>1.1936571498149617</v>
      </c>
      <c r="F37" s="41">
        <f t="shared" si="3"/>
        <v>3.5693574097924925</v>
      </c>
      <c r="G37" s="41">
        <f t="shared" si="3"/>
        <v>7.5048685164548719</v>
      </c>
      <c r="H37" s="41">
        <f t="shared" si="3"/>
        <v>2.3602808955285619</v>
      </c>
      <c r="I37" s="41">
        <f t="shared" si="3"/>
        <v>0.80759393943645852</v>
      </c>
      <c r="J37" s="41">
        <f t="shared" si="3"/>
        <v>0.30080929487643482</v>
      </c>
      <c r="K37" s="41">
        <f t="shared" si="3"/>
        <v>26.210877872375356</v>
      </c>
      <c r="L37" s="41">
        <f t="shared" si="3"/>
        <v>1.658571882194287</v>
      </c>
      <c r="M37" s="41">
        <f t="shared" si="3"/>
        <v>6.7399013023351628</v>
      </c>
      <c r="N37" s="41">
        <f t="shared" si="3"/>
        <v>101.15356518679904</v>
      </c>
      <c r="O37" s="41">
        <f t="shared" si="3"/>
        <v>0.89729868356987574</v>
      </c>
      <c r="P37" s="41">
        <f t="shared" si="3"/>
        <v>7.2370574130651288E-2</v>
      </c>
      <c r="Q37" s="41">
        <f t="shared" si="3"/>
        <v>1.2328534123049253E-2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45487.041666666664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45487.041666666664</v>
      </c>
      <c r="B9" s="51">
        <v>9.2899999999999991</v>
      </c>
      <c r="C9" s="51">
        <v>4.09</v>
      </c>
      <c r="D9" s="51">
        <v>14.03</v>
      </c>
      <c r="E9" s="51">
        <v>8.74</v>
      </c>
      <c r="F9" s="51">
        <v>7.14</v>
      </c>
      <c r="G9" s="51">
        <v>17.510000000000002</v>
      </c>
      <c r="H9" s="51">
        <v>8.9700000000000006</v>
      </c>
      <c r="I9" s="51">
        <v>4.68</v>
      </c>
      <c r="J9" s="51">
        <v>0.59</v>
      </c>
      <c r="K9" s="51">
        <v>269.61</v>
      </c>
      <c r="L9" s="51">
        <v>25.94</v>
      </c>
      <c r="M9" s="51">
        <v>98.15</v>
      </c>
      <c r="N9" s="51">
        <v>2.1</v>
      </c>
      <c r="O9" s="51">
        <v>0</v>
      </c>
      <c r="P9" s="51">
        <v>0.49</v>
      </c>
      <c r="Q9" s="51">
        <v>4.67</v>
      </c>
    </row>
    <row r="10" spans="1:21" customFormat="1">
      <c r="A10" s="50">
        <v>45487.083333333336</v>
      </c>
      <c r="B10" s="51">
        <v>9.2899999999999991</v>
      </c>
      <c r="C10" s="51">
        <v>4.0999999999999996</v>
      </c>
      <c r="D10" s="51">
        <v>14.03</v>
      </c>
      <c r="E10" s="51">
        <v>9.4600000000000009</v>
      </c>
      <c r="F10" s="51">
        <v>5.74</v>
      </c>
      <c r="G10" s="51">
        <v>17.510000000000002</v>
      </c>
      <c r="H10" s="51">
        <v>6.32</v>
      </c>
      <c r="I10" s="51">
        <v>4.57</v>
      </c>
      <c r="J10" s="51">
        <v>0.8</v>
      </c>
      <c r="K10" s="51">
        <v>272.02999999999997</v>
      </c>
      <c r="L10" s="51">
        <v>26.06</v>
      </c>
      <c r="M10" s="51">
        <v>97.68</v>
      </c>
      <c r="N10" s="51">
        <v>2.2000000000000002</v>
      </c>
      <c r="O10" s="51">
        <v>0</v>
      </c>
      <c r="P10" s="51">
        <v>0.41</v>
      </c>
      <c r="Q10" s="51">
        <v>4.67</v>
      </c>
    </row>
    <row r="11" spans="1:21" customFormat="1">
      <c r="A11" s="50">
        <v>45487.125</v>
      </c>
      <c r="B11" s="51">
        <v>9.2200000000000006</v>
      </c>
      <c r="C11" s="51">
        <v>4.09</v>
      </c>
      <c r="D11" s="51">
        <v>13.97</v>
      </c>
      <c r="E11" s="51">
        <v>9.58</v>
      </c>
      <c r="F11" s="51">
        <v>4.58</v>
      </c>
      <c r="G11" s="51">
        <v>13.07</v>
      </c>
      <c r="H11" s="51">
        <v>6.16</v>
      </c>
      <c r="I11" s="51">
        <v>4.25</v>
      </c>
      <c r="J11" s="51">
        <v>0.66</v>
      </c>
      <c r="K11" s="51">
        <v>271.3</v>
      </c>
      <c r="L11" s="51">
        <v>26.09</v>
      </c>
      <c r="M11" s="51">
        <v>94.07</v>
      </c>
      <c r="N11" s="51">
        <v>2.4</v>
      </c>
      <c r="O11" s="51">
        <v>0</v>
      </c>
      <c r="P11" s="51">
        <v>0.38</v>
      </c>
      <c r="Q11" s="51">
        <v>4.66</v>
      </c>
    </row>
    <row r="12" spans="1:21" customFormat="1">
      <c r="A12" s="50">
        <v>45487.166666666664</v>
      </c>
      <c r="B12" s="51">
        <v>9.23</v>
      </c>
      <c r="C12" s="51">
        <v>4.08</v>
      </c>
      <c r="D12" s="51">
        <v>13.98</v>
      </c>
      <c r="E12" s="51">
        <v>10.130000000000001</v>
      </c>
      <c r="F12" s="51">
        <v>4.59</v>
      </c>
      <c r="G12" s="51">
        <v>13.68</v>
      </c>
      <c r="H12" s="51">
        <v>4.41</v>
      </c>
      <c r="I12" s="51">
        <v>3.89</v>
      </c>
      <c r="J12" s="51">
        <v>0.63</v>
      </c>
      <c r="K12" s="51">
        <v>271.14999999999998</v>
      </c>
      <c r="L12" s="51">
        <v>25.95</v>
      </c>
      <c r="M12" s="51">
        <v>97.36</v>
      </c>
      <c r="N12" s="51">
        <v>2.4</v>
      </c>
      <c r="O12" s="51">
        <v>0</v>
      </c>
      <c r="P12" s="51">
        <v>0.34</v>
      </c>
      <c r="Q12" s="51">
        <v>4.67</v>
      </c>
    </row>
    <row r="13" spans="1:21" customFormat="1">
      <c r="A13" s="50">
        <v>45487.208333333336</v>
      </c>
      <c r="B13" s="51">
        <v>9.24</v>
      </c>
      <c r="C13" s="51">
        <v>4.09</v>
      </c>
      <c r="D13" s="51">
        <v>14</v>
      </c>
      <c r="E13" s="51">
        <v>10.92</v>
      </c>
      <c r="F13" s="51">
        <v>4.4800000000000004</v>
      </c>
      <c r="G13" s="51">
        <v>13.68</v>
      </c>
      <c r="H13" s="51">
        <v>4.75</v>
      </c>
      <c r="I13" s="51">
        <v>3.61</v>
      </c>
      <c r="J13" s="51">
        <v>0.39</v>
      </c>
      <c r="K13" s="51">
        <v>278.89</v>
      </c>
      <c r="L13" s="51">
        <v>25.64</v>
      </c>
      <c r="M13" s="51">
        <v>98.62</v>
      </c>
      <c r="N13" s="51">
        <v>2.1</v>
      </c>
      <c r="O13" s="51">
        <v>0</v>
      </c>
      <c r="P13" s="51">
        <v>0.32</v>
      </c>
      <c r="Q13" s="51">
        <v>4.6500000000000004</v>
      </c>
    </row>
    <row r="14" spans="1:21" customFormat="1">
      <c r="A14" s="50">
        <v>45487.25</v>
      </c>
      <c r="B14" s="51">
        <v>9.27</v>
      </c>
      <c r="C14" s="51">
        <v>4.08</v>
      </c>
      <c r="D14" s="51">
        <v>14.01</v>
      </c>
      <c r="E14" s="51">
        <v>11.05</v>
      </c>
      <c r="F14" s="51">
        <v>4.32</v>
      </c>
      <c r="G14" s="51">
        <v>9.74</v>
      </c>
      <c r="H14" s="51">
        <v>4.75</v>
      </c>
      <c r="I14" s="51">
        <v>3.46</v>
      </c>
      <c r="J14" s="51">
        <v>0.42</v>
      </c>
      <c r="K14" s="51">
        <v>271.36</v>
      </c>
      <c r="L14" s="51">
        <v>25.78</v>
      </c>
      <c r="M14" s="51">
        <v>98.01</v>
      </c>
      <c r="N14" s="51">
        <v>19.5</v>
      </c>
      <c r="O14" s="51">
        <v>0</v>
      </c>
      <c r="P14" s="51">
        <v>0.36</v>
      </c>
      <c r="Q14" s="51">
        <v>4.6500000000000004</v>
      </c>
    </row>
    <row r="15" spans="1:21" customFormat="1">
      <c r="A15" s="50">
        <v>45487.291666666664</v>
      </c>
      <c r="B15" s="51">
        <v>9.27</v>
      </c>
      <c r="C15" s="51">
        <v>4.1100000000000003</v>
      </c>
      <c r="D15" s="51">
        <v>14.03</v>
      </c>
      <c r="E15" s="51">
        <v>10.24</v>
      </c>
      <c r="F15" s="51">
        <v>5.54</v>
      </c>
      <c r="G15" s="51">
        <v>9.27</v>
      </c>
      <c r="H15" s="51">
        <v>3.72</v>
      </c>
      <c r="I15" s="51">
        <v>3.39</v>
      </c>
      <c r="J15" s="51">
        <v>0.67</v>
      </c>
      <c r="K15" s="51">
        <v>279.22000000000003</v>
      </c>
      <c r="L15" s="51">
        <v>26.22</v>
      </c>
      <c r="M15" s="51">
        <v>95.73</v>
      </c>
      <c r="N15" s="51">
        <v>77.2</v>
      </c>
      <c r="O15" s="51">
        <v>0</v>
      </c>
      <c r="P15" s="51">
        <v>0.34</v>
      </c>
      <c r="Q15" s="51">
        <v>4.66</v>
      </c>
    </row>
    <row r="16" spans="1:21" customFormat="1">
      <c r="A16" s="50">
        <v>45487.333333333336</v>
      </c>
      <c r="B16" s="51">
        <v>9.25</v>
      </c>
      <c r="C16" s="51">
        <v>4.08</v>
      </c>
      <c r="D16" s="51">
        <v>14</v>
      </c>
      <c r="E16" s="51">
        <v>9.36</v>
      </c>
      <c r="F16" s="51">
        <v>4.9800000000000004</v>
      </c>
      <c r="G16" s="51">
        <v>9.27</v>
      </c>
      <c r="H16" s="51">
        <v>5.91</v>
      </c>
      <c r="I16" s="51">
        <v>3.46</v>
      </c>
      <c r="J16" s="51">
        <v>0.76</v>
      </c>
      <c r="K16" s="51">
        <v>278.58</v>
      </c>
      <c r="L16" s="51">
        <v>27.25</v>
      </c>
      <c r="M16" s="51">
        <v>91.92</v>
      </c>
      <c r="N16" s="51">
        <v>127.8</v>
      </c>
      <c r="O16" s="51">
        <v>0</v>
      </c>
      <c r="P16" s="51">
        <v>0.36</v>
      </c>
      <c r="Q16" s="51">
        <v>4.66</v>
      </c>
    </row>
    <row r="17" spans="1:17" customFormat="1">
      <c r="A17" s="50">
        <v>45487.375</v>
      </c>
      <c r="B17" s="51">
        <v>9.25</v>
      </c>
      <c r="C17" s="51">
        <v>4.0599999999999996</v>
      </c>
      <c r="D17" s="51">
        <v>13.99</v>
      </c>
      <c r="E17" s="51">
        <v>9.44</v>
      </c>
      <c r="F17" s="51">
        <v>6.62</v>
      </c>
      <c r="G17" s="51">
        <v>13.39</v>
      </c>
      <c r="H17" s="51">
        <v>5.91</v>
      </c>
      <c r="I17" s="51">
        <v>4.17</v>
      </c>
      <c r="J17" s="51">
        <v>0.52</v>
      </c>
      <c r="K17" s="51">
        <v>273.76</v>
      </c>
      <c r="L17" s="51">
        <v>28.73</v>
      </c>
      <c r="M17" s="51">
        <v>88.49</v>
      </c>
      <c r="N17" s="51">
        <v>255.1</v>
      </c>
      <c r="O17" s="51">
        <v>0</v>
      </c>
      <c r="P17" s="51">
        <v>0.41</v>
      </c>
      <c r="Q17" s="51">
        <v>4.63</v>
      </c>
    </row>
    <row r="18" spans="1:17" customFormat="1">
      <c r="A18" s="50">
        <v>45487.416666666664</v>
      </c>
      <c r="B18" s="51">
        <v>9.31</v>
      </c>
      <c r="C18" s="51">
        <v>4.08</v>
      </c>
      <c r="D18" s="51">
        <v>14.04</v>
      </c>
      <c r="E18" s="51">
        <v>9.36</v>
      </c>
      <c r="F18" s="51">
        <v>5.22</v>
      </c>
      <c r="G18" s="51">
        <v>18.63</v>
      </c>
      <c r="H18" s="51">
        <v>7.44</v>
      </c>
      <c r="I18" s="51">
        <v>4.8499999999999996</v>
      </c>
      <c r="J18" s="51">
        <v>0.68</v>
      </c>
      <c r="K18" s="51">
        <v>279.52</v>
      </c>
      <c r="L18" s="51">
        <v>30.72</v>
      </c>
      <c r="M18" s="51">
        <v>82.99</v>
      </c>
      <c r="N18" s="51">
        <v>304.89999999999998</v>
      </c>
      <c r="O18" s="51">
        <v>0</v>
      </c>
      <c r="P18" s="51">
        <v>0.45</v>
      </c>
      <c r="Q18" s="51">
        <v>4.6500000000000004</v>
      </c>
    </row>
    <row r="19" spans="1:17" customFormat="1">
      <c r="A19" s="50">
        <v>45487.458333333336</v>
      </c>
      <c r="B19" s="51">
        <v>9.3000000000000007</v>
      </c>
      <c r="C19" s="51">
        <v>4.0999999999999996</v>
      </c>
      <c r="D19" s="51">
        <v>14.04</v>
      </c>
      <c r="E19" s="51">
        <v>10.36</v>
      </c>
      <c r="F19" s="51">
        <v>8.26</v>
      </c>
      <c r="G19" s="51">
        <v>24.6</v>
      </c>
      <c r="H19" s="51">
        <v>7.44</v>
      </c>
      <c r="I19" s="51">
        <v>5.19</v>
      </c>
      <c r="J19" s="51">
        <v>0.63</v>
      </c>
      <c r="K19" s="51">
        <v>270.72000000000003</v>
      </c>
      <c r="L19" s="51">
        <v>30.41</v>
      </c>
      <c r="M19" s="51">
        <v>80.569999999999993</v>
      </c>
      <c r="N19" s="51">
        <v>286.10000000000002</v>
      </c>
      <c r="O19" s="51">
        <v>0</v>
      </c>
      <c r="P19" s="51">
        <v>0.45</v>
      </c>
      <c r="Q19" s="51">
        <v>4.6500000000000004</v>
      </c>
    </row>
    <row r="20" spans="1:17" customFormat="1">
      <c r="A20" s="50">
        <v>45487.5</v>
      </c>
      <c r="B20" s="51">
        <v>9.24</v>
      </c>
      <c r="C20" s="51">
        <v>4.08</v>
      </c>
      <c r="D20" s="51">
        <v>13.99</v>
      </c>
      <c r="E20" s="51">
        <v>11.05</v>
      </c>
      <c r="F20" s="51">
        <v>8.51</v>
      </c>
      <c r="G20" s="51">
        <v>25.74</v>
      </c>
      <c r="H20" s="51">
        <v>11.59</v>
      </c>
      <c r="I20" s="51">
        <v>5.53</v>
      </c>
      <c r="J20" s="51">
        <v>0.57999999999999996</v>
      </c>
      <c r="K20" s="51">
        <v>276.05</v>
      </c>
      <c r="L20" s="51">
        <v>31.86</v>
      </c>
      <c r="M20" s="51">
        <v>80.989999999999995</v>
      </c>
      <c r="N20" s="51">
        <v>515.29999999999995</v>
      </c>
      <c r="O20" s="51">
        <v>0</v>
      </c>
      <c r="P20" s="51">
        <v>0.49</v>
      </c>
      <c r="Q20" s="51">
        <v>4.6500000000000004</v>
      </c>
    </row>
    <row r="21" spans="1:17" customFormat="1">
      <c r="A21" s="50">
        <v>45487.541666666664</v>
      </c>
      <c r="B21" s="51">
        <v>9.2200000000000006</v>
      </c>
      <c r="C21" s="51">
        <v>4.08</v>
      </c>
      <c r="D21" s="51">
        <v>13.98</v>
      </c>
      <c r="E21" s="51">
        <v>11.5</v>
      </c>
      <c r="F21" s="51">
        <v>11.25</v>
      </c>
      <c r="G21" s="51">
        <v>30.45</v>
      </c>
      <c r="H21" s="51">
        <v>12.71</v>
      </c>
      <c r="I21" s="51">
        <v>5.55</v>
      </c>
      <c r="J21" s="51">
        <v>0.46</v>
      </c>
      <c r="K21" s="51">
        <v>275.92</v>
      </c>
      <c r="L21" s="51">
        <v>32.54</v>
      </c>
      <c r="M21" s="51">
        <v>75.75</v>
      </c>
      <c r="N21" s="51">
        <v>607.1</v>
      </c>
      <c r="O21" s="51">
        <v>0</v>
      </c>
      <c r="P21" s="51">
        <v>0.49</v>
      </c>
      <c r="Q21" s="51">
        <v>4.6500000000000004</v>
      </c>
    </row>
    <row r="22" spans="1:17" customFormat="1">
      <c r="A22" s="50">
        <v>45487.583333333336</v>
      </c>
      <c r="B22" s="51">
        <v>9.23</v>
      </c>
      <c r="C22" s="51">
        <v>4.09</v>
      </c>
      <c r="D22" s="51">
        <v>13.97</v>
      </c>
      <c r="E22" s="51">
        <v>12.33</v>
      </c>
      <c r="F22" s="51">
        <v>11.94</v>
      </c>
      <c r="G22" s="51">
        <v>30.45</v>
      </c>
      <c r="H22" s="51">
        <v>15.65</v>
      </c>
      <c r="I22" s="51">
        <v>5.41</v>
      </c>
      <c r="J22" s="51">
        <v>0.38</v>
      </c>
      <c r="K22" s="51">
        <v>263.45</v>
      </c>
      <c r="L22" s="51">
        <v>33.82</v>
      </c>
      <c r="M22" s="51">
        <v>72.760000000000005</v>
      </c>
      <c r="N22" s="51">
        <v>581.5</v>
      </c>
      <c r="O22" s="51">
        <v>0</v>
      </c>
      <c r="P22" s="51">
        <v>0.47</v>
      </c>
      <c r="Q22" s="51">
        <v>4.6500000000000004</v>
      </c>
    </row>
    <row r="23" spans="1:17" customFormat="1">
      <c r="A23" s="50">
        <v>45487.625</v>
      </c>
      <c r="B23" s="51">
        <v>9.1999999999999993</v>
      </c>
      <c r="C23" s="51">
        <v>4.08</v>
      </c>
      <c r="D23" s="51">
        <v>13.95</v>
      </c>
      <c r="E23" s="51">
        <v>12.15</v>
      </c>
      <c r="F23" s="51">
        <v>14.83</v>
      </c>
      <c r="G23" s="51">
        <v>30.11</v>
      </c>
      <c r="H23" s="51">
        <v>15.65</v>
      </c>
      <c r="I23" s="51">
        <v>5.21</v>
      </c>
      <c r="J23" s="51">
        <v>0.62</v>
      </c>
      <c r="K23" s="51">
        <v>280.92</v>
      </c>
      <c r="L23" s="51">
        <v>31.4</v>
      </c>
      <c r="M23" s="51">
        <v>91.18</v>
      </c>
      <c r="N23" s="51">
        <v>101.7</v>
      </c>
      <c r="O23" s="51">
        <v>0.4</v>
      </c>
      <c r="P23" s="51">
        <v>0.5</v>
      </c>
      <c r="Q23" s="51">
        <v>4.6500000000000004</v>
      </c>
    </row>
    <row r="24" spans="1:17" customFormat="1">
      <c r="A24" s="50">
        <v>45487.666666666664</v>
      </c>
      <c r="B24" s="51">
        <v>9.2799999999999994</v>
      </c>
      <c r="C24" s="51">
        <v>4.08</v>
      </c>
      <c r="D24" s="51">
        <v>14</v>
      </c>
      <c r="E24" s="51">
        <v>11.4</v>
      </c>
      <c r="F24" s="51">
        <v>16.899999999999999</v>
      </c>
      <c r="G24" s="51">
        <v>32.29</v>
      </c>
      <c r="H24" s="51">
        <v>16.489999999999998</v>
      </c>
      <c r="I24" s="51">
        <v>5.0199999999999996</v>
      </c>
      <c r="J24" s="51">
        <v>0.98</v>
      </c>
      <c r="K24" s="51">
        <v>350.25</v>
      </c>
      <c r="L24" s="51">
        <v>28.53</v>
      </c>
      <c r="M24" s="51">
        <v>101.16</v>
      </c>
      <c r="N24" s="51">
        <v>59.9</v>
      </c>
      <c r="O24" s="51">
        <v>6.6</v>
      </c>
      <c r="P24" s="51">
        <v>0.55000000000000004</v>
      </c>
      <c r="Q24" s="51">
        <v>4.6399999999999997</v>
      </c>
    </row>
    <row r="25" spans="1:17" customFormat="1">
      <c r="A25" s="50">
        <v>45487.708333333336</v>
      </c>
      <c r="B25" s="51">
        <v>9.2100000000000009</v>
      </c>
      <c r="C25" s="51">
        <v>4.1100000000000003</v>
      </c>
      <c r="D25" s="51">
        <v>13.97</v>
      </c>
      <c r="E25" s="51">
        <v>10.01</v>
      </c>
      <c r="F25" s="51">
        <v>12.02</v>
      </c>
      <c r="G25" s="51">
        <v>33.090000000000003</v>
      </c>
      <c r="H25" s="51">
        <v>16.489999999999998</v>
      </c>
      <c r="I25" s="51">
        <v>5.37</v>
      </c>
      <c r="J25" s="51">
        <v>0.68</v>
      </c>
      <c r="K25" s="51">
        <v>295.55</v>
      </c>
      <c r="L25" s="51">
        <v>27.65</v>
      </c>
      <c r="M25" s="51">
        <v>101.38</v>
      </c>
      <c r="N25" s="51">
        <v>110.4</v>
      </c>
      <c r="O25" s="51">
        <v>0</v>
      </c>
      <c r="P25" s="51">
        <v>0.54</v>
      </c>
      <c r="Q25" s="51">
        <v>4.6500000000000004</v>
      </c>
    </row>
    <row r="26" spans="1:17" customFormat="1">
      <c r="A26" s="50">
        <v>45487.75</v>
      </c>
      <c r="B26" s="51">
        <v>9.2200000000000006</v>
      </c>
      <c r="C26" s="51">
        <v>4.08</v>
      </c>
      <c r="D26" s="51">
        <v>13.96</v>
      </c>
      <c r="E26" s="51">
        <v>9.36</v>
      </c>
      <c r="F26" s="51">
        <v>13.88</v>
      </c>
      <c r="G26" s="51">
        <v>35.119999999999997</v>
      </c>
      <c r="H26" s="51">
        <v>14.64</v>
      </c>
      <c r="I26" s="51">
        <v>5.43</v>
      </c>
      <c r="J26" s="51">
        <v>0.75</v>
      </c>
      <c r="K26" s="51">
        <v>316.41000000000003</v>
      </c>
      <c r="L26" s="51">
        <v>28.11</v>
      </c>
      <c r="M26" s="51">
        <v>92.65</v>
      </c>
      <c r="N26" s="51">
        <v>78.599999999999994</v>
      </c>
      <c r="O26" s="51">
        <v>0</v>
      </c>
      <c r="P26" s="51">
        <v>0.56999999999999995</v>
      </c>
      <c r="Q26" s="51">
        <v>4.6500000000000004</v>
      </c>
    </row>
    <row r="27" spans="1:17" customFormat="1">
      <c r="A27" s="50">
        <v>45487.791666666664</v>
      </c>
      <c r="B27" s="51">
        <v>9.1999999999999993</v>
      </c>
      <c r="C27" s="51">
        <v>4.1100000000000003</v>
      </c>
      <c r="D27" s="51">
        <v>13.96</v>
      </c>
      <c r="E27" s="51">
        <v>8.68</v>
      </c>
      <c r="F27" s="51">
        <v>12.01</v>
      </c>
      <c r="G27" s="51">
        <v>35.119999999999997</v>
      </c>
      <c r="H27" s="51">
        <v>13.8</v>
      </c>
      <c r="I27" s="51">
        <v>5.31</v>
      </c>
      <c r="J27" s="51">
        <v>0.25</v>
      </c>
      <c r="K27" s="51">
        <v>268.06</v>
      </c>
      <c r="L27" s="51">
        <v>27.61</v>
      </c>
      <c r="M27" s="51">
        <v>97.55</v>
      </c>
      <c r="N27" s="51">
        <v>14.6</v>
      </c>
      <c r="O27" s="51">
        <v>0</v>
      </c>
      <c r="P27" s="51">
        <v>0.6</v>
      </c>
      <c r="Q27" s="51">
        <v>4.66</v>
      </c>
    </row>
    <row r="28" spans="1:17" customFormat="1">
      <c r="A28" s="50">
        <v>45487.833333333336</v>
      </c>
      <c r="B28" s="51">
        <v>9.3000000000000007</v>
      </c>
      <c r="C28" s="51">
        <v>4.0599999999999996</v>
      </c>
      <c r="D28" s="51">
        <v>14.03</v>
      </c>
      <c r="E28" s="51">
        <v>9.9700000000000006</v>
      </c>
      <c r="F28" s="51">
        <v>5.77</v>
      </c>
      <c r="G28" s="51">
        <v>37.25</v>
      </c>
      <c r="H28" s="51">
        <v>13.17</v>
      </c>
      <c r="I28" s="51">
        <v>5.98</v>
      </c>
      <c r="J28" s="51">
        <v>0.17</v>
      </c>
      <c r="K28" s="51">
        <v>199.27</v>
      </c>
      <c r="L28" s="51">
        <v>27.42</v>
      </c>
      <c r="M28" s="51">
        <v>97.73</v>
      </c>
      <c r="N28" s="51">
        <v>2.4</v>
      </c>
      <c r="O28" s="51">
        <v>0.2</v>
      </c>
      <c r="P28" s="51">
        <v>0.59</v>
      </c>
      <c r="Q28" s="51">
        <v>4.6500000000000004</v>
      </c>
    </row>
    <row r="29" spans="1:17" customFormat="1">
      <c r="A29" s="50">
        <v>45487.875</v>
      </c>
      <c r="B29" s="51">
        <v>9.2899999999999991</v>
      </c>
      <c r="C29" s="51">
        <v>4.0999999999999996</v>
      </c>
      <c r="D29" s="51">
        <v>14.02</v>
      </c>
      <c r="E29" s="51">
        <v>9.9600000000000009</v>
      </c>
      <c r="F29" s="51">
        <v>6.08</v>
      </c>
      <c r="G29" s="51">
        <v>37.25</v>
      </c>
      <c r="H29" s="51">
        <v>12.6</v>
      </c>
      <c r="I29" s="51">
        <v>6.09</v>
      </c>
      <c r="J29" s="51">
        <v>0.11</v>
      </c>
      <c r="K29" s="51">
        <v>206.68</v>
      </c>
      <c r="L29" s="51">
        <v>27.11</v>
      </c>
      <c r="M29" s="51">
        <v>99.42</v>
      </c>
      <c r="N29" s="51">
        <v>2.2000000000000002</v>
      </c>
      <c r="O29" s="51">
        <v>0.2</v>
      </c>
      <c r="P29" s="51">
        <v>0.57999999999999996</v>
      </c>
      <c r="Q29" s="51">
        <v>4.66</v>
      </c>
    </row>
    <row r="30" spans="1:17" customFormat="1">
      <c r="A30" s="50">
        <v>45487.916666666664</v>
      </c>
      <c r="B30" s="51">
        <v>9.24</v>
      </c>
      <c r="C30" s="51">
        <v>4.0999999999999996</v>
      </c>
      <c r="D30" s="51">
        <v>13.99</v>
      </c>
      <c r="E30" s="51">
        <v>10.46</v>
      </c>
      <c r="F30" s="51">
        <v>4.66</v>
      </c>
      <c r="G30" s="51">
        <v>31.18</v>
      </c>
      <c r="H30" s="51">
        <v>10.56</v>
      </c>
      <c r="I30" s="51">
        <v>6.21</v>
      </c>
      <c r="J30" s="51">
        <v>0.15</v>
      </c>
      <c r="K30" s="51">
        <v>248.67</v>
      </c>
      <c r="L30" s="51">
        <v>26.95</v>
      </c>
      <c r="M30" s="51">
        <v>100.53</v>
      </c>
      <c r="N30" s="51">
        <v>2.2000000000000002</v>
      </c>
      <c r="O30" s="51">
        <v>0</v>
      </c>
      <c r="P30" s="51">
        <v>0.6</v>
      </c>
      <c r="Q30" s="51">
        <v>4.6500000000000004</v>
      </c>
    </row>
    <row r="31" spans="1:17" customFormat="1">
      <c r="A31" s="50">
        <v>45487.958333333336</v>
      </c>
      <c r="B31" s="51">
        <v>9.23</v>
      </c>
      <c r="C31" s="51">
        <v>4.08</v>
      </c>
      <c r="D31" s="51">
        <v>13.98</v>
      </c>
      <c r="E31" s="51">
        <v>11.72</v>
      </c>
      <c r="F31" s="51">
        <v>4.5999999999999996</v>
      </c>
      <c r="G31" s="51">
        <v>34.729999999999997</v>
      </c>
      <c r="H31" s="51">
        <v>11.93</v>
      </c>
      <c r="I31" s="51">
        <v>6.46</v>
      </c>
      <c r="J31" s="51">
        <v>0.19</v>
      </c>
      <c r="K31" s="51">
        <v>238.75</v>
      </c>
      <c r="L31" s="51">
        <v>27.03</v>
      </c>
      <c r="M31" s="51">
        <v>103.13</v>
      </c>
      <c r="N31" s="51">
        <v>2.4</v>
      </c>
      <c r="O31" s="51">
        <v>0</v>
      </c>
      <c r="P31" s="51">
        <v>0.64</v>
      </c>
      <c r="Q31" s="51">
        <v>4.6500000000000004</v>
      </c>
    </row>
    <row r="32" spans="1:17" customFormat="1">
      <c r="A32" s="50">
        <v>45488</v>
      </c>
      <c r="B32" s="51">
        <v>9.24</v>
      </c>
      <c r="C32" s="51">
        <v>4.0999999999999996</v>
      </c>
      <c r="D32" s="51">
        <v>14</v>
      </c>
      <c r="E32" s="51">
        <v>11.38</v>
      </c>
      <c r="F32" s="51">
        <v>4.55</v>
      </c>
      <c r="G32" s="51">
        <v>34.729999999999997</v>
      </c>
      <c r="H32" s="51">
        <v>13.88</v>
      </c>
      <c r="I32" s="51">
        <v>6.76</v>
      </c>
      <c r="J32" s="51">
        <v>0.17</v>
      </c>
      <c r="K32" s="51">
        <v>246.11</v>
      </c>
      <c r="L32" s="51">
        <v>27.01</v>
      </c>
      <c r="M32" s="51">
        <v>103.5</v>
      </c>
      <c r="N32" s="51">
        <v>2.6</v>
      </c>
      <c r="O32" s="51">
        <v>0</v>
      </c>
      <c r="P32" s="51">
        <v>0.66</v>
      </c>
      <c r="Q32" s="51">
        <v>4.63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9.1999999999999993</v>
      </c>
      <c r="C34" s="41">
        <f t="shared" si="0"/>
        <v>4.0599999999999996</v>
      </c>
      <c r="D34" s="41">
        <f t="shared" si="0"/>
        <v>13.95</v>
      </c>
      <c r="E34" s="41">
        <f t="shared" si="0"/>
        <v>8.68</v>
      </c>
      <c r="F34" s="41">
        <f t="shared" si="0"/>
        <v>4.32</v>
      </c>
      <c r="G34" s="41">
        <f t="shared" si="0"/>
        <v>9.27</v>
      </c>
      <c r="H34" s="41">
        <f t="shared" si="0"/>
        <v>3.72</v>
      </c>
      <c r="I34" s="41">
        <f t="shared" si="0"/>
        <v>3.39</v>
      </c>
      <c r="J34" s="41">
        <f t="shared" si="0"/>
        <v>0.11</v>
      </c>
      <c r="K34" s="41">
        <f t="shared" si="0"/>
        <v>199.27</v>
      </c>
      <c r="L34" s="41">
        <f t="shared" si="0"/>
        <v>25.64</v>
      </c>
      <c r="M34" s="41">
        <f t="shared" si="0"/>
        <v>72.760000000000005</v>
      </c>
      <c r="N34" s="41">
        <f t="shared" si="0"/>
        <v>2.1</v>
      </c>
      <c r="O34" s="41">
        <f t="shared" si="0"/>
        <v>0</v>
      </c>
      <c r="P34" s="41">
        <f t="shared" si="0"/>
        <v>0.32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9.31</v>
      </c>
      <c r="C35" s="33">
        <f t="shared" si="1"/>
        <v>4.1100000000000003</v>
      </c>
      <c r="D35" s="33">
        <f t="shared" si="1"/>
        <v>14.04</v>
      </c>
      <c r="E35" s="33">
        <f t="shared" si="1"/>
        <v>12.33</v>
      </c>
      <c r="F35" s="33">
        <f t="shared" si="1"/>
        <v>16.899999999999999</v>
      </c>
      <c r="G35" s="33">
        <f t="shared" si="1"/>
        <v>37.25</v>
      </c>
      <c r="H35" s="33">
        <f t="shared" si="1"/>
        <v>16.489999999999998</v>
      </c>
      <c r="I35" s="33">
        <f t="shared" si="1"/>
        <v>6.76</v>
      </c>
      <c r="J35" s="33">
        <f t="shared" si="1"/>
        <v>0.98</v>
      </c>
      <c r="K35" s="33">
        <f t="shared" si="1"/>
        <v>350.25</v>
      </c>
      <c r="L35" s="33">
        <f t="shared" si="1"/>
        <v>33.82</v>
      </c>
      <c r="M35" s="33">
        <f t="shared" si="1"/>
        <v>103.5</v>
      </c>
      <c r="N35" s="33">
        <f t="shared" si="1"/>
        <v>607.1</v>
      </c>
      <c r="O35" s="33">
        <f t="shared" si="1"/>
        <v>6.6</v>
      </c>
      <c r="P35" s="33">
        <f t="shared" si="1"/>
        <v>0.66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9.2508333333333326</v>
      </c>
      <c r="C36" s="41">
        <f t="shared" si="2"/>
        <v>4.0879166666666658</v>
      </c>
      <c r="D36" s="41">
        <f t="shared" si="2"/>
        <v>13.996666666666664</v>
      </c>
      <c r="E36" s="41">
        <f t="shared" si="2"/>
        <v>10.358750000000001</v>
      </c>
      <c r="F36" s="41">
        <f t="shared" si="2"/>
        <v>7.8529166666666681</v>
      </c>
      <c r="G36" s="41">
        <f t="shared" si="2"/>
        <v>24.494166666666668</v>
      </c>
      <c r="H36" s="41">
        <f t="shared" si="2"/>
        <v>10.205833333333333</v>
      </c>
      <c r="I36" s="41">
        <f t="shared" si="2"/>
        <v>4.9937499999999995</v>
      </c>
      <c r="J36" s="41">
        <f t="shared" si="2"/>
        <v>0.5099999999999999</v>
      </c>
      <c r="K36" s="41">
        <f t="shared" si="2"/>
        <v>270.09291666666672</v>
      </c>
      <c r="L36" s="41">
        <f t="shared" si="2"/>
        <v>28.159583333333334</v>
      </c>
      <c r="M36" s="41">
        <f t="shared" si="2"/>
        <v>93.388333333333335</v>
      </c>
      <c r="N36" s="41">
        <f t="shared" si="2"/>
        <v>131.77916666666664</v>
      </c>
      <c r="O36" s="41">
        <f t="shared" si="2"/>
        <v>0.30833333333333335</v>
      </c>
      <c r="P36" s="41">
        <f t="shared" si="2"/>
        <v>0.48291666666666666</v>
      </c>
      <c r="Q36" s="41">
        <f t="shared" si="2"/>
        <v>4.6525000000000007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3.3611161017250327E-2</v>
      </c>
      <c r="C37" s="41">
        <f t="shared" ref="C37:Q37" si="3">STDEV(C9:C32)</f>
        <v>1.3824731042801462E-2</v>
      </c>
      <c r="D37" s="41">
        <f t="shared" si="3"/>
        <v>2.7133593275825943E-2</v>
      </c>
      <c r="E37" s="41">
        <f t="shared" si="3"/>
        <v>1.0393447455007301</v>
      </c>
      <c r="F37" s="41">
        <f t="shared" si="3"/>
        <v>3.8547266064073726</v>
      </c>
      <c r="G37" s="41">
        <f t="shared" si="3"/>
        <v>10.097525274376222</v>
      </c>
      <c r="H37" s="41">
        <f t="shared" si="3"/>
        <v>4.3265398532140287</v>
      </c>
      <c r="I37" s="41">
        <f t="shared" si="3"/>
        <v>0.98138239898801749</v>
      </c>
      <c r="J37" s="41">
        <f t="shared" si="3"/>
        <v>0.23920157044707699</v>
      </c>
      <c r="K37" s="41">
        <f t="shared" si="3"/>
        <v>30.10893590876243</v>
      </c>
      <c r="L37" s="41">
        <f t="shared" si="3"/>
        <v>2.3671492287167593</v>
      </c>
      <c r="M37" s="41">
        <f t="shared" si="3"/>
        <v>8.7249610272788054</v>
      </c>
      <c r="N37" s="41">
        <f t="shared" si="3"/>
        <v>192.30843201836552</v>
      </c>
      <c r="O37" s="41">
        <f t="shared" si="3"/>
        <v>1.3435568196158403</v>
      </c>
      <c r="P37" s="41">
        <f t="shared" si="3"/>
        <v>0.10242618409569783</v>
      </c>
      <c r="Q37" s="41">
        <f t="shared" si="3"/>
        <v>1.0320936930842793E-2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45488.041666666664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45488.041666666664</v>
      </c>
      <c r="B9" s="51">
        <v>9.27</v>
      </c>
      <c r="C9" s="51">
        <v>4.08</v>
      </c>
      <c r="D9" s="51">
        <v>14.01</v>
      </c>
      <c r="E9" s="51">
        <v>11.54</v>
      </c>
      <c r="F9" s="51">
        <v>6.08</v>
      </c>
      <c r="G9" s="51">
        <v>33.69</v>
      </c>
      <c r="H9" s="51">
        <v>13.88</v>
      </c>
      <c r="I9" s="51">
        <v>6.84</v>
      </c>
      <c r="J9" s="51">
        <v>0.28000000000000003</v>
      </c>
      <c r="K9" s="51">
        <v>301.29000000000002</v>
      </c>
      <c r="L9" s="51">
        <v>27.04</v>
      </c>
      <c r="M9" s="51">
        <v>101.01</v>
      </c>
      <c r="N9" s="51">
        <v>2.9</v>
      </c>
      <c r="O9" s="51">
        <v>0</v>
      </c>
      <c r="P9" s="51">
        <v>0.69</v>
      </c>
      <c r="Q9" s="51">
        <v>4.67</v>
      </c>
    </row>
    <row r="10" spans="1:21" customFormat="1">
      <c r="A10" s="50">
        <v>45488.083333333336</v>
      </c>
      <c r="B10" s="51">
        <v>9.26</v>
      </c>
      <c r="C10" s="51">
        <v>4.09</v>
      </c>
      <c r="D10" s="51">
        <v>14</v>
      </c>
      <c r="E10" s="51">
        <v>10.32</v>
      </c>
      <c r="F10" s="51">
        <v>9.01</v>
      </c>
      <c r="G10" s="51">
        <v>33.15</v>
      </c>
      <c r="H10" s="51">
        <v>12.92</v>
      </c>
      <c r="I10" s="51">
        <v>6.48</v>
      </c>
      <c r="J10" s="51">
        <v>0.5</v>
      </c>
      <c r="K10" s="51">
        <v>311.06</v>
      </c>
      <c r="L10" s="51">
        <v>26.82</v>
      </c>
      <c r="M10" s="51">
        <v>97.13</v>
      </c>
      <c r="N10" s="51">
        <v>3.2</v>
      </c>
      <c r="O10" s="51">
        <v>0</v>
      </c>
      <c r="P10" s="51">
        <v>0.66</v>
      </c>
      <c r="Q10" s="51">
        <v>4.67</v>
      </c>
    </row>
    <row r="11" spans="1:21" customFormat="1">
      <c r="A11" s="50">
        <v>45488.125</v>
      </c>
      <c r="B11" s="51">
        <v>9.25</v>
      </c>
      <c r="C11" s="51">
        <v>4.08</v>
      </c>
      <c r="D11" s="51">
        <v>13.98</v>
      </c>
      <c r="E11" s="51">
        <v>9.5</v>
      </c>
      <c r="F11" s="51">
        <v>7.88</v>
      </c>
      <c r="G11" s="51">
        <v>32.74</v>
      </c>
      <c r="H11" s="51">
        <v>9.68</v>
      </c>
      <c r="I11" s="51">
        <v>6.27</v>
      </c>
      <c r="J11" s="51">
        <v>0.43</v>
      </c>
      <c r="K11" s="51">
        <v>332.92</v>
      </c>
      <c r="L11" s="51">
        <v>26.68</v>
      </c>
      <c r="M11" s="51">
        <v>96.23</v>
      </c>
      <c r="N11" s="51">
        <v>2.7</v>
      </c>
      <c r="O11" s="51">
        <v>0.2</v>
      </c>
      <c r="P11" s="51">
        <v>0.62</v>
      </c>
      <c r="Q11" s="51">
        <v>4.66</v>
      </c>
    </row>
    <row r="12" spans="1:21" customFormat="1">
      <c r="A12" s="50">
        <v>45488.166666666664</v>
      </c>
      <c r="B12" s="51">
        <v>9.18</v>
      </c>
      <c r="C12" s="51">
        <v>4.0599999999999996</v>
      </c>
      <c r="D12" s="51">
        <v>13.94</v>
      </c>
      <c r="E12" s="51">
        <v>9.44</v>
      </c>
      <c r="F12" s="51">
        <v>7.33</v>
      </c>
      <c r="G12" s="51">
        <v>39.11</v>
      </c>
      <c r="H12" s="51">
        <v>10.210000000000001</v>
      </c>
      <c r="I12" s="51">
        <v>6.3</v>
      </c>
      <c r="J12" s="51">
        <v>0.69</v>
      </c>
      <c r="K12" s="51">
        <v>295.77</v>
      </c>
      <c r="L12" s="51">
        <v>26.45</v>
      </c>
      <c r="M12" s="51">
        <v>98.57</v>
      </c>
      <c r="N12" s="51">
        <v>2.4</v>
      </c>
      <c r="O12" s="51">
        <v>0</v>
      </c>
      <c r="P12" s="51">
        <v>0.62</v>
      </c>
      <c r="Q12" s="51">
        <v>4.67</v>
      </c>
    </row>
    <row r="13" spans="1:21" customFormat="1">
      <c r="A13" s="50">
        <v>45488.208333333336</v>
      </c>
      <c r="B13" s="51">
        <v>9.18</v>
      </c>
      <c r="C13" s="51">
        <v>4.08</v>
      </c>
      <c r="D13" s="51">
        <v>13.94</v>
      </c>
      <c r="E13" s="51">
        <v>8.56</v>
      </c>
      <c r="F13" s="51">
        <v>7.69</v>
      </c>
      <c r="G13" s="51">
        <v>39.11</v>
      </c>
      <c r="H13" s="51">
        <v>11.61</v>
      </c>
      <c r="I13" s="51">
        <v>6.99</v>
      </c>
      <c r="J13" s="51">
        <v>0.2</v>
      </c>
      <c r="K13" s="51">
        <v>266.97000000000003</v>
      </c>
      <c r="L13" s="51">
        <v>26.24</v>
      </c>
      <c r="M13" s="51">
        <v>100.03</v>
      </c>
      <c r="N13" s="51">
        <v>2.4</v>
      </c>
      <c r="O13" s="51">
        <v>0</v>
      </c>
      <c r="P13" s="51">
        <v>0.66</v>
      </c>
      <c r="Q13" s="51">
        <v>4.6500000000000004</v>
      </c>
    </row>
    <row r="14" spans="1:21" customFormat="1">
      <c r="A14" s="50">
        <v>45488.25</v>
      </c>
      <c r="B14" s="51">
        <v>9.2799999999999994</v>
      </c>
      <c r="C14" s="51">
        <v>4.07</v>
      </c>
      <c r="D14" s="51">
        <v>14.01</v>
      </c>
      <c r="E14" s="51">
        <v>8.8000000000000007</v>
      </c>
      <c r="F14" s="51">
        <v>7.29</v>
      </c>
      <c r="G14" s="51">
        <v>33.19</v>
      </c>
      <c r="H14" s="51">
        <v>11.61</v>
      </c>
      <c r="I14" s="51">
        <v>6.92</v>
      </c>
      <c r="J14" s="51">
        <v>0.15</v>
      </c>
      <c r="K14" s="51">
        <v>263.33</v>
      </c>
      <c r="L14" s="51">
        <v>26.27</v>
      </c>
      <c r="M14" s="51">
        <v>99.95</v>
      </c>
      <c r="N14" s="51">
        <v>28.8</v>
      </c>
      <c r="O14" s="51">
        <v>0</v>
      </c>
      <c r="P14" s="51">
        <v>0.55000000000000004</v>
      </c>
      <c r="Q14" s="51">
        <v>4.6500000000000004</v>
      </c>
    </row>
    <row r="15" spans="1:21" customFormat="1">
      <c r="A15" s="50">
        <v>45488.291666666664</v>
      </c>
      <c r="B15" s="51">
        <v>9.25</v>
      </c>
      <c r="C15" s="51">
        <v>4.07</v>
      </c>
      <c r="D15" s="51">
        <v>13.99</v>
      </c>
      <c r="E15" s="51">
        <v>9.76</v>
      </c>
      <c r="F15" s="51">
        <v>6.56</v>
      </c>
      <c r="G15" s="51">
        <v>32.04</v>
      </c>
      <c r="H15" s="51">
        <v>9.7100000000000009</v>
      </c>
      <c r="I15" s="51">
        <v>5.94</v>
      </c>
      <c r="J15" s="51">
        <v>0.39</v>
      </c>
      <c r="K15" s="51">
        <v>290.52</v>
      </c>
      <c r="L15" s="51">
        <v>26.97</v>
      </c>
      <c r="M15" s="51">
        <v>99.89</v>
      </c>
      <c r="N15" s="51">
        <v>54.8</v>
      </c>
      <c r="O15" s="51">
        <v>0</v>
      </c>
      <c r="P15" s="51">
        <v>0.5</v>
      </c>
      <c r="Q15" s="51">
        <v>4.66</v>
      </c>
    </row>
    <row r="16" spans="1:21" customFormat="1">
      <c r="A16" s="50">
        <v>45488.333333333336</v>
      </c>
      <c r="B16" s="51">
        <v>9.24</v>
      </c>
      <c r="C16" s="51">
        <v>4.05</v>
      </c>
      <c r="D16" s="51">
        <v>13.97</v>
      </c>
      <c r="E16" s="51">
        <v>9.85</v>
      </c>
      <c r="F16" s="51">
        <v>6.19</v>
      </c>
      <c r="G16" s="51">
        <v>28.27</v>
      </c>
      <c r="H16" s="51">
        <v>9.4</v>
      </c>
      <c r="I16" s="51">
        <v>5.5</v>
      </c>
      <c r="J16" s="51">
        <v>0.48</v>
      </c>
      <c r="K16" s="51">
        <v>344.41</v>
      </c>
      <c r="L16" s="51">
        <v>27.75</v>
      </c>
      <c r="M16" s="51">
        <v>96.65</v>
      </c>
      <c r="N16" s="51">
        <v>101.6</v>
      </c>
      <c r="O16" s="51">
        <v>0</v>
      </c>
      <c r="P16" s="51">
        <v>0.52</v>
      </c>
      <c r="Q16" s="51">
        <v>4.66</v>
      </c>
    </row>
    <row r="17" spans="1:17" customFormat="1">
      <c r="A17" s="50">
        <v>45488.375</v>
      </c>
      <c r="B17" s="51">
        <v>9.24</v>
      </c>
      <c r="C17" s="51">
        <v>4.0999999999999996</v>
      </c>
      <c r="D17" s="51">
        <v>13.99</v>
      </c>
      <c r="E17" s="51">
        <v>11.55</v>
      </c>
      <c r="F17" s="51">
        <v>6.06</v>
      </c>
      <c r="G17" s="51">
        <v>34.049999999999997</v>
      </c>
      <c r="H17" s="51">
        <v>12.38</v>
      </c>
      <c r="I17" s="51">
        <v>5.89</v>
      </c>
      <c r="J17" s="51">
        <v>0.78</v>
      </c>
      <c r="K17" s="51">
        <v>356.23</v>
      </c>
      <c r="L17" s="51">
        <v>28.39</v>
      </c>
      <c r="M17" s="51">
        <v>91.93</v>
      </c>
      <c r="N17" s="51">
        <v>125.5</v>
      </c>
      <c r="O17" s="51">
        <v>0</v>
      </c>
      <c r="P17" s="51">
        <v>0.57999999999999996</v>
      </c>
      <c r="Q17" s="51">
        <v>4.63</v>
      </c>
    </row>
    <row r="18" spans="1:17" customFormat="1">
      <c r="A18" s="50">
        <v>45488.416666666664</v>
      </c>
      <c r="B18" s="51">
        <v>9.23</v>
      </c>
      <c r="C18" s="51">
        <v>4.08</v>
      </c>
      <c r="D18" s="51">
        <v>13.98</v>
      </c>
      <c r="E18" s="51">
        <v>14.58</v>
      </c>
      <c r="F18" s="51">
        <v>7.85</v>
      </c>
      <c r="G18" s="51">
        <v>62.4</v>
      </c>
      <c r="H18" s="51">
        <v>23.56</v>
      </c>
      <c r="I18" s="51">
        <v>6.35</v>
      </c>
      <c r="J18" s="51">
        <v>1.1000000000000001</v>
      </c>
      <c r="K18" s="51">
        <v>50.13</v>
      </c>
      <c r="L18" s="51">
        <v>28.4</v>
      </c>
      <c r="M18" s="51">
        <v>96.84</v>
      </c>
      <c r="N18" s="51">
        <v>188</v>
      </c>
      <c r="O18" s="51">
        <v>0.6</v>
      </c>
      <c r="P18" s="51">
        <v>0.74</v>
      </c>
      <c r="Q18" s="51">
        <v>4.6500000000000004</v>
      </c>
    </row>
    <row r="19" spans="1:17" customFormat="1">
      <c r="A19" s="50">
        <v>45488.458333333336</v>
      </c>
      <c r="B19" s="51">
        <v>9.19</v>
      </c>
      <c r="C19" s="51">
        <v>4.09</v>
      </c>
      <c r="D19" s="51">
        <v>13.95</v>
      </c>
      <c r="E19" s="51">
        <v>13.16</v>
      </c>
      <c r="F19" s="51">
        <v>10.210000000000001</v>
      </c>
      <c r="G19" s="51">
        <v>77.3</v>
      </c>
      <c r="H19" s="51">
        <v>26.26</v>
      </c>
      <c r="I19" s="51">
        <v>6.85</v>
      </c>
      <c r="J19" s="51">
        <v>1.05</v>
      </c>
      <c r="K19" s="51">
        <v>47.87</v>
      </c>
      <c r="L19" s="51">
        <v>29.39</v>
      </c>
      <c r="M19" s="51">
        <v>92.14</v>
      </c>
      <c r="N19" s="51">
        <v>275.3</v>
      </c>
      <c r="O19" s="51">
        <v>0</v>
      </c>
      <c r="P19" s="51">
        <v>0.72</v>
      </c>
      <c r="Q19" s="51">
        <v>4.6500000000000004</v>
      </c>
    </row>
    <row r="20" spans="1:17" customFormat="1">
      <c r="A20" s="50">
        <v>45488.5</v>
      </c>
      <c r="B20" s="51">
        <v>9.14</v>
      </c>
      <c r="C20" s="51">
        <v>4.08</v>
      </c>
      <c r="D20" s="51">
        <v>13.91</v>
      </c>
      <c r="E20" s="51">
        <v>12.52</v>
      </c>
      <c r="F20" s="51">
        <v>13.54</v>
      </c>
      <c r="G20" s="51">
        <v>87.71</v>
      </c>
      <c r="H20" s="51">
        <v>26.26</v>
      </c>
      <c r="I20" s="51">
        <v>7.03</v>
      </c>
      <c r="J20" s="51">
        <v>1.38</v>
      </c>
      <c r="K20" s="51">
        <v>57.65</v>
      </c>
      <c r="L20" s="51">
        <v>30.34</v>
      </c>
      <c r="M20" s="51">
        <v>85.81</v>
      </c>
      <c r="N20" s="51">
        <v>362.2</v>
      </c>
      <c r="O20" s="51">
        <v>0.4</v>
      </c>
      <c r="P20" s="51">
        <v>0.69</v>
      </c>
      <c r="Q20" s="51">
        <v>4.6500000000000004</v>
      </c>
    </row>
    <row r="21" spans="1:17" customFormat="1">
      <c r="A21" s="50">
        <v>45488.541666666664</v>
      </c>
      <c r="B21" s="51">
        <v>9.15</v>
      </c>
      <c r="C21" s="51">
        <v>4.08</v>
      </c>
      <c r="D21" s="51">
        <v>13.92</v>
      </c>
      <c r="E21" s="51">
        <v>14.35</v>
      </c>
      <c r="F21" s="51">
        <v>18.29</v>
      </c>
      <c r="G21" s="51">
        <v>87.71</v>
      </c>
      <c r="H21" s="51">
        <v>25.86</v>
      </c>
      <c r="I21" s="51">
        <v>6.75</v>
      </c>
      <c r="J21" s="51">
        <v>0.28999999999999998</v>
      </c>
      <c r="K21" s="51">
        <v>148.01</v>
      </c>
      <c r="L21" s="51">
        <v>31.13</v>
      </c>
      <c r="M21" s="51">
        <v>94.04</v>
      </c>
      <c r="N21" s="51">
        <v>418.1</v>
      </c>
      <c r="O21" s="51">
        <v>0</v>
      </c>
      <c r="P21" s="51">
        <v>0.64</v>
      </c>
      <c r="Q21" s="51">
        <v>4.6500000000000004</v>
      </c>
    </row>
    <row r="22" spans="1:17" customFormat="1">
      <c r="A22" s="50">
        <v>45488.583333333336</v>
      </c>
      <c r="B22" s="51">
        <v>9.14</v>
      </c>
      <c r="C22" s="51">
        <v>4.07</v>
      </c>
      <c r="D22" s="51">
        <v>13.9</v>
      </c>
      <c r="E22" s="51">
        <v>15.38</v>
      </c>
      <c r="F22" s="51">
        <v>21.71</v>
      </c>
      <c r="G22" s="51">
        <v>71.97</v>
      </c>
      <c r="H22" s="51">
        <v>23.19</v>
      </c>
      <c r="I22" s="51">
        <v>6.04</v>
      </c>
      <c r="J22" s="51">
        <v>0.55000000000000004</v>
      </c>
      <c r="K22" s="51">
        <v>133.65</v>
      </c>
      <c r="L22" s="51">
        <v>31.61</v>
      </c>
      <c r="M22" s="51">
        <v>84.06</v>
      </c>
      <c r="N22" s="51">
        <v>440.1</v>
      </c>
      <c r="O22" s="51">
        <v>0</v>
      </c>
      <c r="P22" s="51">
        <v>0.64</v>
      </c>
      <c r="Q22" s="51">
        <v>4.6500000000000004</v>
      </c>
    </row>
    <row r="23" spans="1:17" customFormat="1">
      <c r="A23" s="50">
        <v>45488.625</v>
      </c>
      <c r="B23" s="51">
        <v>9.26</v>
      </c>
      <c r="C23" s="51">
        <v>4.07</v>
      </c>
      <c r="D23" s="51">
        <v>13.99</v>
      </c>
      <c r="E23" s="51">
        <v>11.58</v>
      </c>
      <c r="F23" s="51">
        <v>19.190000000000001</v>
      </c>
      <c r="G23" s="51">
        <v>52.65</v>
      </c>
      <c r="H23" s="51">
        <v>20.63</v>
      </c>
      <c r="I23" s="51">
        <v>5.79</v>
      </c>
      <c r="J23" s="51">
        <v>0.25</v>
      </c>
      <c r="K23" s="51">
        <v>159.1</v>
      </c>
      <c r="L23" s="51">
        <v>32.47</v>
      </c>
      <c r="M23" s="51">
        <v>85.83</v>
      </c>
      <c r="N23" s="51">
        <v>363</v>
      </c>
      <c r="O23" s="51">
        <v>0.4</v>
      </c>
      <c r="P23" s="51">
        <v>0.56000000000000005</v>
      </c>
      <c r="Q23" s="51">
        <v>4.6500000000000004</v>
      </c>
    </row>
    <row r="24" spans="1:17" customFormat="1">
      <c r="A24" s="50">
        <v>45488.666666666664</v>
      </c>
      <c r="B24" s="51">
        <v>9.23</v>
      </c>
      <c r="C24" s="51">
        <v>4.08</v>
      </c>
      <c r="D24" s="51">
        <v>13.98</v>
      </c>
      <c r="E24" s="51">
        <v>10.6</v>
      </c>
      <c r="F24" s="51">
        <v>16.48</v>
      </c>
      <c r="G24" s="51">
        <v>52.28</v>
      </c>
      <c r="H24" s="51">
        <v>22.26</v>
      </c>
      <c r="I24" s="51">
        <v>5.16</v>
      </c>
      <c r="J24" s="51">
        <v>0.17</v>
      </c>
      <c r="K24" s="51">
        <v>300.01</v>
      </c>
      <c r="L24" s="51">
        <v>30.62</v>
      </c>
      <c r="M24" s="51">
        <v>89.29</v>
      </c>
      <c r="N24" s="51">
        <v>265.2</v>
      </c>
      <c r="O24" s="51">
        <v>0</v>
      </c>
      <c r="P24" s="51">
        <v>0.46</v>
      </c>
      <c r="Q24" s="51">
        <v>4.6399999999999997</v>
      </c>
    </row>
    <row r="25" spans="1:17" customFormat="1">
      <c r="A25" s="50">
        <v>45488.708333333336</v>
      </c>
      <c r="B25" s="51">
        <v>9.16</v>
      </c>
      <c r="C25" s="51">
        <v>4.0999999999999996</v>
      </c>
      <c r="D25" s="51">
        <v>13.91</v>
      </c>
      <c r="E25" s="51">
        <v>10.87</v>
      </c>
      <c r="F25" s="51">
        <v>7.71</v>
      </c>
      <c r="G25" s="51">
        <v>52.28</v>
      </c>
      <c r="H25" s="51">
        <v>22.26</v>
      </c>
      <c r="I25" s="51">
        <v>5.04</v>
      </c>
      <c r="J25" s="51">
        <v>0.32</v>
      </c>
      <c r="K25" s="51">
        <v>323.99</v>
      </c>
      <c r="L25" s="51">
        <v>27.12</v>
      </c>
      <c r="M25" s="51">
        <v>101.86</v>
      </c>
      <c r="N25" s="51">
        <v>26.8</v>
      </c>
      <c r="O25" s="51">
        <v>6.2</v>
      </c>
      <c r="P25" s="51">
        <v>0.47</v>
      </c>
      <c r="Q25" s="51">
        <v>4.6500000000000004</v>
      </c>
    </row>
    <row r="26" spans="1:17" customFormat="1">
      <c r="A26" s="50">
        <v>45488.75</v>
      </c>
      <c r="B26" s="51">
        <v>9.16</v>
      </c>
      <c r="C26" s="51">
        <v>4.08</v>
      </c>
      <c r="D26" s="51">
        <v>13.92</v>
      </c>
      <c r="E26" s="51">
        <v>11.02</v>
      </c>
      <c r="F26" s="51">
        <v>6.91</v>
      </c>
      <c r="G26" s="51">
        <v>37.79</v>
      </c>
      <c r="H26" s="51">
        <v>17.079999999999998</v>
      </c>
      <c r="I26" s="51">
        <v>4.93</v>
      </c>
      <c r="J26" s="51">
        <v>0.16</v>
      </c>
      <c r="K26" s="51">
        <v>238.97</v>
      </c>
      <c r="L26" s="51">
        <v>26.06</v>
      </c>
      <c r="M26" s="51">
        <v>104.12</v>
      </c>
      <c r="N26" s="51">
        <v>19.100000000000001</v>
      </c>
      <c r="O26" s="51">
        <v>0</v>
      </c>
      <c r="P26" s="51">
        <v>0.46</v>
      </c>
      <c r="Q26" s="51">
        <v>4.6500000000000004</v>
      </c>
    </row>
    <row r="27" spans="1:17" customFormat="1">
      <c r="A27" s="50">
        <v>45488.791666666664</v>
      </c>
      <c r="B27" s="51">
        <v>9.16</v>
      </c>
      <c r="C27" s="51">
        <v>4.08</v>
      </c>
      <c r="D27" s="51">
        <v>13.91</v>
      </c>
      <c r="E27" s="51">
        <v>10.38</v>
      </c>
      <c r="F27" s="51">
        <v>6.17</v>
      </c>
      <c r="G27" s="51">
        <v>43.51</v>
      </c>
      <c r="H27" s="51">
        <v>14.88</v>
      </c>
      <c r="I27" s="51">
        <v>5.23</v>
      </c>
      <c r="J27" s="51">
        <v>0.78</v>
      </c>
      <c r="K27" s="51">
        <v>206.85</v>
      </c>
      <c r="L27" s="51">
        <v>26.32</v>
      </c>
      <c r="M27" s="51">
        <v>104.99</v>
      </c>
      <c r="N27" s="51">
        <v>10.5</v>
      </c>
      <c r="O27" s="51">
        <v>0</v>
      </c>
      <c r="P27" s="51">
        <v>0.52</v>
      </c>
      <c r="Q27" s="51">
        <v>4.66</v>
      </c>
    </row>
    <row r="28" spans="1:17" customFormat="1">
      <c r="A28" s="50">
        <v>45488.833333333336</v>
      </c>
      <c r="B28" s="51">
        <v>9.2200000000000006</v>
      </c>
      <c r="C28" s="51">
        <v>4.07</v>
      </c>
      <c r="D28" s="51">
        <v>13.95</v>
      </c>
      <c r="E28" s="51">
        <v>9.93</v>
      </c>
      <c r="F28" s="51">
        <v>7.77</v>
      </c>
      <c r="G28" s="51">
        <v>43.51</v>
      </c>
      <c r="H28" s="51">
        <v>14.88</v>
      </c>
      <c r="I28" s="51">
        <v>5.28</v>
      </c>
      <c r="J28" s="51">
        <v>0.15</v>
      </c>
      <c r="K28" s="51">
        <v>207.09</v>
      </c>
      <c r="L28" s="51">
        <v>26.35</v>
      </c>
      <c r="M28" s="51">
        <v>105.77</v>
      </c>
      <c r="N28" s="51">
        <v>2.2999999999999998</v>
      </c>
      <c r="O28" s="51">
        <v>0</v>
      </c>
      <c r="P28" s="51">
        <v>0.55000000000000004</v>
      </c>
      <c r="Q28" s="51">
        <v>4.6500000000000004</v>
      </c>
    </row>
    <row r="29" spans="1:17" customFormat="1">
      <c r="A29" s="50">
        <v>45488.875</v>
      </c>
      <c r="B29" s="51">
        <v>9.18</v>
      </c>
      <c r="C29" s="51">
        <v>4.1100000000000003</v>
      </c>
      <c r="D29" s="51">
        <v>13.94</v>
      </c>
      <c r="E29" s="51">
        <v>8.06</v>
      </c>
      <c r="F29" s="51">
        <v>6.25</v>
      </c>
      <c r="G29" s="51">
        <v>38.22</v>
      </c>
      <c r="H29" s="51">
        <v>13.23</v>
      </c>
      <c r="I29" s="51">
        <v>5.38</v>
      </c>
      <c r="J29" s="51">
        <v>0.18</v>
      </c>
      <c r="K29" s="51">
        <v>352.01</v>
      </c>
      <c r="L29" s="51">
        <v>26.41</v>
      </c>
      <c r="M29" s="51">
        <v>102.56</v>
      </c>
      <c r="N29" s="51">
        <v>2.4</v>
      </c>
      <c r="O29" s="51">
        <v>0</v>
      </c>
      <c r="P29" s="51">
        <v>0.62</v>
      </c>
      <c r="Q29" s="51">
        <v>4.66</v>
      </c>
    </row>
    <row r="30" spans="1:17" customFormat="1">
      <c r="A30" s="50">
        <v>45488.916666666664</v>
      </c>
      <c r="B30" s="51">
        <v>9.18</v>
      </c>
      <c r="C30" s="51">
        <v>4.1100000000000003</v>
      </c>
      <c r="D30" s="51">
        <v>13.95</v>
      </c>
      <c r="E30" s="51">
        <v>7.81</v>
      </c>
      <c r="F30" s="51">
        <v>4.04</v>
      </c>
      <c r="G30" s="51">
        <v>57.75</v>
      </c>
      <c r="H30" s="51">
        <v>14.47</v>
      </c>
      <c r="I30" s="51">
        <v>6.03</v>
      </c>
      <c r="J30" s="51">
        <v>0.38</v>
      </c>
      <c r="K30" s="51">
        <v>227.77</v>
      </c>
      <c r="L30" s="51">
        <v>26.49</v>
      </c>
      <c r="M30" s="51">
        <v>103.39</v>
      </c>
      <c r="N30" s="51">
        <v>2.2999999999999998</v>
      </c>
      <c r="O30" s="51">
        <v>0</v>
      </c>
      <c r="P30" s="51">
        <v>0.7</v>
      </c>
      <c r="Q30" s="51">
        <v>4.6500000000000004</v>
      </c>
    </row>
    <row r="31" spans="1:17" customFormat="1">
      <c r="A31" s="50">
        <v>45488.958333333336</v>
      </c>
      <c r="B31" s="51">
        <v>9.18</v>
      </c>
      <c r="C31" s="51">
        <v>4.0999999999999996</v>
      </c>
      <c r="D31" s="51">
        <v>13.94</v>
      </c>
      <c r="E31" s="51">
        <v>7.17</v>
      </c>
      <c r="F31" s="51">
        <v>3.1</v>
      </c>
      <c r="G31" s="51">
        <v>57.75</v>
      </c>
      <c r="H31" s="51">
        <v>14.48</v>
      </c>
      <c r="I31" s="51">
        <v>6.27</v>
      </c>
      <c r="J31" s="51">
        <v>0.22</v>
      </c>
      <c r="K31" s="51">
        <v>207.09</v>
      </c>
      <c r="L31" s="51">
        <v>26.46</v>
      </c>
      <c r="M31" s="51">
        <v>102.74</v>
      </c>
      <c r="N31" s="51">
        <v>2.2999999999999998</v>
      </c>
      <c r="O31" s="51">
        <v>0</v>
      </c>
      <c r="P31" s="51">
        <v>0.67</v>
      </c>
      <c r="Q31" s="51">
        <v>4.6500000000000004</v>
      </c>
    </row>
    <row r="32" spans="1:17" customFormat="1">
      <c r="A32" s="50">
        <v>45489</v>
      </c>
      <c r="B32" s="51">
        <v>9.1999999999999993</v>
      </c>
      <c r="C32" s="51">
        <v>4.0999999999999996</v>
      </c>
      <c r="D32" s="51">
        <v>13.95</v>
      </c>
      <c r="E32" s="51">
        <v>7.06</v>
      </c>
      <c r="F32" s="51">
        <v>4.83</v>
      </c>
      <c r="G32" s="51">
        <v>54</v>
      </c>
      <c r="H32" s="51">
        <v>14.9</v>
      </c>
      <c r="I32" s="51">
        <v>6.09</v>
      </c>
      <c r="J32" s="51">
        <v>0.22</v>
      </c>
      <c r="K32" s="51">
        <v>173.78</v>
      </c>
      <c r="L32" s="51">
        <v>26.63</v>
      </c>
      <c r="M32" s="51">
        <v>103.8</v>
      </c>
      <c r="N32" s="51">
        <v>2.4</v>
      </c>
      <c r="O32" s="51">
        <v>0</v>
      </c>
      <c r="P32" s="51">
        <v>0.67</v>
      </c>
      <c r="Q32" s="51">
        <v>4.63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9.14</v>
      </c>
      <c r="C34" s="41">
        <f t="shared" si="0"/>
        <v>4.05</v>
      </c>
      <c r="D34" s="41">
        <f t="shared" si="0"/>
        <v>13.9</v>
      </c>
      <c r="E34" s="41">
        <f t="shared" si="0"/>
        <v>7.06</v>
      </c>
      <c r="F34" s="41">
        <f t="shared" si="0"/>
        <v>3.1</v>
      </c>
      <c r="G34" s="41">
        <f t="shared" si="0"/>
        <v>28.27</v>
      </c>
      <c r="H34" s="41">
        <f t="shared" si="0"/>
        <v>9.4</v>
      </c>
      <c r="I34" s="41">
        <f t="shared" si="0"/>
        <v>4.93</v>
      </c>
      <c r="J34" s="41">
        <f t="shared" si="0"/>
        <v>0.15</v>
      </c>
      <c r="K34" s="41">
        <f t="shared" si="0"/>
        <v>47.87</v>
      </c>
      <c r="L34" s="41">
        <f t="shared" si="0"/>
        <v>26.06</v>
      </c>
      <c r="M34" s="41">
        <f t="shared" si="0"/>
        <v>84.06</v>
      </c>
      <c r="N34" s="41">
        <f t="shared" si="0"/>
        <v>2.2999999999999998</v>
      </c>
      <c r="O34" s="41">
        <f t="shared" si="0"/>
        <v>0</v>
      </c>
      <c r="P34" s="41">
        <f t="shared" si="0"/>
        <v>0.46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9.2799999999999994</v>
      </c>
      <c r="C35" s="33">
        <f t="shared" si="1"/>
        <v>4.1100000000000003</v>
      </c>
      <c r="D35" s="33">
        <f t="shared" si="1"/>
        <v>14.01</v>
      </c>
      <c r="E35" s="33">
        <f t="shared" si="1"/>
        <v>15.38</v>
      </c>
      <c r="F35" s="33">
        <f t="shared" si="1"/>
        <v>21.71</v>
      </c>
      <c r="G35" s="33">
        <f t="shared" si="1"/>
        <v>87.71</v>
      </c>
      <c r="H35" s="33">
        <f t="shared" si="1"/>
        <v>26.26</v>
      </c>
      <c r="I35" s="33">
        <f t="shared" si="1"/>
        <v>7.03</v>
      </c>
      <c r="J35" s="33">
        <f t="shared" si="1"/>
        <v>1.38</v>
      </c>
      <c r="K35" s="33">
        <f t="shared" si="1"/>
        <v>356.23</v>
      </c>
      <c r="L35" s="33">
        <f t="shared" si="1"/>
        <v>32.47</v>
      </c>
      <c r="M35" s="33">
        <f t="shared" si="1"/>
        <v>105.77</v>
      </c>
      <c r="N35" s="33">
        <f t="shared" si="1"/>
        <v>440.1</v>
      </c>
      <c r="O35" s="33">
        <f t="shared" si="1"/>
        <v>6.2</v>
      </c>
      <c r="P35" s="33">
        <f t="shared" si="1"/>
        <v>0.74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9.2054166666666664</v>
      </c>
      <c r="C36" s="41">
        <f t="shared" si="2"/>
        <v>4.0824999999999987</v>
      </c>
      <c r="D36" s="41">
        <f t="shared" si="2"/>
        <v>13.955416666666663</v>
      </c>
      <c r="E36" s="41">
        <f t="shared" si="2"/>
        <v>10.574583333333333</v>
      </c>
      <c r="F36" s="41">
        <f t="shared" si="2"/>
        <v>9.0891666666666655</v>
      </c>
      <c r="G36" s="41">
        <f t="shared" si="2"/>
        <v>49.257499999999993</v>
      </c>
      <c r="H36" s="41">
        <f t="shared" si="2"/>
        <v>16.483333333333331</v>
      </c>
      <c r="I36" s="41">
        <f t="shared" si="2"/>
        <v>6.0562500000000012</v>
      </c>
      <c r="J36" s="41">
        <f t="shared" si="2"/>
        <v>0.46250000000000008</v>
      </c>
      <c r="K36" s="41">
        <f t="shared" si="2"/>
        <v>233.18625000000006</v>
      </c>
      <c r="L36" s="41">
        <f t="shared" si="2"/>
        <v>27.850416666666664</v>
      </c>
      <c r="M36" s="41">
        <f t="shared" si="2"/>
        <v>97.442916666666648</v>
      </c>
      <c r="N36" s="41">
        <f t="shared" si="2"/>
        <v>112.67916666666669</v>
      </c>
      <c r="O36" s="41">
        <f t="shared" si="2"/>
        <v>0.32500000000000001</v>
      </c>
      <c r="P36" s="41">
        <f t="shared" si="2"/>
        <v>0.60458333333333347</v>
      </c>
      <c r="Q36" s="41">
        <f t="shared" si="2"/>
        <v>4.6525000000000007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4.4132130330817053E-2</v>
      </c>
      <c r="C37" s="41">
        <f t="shared" ref="C37:Q37" si="3">STDEV(C9:C32)</f>
        <v>1.5108304655560009E-2</v>
      </c>
      <c r="D37" s="41">
        <f t="shared" si="3"/>
        <v>3.387690847075979E-2</v>
      </c>
      <c r="E37" s="41">
        <f t="shared" si="3"/>
        <v>2.2487174686080866</v>
      </c>
      <c r="F37" s="41">
        <f t="shared" si="3"/>
        <v>4.9802321551149227</v>
      </c>
      <c r="G37" s="41">
        <f t="shared" si="3"/>
        <v>17.637642859865789</v>
      </c>
      <c r="H37" s="41">
        <f t="shared" si="3"/>
        <v>5.7113134609540825</v>
      </c>
      <c r="I37" s="41">
        <f t="shared" si="3"/>
        <v>0.65868652239331371</v>
      </c>
      <c r="J37" s="41">
        <f t="shared" si="3"/>
        <v>0.33856795605840362</v>
      </c>
      <c r="K37" s="41">
        <f t="shared" si="3"/>
        <v>95.827486699094862</v>
      </c>
      <c r="L37" s="41">
        <f t="shared" si="3"/>
        <v>1.9745059462772334</v>
      </c>
      <c r="M37" s="41">
        <f t="shared" si="3"/>
        <v>6.3990124775946295</v>
      </c>
      <c r="N37" s="41">
        <f t="shared" si="3"/>
        <v>153.1358816305102</v>
      </c>
      <c r="O37" s="41">
        <f t="shared" si="3"/>
        <v>1.2618998788920721</v>
      </c>
      <c r="P37" s="41">
        <f t="shared" si="3"/>
        <v>8.5209673193816046E-2</v>
      </c>
      <c r="Q37" s="41">
        <f t="shared" si="3"/>
        <v>1.0320936930842793E-2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Q32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45489.041666666664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 ht="13.5" customHeight="1">
      <c r="A9" s="50">
        <v>45489.041666666664</v>
      </c>
      <c r="B9" s="51">
        <v>9.2899999999999991</v>
      </c>
      <c r="C9" s="51">
        <v>4.1100000000000003</v>
      </c>
      <c r="D9" s="51">
        <v>14.04</v>
      </c>
      <c r="E9" s="51">
        <v>7.93</v>
      </c>
      <c r="F9" s="51">
        <v>4.93</v>
      </c>
      <c r="G9" s="51">
        <v>52.6</v>
      </c>
      <c r="H9" s="51">
        <v>14.9</v>
      </c>
      <c r="I9" s="51">
        <v>6.23</v>
      </c>
      <c r="J9" s="51">
        <v>0.3</v>
      </c>
      <c r="K9" s="51">
        <v>182.22</v>
      </c>
      <c r="L9" s="51">
        <v>26.65</v>
      </c>
      <c r="M9" s="51">
        <v>102.09</v>
      </c>
      <c r="N9" s="51">
        <v>2.4</v>
      </c>
      <c r="O9" s="51">
        <v>0</v>
      </c>
      <c r="P9" s="51">
        <v>0.62</v>
      </c>
      <c r="Q9" s="51">
        <v>4.66</v>
      </c>
    </row>
    <row r="10" spans="1:21" customFormat="1">
      <c r="A10" s="50">
        <v>45489.083333333336</v>
      </c>
      <c r="B10" s="51">
        <v>9.32</v>
      </c>
      <c r="C10" s="51">
        <v>4.08</v>
      </c>
      <c r="D10" s="51">
        <v>14.06</v>
      </c>
      <c r="E10" s="51">
        <v>8.6199999999999992</v>
      </c>
      <c r="F10" s="51">
        <v>4.46</v>
      </c>
      <c r="G10" s="51">
        <v>46.06</v>
      </c>
      <c r="H10" s="51">
        <v>13.62</v>
      </c>
      <c r="I10" s="51">
        <v>6.31</v>
      </c>
      <c r="J10" s="51">
        <v>0.5</v>
      </c>
      <c r="K10" s="51">
        <v>208.25</v>
      </c>
      <c r="L10" s="51">
        <v>26.58</v>
      </c>
      <c r="M10" s="51">
        <v>102.58</v>
      </c>
      <c r="N10" s="51">
        <v>2.4</v>
      </c>
      <c r="O10" s="51">
        <v>0</v>
      </c>
      <c r="P10" s="51">
        <v>0.64</v>
      </c>
      <c r="Q10" s="51">
        <v>4.6500000000000004</v>
      </c>
    </row>
    <row r="11" spans="1:21" customFormat="1">
      <c r="A11" s="50">
        <v>45489.125</v>
      </c>
      <c r="B11" s="51">
        <v>9.2799999999999994</v>
      </c>
      <c r="C11" s="51">
        <v>4.09</v>
      </c>
      <c r="D11" s="51">
        <v>14.03</v>
      </c>
      <c r="E11" s="51">
        <v>11.43</v>
      </c>
      <c r="F11" s="51">
        <v>3.23</v>
      </c>
      <c r="G11" s="51">
        <v>51.84</v>
      </c>
      <c r="H11" s="51">
        <v>13</v>
      </c>
      <c r="I11" s="51">
        <v>6.46</v>
      </c>
      <c r="J11" s="51">
        <v>0.48</v>
      </c>
      <c r="K11" s="51">
        <v>73.59</v>
      </c>
      <c r="L11" s="51">
        <v>26.73</v>
      </c>
      <c r="M11" s="51">
        <v>102.51</v>
      </c>
      <c r="N11" s="51">
        <v>2.2999999999999998</v>
      </c>
      <c r="O11" s="51">
        <v>0</v>
      </c>
      <c r="P11" s="51">
        <v>0.69</v>
      </c>
      <c r="Q11" s="51">
        <v>4.6500000000000004</v>
      </c>
    </row>
    <row r="12" spans="1:21" customFormat="1">
      <c r="A12" s="50">
        <v>45489.166666666664</v>
      </c>
      <c r="B12" s="51">
        <v>9.2899999999999991</v>
      </c>
      <c r="C12" s="51">
        <v>4.08</v>
      </c>
      <c r="D12" s="51">
        <v>14.02</v>
      </c>
      <c r="E12" s="51">
        <v>11.75</v>
      </c>
      <c r="F12" s="51">
        <v>4.2300000000000004</v>
      </c>
      <c r="G12" s="51">
        <v>52.84</v>
      </c>
      <c r="H12" s="51">
        <v>16.82</v>
      </c>
      <c r="I12" s="51">
        <v>6.81</v>
      </c>
      <c r="J12" s="51">
        <v>1.1100000000000001</v>
      </c>
      <c r="K12" s="51">
        <v>157.01</v>
      </c>
      <c r="L12" s="51">
        <v>26.73</v>
      </c>
      <c r="M12" s="51">
        <v>102.36</v>
      </c>
      <c r="N12" s="51">
        <v>3.1</v>
      </c>
      <c r="O12" s="51">
        <v>2</v>
      </c>
      <c r="P12" s="51">
        <v>0.7</v>
      </c>
      <c r="Q12" s="51">
        <v>4.6500000000000004</v>
      </c>
    </row>
    <row r="13" spans="1:21" customFormat="1">
      <c r="A13" s="50">
        <v>45489.208333333336</v>
      </c>
      <c r="B13" s="51">
        <v>9.2799999999999994</v>
      </c>
      <c r="C13" s="51">
        <v>4.0999999999999996</v>
      </c>
      <c r="D13" s="51">
        <v>14.02</v>
      </c>
      <c r="E13" s="51">
        <v>12.31</v>
      </c>
      <c r="F13" s="51">
        <v>4.5</v>
      </c>
      <c r="G13" s="51">
        <v>52.84</v>
      </c>
      <c r="H13" s="51">
        <v>16.82</v>
      </c>
      <c r="I13" s="51">
        <v>6.87</v>
      </c>
      <c r="J13" s="51">
        <v>0.32</v>
      </c>
      <c r="K13" s="51">
        <v>151.06</v>
      </c>
      <c r="L13" s="51">
        <v>25.83</v>
      </c>
      <c r="M13" s="51">
        <v>104.68</v>
      </c>
      <c r="N13" s="51">
        <v>2.7</v>
      </c>
      <c r="O13" s="51">
        <v>0.2</v>
      </c>
      <c r="P13" s="51">
        <v>0.68</v>
      </c>
      <c r="Q13" s="51">
        <v>4.67</v>
      </c>
    </row>
    <row r="14" spans="1:21" customFormat="1">
      <c r="A14" s="50">
        <v>45489.25</v>
      </c>
      <c r="B14" s="51">
        <v>9.2799999999999994</v>
      </c>
      <c r="C14" s="51">
        <v>4.07</v>
      </c>
      <c r="D14" s="51">
        <v>14.01</v>
      </c>
      <c r="E14" s="51">
        <v>11.04</v>
      </c>
      <c r="F14" s="51">
        <v>5.28</v>
      </c>
      <c r="G14" s="51">
        <v>45.24</v>
      </c>
      <c r="H14" s="51">
        <v>13.01</v>
      </c>
      <c r="I14" s="51">
        <v>6.01</v>
      </c>
      <c r="J14" s="51">
        <v>0.24</v>
      </c>
      <c r="K14" s="51">
        <v>129.21</v>
      </c>
      <c r="L14" s="51">
        <v>26.02</v>
      </c>
      <c r="M14" s="51">
        <v>101.8</v>
      </c>
      <c r="N14" s="51">
        <v>23.4</v>
      </c>
      <c r="O14" s="51">
        <v>0</v>
      </c>
      <c r="P14" s="51">
        <v>0.61</v>
      </c>
      <c r="Q14" s="51">
        <v>4.66</v>
      </c>
    </row>
    <row r="15" spans="1:21" customFormat="1">
      <c r="A15" s="50">
        <v>45489.291666666664</v>
      </c>
      <c r="B15" s="51">
        <v>9.26</v>
      </c>
      <c r="C15" s="51">
        <v>4.0999999999999996</v>
      </c>
      <c r="D15" s="51">
        <v>14.02</v>
      </c>
      <c r="E15" s="51">
        <v>9.5399999999999991</v>
      </c>
      <c r="F15" s="51">
        <v>5.52</v>
      </c>
      <c r="G15" s="51">
        <v>37.47</v>
      </c>
      <c r="H15" s="51">
        <v>12.16</v>
      </c>
      <c r="I15" s="51">
        <v>6</v>
      </c>
      <c r="J15" s="51">
        <v>0.37</v>
      </c>
      <c r="K15" s="51">
        <v>170.84</v>
      </c>
      <c r="L15" s="51">
        <v>27.08</v>
      </c>
      <c r="M15" s="51">
        <v>101.68</v>
      </c>
      <c r="N15" s="51">
        <v>84.7</v>
      </c>
      <c r="O15" s="51">
        <v>0</v>
      </c>
      <c r="P15" s="51">
        <v>0.62</v>
      </c>
      <c r="Q15" s="51">
        <v>4.66</v>
      </c>
    </row>
    <row r="16" spans="1:21" customFormat="1">
      <c r="A16" s="50">
        <v>45489.333333333336</v>
      </c>
      <c r="B16" s="51">
        <v>9.2899999999999991</v>
      </c>
      <c r="C16" s="51">
        <v>4.0999999999999996</v>
      </c>
      <c r="D16" s="51">
        <v>14.02</v>
      </c>
      <c r="E16" s="51">
        <v>10.14</v>
      </c>
      <c r="F16" s="51">
        <v>7.69</v>
      </c>
      <c r="G16" s="51">
        <v>33.49</v>
      </c>
      <c r="H16" s="51">
        <v>12.46</v>
      </c>
      <c r="I16" s="51">
        <v>6.01</v>
      </c>
      <c r="J16" s="51">
        <v>0.49</v>
      </c>
      <c r="K16" s="51">
        <v>183.65</v>
      </c>
      <c r="L16" s="51">
        <v>28.53</v>
      </c>
      <c r="M16" s="51">
        <v>99.71</v>
      </c>
      <c r="N16" s="51">
        <v>147.5</v>
      </c>
      <c r="O16" s="51">
        <v>0</v>
      </c>
      <c r="P16" s="51">
        <v>0.62</v>
      </c>
      <c r="Q16" s="51">
        <v>4.67</v>
      </c>
    </row>
    <row r="17" spans="1:17" customFormat="1">
      <c r="A17" s="50">
        <v>45489.375</v>
      </c>
      <c r="B17" s="51">
        <v>9.2899999999999991</v>
      </c>
      <c r="C17" s="51">
        <v>4.07</v>
      </c>
      <c r="D17" s="51">
        <v>14.02</v>
      </c>
      <c r="E17" s="51">
        <v>9.36</v>
      </c>
      <c r="F17" s="51">
        <v>7.69</v>
      </c>
      <c r="G17" s="51">
        <v>30.85</v>
      </c>
      <c r="H17" s="51">
        <v>12.46</v>
      </c>
      <c r="I17" s="51">
        <v>5.63</v>
      </c>
      <c r="J17" s="51">
        <v>0.53</v>
      </c>
      <c r="K17" s="51">
        <v>107.03</v>
      </c>
      <c r="L17" s="51">
        <v>28.73</v>
      </c>
      <c r="M17" s="51">
        <v>93.12</v>
      </c>
      <c r="N17" s="51">
        <v>164.7</v>
      </c>
      <c r="O17" s="51">
        <v>0</v>
      </c>
      <c r="P17" s="51">
        <v>0.56999999999999995</v>
      </c>
      <c r="Q17" s="51">
        <v>4.66</v>
      </c>
    </row>
    <row r="18" spans="1:17" customFormat="1">
      <c r="A18" s="50">
        <v>45489.416666666664</v>
      </c>
      <c r="B18" s="51">
        <v>9.34</v>
      </c>
      <c r="C18" s="51">
        <v>4.09</v>
      </c>
      <c r="D18" s="51">
        <v>14.06</v>
      </c>
      <c r="E18" s="51">
        <v>9.76</v>
      </c>
      <c r="F18" s="51">
        <v>6.35</v>
      </c>
      <c r="G18" s="51">
        <v>37.26</v>
      </c>
      <c r="H18" s="51">
        <v>15.03</v>
      </c>
      <c r="I18" s="51">
        <v>5.46</v>
      </c>
      <c r="J18" s="51">
        <v>1</v>
      </c>
      <c r="K18" s="51">
        <v>59.97</v>
      </c>
      <c r="L18" s="51">
        <v>29.64</v>
      </c>
      <c r="M18" s="51">
        <v>90.84</v>
      </c>
      <c r="N18" s="51">
        <v>295</v>
      </c>
      <c r="O18" s="51">
        <v>0</v>
      </c>
      <c r="P18" s="51">
        <v>0.54</v>
      </c>
      <c r="Q18" s="51">
        <v>4.66</v>
      </c>
    </row>
    <row r="19" spans="1:17" customFormat="1">
      <c r="A19" s="50">
        <v>45489.458333333336</v>
      </c>
      <c r="B19" s="51">
        <v>9.2899999999999991</v>
      </c>
      <c r="C19" s="51">
        <v>4.08</v>
      </c>
      <c r="D19" s="51">
        <v>14.03</v>
      </c>
      <c r="E19" s="51">
        <v>12.69</v>
      </c>
      <c r="F19" s="51">
        <v>9.57</v>
      </c>
      <c r="G19" s="51">
        <v>37.26</v>
      </c>
      <c r="H19" s="51">
        <v>15.03</v>
      </c>
      <c r="I19" s="51">
        <v>5.3</v>
      </c>
      <c r="J19" s="51">
        <v>0.96</v>
      </c>
      <c r="K19" s="51">
        <v>67.58</v>
      </c>
      <c r="L19" s="51">
        <v>31.77</v>
      </c>
      <c r="M19" s="51">
        <v>80.59</v>
      </c>
      <c r="N19" s="51">
        <v>284.89999999999998</v>
      </c>
      <c r="O19" s="51">
        <v>0</v>
      </c>
      <c r="P19" s="51">
        <v>0.5</v>
      </c>
      <c r="Q19" s="51">
        <v>4.67</v>
      </c>
    </row>
    <row r="20" spans="1:17" customFormat="1">
      <c r="A20" s="50">
        <v>45489.5</v>
      </c>
      <c r="B20" s="51">
        <v>9.26</v>
      </c>
      <c r="C20" s="51">
        <v>4.07</v>
      </c>
      <c r="D20" s="51">
        <v>13.99</v>
      </c>
      <c r="E20" s="51">
        <v>9.16</v>
      </c>
      <c r="F20" s="51">
        <v>22.35</v>
      </c>
      <c r="G20" s="51">
        <v>0</v>
      </c>
      <c r="H20" s="51">
        <v>0</v>
      </c>
      <c r="I20" s="51">
        <v>4.97</v>
      </c>
      <c r="J20" s="51">
        <v>0.98</v>
      </c>
      <c r="K20" s="51">
        <v>70.95</v>
      </c>
      <c r="L20" s="51">
        <v>32.880000000000003</v>
      </c>
      <c r="M20" s="51">
        <v>74.760000000000005</v>
      </c>
      <c r="N20" s="51">
        <v>630.5</v>
      </c>
      <c r="O20" s="51">
        <v>0</v>
      </c>
      <c r="P20" s="51">
        <v>0.35</v>
      </c>
      <c r="Q20" s="51">
        <v>4.66</v>
      </c>
    </row>
    <row r="21" spans="1:17" customFormat="1">
      <c r="A21" s="50">
        <v>45489.541666666664</v>
      </c>
      <c r="B21" s="51">
        <v>9.23</v>
      </c>
      <c r="C21" s="51">
        <v>4.05</v>
      </c>
      <c r="D21" s="51">
        <v>13.78</v>
      </c>
      <c r="E21" s="51">
        <v>9.19</v>
      </c>
      <c r="F21" s="51">
        <v>19.41</v>
      </c>
      <c r="G21" s="51">
        <v>53.57</v>
      </c>
      <c r="H21" s="51">
        <v>8.41</v>
      </c>
      <c r="I21" s="51">
        <v>2.19</v>
      </c>
      <c r="J21" s="51">
        <v>1.1599999999999999</v>
      </c>
      <c r="K21" s="51">
        <v>61.67</v>
      </c>
      <c r="L21" s="51">
        <v>32.229999999999997</v>
      </c>
      <c r="M21" s="51">
        <v>76.64</v>
      </c>
      <c r="N21" s="51">
        <v>650.9</v>
      </c>
      <c r="O21" s="51">
        <v>0</v>
      </c>
      <c r="P21" s="51">
        <v>0.31</v>
      </c>
      <c r="Q21" s="51">
        <v>4.66</v>
      </c>
    </row>
    <row r="22" spans="1:17" customFormat="1">
      <c r="A22" s="50">
        <v>45489.583333333336</v>
      </c>
      <c r="B22" s="51">
        <v>8.57</v>
      </c>
      <c r="C22" s="51">
        <v>4.04</v>
      </c>
      <c r="D22" s="51">
        <v>13.42</v>
      </c>
      <c r="E22" s="51">
        <v>9.24</v>
      </c>
      <c r="F22" s="51">
        <v>7.9</v>
      </c>
      <c r="G22" s="51">
        <v>53.57</v>
      </c>
      <c r="H22" s="51">
        <v>8.41</v>
      </c>
      <c r="I22" s="51">
        <v>2.34</v>
      </c>
      <c r="J22" s="51">
        <v>1.2</v>
      </c>
      <c r="K22" s="51">
        <v>65.48</v>
      </c>
      <c r="L22" s="51">
        <v>32.83</v>
      </c>
      <c r="M22" s="51">
        <v>74.02</v>
      </c>
      <c r="N22" s="51">
        <v>546.5</v>
      </c>
      <c r="O22" s="51">
        <v>0</v>
      </c>
      <c r="P22" s="51">
        <v>0.31</v>
      </c>
      <c r="Q22" s="51">
        <v>4.66</v>
      </c>
    </row>
    <row r="23" spans="1:17" customFormat="1">
      <c r="A23" s="50">
        <v>45489.625</v>
      </c>
      <c r="B23" s="51">
        <v>8.7799999999999994</v>
      </c>
      <c r="C23" s="51">
        <v>4.0599999999999996</v>
      </c>
      <c r="D23" s="51">
        <v>13.6</v>
      </c>
      <c r="E23" s="51">
        <v>9.23</v>
      </c>
      <c r="F23" s="51">
        <v>10.85</v>
      </c>
      <c r="G23" s="51">
        <v>40.61</v>
      </c>
      <c r="H23" s="51">
        <v>8.3800000000000008</v>
      </c>
      <c r="I23" s="51">
        <v>2.72</v>
      </c>
      <c r="J23" s="51">
        <v>0.71</v>
      </c>
      <c r="K23" s="51">
        <v>91.48</v>
      </c>
      <c r="L23" s="51">
        <v>32.89</v>
      </c>
      <c r="M23" s="51">
        <v>70.94</v>
      </c>
      <c r="N23" s="51">
        <v>486.1</v>
      </c>
      <c r="O23" s="51">
        <v>0</v>
      </c>
      <c r="P23" s="51">
        <v>0.37</v>
      </c>
      <c r="Q23" s="51">
        <v>4.66</v>
      </c>
    </row>
    <row r="24" spans="1:17" customFormat="1">
      <c r="A24" s="50">
        <v>45489.666666666664</v>
      </c>
      <c r="B24" s="51">
        <v>8.74</v>
      </c>
      <c r="C24" s="51">
        <v>4.0599999999999996</v>
      </c>
      <c r="D24" s="51">
        <v>13.57</v>
      </c>
      <c r="E24" s="51">
        <v>10.199999999999999</v>
      </c>
      <c r="F24" s="51">
        <v>13.25</v>
      </c>
      <c r="G24" s="51">
        <v>35.21</v>
      </c>
      <c r="H24" s="51">
        <v>7.22</v>
      </c>
      <c r="I24" s="51">
        <v>2.92</v>
      </c>
      <c r="J24" s="51">
        <v>1.35</v>
      </c>
      <c r="K24" s="51">
        <v>87.62</v>
      </c>
      <c r="L24" s="51">
        <v>33.82</v>
      </c>
      <c r="M24" s="51">
        <v>69.63</v>
      </c>
      <c r="N24" s="51">
        <v>537.5</v>
      </c>
      <c r="O24" s="51">
        <v>0</v>
      </c>
      <c r="P24" s="51">
        <v>0.38</v>
      </c>
      <c r="Q24" s="51">
        <v>4.66</v>
      </c>
    </row>
    <row r="25" spans="1:17" customFormat="1">
      <c r="A25" s="50">
        <v>45489.708333333336</v>
      </c>
      <c r="B25" s="51">
        <v>8.7200000000000006</v>
      </c>
      <c r="C25" s="51">
        <v>4.04</v>
      </c>
      <c r="D25" s="51">
        <v>13.55</v>
      </c>
      <c r="E25" s="51">
        <v>12.82</v>
      </c>
      <c r="F25" s="51">
        <v>20.68</v>
      </c>
      <c r="G25" s="51">
        <v>35.21</v>
      </c>
      <c r="H25" s="51">
        <v>7.26</v>
      </c>
      <c r="I25" s="51">
        <v>2.96</v>
      </c>
      <c r="J25" s="51">
        <v>0.25</v>
      </c>
      <c r="K25" s="51">
        <v>183.85</v>
      </c>
      <c r="L25" s="51">
        <v>32.54</v>
      </c>
      <c r="M25" s="51">
        <v>77.23</v>
      </c>
      <c r="N25" s="51">
        <v>116.7</v>
      </c>
      <c r="O25" s="51">
        <v>0</v>
      </c>
      <c r="P25" s="51">
        <v>0.36</v>
      </c>
      <c r="Q25" s="51">
        <v>4.66</v>
      </c>
    </row>
    <row r="26" spans="1:17" customFormat="1">
      <c r="A26" s="50">
        <v>45489.75</v>
      </c>
      <c r="B26" s="51">
        <v>8.73</v>
      </c>
      <c r="C26" s="51">
        <v>4.05</v>
      </c>
      <c r="D26" s="51">
        <v>13.56</v>
      </c>
      <c r="E26" s="51">
        <v>10.35</v>
      </c>
      <c r="F26" s="51">
        <v>23.48</v>
      </c>
      <c r="G26" s="51">
        <v>26.47</v>
      </c>
      <c r="H26" s="51">
        <v>7.26</v>
      </c>
      <c r="I26" s="51">
        <v>2.69</v>
      </c>
      <c r="J26" s="51">
        <v>0.31</v>
      </c>
      <c r="K26" s="51">
        <v>163.43</v>
      </c>
      <c r="L26" s="51">
        <v>32.06</v>
      </c>
      <c r="M26" s="51">
        <v>79.459999999999994</v>
      </c>
      <c r="N26" s="51">
        <v>81</v>
      </c>
      <c r="O26" s="51">
        <v>0</v>
      </c>
      <c r="P26" s="51">
        <v>0.35</v>
      </c>
      <c r="Q26" s="51">
        <v>4.6500000000000004</v>
      </c>
    </row>
    <row r="27" spans="1:17" customFormat="1">
      <c r="A27" s="50">
        <v>45489.791666666664</v>
      </c>
      <c r="B27" s="51">
        <v>8.65</v>
      </c>
      <c r="C27" s="51">
        <v>4.04</v>
      </c>
      <c r="D27" s="51">
        <v>13.5</v>
      </c>
      <c r="E27" s="51">
        <v>9.31</v>
      </c>
      <c r="F27" s="51">
        <v>18.149999999999999</v>
      </c>
      <c r="G27" s="51">
        <v>23</v>
      </c>
      <c r="H27" s="51">
        <v>5.85</v>
      </c>
      <c r="I27" s="51">
        <v>2.67</v>
      </c>
      <c r="J27" s="51">
        <v>0.19</v>
      </c>
      <c r="K27" s="51">
        <v>207.29</v>
      </c>
      <c r="L27" s="51">
        <v>30.38</v>
      </c>
      <c r="M27" s="51">
        <v>85.03</v>
      </c>
      <c r="N27" s="51">
        <v>19.899999999999999</v>
      </c>
      <c r="O27" s="51">
        <v>0</v>
      </c>
      <c r="P27" s="51">
        <v>0.36</v>
      </c>
      <c r="Q27" s="51">
        <v>4.66</v>
      </c>
    </row>
    <row r="28" spans="1:17" customFormat="1">
      <c r="A28" s="50">
        <v>45489.833333333336</v>
      </c>
      <c r="B28" s="51">
        <v>8.66</v>
      </c>
      <c r="C28" s="51">
        <v>4.04</v>
      </c>
      <c r="D28" s="51">
        <v>13.5</v>
      </c>
      <c r="E28" s="51">
        <v>10.210000000000001</v>
      </c>
      <c r="F28" s="51">
        <v>8.4700000000000006</v>
      </c>
      <c r="G28" s="51">
        <v>16.600000000000001</v>
      </c>
      <c r="H28" s="51">
        <v>4.78</v>
      </c>
      <c r="I28" s="51">
        <v>3.07</v>
      </c>
      <c r="J28" s="51">
        <v>0.16</v>
      </c>
      <c r="K28" s="51">
        <v>225.78</v>
      </c>
      <c r="L28" s="51">
        <v>29.25</v>
      </c>
      <c r="M28" s="51">
        <v>87.46</v>
      </c>
      <c r="N28" s="51">
        <v>2.1</v>
      </c>
      <c r="O28" s="51">
        <v>0</v>
      </c>
      <c r="P28" s="51">
        <v>0.36</v>
      </c>
      <c r="Q28" s="51">
        <v>4.67</v>
      </c>
    </row>
    <row r="29" spans="1:17" customFormat="1">
      <c r="A29" s="50">
        <v>45489.875</v>
      </c>
      <c r="B29" s="51">
        <v>8.66</v>
      </c>
      <c r="C29" s="51">
        <v>4.0199999999999996</v>
      </c>
      <c r="D29" s="51">
        <v>13.49</v>
      </c>
      <c r="E29" s="51">
        <v>11.12</v>
      </c>
      <c r="F29" s="51">
        <v>8.2899999999999991</v>
      </c>
      <c r="G29" s="51">
        <v>16.34</v>
      </c>
      <c r="H29" s="51">
        <v>4.21</v>
      </c>
      <c r="I29" s="51">
        <v>3.25</v>
      </c>
      <c r="J29" s="51">
        <v>0.15</v>
      </c>
      <c r="K29" s="51">
        <v>195.61</v>
      </c>
      <c r="L29" s="51">
        <v>29.3</v>
      </c>
      <c r="M29" s="51">
        <v>88.39</v>
      </c>
      <c r="N29" s="51">
        <v>2.1</v>
      </c>
      <c r="O29" s="51">
        <v>0</v>
      </c>
      <c r="P29" s="51">
        <v>0.38</v>
      </c>
      <c r="Q29" s="51">
        <v>4.67</v>
      </c>
    </row>
    <row r="30" spans="1:17" customFormat="1">
      <c r="A30" s="50">
        <v>45489.916666666664</v>
      </c>
      <c r="B30" s="51">
        <v>8.64</v>
      </c>
      <c r="C30" s="51">
        <v>4.09</v>
      </c>
      <c r="D30" s="51">
        <v>13.5</v>
      </c>
      <c r="E30" s="51">
        <v>11.71</v>
      </c>
      <c r="F30" s="51">
        <v>8.17</v>
      </c>
      <c r="G30" s="51">
        <v>15.75</v>
      </c>
      <c r="H30" s="51">
        <v>4.9400000000000004</v>
      </c>
      <c r="I30" s="51">
        <v>3.45</v>
      </c>
      <c r="J30" s="51">
        <v>0.16</v>
      </c>
      <c r="K30" s="51">
        <v>235.28</v>
      </c>
      <c r="L30" s="51">
        <v>29.18</v>
      </c>
      <c r="M30" s="51">
        <v>97</v>
      </c>
      <c r="N30" s="51">
        <v>3.4</v>
      </c>
      <c r="O30" s="51">
        <v>0.4</v>
      </c>
      <c r="P30" s="51">
        <v>0.37</v>
      </c>
      <c r="Q30" s="51">
        <v>4.67</v>
      </c>
    </row>
    <row r="31" spans="1:17" customFormat="1">
      <c r="A31" s="50">
        <v>45489.958333333336</v>
      </c>
      <c r="B31" s="51">
        <v>8.66</v>
      </c>
      <c r="C31" s="51">
        <v>4.0199999999999996</v>
      </c>
      <c r="D31" s="51">
        <v>13.49</v>
      </c>
      <c r="E31" s="51">
        <v>12.27</v>
      </c>
      <c r="F31" s="51">
        <v>7.42</v>
      </c>
      <c r="G31" s="51">
        <v>15.49</v>
      </c>
      <c r="H31" s="51">
        <v>6.81</v>
      </c>
      <c r="I31" s="51">
        <v>3.4</v>
      </c>
      <c r="J31" s="51">
        <v>0.17</v>
      </c>
      <c r="K31" s="51">
        <v>219.19</v>
      </c>
      <c r="L31" s="51">
        <v>27.85</v>
      </c>
      <c r="M31" s="51">
        <v>98.43</v>
      </c>
      <c r="N31" s="51">
        <v>3.1</v>
      </c>
      <c r="O31" s="51">
        <v>0</v>
      </c>
      <c r="P31" s="51">
        <v>0.37</v>
      </c>
      <c r="Q31" s="51">
        <v>4.67</v>
      </c>
    </row>
    <row r="32" spans="1:17" customFormat="1">
      <c r="A32" s="50">
        <v>45490</v>
      </c>
      <c r="B32" s="51">
        <v>8.67</v>
      </c>
      <c r="C32" s="51">
        <v>4.0599999999999996</v>
      </c>
      <c r="D32" s="51">
        <v>13.52</v>
      </c>
      <c r="E32" s="51">
        <v>12.26</v>
      </c>
      <c r="F32" s="51">
        <v>7.32</v>
      </c>
      <c r="G32" s="51">
        <v>14.94</v>
      </c>
      <c r="H32" s="51">
        <v>6.81</v>
      </c>
      <c r="I32" s="51">
        <v>3.68</v>
      </c>
      <c r="J32" s="51">
        <v>0.15</v>
      </c>
      <c r="K32" s="51">
        <v>181.37</v>
      </c>
      <c r="L32" s="51">
        <v>27.64</v>
      </c>
      <c r="M32" s="51">
        <v>98.83</v>
      </c>
      <c r="N32" s="51">
        <v>2.5</v>
      </c>
      <c r="O32" s="51">
        <v>0</v>
      </c>
      <c r="P32" s="51">
        <v>0.4</v>
      </c>
      <c r="Q32" s="51">
        <v>4.6500000000000004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8.57</v>
      </c>
      <c r="C34" s="41">
        <f t="shared" si="0"/>
        <v>4.0199999999999996</v>
      </c>
      <c r="D34" s="41">
        <f t="shared" si="0"/>
        <v>13.42</v>
      </c>
      <c r="E34" s="41">
        <f t="shared" si="0"/>
        <v>7.93</v>
      </c>
      <c r="F34" s="41">
        <f t="shared" si="0"/>
        <v>3.23</v>
      </c>
      <c r="G34" s="41">
        <f t="shared" si="0"/>
        <v>0</v>
      </c>
      <c r="H34" s="41">
        <f t="shared" si="0"/>
        <v>0</v>
      </c>
      <c r="I34" s="41">
        <f t="shared" si="0"/>
        <v>2.19</v>
      </c>
      <c r="J34" s="41">
        <f t="shared" si="0"/>
        <v>0.15</v>
      </c>
      <c r="K34" s="41">
        <f t="shared" si="0"/>
        <v>59.97</v>
      </c>
      <c r="L34" s="41">
        <f t="shared" si="0"/>
        <v>25.83</v>
      </c>
      <c r="M34" s="41">
        <f t="shared" si="0"/>
        <v>69.63</v>
      </c>
      <c r="N34" s="41">
        <f t="shared" si="0"/>
        <v>2.1</v>
      </c>
      <c r="O34" s="41">
        <f t="shared" si="0"/>
        <v>0</v>
      </c>
      <c r="P34" s="41">
        <f t="shared" si="0"/>
        <v>0.31</v>
      </c>
      <c r="Q34" s="41">
        <f t="shared" si="0"/>
        <v>4.6500000000000004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9.34</v>
      </c>
      <c r="C35" s="33">
        <f t="shared" si="1"/>
        <v>4.1100000000000003</v>
      </c>
      <c r="D35" s="33">
        <f t="shared" si="1"/>
        <v>14.06</v>
      </c>
      <c r="E35" s="33">
        <f t="shared" si="1"/>
        <v>12.82</v>
      </c>
      <c r="F35" s="33">
        <f t="shared" si="1"/>
        <v>23.48</v>
      </c>
      <c r="G35" s="33">
        <f t="shared" si="1"/>
        <v>53.57</v>
      </c>
      <c r="H35" s="33">
        <f t="shared" si="1"/>
        <v>16.82</v>
      </c>
      <c r="I35" s="33">
        <f t="shared" si="1"/>
        <v>6.87</v>
      </c>
      <c r="J35" s="33">
        <f t="shared" si="1"/>
        <v>1.35</v>
      </c>
      <c r="K35" s="33">
        <f t="shared" si="1"/>
        <v>235.28</v>
      </c>
      <c r="L35" s="33">
        <f t="shared" si="1"/>
        <v>33.82</v>
      </c>
      <c r="M35" s="33">
        <f t="shared" si="1"/>
        <v>104.68</v>
      </c>
      <c r="N35" s="33">
        <f t="shared" si="1"/>
        <v>650.9</v>
      </c>
      <c r="O35" s="33">
        <f t="shared" si="1"/>
        <v>2</v>
      </c>
      <c r="P35" s="33">
        <f t="shared" si="1"/>
        <v>0.7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9.0074999999999985</v>
      </c>
      <c r="C36" s="41">
        <f t="shared" si="2"/>
        <v>4.0670833333333336</v>
      </c>
      <c r="D36" s="41">
        <f t="shared" si="2"/>
        <v>13.783333333333331</v>
      </c>
      <c r="E36" s="41">
        <f t="shared" si="2"/>
        <v>10.485000000000001</v>
      </c>
      <c r="F36" s="41">
        <f t="shared" si="2"/>
        <v>9.9662499999999987</v>
      </c>
      <c r="G36" s="41">
        <f t="shared" si="2"/>
        <v>34.354583333333345</v>
      </c>
      <c r="H36" s="41">
        <f t="shared" si="2"/>
        <v>9.8187499999999996</v>
      </c>
      <c r="I36" s="41">
        <f t="shared" si="2"/>
        <v>4.4750000000000005</v>
      </c>
      <c r="J36" s="41">
        <f t="shared" si="2"/>
        <v>0.55166666666666675</v>
      </c>
      <c r="K36" s="41">
        <f t="shared" si="2"/>
        <v>144.97541666666669</v>
      </c>
      <c r="L36" s="41">
        <f t="shared" si="2"/>
        <v>29.46416666666666</v>
      </c>
      <c r="M36" s="41">
        <f t="shared" si="2"/>
        <v>89.990833333333342</v>
      </c>
      <c r="N36" s="41">
        <f t="shared" si="2"/>
        <v>170.64166666666665</v>
      </c>
      <c r="O36" s="41">
        <f t="shared" si="2"/>
        <v>0.10833333333333334</v>
      </c>
      <c r="P36" s="41">
        <f t="shared" si="2"/>
        <v>0.47749999999999987</v>
      </c>
      <c r="Q36" s="41">
        <f t="shared" si="2"/>
        <v>4.6608333333333336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0.31071096592789749</v>
      </c>
      <c r="C37" s="41">
        <f t="shared" ref="C37:Q37" si="3">STDEV(C9:C32)</f>
        <v>2.5788296412986651E-2</v>
      </c>
      <c r="D37" s="41">
        <f t="shared" si="3"/>
        <v>0.25644164802267966</v>
      </c>
      <c r="E37" s="41">
        <f t="shared" si="3"/>
        <v>1.4082026781002455</v>
      </c>
      <c r="F37" s="41">
        <f t="shared" si="3"/>
        <v>6.1633099608824722</v>
      </c>
      <c r="G37" s="41">
        <f t="shared" si="3"/>
        <v>15.444503730162833</v>
      </c>
      <c r="H37" s="41">
        <f t="shared" si="3"/>
        <v>4.5164263599905414</v>
      </c>
      <c r="I37" s="41">
        <f t="shared" si="3"/>
        <v>1.644141113165166</v>
      </c>
      <c r="J37" s="41">
        <f t="shared" si="3"/>
        <v>0.39729155504508895</v>
      </c>
      <c r="K37" s="41">
        <f t="shared" si="3"/>
        <v>59.870715275875206</v>
      </c>
      <c r="L37" s="41">
        <f t="shared" si="3"/>
        <v>2.5807243955520449</v>
      </c>
      <c r="M37" s="41">
        <f t="shared" si="3"/>
        <v>11.884224441658178</v>
      </c>
      <c r="N37" s="41">
        <f t="shared" si="3"/>
        <v>227.62094141579877</v>
      </c>
      <c r="O37" s="41">
        <f t="shared" si="3"/>
        <v>0.41274970483403101</v>
      </c>
      <c r="P37" s="41">
        <f t="shared" si="3"/>
        <v>0.13882268953753482</v>
      </c>
      <c r="Q37" s="41">
        <f t="shared" si="3"/>
        <v>7.1728150235675706E-3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Q32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45490.041666666664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45490.041666666664</v>
      </c>
      <c r="B9" s="51">
        <v>9.24</v>
      </c>
      <c r="C9" s="51">
        <v>4.08</v>
      </c>
      <c r="D9" s="51">
        <v>13.98</v>
      </c>
      <c r="E9" s="51">
        <v>10.69</v>
      </c>
      <c r="F9" s="51">
        <v>8.3000000000000007</v>
      </c>
      <c r="G9" s="51">
        <v>14.94</v>
      </c>
      <c r="H9" s="51">
        <v>5.23</v>
      </c>
      <c r="I9" s="51">
        <v>3.93</v>
      </c>
      <c r="J9" s="51">
        <v>0.13</v>
      </c>
      <c r="K9" s="51">
        <v>217.86</v>
      </c>
      <c r="L9" s="51">
        <v>27.62</v>
      </c>
      <c r="M9" s="51">
        <v>99.7</v>
      </c>
      <c r="N9" s="51">
        <v>2.5</v>
      </c>
      <c r="O9" s="51">
        <v>0</v>
      </c>
      <c r="P9" s="51">
        <v>0.4</v>
      </c>
      <c r="Q9" s="51">
        <v>4.66</v>
      </c>
    </row>
    <row r="10" spans="1:21" customFormat="1">
      <c r="A10" s="50">
        <v>45490.083333333336</v>
      </c>
      <c r="B10" s="51">
        <v>9.24</v>
      </c>
      <c r="C10" s="51">
        <v>4.08</v>
      </c>
      <c r="D10" s="51">
        <v>13.99</v>
      </c>
      <c r="E10" s="51">
        <v>9.85</v>
      </c>
      <c r="F10" s="51">
        <v>8.3800000000000008</v>
      </c>
      <c r="G10" s="51">
        <v>12.26</v>
      </c>
      <c r="H10" s="51">
        <v>4.1500000000000004</v>
      </c>
      <c r="I10" s="51">
        <v>3.91</v>
      </c>
      <c r="J10" s="51">
        <v>0.14000000000000001</v>
      </c>
      <c r="K10" s="51">
        <v>270.98</v>
      </c>
      <c r="L10" s="51">
        <v>27.26</v>
      </c>
      <c r="M10" s="51">
        <v>99.12</v>
      </c>
      <c r="N10" s="51">
        <v>2.4</v>
      </c>
      <c r="O10" s="51">
        <v>0</v>
      </c>
      <c r="P10" s="51">
        <v>0.38</v>
      </c>
      <c r="Q10" s="51">
        <v>4.6500000000000004</v>
      </c>
    </row>
    <row r="11" spans="1:21" customFormat="1">
      <c r="A11" s="50">
        <v>45490.125</v>
      </c>
      <c r="B11" s="51">
        <v>9.23</v>
      </c>
      <c r="C11" s="51">
        <v>4.09</v>
      </c>
      <c r="D11" s="51">
        <v>13.98</v>
      </c>
      <c r="E11" s="51">
        <v>7.19</v>
      </c>
      <c r="F11" s="51">
        <v>8.56</v>
      </c>
      <c r="G11" s="51">
        <v>9.27</v>
      </c>
      <c r="H11" s="51">
        <v>4.1500000000000004</v>
      </c>
      <c r="I11" s="51">
        <v>3.42</v>
      </c>
      <c r="J11" s="51">
        <v>0.2</v>
      </c>
      <c r="K11" s="51">
        <v>180.84</v>
      </c>
      <c r="L11" s="51">
        <v>27.3</v>
      </c>
      <c r="M11" s="51">
        <v>98.62</v>
      </c>
      <c r="N11" s="51">
        <v>2.4</v>
      </c>
      <c r="O11" s="51">
        <v>0</v>
      </c>
      <c r="P11" s="51">
        <v>0.36</v>
      </c>
      <c r="Q11" s="51">
        <v>4.6500000000000004</v>
      </c>
    </row>
    <row r="12" spans="1:21" customFormat="1">
      <c r="A12" s="50">
        <v>45490.166666666664</v>
      </c>
      <c r="B12" s="51">
        <v>9.24</v>
      </c>
      <c r="C12" s="51">
        <v>4.07</v>
      </c>
      <c r="D12" s="51">
        <v>13.98</v>
      </c>
      <c r="E12" s="51">
        <v>7.42</v>
      </c>
      <c r="F12" s="51">
        <v>8.67</v>
      </c>
      <c r="G12" s="51">
        <v>10.66</v>
      </c>
      <c r="H12" s="51">
        <v>3.18</v>
      </c>
      <c r="I12" s="51">
        <v>4.25</v>
      </c>
      <c r="J12" s="51">
        <v>0.16</v>
      </c>
      <c r="K12" s="51">
        <v>199.02</v>
      </c>
      <c r="L12" s="51">
        <v>27.15</v>
      </c>
      <c r="M12" s="51">
        <v>99.18</v>
      </c>
      <c r="N12" s="51">
        <v>2.4</v>
      </c>
      <c r="O12" s="51">
        <v>0</v>
      </c>
      <c r="P12" s="51">
        <v>0.37</v>
      </c>
      <c r="Q12" s="51">
        <v>4.6500000000000004</v>
      </c>
    </row>
    <row r="13" spans="1:21" customFormat="1">
      <c r="A13" s="50">
        <v>45490.208333333336</v>
      </c>
      <c r="B13" s="51">
        <v>9.26</v>
      </c>
      <c r="C13" s="51">
        <v>4.09</v>
      </c>
      <c r="D13" s="51">
        <v>14.01</v>
      </c>
      <c r="E13" s="51">
        <v>9.1199999999999992</v>
      </c>
      <c r="F13" s="51">
        <v>5.33</v>
      </c>
      <c r="G13" s="51">
        <v>13.8</v>
      </c>
      <c r="H13" s="51">
        <v>5.16</v>
      </c>
      <c r="I13" s="51">
        <v>4.13</v>
      </c>
      <c r="J13" s="51">
        <v>0.17</v>
      </c>
      <c r="K13" s="51">
        <v>215.66</v>
      </c>
      <c r="L13" s="51">
        <v>26.95</v>
      </c>
      <c r="M13" s="51">
        <v>99.44</v>
      </c>
      <c r="N13" s="51">
        <v>2.2999999999999998</v>
      </c>
      <c r="O13" s="51">
        <v>0</v>
      </c>
      <c r="P13" s="51">
        <v>0.36</v>
      </c>
      <c r="Q13" s="51">
        <v>4.67</v>
      </c>
    </row>
    <row r="14" spans="1:21" customFormat="1">
      <c r="A14" s="50">
        <v>45490.25</v>
      </c>
      <c r="B14" s="51">
        <v>9.25</v>
      </c>
      <c r="C14" s="51">
        <v>4.0999999999999996</v>
      </c>
      <c r="D14" s="51">
        <v>14.01</v>
      </c>
      <c r="E14" s="51">
        <v>9.81</v>
      </c>
      <c r="F14" s="51">
        <v>4.3499999999999996</v>
      </c>
      <c r="G14" s="51">
        <v>13.8</v>
      </c>
      <c r="H14" s="51">
        <v>5.16</v>
      </c>
      <c r="I14" s="51">
        <v>3.78</v>
      </c>
      <c r="J14" s="51">
        <v>0.1</v>
      </c>
      <c r="K14" s="51">
        <v>193.12</v>
      </c>
      <c r="L14" s="51">
        <v>27.1</v>
      </c>
      <c r="M14" s="51">
        <v>99.91</v>
      </c>
      <c r="N14" s="51">
        <v>19.8</v>
      </c>
      <c r="O14" s="51">
        <v>0</v>
      </c>
      <c r="P14" s="51">
        <v>0.34</v>
      </c>
      <c r="Q14" s="51">
        <v>4.66</v>
      </c>
    </row>
    <row r="15" spans="1:21" customFormat="1">
      <c r="A15" s="50">
        <v>45490.291666666664</v>
      </c>
      <c r="B15" s="51">
        <v>9.23</v>
      </c>
      <c r="C15" s="51">
        <v>4.09</v>
      </c>
      <c r="D15" s="51">
        <v>13.97</v>
      </c>
      <c r="E15" s="51">
        <v>10.16</v>
      </c>
      <c r="F15" s="51">
        <v>4.29</v>
      </c>
      <c r="G15" s="51">
        <v>10.28</v>
      </c>
      <c r="H15" s="51">
        <v>5.46</v>
      </c>
      <c r="I15" s="51">
        <v>3.68</v>
      </c>
      <c r="J15" s="51">
        <v>0.38</v>
      </c>
      <c r="K15" s="51">
        <v>285.14999999999998</v>
      </c>
      <c r="L15" s="51">
        <v>27.79</v>
      </c>
      <c r="M15" s="51">
        <v>99.97</v>
      </c>
      <c r="N15" s="51">
        <v>97.9</v>
      </c>
      <c r="O15" s="51">
        <v>0</v>
      </c>
      <c r="P15" s="51">
        <v>0.34</v>
      </c>
      <c r="Q15" s="51">
        <v>4.66</v>
      </c>
    </row>
    <row r="16" spans="1:21" customFormat="1">
      <c r="A16" s="50">
        <v>45490.333333333336</v>
      </c>
      <c r="B16" s="51">
        <v>9.23</v>
      </c>
      <c r="C16" s="51">
        <v>4.09</v>
      </c>
      <c r="D16" s="51">
        <v>13.97</v>
      </c>
      <c r="E16" s="51">
        <v>10.29</v>
      </c>
      <c r="F16" s="51">
        <v>5.67</v>
      </c>
      <c r="G16" s="51">
        <v>10.85</v>
      </c>
      <c r="H16" s="51">
        <v>7.15</v>
      </c>
      <c r="I16" s="51">
        <v>3.55</v>
      </c>
      <c r="J16" s="51">
        <v>0.48</v>
      </c>
      <c r="K16" s="51">
        <v>279.52</v>
      </c>
      <c r="L16" s="51">
        <v>28.33</v>
      </c>
      <c r="M16" s="51">
        <v>94.83</v>
      </c>
      <c r="N16" s="51">
        <v>118.3</v>
      </c>
      <c r="O16" s="51">
        <v>0</v>
      </c>
      <c r="P16" s="51">
        <v>0.35</v>
      </c>
      <c r="Q16" s="51">
        <v>4.67</v>
      </c>
    </row>
    <row r="17" spans="1:17" customFormat="1">
      <c r="A17" s="50">
        <v>45490.375</v>
      </c>
      <c r="B17" s="51">
        <v>9.2200000000000006</v>
      </c>
      <c r="C17" s="51">
        <v>4.08</v>
      </c>
      <c r="D17" s="51">
        <v>13.97</v>
      </c>
      <c r="E17" s="51">
        <v>10.62</v>
      </c>
      <c r="F17" s="51">
        <v>5.77</v>
      </c>
      <c r="G17" s="51">
        <v>10.85</v>
      </c>
      <c r="H17" s="51">
        <v>7.15</v>
      </c>
      <c r="I17" s="51">
        <v>3.57</v>
      </c>
      <c r="J17" s="51">
        <v>0.49</v>
      </c>
      <c r="K17" s="51">
        <v>280.36</v>
      </c>
      <c r="L17" s="51">
        <v>29.2</v>
      </c>
      <c r="M17" s="51">
        <v>90.89</v>
      </c>
      <c r="N17" s="51">
        <v>183.2</v>
      </c>
      <c r="O17" s="51">
        <v>0</v>
      </c>
      <c r="P17" s="51">
        <v>0.35</v>
      </c>
      <c r="Q17" s="51">
        <v>4.66</v>
      </c>
    </row>
    <row r="18" spans="1:17" customFormat="1">
      <c r="A18" s="50">
        <v>45490.416666666664</v>
      </c>
      <c r="B18" s="51">
        <v>9.25</v>
      </c>
      <c r="C18" s="51">
        <v>4.08</v>
      </c>
      <c r="D18" s="51">
        <v>14</v>
      </c>
      <c r="E18" s="51">
        <v>10.23</v>
      </c>
      <c r="F18" s="51">
        <v>6.78</v>
      </c>
      <c r="G18" s="51">
        <v>11.39</v>
      </c>
      <c r="H18" s="51">
        <v>7.29</v>
      </c>
      <c r="I18" s="51">
        <v>3.58</v>
      </c>
      <c r="J18" s="51">
        <v>0.32</v>
      </c>
      <c r="K18" s="51">
        <v>303.5</v>
      </c>
      <c r="L18" s="51">
        <v>30.22</v>
      </c>
      <c r="M18" s="51">
        <v>98.97</v>
      </c>
      <c r="N18" s="51">
        <v>252.6</v>
      </c>
      <c r="O18" s="51">
        <v>0.6</v>
      </c>
      <c r="P18" s="51">
        <v>0.39</v>
      </c>
      <c r="Q18" s="51">
        <v>4.66</v>
      </c>
    </row>
    <row r="19" spans="1:17" customFormat="1">
      <c r="A19" s="50">
        <v>45490.458333333336</v>
      </c>
      <c r="B19" s="51">
        <v>9.24</v>
      </c>
      <c r="C19" s="51">
        <v>4.08</v>
      </c>
      <c r="D19" s="51">
        <v>13.99</v>
      </c>
      <c r="E19" s="51">
        <v>9.75</v>
      </c>
      <c r="F19" s="51">
        <v>9.42</v>
      </c>
      <c r="G19" s="51">
        <v>16.8</v>
      </c>
      <c r="H19" s="51">
        <v>7.29</v>
      </c>
      <c r="I19" s="51">
        <v>3.85</v>
      </c>
      <c r="J19" s="51">
        <v>0.79</v>
      </c>
      <c r="K19" s="51">
        <v>253.12</v>
      </c>
      <c r="L19" s="51">
        <v>31.63</v>
      </c>
      <c r="M19" s="51">
        <v>83.16</v>
      </c>
      <c r="N19" s="51">
        <v>258.3</v>
      </c>
      <c r="O19" s="51">
        <v>0</v>
      </c>
      <c r="P19" s="51">
        <v>0.42</v>
      </c>
      <c r="Q19" s="51">
        <v>4.67</v>
      </c>
    </row>
    <row r="20" spans="1:17" customFormat="1">
      <c r="A20" s="50">
        <v>45490.5</v>
      </c>
      <c r="B20" s="51">
        <v>9.24</v>
      </c>
      <c r="C20" s="51">
        <v>4.08</v>
      </c>
      <c r="D20" s="51">
        <v>13.99</v>
      </c>
      <c r="E20" s="51">
        <v>9.35</v>
      </c>
      <c r="F20" s="51">
        <v>9.85</v>
      </c>
      <c r="G20" s="51">
        <v>16.98</v>
      </c>
      <c r="H20" s="51">
        <v>7.13</v>
      </c>
      <c r="I20" s="51">
        <v>4.04</v>
      </c>
      <c r="J20" s="51">
        <v>0.55000000000000004</v>
      </c>
      <c r="K20" s="51">
        <v>305.11</v>
      </c>
      <c r="L20" s="51">
        <v>33.31</v>
      </c>
      <c r="M20" s="51">
        <v>77.87</v>
      </c>
      <c r="N20" s="51">
        <v>510.9</v>
      </c>
      <c r="O20" s="51">
        <v>0</v>
      </c>
      <c r="P20" s="51">
        <v>0.42</v>
      </c>
      <c r="Q20" s="51">
        <v>4.66</v>
      </c>
    </row>
    <row r="21" spans="1:17" customFormat="1">
      <c r="A21" s="50">
        <v>45490.541666666664</v>
      </c>
      <c r="B21" s="51">
        <v>9.25</v>
      </c>
      <c r="C21" s="51">
        <v>4.09</v>
      </c>
      <c r="D21" s="51">
        <v>13.99</v>
      </c>
      <c r="E21" s="51">
        <v>11.52</v>
      </c>
      <c r="F21" s="51">
        <v>16.64</v>
      </c>
      <c r="G21" s="51">
        <v>16.98</v>
      </c>
      <c r="H21" s="51">
        <v>6.79</v>
      </c>
      <c r="I21" s="51">
        <v>4.1399999999999997</v>
      </c>
      <c r="J21" s="51">
        <v>0.97</v>
      </c>
      <c r="K21" s="51">
        <v>32.700000000000003</v>
      </c>
      <c r="L21" s="51">
        <v>32.549999999999997</v>
      </c>
      <c r="M21" s="51">
        <v>78.81</v>
      </c>
      <c r="N21" s="51">
        <v>440.6</v>
      </c>
      <c r="O21" s="51">
        <v>0</v>
      </c>
      <c r="P21" s="51">
        <v>0.47</v>
      </c>
      <c r="Q21" s="51">
        <v>4.66</v>
      </c>
    </row>
    <row r="22" spans="1:17" customFormat="1">
      <c r="A22" s="50">
        <v>45490.583333333336</v>
      </c>
      <c r="B22" s="51">
        <v>9.2799999999999994</v>
      </c>
      <c r="C22" s="51">
        <v>4.0999999999999996</v>
      </c>
      <c r="D22" s="51">
        <v>14.01</v>
      </c>
      <c r="E22" s="51">
        <v>13.48</v>
      </c>
      <c r="F22" s="51">
        <v>12.32</v>
      </c>
      <c r="G22" s="51">
        <v>33.42</v>
      </c>
      <c r="H22" s="51">
        <v>13.72</v>
      </c>
      <c r="I22" s="51">
        <v>4.37</v>
      </c>
      <c r="J22" s="51">
        <v>1.56</v>
      </c>
      <c r="K22" s="51">
        <v>346.91</v>
      </c>
      <c r="L22" s="51">
        <v>30.16</v>
      </c>
      <c r="M22" s="51">
        <v>102.66</v>
      </c>
      <c r="N22" s="51">
        <v>23.9</v>
      </c>
      <c r="O22" s="51">
        <v>8.4</v>
      </c>
      <c r="P22" s="51">
        <v>0.47</v>
      </c>
      <c r="Q22" s="51">
        <v>4.66</v>
      </c>
    </row>
    <row r="23" spans="1:17" customFormat="1">
      <c r="A23" s="50">
        <v>45490.625</v>
      </c>
      <c r="B23" s="51">
        <v>9.32</v>
      </c>
      <c r="C23" s="51">
        <v>4.09</v>
      </c>
      <c r="D23" s="51">
        <v>14.06</v>
      </c>
      <c r="E23" s="51">
        <v>10.199999999999999</v>
      </c>
      <c r="F23" s="51">
        <v>6.85</v>
      </c>
      <c r="G23" s="51">
        <v>33.42</v>
      </c>
      <c r="H23" s="51">
        <v>13.72</v>
      </c>
      <c r="I23" s="51">
        <v>4.37</v>
      </c>
      <c r="J23" s="51">
        <v>2.37</v>
      </c>
      <c r="K23" s="51">
        <v>50.93</v>
      </c>
      <c r="L23" s="51">
        <v>26.18</v>
      </c>
      <c r="M23" s="51">
        <v>102.99</v>
      </c>
      <c r="N23" s="51">
        <v>85.3</v>
      </c>
      <c r="O23" s="51">
        <v>5</v>
      </c>
      <c r="P23" s="51">
        <v>0.41</v>
      </c>
      <c r="Q23" s="51">
        <v>4.66</v>
      </c>
    </row>
    <row r="24" spans="1:17" customFormat="1">
      <c r="A24" s="50">
        <v>45490.666666666664</v>
      </c>
      <c r="B24" s="51">
        <v>9.2899999999999991</v>
      </c>
      <c r="C24" s="51">
        <v>4.1100000000000003</v>
      </c>
      <c r="D24" s="51">
        <v>14.02</v>
      </c>
      <c r="E24" s="51">
        <v>10.54</v>
      </c>
      <c r="F24" s="51">
        <v>5.22</v>
      </c>
      <c r="G24" s="51">
        <v>27.62</v>
      </c>
      <c r="H24" s="51">
        <v>9.1999999999999993</v>
      </c>
      <c r="I24" s="51">
        <v>4.29</v>
      </c>
      <c r="J24" s="51">
        <v>0.92</v>
      </c>
      <c r="K24" s="51">
        <v>303.99</v>
      </c>
      <c r="L24" s="51">
        <v>28.45</v>
      </c>
      <c r="M24" s="51">
        <v>103.19</v>
      </c>
      <c r="N24" s="51">
        <v>199</v>
      </c>
      <c r="O24" s="51">
        <v>0.2</v>
      </c>
      <c r="P24" s="51">
        <v>0.42</v>
      </c>
      <c r="Q24" s="51">
        <v>4.66</v>
      </c>
    </row>
    <row r="25" spans="1:17" customFormat="1">
      <c r="A25" s="50">
        <v>45490.708333333336</v>
      </c>
      <c r="B25" s="51">
        <v>9.23</v>
      </c>
      <c r="C25" s="51">
        <v>4.08</v>
      </c>
      <c r="D25" s="51">
        <v>13.97</v>
      </c>
      <c r="E25" s="51">
        <v>10.96</v>
      </c>
      <c r="F25" s="51">
        <v>4.4000000000000004</v>
      </c>
      <c r="G25" s="51">
        <v>32.08</v>
      </c>
      <c r="H25" s="51">
        <v>8.61</v>
      </c>
      <c r="I25" s="51">
        <v>4.22</v>
      </c>
      <c r="J25" s="51">
        <v>0.55000000000000004</v>
      </c>
      <c r="K25" s="51">
        <v>313</v>
      </c>
      <c r="L25" s="51">
        <v>29.14</v>
      </c>
      <c r="M25" s="51">
        <v>93.51</v>
      </c>
      <c r="N25" s="51">
        <v>218.4</v>
      </c>
      <c r="O25" s="51">
        <v>0</v>
      </c>
      <c r="P25" s="51">
        <v>0.41</v>
      </c>
      <c r="Q25" s="51">
        <v>4.66</v>
      </c>
    </row>
    <row r="26" spans="1:17" customFormat="1">
      <c r="A26" s="50">
        <v>45490.75</v>
      </c>
      <c r="B26" s="51">
        <v>9.2200000000000006</v>
      </c>
      <c r="C26" s="51">
        <v>4.09</v>
      </c>
      <c r="D26" s="51">
        <v>13.98</v>
      </c>
      <c r="E26" s="51">
        <v>11.54</v>
      </c>
      <c r="F26" s="51">
        <v>4.95</v>
      </c>
      <c r="G26" s="51">
        <v>32.08</v>
      </c>
      <c r="H26" s="51">
        <v>7.83</v>
      </c>
      <c r="I26" s="51">
        <v>4.08</v>
      </c>
      <c r="J26" s="51">
        <v>0.3</v>
      </c>
      <c r="K26" s="51">
        <v>270.02</v>
      </c>
      <c r="L26" s="51">
        <v>28.23</v>
      </c>
      <c r="M26" s="51">
        <v>95.86</v>
      </c>
      <c r="N26" s="51">
        <v>66.400000000000006</v>
      </c>
      <c r="O26" s="51">
        <v>0</v>
      </c>
      <c r="P26" s="51">
        <v>0.4</v>
      </c>
      <c r="Q26" s="51">
        <v>4.6500000000000004</v>
      </c>
    </row>
    <row r="27" spans="1:17" customFormat="1">
      <c r="A27" s="50">
        <v>45490.791666666664</v>
      </c>
      <c r="B27" s="51">
        <v>9.26</v>
      </c>
      <c r="C27" s="51">
        <v>4.07</v>
      </c>
      <c r="D27" s="51">
        <v>13.99</v>
      </c>
      <c r="E27" s="51">
        <v>9.92</v>
      </c>
      <c r="F27" s="51">
        <v>6.63</v>
      </c>
      <c r="G27" s="51">
        <v>24.1</v>
      </c>
      <c r="H27" s="51">
        <v>7.83</v>
      </c>
      <c r="I27" s="51">
        <v>3.89</v>
      </c>
      <c r="J27" s="51">
        <v>0.44</v>
      </c>
      <c r="K27" s="51">
        <v>272.70999999999998</v>
      </c>
      <c r="L27" s="51">
        <v>27.71</v>
      </c>
      <c r="M27" s="51">
        <v>97.13</v>
      </c>
      <c r="N27" s="51">
        <v>16.100000000000001</v>
      </c>
      <c r="O27" s="51">
        <v>0</v>
      </c>
      <c r="P27" s="51">
        <v>0.42</v>
      </c>
      <c r="Q27" s="51">
        <v>4.66</v>
      </c>
    </row>
    <row r="28" spans="1:17" customFormat="1">
      <c r="A28" s="50">
        <v>45490.833333333336</v>
      </c>
      <c r="B28" s="51">
        <v>9.24</v>
      </c>
      <c r="C28" s="51">
        <v>4.08</v>
      </c>
      <c r="D28" s="51">
        <v>13.99</v>
      </c>
      <c r="E28" s="51">
        <v>8.6</v>
      </c>
      <c r="F28" s="51">
        <v>9.07</v>
      </c>
      <c r="G28" s="51">
        <v>20.420000000000002</v>
      </c>
      <c r="H28" s="51">
        <v>5.77</v>
      </c>
      <c r="I28" s="51">
        <v>3.72</v>
      </c>
      <c r="J28" s="51">
        <v>0.52</v>
      </c>
      <c r="K28" s="51">
        <v>276.43</v>
      </c>
      <c r="L28" s="51">
        <v>27.18</v>
      </c>
      <c r="M28" s="51">
        <v>95.92</v>
      </c>
      <c r="N28" s="51">
        <v>2.4</v>
      </c>
      <c r="O28" s="51">
        <v>0</v>
      </c>
      <c r="P28" s="51">
        <v>0.4</v>
      </c>
      <c r="Q28" s="51">
        <v>4.67</v>
      </c>
    </row>
    <row r="29" spans="1:17" customFormat="1">
      <c r="A29" s="50">
        <v>45490.875</v>
      </c>
      <c r="B29" s="51">
        <v>9.23</v>
      </c>
      <c r="C29" s="51">
        <v>4.1100000000000003</v>
      </c>
      <c r="D29" s="51">
        <v>13.99</v>
      </c>
      <c r="E29" s="51">
        <v>7.33</v>
      </c>
      <c r="F29" s="51">
        <v>8.98</v>
      </c>
      <c r="G29" s="51">
        <v>14.69</v>
      </c>
      <c r="H29" s="51">
        <v>4.37</v>
      </c>
      <c r="I29" s="51">
        <v>3.75</v>
      </c>
      <c r="J29" s="51">
        <v>0.4</v>
      </c>
      <c r="K29" s="51">
        <v>280.10000000000002</v>
      </c>
      <c r="L29" s="51">
        <v>26.85</v>
      </c>
      <c r="M29" s="51">
        <v>97.37</v>
      </c>
      <c r="N29" s="51">
        <v>2.2000000000000002</v>
      </c>
      <c r="O29" s="51">
        <v>0</v>
      </c>
      <c r="P29" s="51">
        <v>0.39</v>
      </c>
      <c r="Q29" s="51">
        <v>4.67</v>
      </c>
    </row>
    <row r="30" spans="1:17" customFormat="1">
      <c r="A30" s="50">
        <v>45490.916666666664</v>
      </c>
      <c r="B30" s="51">
        <v>9.24</v>
      </c>
      <c r="C30" s="51">
        <v>4.09</v>
      </c>
      <c r="D30" s="51">
        <v>13.98</v>
      </c>
      <c r="E30" s="51">
        <v>6.85</v>
      </c>
      <c r="F30" s="51">
        <v>9.35</v>
      </c>
      <c r="G30" s="51">
        <v>13.24</v>
      </c>
      <c r="H30" s="51">
        <v>3.46</v>
      </c>
      <c r="I30" s="51">
        <v>3.64</v>
      </c>
      <c r="J30" s="51">
        <v>0.23</v>
      </c>
      <c r="K30" s="51">
        <v>261.86</v>
      </c>
      <c r="L30" s="51">
        <v>26.83</v>
      </c>
      <c r="M30" s="51">
        <v>96.92</v>
      </c>
      <c r="N30" s="51">
        <v>2.2000000000000002</v>
      </c>
      <c r="O30" s="51">
        <v>0</v>
      </c>
      <c r="P30" s="51">
        <v>0.38</v>
      </c>
      <c r="Q30" s="51">
        <v>4.67</v>
      </c>
    </row>
    <row r="31" spans="1:17" customFormat="1">
      <c r="A31" s="50">
        <v>45490.958333333336</v>
      </c>
      <c r="B31" s="51">
        <v>9.24</v>
      </c>
      <c r="C31" s="51">
        <v>4.09</v>
      </c>
      <c r="D31" s="51">
        <v>13.99</v>
      </c>
      <c r="E31" s="51">
        <v>6.54</v>
      </c>
      <c r="F31" s="51">
        <v>10.220000000000001</v>
      </c>
      <c r="G31" s="51">
        <v>9.64</v>
      </c>
      <c r="H31" s="51">
        <v>2.9</v>
      </c>
      <c r="I31" s="51">
        <v>3.36</v>
      </c>
      <c r="J31" s="51">
        <v>0.22</v>
      </c>
      <c r="K31" s="51">
        <v>265.07</v>
      </c>
      <c r="L31" s="51">
        <v>26.68</v>
      </c>
      <c r="M31" s="51">
        <v>97.7</v>
      </c>
      <c r="N31" s="51">
        <v>2.1</v>
      </c>
      <c r="O31" s="51">
        <v>0</v>
      </c>
      <c r="P31" s="51">
        <v>0.36</v>
      </c>
      <c r="Q31" s="51">
        <v>4.67</v>
      </c>
    </row>
    <row r="32" spans="1:17" customFormat="1">
      <c r="A32" s="50">
        <v>45491</v>
      </c>
      <c r="B32" s="51">
        <v>9.26</v>
      </c>
      <c r="C32" s="51">
        <v>4.0599999999999996</v>
      </c>
      <c r="D32" s="51">
        <v>13.99</v>
      </c>
      <c r="E32" s="51">
        <v>8</v>
      </c>
      <c r="F32" s="51">
        <v>6.27</v>
      </c>
      <c r="G32" s="51">
        <v>8.19</v>
      </c>
      <c r="H32" s="51">
        <v>2.29</v>
      </c>
      <c r="I32" s="51">
        <v>3.54</v>
      </c>
      <c r="J32" s="51">
        <v>0.51</v>
      </c>
      <c r="K32" s="51">
        <v>274.37</v>
      </c>
      <c r="L32" s="51">
        <v>26.63</v>
      </c>
      <c r="M32" s="51">
        <v>97.51</v>
      </c>
      <c r="N32" s="51">
        <v>2.4</v>
      </c>
      <c r="O32" s="51">
        <v>0</v>
      </c>
      <c r="P32" s="51">
        <v>0.35</v>
      </c>
      <c r="Q32" s="51">
        <v>4.6500000000000004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9.2200000000000006</v>
      </c>
      <c r="C34" s="41">
        <f t="shared" si="0"/>
        <v>4.0599999999999996</v>
      </c>
      <c r="D34" s="41">
        <f t="shared" si="0"/>
        <v>13.97</v>
      </c>
      <c r="E34" s="41">
        <f t="shared" si="0"/>
        <v>6.54</v>
      </c>
      <c r="F34" s="41">
        <f t="shared" si="0"/>
        <v>4.29</v>
      </c>
      <c r="G34" s="41">
        <f t="shared" si="0"/>
        <v>8.19</v>
      </c>
      <c r="H34" s="41">
        <f t="shared" si="0"/>
        <v>2.29</v>
      </c>
      <c r="I34" s="41">
        <f t="shared" si="0"/>
        <v>3.36</v>
      </c>
      <c r="J34" s="41">
        <f t="shared" si="0"/>
        <v>0.1</v>
      </c>
      <c r="K34" s="41">
        <f t="shared" si="0"/>
        <v>32.700000000000003</v>
      </c>
      <c r="L34" s="41">
        <f t="shared" si="0"/>
        <v>26.18</v>
      </c>
      <c r="M34" s="41">
        <f t="shared" si="0"/>
        <v>77.87</v>
      </c>
      <c r="N34" s="41">
        <f t="shared" si="0"/>
        <v>2.1</v>
      </c>
      <c r="O34" s="41">
        <f t="shared" si="0"/>
        <v>0</v>
      </c>
      <c r="P34" s="41">
        <f t="shared" si="0"/>
        <v>0.34</v>
      </c>
      <c r="Q34" s="41">
        <f t="shared" si="0"/>
        <v>4.6500000000000004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9.32</v>
      </c>
      <c r="C35" s="33">
        <f t="shared" si="1"/>
        <v>4.1100000000000003</v>
      </c>
      <c r="D35" s="33">
        <f t="shared" si="1"/>
        <v>14.06</v>
      </c>
      <c r="E35" s="33">
        <f t="shared" si="1"/>
        <v>13.48</v>
      </c>
      <c r="F35" s="33">
        <f t="shared" si="1"/>
        <v>16.64</v>
      </c>
      <c r="G35" s="33">
        <f t="shared" si="1"/>
        <v>33.42</v>
      </c>
      <c r="H35" s="33">
        <f t="shared" si="1"/>
        <v>13.72</v>
      </c>
      <c r="I35" s="33">
        <f t="shared" si="1"/>
        <v>4.37</v>
      </c>
      <c r="J35" s="33">
        <f t="shared" si="1"/>
        <v>2.37</v>
      </c>
      <c r="K35" s="33">
        <f t="shared" si="1"/>
        <v>346.91</v>
      </c>
      <c r="L35" s="33">
        <f t="shared" si="1"/>
        <v>33.31</v>
      </c>
      <c r="M35" s="33">
        <f t="shared" si="1"/>
        <v>103.19</v>
      </c>
      <c r="N35" s="33">
        <f t="shared" si="1"/>
        <v>510.9</v>
      </c>
      <c r="O35" s="33">
        <f t="shared" si="1"/>
        <v>8.4</v>
      </c>
      <c r="P35" s="33">
        <f t="shared" si="1"/>
        <v>0.47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9.2470833333333307</v>
      </c>
      <c r="C36" s="41">
        <f t="shared" si="2"/>
        <v>4.0862499999999997</v>
      </c>
      <c r="D36" s="41">
        <f t="shared" si="2"/>
        <v>13.991666666666669</v>
      </c>
      <c r="E36" s="41">
        <f t="shared" si="2"/>
        <v>9.5816666666666652</v>
      </c>
      <c r="F36" s="41">
        <f t="shared" si="2"/>
        <v>7.7612499999999995</v>
      </c>
      <c r="G36" s="41">
        <f t="shared" si="2"/>
        <v>17.406666666666666</v>
      </c>
      <c r="H36" s="41">
        <f t="shared" si="2"/>
        <v>6.4579166666666685</v>
      </c>
      <c r="I36" s="41">
        <f t="shared" si="2"/>
        <v>3.8774999999999999</v>
      </c>
      <c r="J36" s="41">
        <f t="shared" si="2"/>
        <v>0.53749999999999998</v>
      </c>
      <c r="K36" s="41">
        <f t="shared" si="2"/>
        <v>247.18041666666662</v>
      </c>
      <c r="L36" s="41">
        <f t="shared" si="2"/>
        <v>28.352083333333329</v>
      </c>
      <c r="M36" s="41">
        <f t="shared" si="2"/>
        <v>95.884583333333353</v>
      </c>
      <c r="N36" s="41">
        <f t="shared" si="2"/>
        <v>104.75</v>
      </c>
      <c r="O36" s="41">
        <f t="shared" si="2"/>
        <v>0.59166666666666667</v>
      </c>
      <c r="P36" s="41">
        <f t="shared" si="2"/>
        <v>0.39000000000000007</v>
      </c>
      <c r="Q36" s="41">
        <f t="shared" si="2"/>
        <v>4.6608333333333336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2.2932636069615681E-2</v>
      </c>
      <c r="C37" s="41">
        <f t="shared" ref="C37:Q37" si="3">STDEV(C9:C32)</f>
        <v>1.1726039399558566E-2</v>
      </c>
      <c r="D37" s="41">
        <f t="shared" si="3"/>
        <v>1.9927404479142683E-2</v>
      </c>
      <c r="E37" s="41">
        <f t="shared" si="3"/>
        <v>1.6904917387673395</v>
      </c>
      <c r="F37" s="41">
        <f t="shared" si="3"/>
        <v>2.8705768432570267</v>
      </c>
      <c r="G37" s="41">
        <f t="shared" si="3"/>
        <v>8.3813528360473502</v>
      </c>
      <c r="H37" s="41">
        <f t="shared" si="3"/>
        <v>2.9148569644475506</v>
      </c>
      <c r="I37" s="41">
        <f t="shared" si="3"/>
        <v>0.30527606892920039</v>
      </c>
      <c r="J37" s="41">
        <f t="shared" si="3"/>
        <v>0.51359136183985965</v>
      </c>
      <c r="K37" s="41">
        <f t="shared" si="3"/>
        <v>74.781751347514458</v>
      </c>
      <c r="L37" s="41">
        <f t="shared" si="3"/>
        <v>1.9341214816545376</v>
      </c>
      <c r="M37" s="41">
        <f t="shared" si="3"/>
        <v>6.8163256576406193</v>
      </c>
      <c r="N37" s="41">
        <f t="shared" si="3"/>
        <v>144.4230440482886</v>
      </c>
      <c r="O37" s="41">
        <f t="shared" si="3"/>
        <v>1.9511237936048587</v>
      </c>
      <c r="P37" s="41">
        <f t="shared" si="3"/>
        <v>3.6475125532459046E-2</v>
      </c>
      <c r="Q37" s="41">
        <f t="shared" si="3"/>
        <v>7.1728150235675706E-3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Q39" sqref="Q3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45491.041666666664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45491.041666666664</v>
      </c>
      <c r="B9" s="51">
        <v>9.23</v>
      </c>
      <c r="C9" s="51">
        <v>4.0999999999999996</v>
      </c>
      <c r="D9" s="51">
        <v>13.99</v>
      </c>
      <c r="E9" s="51">
        <v>9.16</v>
      </c>
      <c r="F9" s="51">
        <v>5.32</v>
      </c>
      <c r="G9" s="51">
        <v>6.33</v>
      </c>
      <c r="H9" s="51">
        <v>2.29</v>
      </c>
      <c r="I9" s="51">
        <v>3.36</v>
      </c>
      <c r="J9" s="51">
        <v>0.55000000000000004</v>
      </c>
      <c r="K9" s="51">
        <v>275.49</v>
      </c>
      <c r="L9" s="51">
        <v>26.37</v>
      </c>
      <c r="M9" s="51">
        <v>94.77</v>
      </c>
      <c r="N9" s="51">
        <v>2.2999999999999998</v>
      </c>
      <c r="O9" s="51">
        <v>0</v>
      </c>
      <c r="P9" s="51">
        <v>0.34</v>
      </c>
      <c r="Q9" s="27" t="s">
        <v>14</v>
      </c>
    </row>
    <row r="10" spans="1:21" customFormat="1">
      <c r="A10" s="50">
        <v>45491.083333333336</v>
      </c>
      <c r="B10" s="51">
        <v>9.25</v>
      </c>
      <c r="C10" s="51">
        <v>4.09</v>
      </c>
      <c r="D10" s="51">
        <v>13.99</v>
      </c>
      <c r="E10" s="51">
        <v>9.49</v>
      </c>
      <c r="F10" s="51">
        <v>4.26</v>
      </c>
      <c r="G10" s="51">
        <v>6.29</v>
      </c>
      <c r="H10" s="51">
        <v>1.68</v>
      </c>
      <c r="I10" s="51">
        <v>3.26</v>
      </c>
      <c r="J10" s="51">
        <v>0.45</v>
      </c>
      <c r="K10" s="51">
        <v>281</v>
      </c>
      <c r="L10" s="51">
        <v>26.25</v>
      </c>
      <c r="M10" s="51">
        <v>95.24</v>
      </c>
      <c r="N10" s="51">
        <v>2.2999999999999998</v>
      </c>
      <c r="O10" s="51">
        <v>0</v>
      </c>
      <c r="P10" s="51">
        <v>0.33</v>
      </c>
      <c r="Q10" s="27" t="s">
        <v>14</v>
      </c>
    </row>
    <row r="11" spans="1:21" customFormat="1">
      <c r="A11" s="50">
        <v>45491.125</v>
      </c>
      <c r="B11" s="51">
        <v>9.25</v>
      </c>
      <c r="C11" s="51">
        <v>4.0599999999999996</v>
      </c>
      <c r="D11" s="51">
        <v>13.98</v>
      </c>
      <c r="E11" s="51">
        <v>11.39</v>
      </c>
      <c r="F11" s="51">
        <v>3.86</v>
      </c>
      <c r="G11" s="51">
        <v>5.26</v>
      </c>
      <c r="H11" s="51">
        <v>1.38</v>
      </c>
      <c r="I11" s="51">
        <v>3.19</v>
      </c>
      <c r="J11" s="51">
        <v>0.25</v>
      </c>
      <c r="K11" s="51">
        <v>275.48</v>
      </c>
      <c r="L11" s="51">
        <v>26.17</v>
      </c>
      <c r="M11" s="51">
        <v>96.7</v>
      </c>
      <c r="N11" s="51">
        <v>2.2000000000000002</v>
      </c>
      <c r="O11" s="51">
        <v>0</v>
      </c>
      <c r="P11" s="51">
        <v>0.33</v>
      </c>
      <c r="Q11" s="27" t="s">
        <v>14</v>
      </c>
    </row>
    <row r="12" spans="1:21" customFormat="1">
      <c r="A12" s="50">
        <v>45491.166666666664</v>
      </c>
      <c r="B12" s="51">
        <v>9.23</v>
      </c>
      <c r="C12" s="51">
        <v>4.07</v>
      </c>
      <c r="D12" s="51">
        <v>13.97</v>
      </c>
      <c r="E12" s="51">
        <v>12.16</v>
      </c>
      <c r="F12" s="51">
        <v>3.65</v>
      </c>
      <c r="G12" s="51">
        <v>7.34</v>
      </c>
      <c r="H12" s="51">
        <v>1.38</v>
      </c>
      <c r="I12" s="51">
        <v>3.12</v>
      </c>
      <c r="J12" s="51">
        <v>0.37</v>
      </c>
      <c r="K12" s="51">
        <v>276.14999999999998</v>
      </c>
      <c r="L12" s="51">
        <v>26.1</v>
      </c>
      <c r="M12" s="51">
        <v>100.11</v>
      </c>
      <c r="N12" s="51">
        <v>2.2999999999999998</v>
      </c>
      <c r="O12" s="51">
        <v>0</v>
      </c>
      <c r="P12" s="51">
        <v>0.34</v>
      </c>
      <c r="Q12" s="27" t="s">
        <v>14</v>
      </c>
    </row>
    <row r="13" spans="1:21" customFormat="1">
      <c r="A13" s="50">
        <v>45491.208333333336</v>
      </c>
      <c r="B13" s="51">
        <v>9.24</v>
      </c>
      <c r="C13" s="51">
        <v>4.0599999999999996</v>
      </c>
      <c r="D13" s="51">
        <v>13.98</v>
      </c>
      <c r="E13" s="51">
        <v>11.54</v>
      </c>
      <c r="F13" s="51">
        <v>6.22</v>
      </c>
      <c r="G13" s="51">
        <v>7.34</v>
      </c>
      <c r="H13" s="51">
        <v>1.36</v>
      </c>
      <c r="I13" s="51">
        <v>3.18</v>
      </c>
      <c r="J13" s="51">
        <v>0.28000000000000003</v>
      </c>
      <c r="K13" s="51">
        <v>265.67</v>
      </c>
      <c r="L13" s="51">
        <v>26.09</v>
      </c>
      <c r="M13" s="51">
        <v>99.38</v>
      </c>
      <c r="N13" s="51">
        <v>2.2000000000000002</v>
      </c>
      <c r="O13" s="51">
        <v>0</v>
      </c>
      <c r="P13" s="51">
        <v>0.35</v>
      </c>
      <c r="Q13" s="27" t="s">
        <v>14</v>
      </c>
    </row>
    <row r="14" spans="1:21" customFormat="1">
      <c r="A14" s="50">
        <v>45491.25</v>
      </c>
      <c r="B14" s="51">
        <v>9.24</v>
      </c>
      <c r="C14" s="51">
        <v>4.08</v>
      </c>
      <c r="D14" s="51">
        <v>13.98</v>
      </c>
      <c r="E14" s="51">
        <v>9.83</v>
      </c>
      <c r="F14" s="51">
        <v>8.19</v>
      </c>
      <c r="G14" s="51">
        <v>5.37</v>
      </c>
      <c r="H14" s="51">
        <v>1.33</v>
      </c>
      <c r="I14" s="51">
        <v>3.04</v>
      </c>
      <c r="J14" s="51">
        <v>0.14000000000000001</v>
      </c>
      <c r="K14" s="51">
        <v>261.41000000000003</v>
      </c>
      <c r="L14" s="51">
        <v>26.07</v>
      </c>
      <c r="M14" s="51">
        <v>99.68</v>
      </c>
      <c r="N14" s="51">
        <v>9.6999999999999993</v>
      </c>
      <c r="O14" s="51">
        <v>0</v>
      </c>
      <c r="P14" s="51">
        <v>0.32</v>
      </c>
      <c r="Q14" s="27" t="s">
        <v>14</v>
      </c>
    </row>
    <row r="15" spans="1:21" customFormat="1">
      <c r="A15" s="50">
        <v>45491.291666666664</v>
      </c>
      <c r="B15" s="51">
        <v>9.23</v>
      </c>
      <c r="C15" s="51">
        <v>4.09</v>
      </c>
      <c r="D15" s="51">
        <v>13.98</v>
      </c>
      <c r="E15" s="51">
        <v>9.2200000000000006</v>
      </c>
      <c r="F15" s="51">
        <v>7.7</v>
      </c>
      <c r="G15" s="51">
        <v>4.5199999999999996</v>
      </c>
      <c r="H15" s="51">
        <v>1.33</v>
      </c>
      <c r="I15" s="51">
        <v>3.06</v>
      </c>
      <c r="J15" s="51">
        <v>0.31</v>
      </c>
      <c r="K15" s="51">
        <v>316.58999999999997</v>
      </c>
      <c r="L15" s="51">
        <v>26.71</v>
      </c>
      <c r="M15" s="51">
        <v>100.34</v>
      </c>
      <c r="N15" s="51">
        <v>72.400000000000006</v>
      </c>
      <c r="O15" s="51">
        <v>0</v>
      </c>
      <c r="P15" s="51">
        <v>0.32</v>
      </c>
      <c r="Q15" s="27" t="s">
        <v>14</v>
      </c>
    </row>
    <row r="16" spans="1:21" customFormat="1">
      <c r="A16" s="50">
        <v>45491.333333333336</v>
      </c>
      <c r="B16" s="51">
        <v>9.2100000000000009</v>
      </c>
      <c r="C16" s="51">
        <v>4.09</v>
      </c>
      <c r="D16" s="51">
        <v>13.97</v>
      </c>
      <c r="E16" s="51">
        <v>9.8699999999999992</v>
      </c>
      <c r="F16" s="51">
        <v>7.06</v>
      </c>
      <c r="G16" s="51">
        <v>9.31</v>
      </c>
      <c r="H16" s="51">
        <v>1.35</v>
      </c>
      <c r="I16" s="51">
        <v>3.54</v>
      </c>
      <c r="J16" s="51">
        <v>0.6</v>
      </c>
      <c r="K16" s="51">
        <v>339.33</v>
      </c>
      <c r="L16" s="51">
        <v>27.62</v>
      </c>
      <c r="M16" s="51">
        <v>95.15</v>
      </c>
      <c r="N16" s="51">
        <v>112.2</v>
      </c>
      <c r="O16" s="51">
        <v>0</v>
      </c>
      <c r="P16" s="51">
        <v>0.38</v>
      </c>
      <c r="Q16" s="27" t="s">
        <v>14</v>
      </c>
    </row>
    <row r="17" spans="1:17" customFormat="1">
      <c r="A17" s="50">
        <v>45491.375</v>
      </c>
      <c r="B17" s="51">
        <v>9.2100000000000009</v>
      </c>
      <c r="C17" s="51">
        <v>4.1100000000000003</v>
      </c>
      <c r="D17" s="51">
        <v>13.97</v>
      </c>
      <c r="E17" s="51">
        <v>10.08</v>
      </c>
      <c r="F17" s="51">
        <v>7.03</v>
      </c>
      <c r="G17" s="51">
        <v>14.08</v>
      </c>
      <c r="H17" s="51">
        <v>2.1</v>
      </c>
      <c r="I17" s="51">
        <v>3.77</v>
      </c>
      <c r="J17" s="51">
        <v>0.33</v>
      </c>
      <c r="K17" s="51">
        <v>346.88</v>
      </c>
      <c r="L17" s="51">
        <v>28.57</v>
      </c>
      <c r="M17" s="51">
        <v>90.59</v>
      </c>
      <c r="N17" s="51">
        <v>231.5</v>
      </c>
      <c r="O17" s="51">
        <v>0</v>
      </c>
      <c r="P17" s="51">
        <v>0.38</v>
      </c>
      <c r="Q17" s="27" t="s">
        <v>14</v>
      </c>
    </row>
    <row r="18" spans="1:17" customFormat="1">
      <c r="A18" s="50">
        <v>45491.416666666664</v>
      </c>
      <c r="B18" s="51">
        <v>9.2100000000000009</v>
      </c>
      <c r="C18" s="51">
        <v>4.08</v>
      </c>
      <c r="D18" s="51">
        <v>13.97</v>
      </c>
      <c r="E18" s="51">
        <v>13.06</v>
      </c>
      <c r="F18" s="51">
        <v>5.21</v>
      </c>
      <c r="G18" s="51">
        <v>36.65</v>
      </c>
      <c r="H18" s="51">
        <v>7.5</v>
      </c>
      <c r="I18" s="51">
        <v>4.1500000000000004</v>
      </c>
      <c r="J18" s="51">
        <v>0.63</v>
      </c>
      <c r="K18" s="51">
        <v>74.42</v>
      </c>
      <c r="L18" s="51">
        <v>30.91</v>
      </c>
      <c r="M18" s="51">
        <v>83.57</v>
      </c>
      <c r="N18" s="51">
        <v>282.60000000000002</v>
      </c>
      <c r="O18" s="51">
        <v>0</v>
      </c>
      <c r="P18" s="51">
        <v>0.43</v>
      </c>
      <c r="Q18" s="27" t="s">
        <v>14</v>
      </c>
    </row>
    <row r="19" spans="1:17" customFormat="1">
      <c r="A19" s="50">
        <v>45491.458333333336</v>
      </c>
      <c r="B19" s="51">
        <v>9.24</v>
      </c>
      <c r="C19" s="51">
        <v>4.0999999999999996</v>
      </c>
      <c r="D19" s="51">
        <v>13.98</v>
      </c>
      <c r="E19" s="51">
        <v>18.43</v>
      </c>
      <c r="F19" s="51">
        <v>14.66</v>
      </c>
      <c r="G19" s="51">
        <v>67.66</v>
      </c>
      <c r="H19" s="51">
        <v>13.32</v>
      </c>
      <c r="I19" s="51">
        <v>4.88</v>
      </c>
      <c r="J19" s="51">
        <v>1.1200000000000001</v>
      </c>
      <c r="K19" s="51">
        <v>58.08</v>
      </c>
      <c r="L19" s="51">
        <v>31.27</v>
      </c>
      <c r="M19" s="51">
        <v>78.16</v>
      </c>
      <c r="N19" s="51">
        <v>297</v>
      </c>
      <c r="O19" s="51">
        <v>0</v>
      </c>
      <c r="P19" s="51">
        <v>0.51</v>
      </c>
      <c r="Q19" s="27" t="s">
        <v>14</v>
      </c>
    </row>
    <row r="20" spans="1:17" customFormat="1">
      <c r="A20" s="50">
        <v>45491.5</v>
      </c>
      <c r="B20" s="51">
        <v>9.77</v>
      </c>
      <c r="C20" s="51">
        <v>4.0599999999999996</v>
      </c>
      <c r="D20" s="51">
        <v>14.38</v>
      </c>
      <c r="E20" s="51">
        <v>24.75</v>
      </c>
      <c r="F20" s="51">
        <v>37.39</v>
      </c>
      <c r="G20" s="51">
        <v>67.66</v>
      </c>
      <c r="H20" s="51">
        <v>13.32</v>
      </c>
      <c r="I20" s="51">
        <v>5.45</v>
      </c>
      <c r="J20" s="51">
        <v>1.07</v>
      </c>
      <c r="K20" s="51">
        <v>54.12</v>
      </c>
      <c r="L20" s="51">
        <v>32.119999999999997</v>
      </c>
      <c r="M20" s="51">
        <v>76</v>
      </c>
      <c r="N20" s="51">
        <v>347.3</v>
      </c>
      <c r="O20" s="51">
        <v>0</v>
      </c>
      <c r="P20" s="51">
        <v>0.49</v>
      </c>
      <c r="Q20" s="27" t="s">
        <v>14</v>
      </c>
    </row>
    <row r="21" spans="1:17" customFormat="1">
      <c r="A21" s="50">
        <v>45491.541666666664</v>
      </c>
      <c r="B21" s="51">
        <v>9.44</v>
      </c>
      <c r="C21" s="51">
        <v>5.13</v>
      </c>
      <c r="D21" s="51">
        <v>14.61</v>
      </c>
      <c r="E21" s="51">
        <v>5.73</v>
      </c>
      <c r="F21" s="51">
        <v>44.01</v>
      </c>
      <c r="G21" s="51">
        <v>65.37</v>
      </c>
      <c r="H21" s="51">
        <v>11.96</v>
      </c>
      <c r="I21" s="51">
        <v>14.22</v>
      </c>
      <c r="J21" s="51">
        <v>1.4</v>
      </c>
      <c r="K21" s="51">
        <v>52.58</v>
      </c>
      <c r="L21" s="51">
        <v>31.92</v>
      </c>
      <c r="M21" s="51">
        <v>75.430000000000007</v>
      </c>
      <c r="N21" s="51">
        <v>461</v>
      </c>
      <c r="O21" s="51">
        <v>0</v>
      </c>
      <c r="P21" s="51">
        <v>0.47</v>
      </c>
      <c r="Q21" s="27" t="s">
        <v>14</v>
      </c>
    </row>
    <row r="22" spans="1:17" customFormat="1">
      <c r="A22" s="50">
        <v>45491.583333333336</v>
      </c>
      <c r="B22" s="51">
        <v>9.49</v>
      </c>
      <c r="C22" s="51">
        <v>4.33</v>
      </c>
      <c r="D22" s="51">
        <v>14.18</v>
      </c>
      <c r="E22" s="51">
        <v>8.36</v>
      </c>
      <c r="F22" s="51">
        <v>52.79</v>
      </c>
      <c r="G22" s="51">
        <v>63.25</v>
      </c>
      <c r="H22" s="51">
        <v>16.07</v>
      </c>
      <c r="I22" s="51">
        <v>8.8800000000000008</v>
      </c>
      <c r="J22" s="51">
        <v>1.1499999999999999</v>
      </c>
      <c r="K22" s="51">
        <v>71.73</v>
      </c>
      <c r="L22" s="51">
        <v>32.92</v>
      </c>
      <c r="M22" s="51">
        <v>75.08</v>
      </c>
      <c r="N22" s="51">
        <v>351.3</v>
      </c>
      <c r="O22" s="51">
        <v>0</v>
      </c>
      <c r="P22" s="51">
        <v>0.49</v>
      </c>
      <c r="Q22" s="51">
        <v>4.67</v>
      </c>
    </row>
    <row r="23" spans="1:17" customFormat="1">
      <c r="A23" s="50">
        <v>45491.625</v>
      </c>
      <c r="B23" s="51">
        <v>9.48</v>
      </c>
      <c r="C23" s="51">
        <v>4.09</v>
      </c>
      <c r="D23" s="51">
        <v>14.17</v>
      </c>
      <c r="E23" s="51">
        <v>6.24</v>
      </c>
      <c r="F23" s="51">
        <v>11.83</v>
      </c>
      <c r="G23" s="51">
        <v>59.83</v>
      </c>
      <c r="H23" s="51">
        <v>18.57</v>
      </c>
      <c r="I23" s="51">
        <v>3.65</v>
      </c>
      <c r="J23" s="51">
        <v>0.71</v>
      </c>
      <c r="K23" s="51">
        <v>117.53</v>
      </c>
      <c r="L23" s="51">
        <v>33.15</v>
      </c>
      <c r="M23" s="51">
        <v>74.89</v>
      </c>
      <c r="N23" s="51">
        <v>442.5</v>
      </c>
      <c r="O23" s="51">
        <v>0</v>
      </c>
      <c r="P23" s="51">
        <v>0.38</v>
      </c>
      <c r="Q23" s="51">
        <v>4.6900000000000004</v>
      </c>
    </row>
    <row r="24" spans="1:17" customFormat="1">
      <c r="A24" s="50">
        <v>45491.666666666664</v>
      </c>
      <c r="B24" s="51">
        <v>9.43</v>
      </c>
      <c r="C24" s="51">
        <v>4.09</v>
      </c>
      <c r="D24" s="51">
        <v>14.15</v>
      </c>
      <c r="E24" s="51">
        <v>5.49</v>
      </c>
      <c r="F24" s="51">
        <v>18.37</v>
      </c>
      <c r="G24" s="51">
        <v>53.94</v>
      </c>
      <c r="H24" s="51">
        <v>18.57</v>
      </c>
      <c r="I24" s="51">
        <v>3.8</v>
      </c>
      <c r="J24" s="51">
        <v>0.67</v>
      </c>
      <c r="K24" s="51">
        <v>122.67</v>
      </c>
      <c r="L24" s="51">
        <v>33.630000000000003</v>
      </c>
      <c r="M24" s="51">
        <v>74.430000000000007</v>
      </c>
      <c r="N24" s="51">
        <v>359.1</v>
      </c>
      <c r="O24" s="51">
        <v>0</v>
      </c>
      <c r="P24" s="51">
        <v>0.35</v>
      </c>
      <c r="Q24" s="51">
        <v>4.71</v>
      </c>
    </row>
    <row r="25" spans="1:17" customFormat="1">
      <c r="A25" s="50">
        <v>45491.708333333336</v>
      </c>
      <c r="B25" s="51">
        <v>9.4499999999999993</v>
      </c>
      <c r="C25" s="51">
        <v>4.0599999999999996</v>
      </c>
      <c r="D25" s="51">
        <v>14.15</v>
      </c>
      <c r="E25" s="51">
        <v>7.08</v>
      </c>
      <c r="F25" s="51">
        <v>19.54</v>
      </c>
      <c r="G25" s="51">
        <v>49.49</v>
      </c>
      <c r="H25" s="51">
        <v>17.850000000000001</v>
      </c>
      <c r="I25" s="51">
        <v>3.72</v>
      </c>
      <c r="J25" s="51">
        <v>0.75</v>
      </c>
      <c r="K25" s="51">
        <v>119.64</v>
      </c>
      <c r="L25" s="51">
        <v>33.6</v>
      </c>
      <c r="M25" s="51">
        <v>77.89</v>
      </c>
      <c r="N25" s="51">
        <v>350.1</v>
      </c>
      <c r="O25" s="51">
        <v>0</v>
      </c>
      <c r="P25" s="51">
        <v>0.33</v>
      </c>
      <c r="Q25" s="51">
        <v>4.71</v>
      </c>
    </row>
    <row r="26" spans="1:17" customFormat="1">
      <c r="A26" s="50">
        <v>45491.75</v>
      </c>
      <c r="B26" s="51">
        <v>9.43</v>
      </c>
      <c r="C26" s="51">
        <v>4.09</v>
      </c>
      <c r="D26" s="51">
        <v>14.14</v>
      </c>
      <c r="E26" s="51">
        <v>7.03</v>
      </c>
      <c r="F26" s="51">
        <v>24.09</v>
      </c>
      <c r="G26" s="51">
        <v>45.28</v>
      </c>
      <c r="H26" s="51">
        <v>17</v>
      </c>
      <c r="I26" s="51">
        <v>3.69</v>
      </c>
      <c r="J26" s="51">
        <v>0.64</v>
      </c>
      <c r="K26" s="51">
        <v>159.66</v>
      </c>
      <c r="L26" s="51">
        <v>32.119999999999997</v>
      </c>
      <c r="M26" s="51">
        <v>78.12</v>
      </c>
      <c r="N26" s="51">
        <v>75.900000000000006</v>
      </c>
      <c r="O26" s="51">
        <v>0</v>
      </c>
      <c r="P26" s="51">
        <v>0.36</v>
      </c>
      <c r="Q26" s="51">
        <v>4.71</v>
      </c>
    </row>
    <row r="27" spans="1:17" customFormat="1">
      <c r="A27" s="50">
        <v>45491.791666666664</v>
      </c>
      <c r="B27" s="51">
        <v>9.5500000000000007</v>
      </c>
      <c r="C27" s="51">
        <v>4.08</v>
      </c>
      <c r="D27" s="51">
        <v>14.22</v>
      </c>
      <c r="E27" s="51">
        <v>9.35</v>
      </c>
      <c r="F27" s="51">
        <v>17</v>
      </c>
      <c r="G27" s="51">
        <v>47</v>
      </c>
      <c r="H27" s="51">
        <v>14.54</v>
      </c>
      <c r="I27" s="51">
        <v>3.94</v>
      </c>
      <c r="J27" s="51">
        <v>0.27</v>
      </c>
      <c r="K27" s="51">
        <v>161.63999999999999</v>
      </c>
      <c r="L27" s="51">
        <v>31.26</v>
      </c>
      <c r="M27" s="51">
        <v>81.25</v>
      </c>
      <c r="N27" s="51">
        <v>13.4</v>
      </c>
      <c r="O27" s="51">
        <v>0</v>
      </c>
      <c r="P27" s="51">
        <v>0.35</v>
      </c>
      <c r="Q27" s="51">
        <v>4.72</v>
      </c>
    </row>
    <row r="28" spans="1:17" customFormat="1">
      <c r="A28" s="50">
        <v>45491.833333333336</v>
      </c>
      <c r="B28" s="51">
        <v>9.4</v>
      </c>
      <c r="C28" s="51">
        <v>4.09</v>
      </c>
      <c r="D28" s="51">
        <v>14.12</v>
      </c>
      <c r="E28" s="51">
        <v>9.94</v>
      </c>
      <c r="F28" s="51">
        <v>13.73</v>
      </c>
      <c r="G28" s="51">
        <v>47</v>
      </c>
      <c r="H28" s="51">
        <v>14.1</v>
      </c>
      <c r="I28" s="51">
        <v>4.3</v>
      </c>
      <c r="J28" s="51">
        <v>0.23</v>
      </c>
      <c r="K28" s="51">
        <v>299.14999999999998</v>
      </c>
      <c r="L28" s="51">
        <v>30.33</v>
      </c>
      <c r="M28" s="51">
        <v>86.62</v>
      </c>
      <c r="N28" s="51">
        <v>2.2999999999999998</v>
      </c>
      <c r="O28" s="51">
        <v>0</v>
      </c>
      <c r="P28" s="51">
        <v>0.38</v>
      </c>
      <c r="Q28" s="51">
        <v>4.72</v>
      </c>
    </row>
    <row r="29" spans="1:17" customFormat="1">
      <c r="A29" s="50">
        <v>45491.875</v>
      </c>
      <c r="B29" s="51">
        <v>9.34</v>
      </c>
      <c r="C29" s="51">
        <v>4.0999999999999996</v>
      </c>
      <c r="D29" s="51">
        <v>14.07</v>
      </c>
      <c r="E29" s="51">
        <v>10.33</v>
      </c>
      <c r="F29" s="51">
        <v>7.72</v>
      </c>
      <c r="G29" s="51">
        <v>44.61</v>
      </c>
      <c r="H29" s="51">
        <v>12.46</v>
      </c>
      <c r="I29" s="51">
        <v>4.38</v>
      </c>
      <c r="J29" s="51">
        <v>0.21</v>
      </c>
      <c r="K29" s="51">
        <v>214.59</v>
      </c>
      <c r="L29" s="51">
        <v>29.08</v>
      </c>
      <c r="M29" s="51">
        <v>91.59</v>
      </c>
      <c r="N29" s="51">
        <v>2.5</v>
      </c>
      <c r="O29" s="51">
        <v>0</v>
      </c>
      <c r="P29" s="51">
        <v>0.39</v>
      </c>
      <c r="Q29" s="51">
        <v>4.71</v>
      </c>
    </row>
    <row r="30" spans="1:17" customFormat="1">
      <c r="A30" s="50">
        <v>45491.916666666664</v>
      </c>
      <c r="B30" s="51">
        <v>9.33</v>
      </c>
      <c r="C30" s="51">
        <v>4.07</v>
      </c>
      <c r="D30" s="51">
        <v>14.06</v>
      </c>
      <c r="E30" s="51">
        <v>10.8</v>
      </c>
      <c r="F30" s="51">
        <v>7.75</v>
      </c>
      <c r="G30" s="51">
        <v>54.12</v>
      </c>
      <c r="H30" s="51">
        <v>14.71</v>
      </c>
      <c r="I30" s="51">
        <v>5.21</v>
      </c>
      <c r="J30" s="51">
        <v>0.16</v>
      </c>
      <c r="K30" s="51">
        <v>219.18</v>
      </c>
      <c r="L30" s="51">
        <v>28.97</v>
      </c>
      <c r="M30" s="51">
        <v>95.86</v>
      </c>
      <c r="N30" s="51">
        <v>2</v>
      </c>
      <c r="O30" s="51">
        <v>0</v>
      </c>
      <c r="P30" s="51">
        <v>0.45</v>
      </c>
      <c r="Q30" s="51">
        <v>4.71</v>
      </c>
    </row>
    <row r="31" spans="1:17" customFormat="1">
      <c r="A31" s="50">
        <v>45491.958333333336</v>
      </c>
      <c r="B31" s="51">
        <v>9.32</v>
      </c>
      <c r="C31" s="51">
        <v>4.1399999999999997</v>
      </c>
      <c r="D31" s="51">
        <v>14.08</v>
      </c>
      <c r="E31" s="51">
        <v>11.02</v>
      </c>
      <c r="F31" s="51">
        <v>6.78</v>
      </c>
      <c r="G31" s="51">
        <v>54.88</v>
      </c>
      <c r="H31" s="51">
        <v>17.79</v>
      </c>
      <c r="I31" s="51">
        <v>6.17</v>
      </c>
      <c r="J31" s="51">
        <v>0.32</v>
      </c>
      <c r="K31" s="51">
        <v>181.62</v>
      </c>
      <c r="L31" s="51">
        <v>29.26</v>
      </c>
      <c r="M31" s="51">
        <v>94.86</v>
      </c>
      <c r="N31" s="51">
        <v>2.4</v>
      </c>
      <c r="O31" s="51">
        <v>0</v>
      </c>
      <c r="P31" s="51">
        <v>0.62</v>
      </c>
      <c r="Q31" s="51">
        <v>4.72</v>
      </c>
    </row>
    <row r="32" spans="1:17" customFormat="1">
      <c r="A32" s="50">
        <v>45492</v>
      </c>
      <c r="B32" s="51">
        <v>9.44</v>
      </c>
      <c r="C32" s="51">
        <v>4.08</v>
      </c>
      <c r="D32" s="51">
        <v>14.16</v>
      </c>
      <c r="E32" s="51">
        <v>10.61</v>
      </c>
      <c r="F32" s="51">
        <v>4.91</v>
      </c>
      <c r="G32" s="51">
        <v>58.75</v>
      </c>
      <c r="H32" s="51">
        <v>19.559999999999999</v>
      </c>
      <c r="I32" s="51">
        <v>6.79</v>
      </c>
      <c r="J32" s="51">
        <v>0.18</v>
      </c>
      <c r="K32" s="51">
        <v>200.63</v>
      </c>
      <c r="L32" s="51">
        <v>28.61</v>
      </c>
      <c r="M32" s="51">
        <v>98.28</v>
      </c>
      <c r="N32" s="51">
        <v>2.2000000000000002</v>
      </c>
      <c r="O32" s="51">
        <v>0</v>
      </c>
      <c r="P32" s="51">
        <v>0.69</v>
      </c>
      <c r="Q32" s="51">
        <v>4.7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9.2100000000000009</v>
      </c>
      <c r="C34" s="41">
        <f t="shared" si="0"/>
        <v>4.0599999999999996</v>
      </c>
      <c r="D34" s="41">
        <f t="shared" si="0"/>
        <v>13.97</v>
      </c>
      <c r="E34" s="41">
        <f t="shared" si="0"/>
        <v>5.49</v>
      </c>
      <c r="F34" s="41">
        <f t="shared" si="0"/>
        <v>3.65</v>
      </c>
      <c r="G34" s="41">
        <f t="shared" si="0"/>
        <v>4.5199999999999996</v>
      </c>
      <c r="H34" s="41">
        <f t="shared" si="0"/>
        <v>1.33</v>
      </c>
      <c r="I34" s="41">
        <f t="shared" si="0"/>
        <v>3.04</v>
      </c>
      <c r="J34" s="41">
        <f t="shared" si="0"/>
        <v>0.14000000000000001</v>
      </c>
      <c r="K34" s="41">
        <f t="shared" si="0"/>
        <v>52.58</v>
      </c>
      <c r="L34" s="41">
        <f t="shared" si="0"/>
        <v>26.07</v>
      </c>
      <c r="M34" s="41">
        <f t="shared" si="0"/>
        <v>74.430000000000007</v>
      </c>
      <c r="N34" s="41">
        <f t="shared" si="0"/>
        <v>2</v>
      </c>
      <c r="O34" s="41">
        <f t="shared" si="0"/>
        <v>0</v>
      </c>
      <c r="P34" s="41">
        <f t="shared" si="0"/>
        <v>0.32</v>
      </c>
      <c r="Q34" s="41">
        <f t="shared" si="0"/>
        <v>4.67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9.77</v>
      </c>
      <c r="C35" s="33">
        <f t="shared" si="1"/>
        <v>5.13</v>
      </c>
      <c r="D35" s="33">
        <f t="shared" si="1"/>
        <v>14.61</v>
      </c>
      <c r="E35" s="33">
        <f t="shared" si="1"/>
        <v>24.75</v>
      </c>
      <c r="F35" s="33">
        <f t="shared" si="1"/>
        <v>52.79</v>
      </c>
      <c r="G35" s="33">
        <f t="shared" si="1"/>
        <v>67.66</v>
      </c>
      <c r="H35" s="33">
        <f t="shared" si="1"/>
        <v>19.559999999999999</v>
      </c>
      <c r="I35" s="33">
        <f t="shared" si="1"/>
        <v>14.22</v>
      </c>
      <c r="J35" s="33">
        <f t="shared" si="1"/>
        <v>1.4</v>
      </c>
      <c r="K35" s="33">
        <f t="shared" si="1"/>
        <v>346.88</v>
      </c>
      <c r="L35" s="33">
        <f t="shared" si="1"/>
        <v>33.630000000000003</v>
      </c>
      <c r="M35" s="33">
        <f t="shared" si="1"/>
        <v>100.34</v>
      </c>
      <c r="N35" s="33">
        <f t="shared" si="1"/>
        <v>461</v>
      </c>
      <c r="O35" s="33">
        <f t="shared" si="1"/>
        <v>0</v>
      </c>
      <c r="P35" s="33">
        <f t="shared" si="1"/>
        <v>0.69</v>
      </c>
      <c r="Q35" s="33">
        <f t="shared" si="1"/>
        <v>4.72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9.3504166666666677</v>
      </c>
      <c r="C36" s="41">
        <f t="shared" si="2"/>
        <v>4.1391666666666671</v>
      </c>
      <c r="D36" s="41">
        <f t="shared" si="2"/>
        <v>14.093750000000002</v>
      </c>
      <c r="E36" s="41">
        <f t="shared" si="2"/>
        <v>10.456666666666669</v>
      </c>
      <c r="F36" s="41">
        <f t="shared" si="2"/>
        <v>14.127916666666669</v>
      </c>
      <c r="G36" s="41">
        <f t="shared" si="2"/>
        <v>36.72208333333333</v>
      </c>
      <c r="H36" s="41">
        <f t="shared" si="2"/>
        <v>10.063333333333333</v>
      </c>
      <c r="I36" s="41">
        <f t="shared" si="2"/>
        <v>4.6979166666666661</v>
      </c>
      <c r="J36" s="41">
        <f t="shared" si="2"/>
        <v>0.53291666666666671</v>
      </c>
      <c r="K36" s="41">
        <f t="shared" si="2"/>
        <v>197.71833333333333</v>
      </c>
      <c r="L36" s="41">
        <f t="shared" si="2"/>
        <v>29.545833333333338</v>
      </c>
      <c r="M36" s="41">
        <f t="shared" si="2"/>
        <v>88.082916666666662</v>
      </c>
      <c r="N36" s="41">
        <f t="shared" si="2"/>
        <v>142.86250000000001</v>
      </c>
      <c r="O36" s="41">
        <f t="shared" si="2"/>
        <v>0</v>
      </c>
      <c r="P36" s="41">
        <f t="shared" si="2"/>
        <v>0.40749999999999992</v>
      </c>
      <c r="Q36" s="41">
        <f t="shared" si="2"/>
        <v>4.706363636363637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0.14051084335895231</v>
      </c>
      <c r="C37" s="41">
        <f t="shared" ref="C37:Q37" si="3">STDEV(C9:C32)</f>
        <v>0.21761387157405399</v>
      </c>
      <c r="D37" s="41">
        <f t="shared" si="3"/>
        <v>0.15330596006443484</v>
      </c>
      <c r="E37" s="41">
        <f t="shared" si="3"/>
        <v>4.0588954019607302</v>
      </c>
      <c r="F37" s="41">
        <f t="shared" si="3"/>
        <v>13.219172827889917</v>
      </c>
      <c r="G37" s="41">
        <f t="shared" si="3"/>
        <v>24.447668507876472</v>
      </c>
      <c r="H37" s="41">
        <f t="shared" si="3"/>
        <v>7.1737066197793933</v>
      </c>
      <c r="I37" s="41">
        <f t="shared" si="3"/>
        <v>2.4595333229429266</v>
      </c>
      <c r="J37" s="41">
        <f t="shared" si="3"/>
        <v>0.35419816569218721</v>
      </c>
      <c r="K37" s="41">
        <f t="shared" si="3"/>
        <v>96.630243877804986</v>
      </c>
      <c r="L37" s="41">
        <f t="shared" si="3"/>
        <v>2.6963726304646225</v>
      </c>
      <c r="M37" s="41">
        <f t="shared" si="3"/>
        <v>9.8080678765501936</v>
      </c>
      <c r="N37" s="41">
        <f t="shared" si="3"/>
        <v>169.35005632147562</v>
      </c>
      <c r="O37" s="41">
        <f t="shared" si="3"/>
        <v>0</v>
      </c>
      <c r="P37" s="41">
        <f t="shared" si="3"/>
        <v>9.6289870341770098E-2</v>
      </c>
      <c r="Q37" s="41">
        <f t="shared" si="3"/>
        <v>1.501514387059086E-2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P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45492.041666666664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45492.041666666664</v>
      </c>
      <c r="B9" s="51">
        <v>9.2799999999999994</v>
      </c>
      <c r="C9" s="51">
        <v>4.16</v>
      </c>
      <c r="D9" s="51">
        <v>14</v>
      </c>
      <c r="E9" s="51">
        <v>8.26</v>
      </c>
      <c r="F9" s="51">
        <v>6.41</v>
      </c>
      <c r="G9" s="51">
        <v>58.75</v>
      </c>
      <c r="H9" s="51">
        <v>19.559999999999999</v>
      </c>
      <c r="I9" s="51">
        <v>6.85</v>
      </c>
      <c r="J9" s="51">
        <v>0.19</v>
      </c>
      <c r="K9" s="51">
        <v>197.96</v>
      </c>
      <c r="L9" s="51">
        <v>28.37</v>
      </c>
      <c r="M9" s="51">
        <v>94.95</v>
      </c>
      <c r="N9" s="51">
        <v>2.2000000000000002</v>
      </c>
      <c r="O9" s="51">
        <v>0</v>
      </c>
      <c r="P9" s="51">
        <v>0.66</v>
      </c>
      <c r="Q9" s="51">
        <v>4.72</v>
      </c>
    </row>
    <row r="10" spans="1:21" customFormat="1">
      <c r="A10" s="50">
        <v>45492.083333333336</v>
      </c>
      <c r="B10" s="51">
        <v>9.19</v>
      </c>
      <c r="C10" s="51">
        <v>4.2</v>
      </c>
      <c r="D10" s="51">
        <v>14</v>
      </c>
      <c r="E10" s="51">
        <v>7.49</v>
      </c>
      <c r="F10" s="51">
        <v>4.09</v>
      </c>
      <c r="G10" s="51">
        <v>52.42</v>
      </c>
      <c r="H10" s="51">
        <v>17.670000000000002</v>
      </c>
      <c r="I10" s="51">
        <v>7</v>
      </c>
      <c r="J10" s="51">
        <v>0.25</v>
      </c>
      <c r="K10" s="51">
        <v>181.41</v>
      </c>
      <c r="L10" s="51">
        <v>28.46</v>
      </c>
      <c r="M10" s="51">
        <v>96</v>
      </c>
      <c r="N10" s="51">
        <v>2.1</v>
      </c>
      <c r="O10" s="51">
        <v>0</v>
      </c>
      <c r="P10" s="51">
        <v>0.69</v>
      </c>
      <c r="Q10" s="51">
        <v>4.72</v>
      </c>
    </row>
    <row r="11" spans="1:21" customFormat="1">
      <c r="A11" s="50">
        <v>45492.125</v>
      </c>
      <c r="B11" s="51">
        <v>9.19</v>
      </c>
      <c r="C11" s="51">
        <v>4.21</v>
      </c>
      <c r="D11" s="51">
        <v>14</v>
      </c>
      <c r="E11" s="51">
        <v>7.82</v>
      </c>
      <c r="F11" s="51">
        <v>3.63</v>
      </c>
      <c r="G11" s="51">
        <v>60.29</v>
      </c>
      <c r="H11" s="51">
        <v>17.82</v>
      </c>
      <c r="I11" s="51">
        <v>7.24</v>
      </c>
      <c r="J11" s="51">
        <v>0.2</v>
      </c>
      <c r="K11" s="51">
        <v>152.46</v>
      </c>
      <c r="L11" s="51">
        <v>28.41</v>
      </c>
      <c r="M11" s="51">
        <v>96.71</v>
      </c>
      <c r="N11" s="51">
        <v>2.1</v>
      </c>
      <c r="O11" s="51">
        <v>0</v>
      </c>
      <c r="P11" s="51">
        <v>0.69</v>
      </c>
      <c r="Q11" s="51">
        <v>4.72</v>
      </c>
    </row>
    <row r="12" spans="1:21" customFormat="1">
      <c r="A12" s="50">
        <v>45492.166666666664</v>
      </c>
      <c r="B12" s="51">
        <v>9.1999999999999993</v>
      </c>
      <c r="C12" s="51">
        <v>4.2</v>
      </c>
      <c r="D12" s="51">
        <v>14</v>
      </c>
      <c r="E12" s="51">
        <v>8.92</v>
      </c>
      <c r="F12" s="51">
        <v>4.75</v>
      </c>
      <c r="G12" s="51">
        <v>63.76</v>
      </c>
      <c r="H12" s="51">
        <v>19.760000000000002</v>
      </c>
      <c r="I12" s="51">
        <v>7.52</v>
      </c>
      <c r="J12" s="51">
        <v>0.18</v>
      </c>
      <c r="K12" s="51">
        <v>189.75</v>
      </c>
      <c r="L12" s="51">
        <v>28.21</v>
      </c>
      <c r="M12" s="51">
        <v>95.25</v>
      </c>
      <c r="N12" s="51">
        <v>2.1</v>
      </c>
      <c r="O12" s="51">
        <v>0</v>
      </c>
      <c r="P12" s="51">
        <v>0.67</v>
      </c>
      <c r="Q12" s="51">
        <v>4.72</v>
      </c>
    </row>
    <row r="13" spans="1:21" customFormat="1">
      <c r="A13" s="50">
        <v>45492.208333333336</v>
      </c>
      <c r="B13" s="51">
        <v>9.24</v>
      </c>
      <c r="C13" s="51">
        <v>4.13</v>
      </c>
      <c r="D13" s="51">
        <v>14.01</v>
      </c>
      <c r="E13" s="51">
        <v>9.98</v>
      </c>
      <c r="F13" s="51">
        <v>3.84</v>
      </c>
      <c r="G13" s="51">
        <v>63.76</v>
      </c>
      <c r="H13" s="51">
        <v>20.13</v>
      </c>
      <c r="I13" s="51">
        <v>7.31</v>
      </c>
      <c r="J13" s="51">
        <v>0.48</v>
      </c>
      <c r="K13" s="51">
        <v>325.86</v>
      </c>
      <c r="L13" s="51">
        <v>28.07</v>
      </c>
      <c r="M13" s="51">
        <v>95.16</v>
      </c>
      <c r="N13" s="51">
        <v>2.1</v>
      </c>
      <c r="O13" s="51">
        <v>0</v>
      </c>
      <c r="P13" s="51">
        <v>0.64</v>
      </c>
      <c r="Q13" s="51">
        <v>4.71</v>
      </c>
    </row>
    <row r="14" spans="1:21" customFormat="1">
      <c r="A14" s="50">
        <v>45492.25</v>
      </c>
      <c r="B14" s="51">
        <v>9.19</v>
      </c>
      <c r="C14" s="51">
        <v>4.1900000000000004</v>
      </c>
      <c r="D14" s="51">
        <v>14</v>
      </c>
      <c r="E14" s="51">
        <v>11.61</v>
      </c>
      <c r="F14" s="51">
        <v>6.19</v>
      </c>
      <c r="G14" s="51">
        <v>68.510000000000005</v>
      </c>
      <c r="H14" s="51">
        <v>21.85</v>
      </c>
      <c r="I14" s="51">
        <v>7.44</v>
      </c>
      <c r="J14" s="51">
        <v>0.28999999999999998</v>
      </c>
      <c r="K14" s="51">
        <v>337.85</v>
      </c>
      <c r="L14" s="51">
        <v>28.06</v>
      </c>
      <c r="M14" s="51">
        <v>93.15</v>
      </c>
      <c r="N14" s="51">
        <v>8.8000000000000007</v>
      </c>
      <c r="O14" s="51">
        <v>0</v>
      </c>
      <c r="P14" s="51">
        <v>0.61</v>
      </c>
      <c r="Q14" s="51">
        <v>4.72</v>
      </c>
    </row>
    <row r="15" spans="1:21" customFormat="1">
      <c r="A15" s="50">
        <v>45492.291666666664</v>
      </c>
      <c r="B15" s="51">
        <v>9.18</v>
      </c>
      <c r="C15" s="51">
        <v>4.24</v>
      </c>
      <c r="D15" s="51">
        <v>14</v>
      </c>
      <c r="E15" s="51">
        <v>11.67</v>
      </c>
      <c r="F15" s="51">
        <v>5.01</v>
      </c>
      <c r="G15" s="51">
        <v>98.41</v>
      </c>
      <c r="H15" s="51">
        <v>26.11</v>
      </c>
      <c r="I15" s="51">
        <v>8.11</v>
      </c>
      <c r="J15" s="51">
        <v>0.73</v>
      </c>
      <c r="K15" s="51">
        <v>48.3</v>
      </c>
      <c r="L15" s="51">
        <v>28.56</v>
      </c>
      <c r="M15" s="51">
        <v>94.4</v>
      </c>
      <c r="N15" s="51">
        <v>64</v>
      </c>
      <c r="O15" s="51">
        <v>0</v>
      </c>
      <c r="P15" s="51">
        <v>0.64</v>
      </c>
      <c r="Q15" s="51">
        <v>4.71</v>
      </c>
    </row>
    <row r="16" spans="1:21" customFormat="1">
      <c r="A16" s="50">
        <v>45492.333333333336</v>
      </c>
      <c r="B16" s="51">
        <v>9.16</v>
      </c>
      <c r="C16" s="51">
        <v>4.25</v>
      </c>
      <c r="D16" s="51">
        <v>14</v>
      </c>
      <c r="E16" s="51">
        <v>13.29</v>
      </c>
      <c r="F16" s="51">
        <v>7.6</v>
      </c>
      <c r="G16" s="51">
        <v>98.41</v>
      </c>
      <c r="H16" s="51">
        <v>27.95</v>
      </c>
      <c r="I16" s="51">
        <v>8.2100000000000009</v>
      </c>
      <c r="J16" s="51">
        <v>1.8</v>
      </c>
      <c r="K16" s="51">
        <v>52.71</v>
      </c>
      <c r="L16" s="51">
        <v>29.57</v>
      </c>
      <c r="M16" s="51">
        <v>93.19</v>
      </c>
      <c r="N16" s="51">
        <v>134.1</v>
      </c>
      <c r="O16" s="51">
        <v>0</v>
      </c>
      <c r="P16" s="51">
        <v>0.63</v>
      </c>
      <c r="Q16" s="51">
        <v>4.72</v>
      </c>
    </row>
    <row r="17" spans="1:17" customFormat="1">
      <c r="A17" s="50">
        <v>45492.375</v>
      </c>
      <c r="B17" s="51">
        <v>9.26</v>
      </c>
      <c r="C17" s="51">
        <v>4.24</v>
      </c>
      <c r="D17" s="51">
        <v>14</v>
      </c>
      <c r="E17" s="51">
        <v>15.03</v>
      </c>
      <c r="F17" s="51">
        <v>9.41</v>
      </c>
      <c r="G17" s="51">
        <v>96.81</v>
      </c>
      <c r="H17" s="51">
        <v>28.94</v>
      </c>
      <c r="I17" s="51">
        <v>8.16</v>
      </c>
      <c r="J17" s="51">
        <v>1.64</v>
      </c>
      <c r="K17" s="51">
        <v>58.08</v>
      </c>
      <c r="L17" s="51">
        <v>31.7</v>
      </c>
      <c r="M17" s="51">
        <v>77.14</v>
      </c>
      <c r="N17" s="51">
        <v>166.9</v>
      </c>
      <c r="O17" s="51">
        <v>0</v>
      </c>
      <c r="P17" s="51">
        <v>0.61</v>
      </c>
      <c r="Q17" s="51">
        <v>4.7</v>
      </c>
    </row>
    <row r="18" spans="1:17" customFormat="1">
      <c r="A18" s="50">
        <v>45492.416666666664</v>
      </c>
      <c r="B18" s="51">
        <v>9.32</v>
      </c>
      <c r="C18" s="51">
        <v>4.1399999999999997</v>
      </c>
      <c r="D18" s="51">
        <v>14.05</v>
      </c>
      <c r="E18" s="51">
        <v>21.75</v>
      </c>
      <c r="F18" s="51">
        <v>13.47</v>
      </c>
      <c r="G18" s="51">
        <v>87.99</v>
      </c>
      <c r="H18" s="51">
        <v>28.94</v>
      </c>
      <c r="I18" s="51">
        <v>7.39</v>
      </c>
      <c r="J18" s="51">
        <v>1.36</v>
      </c>
      <c r="K18" s="51">
        <v>62.33</v>
      </c>
      <c r="L18" s="51">
        <v>32.35</v>
      </c>
      <c r="M18" s="51">
        <v>71.41</v>
      </c>
      <c r="N18" s="51">
        <v>258.3</v>
      </c>
      <c r="O18" s="51">
        <v>0</v>
      </c>
      <c r="P18" s="51">
        <v>0.56999999999999995</v>
      </c>
      <c r="Q18" s="51">
        <v>4.71</v>
      </c>
    </row>
    <row r="19" spans="1:17" customFormat="1">
      <c r="A19" s="50">
        <v>45492.458333333336</v>
      </c>
      <c r="B19" s="51">
        <v>9.23</v>
      </c>
      <c r="C19" s="51">
        <v>4.1399999999999997</v>
      </c>
      <c r="D19" s="51">
        <v>14</v>
      </c>
      <c r="E19" s="51">
        <v>13.91</v>
      </c>
      <c r="F19" s="51">
        <v>12.63</v>
      </c>
      <c r="G19" s="51">
        <v>68.91</v>
      </c>
      <c r="H19" s="51">
        <v>27.61</v>
      </c>
      <c r="I19" s="51">
        <v>5.62</v>
      </c>
      <c r="J19" s="51">
        <v>1.1399999999999999</v>
      </c>
      <c r="K19" s="51">
        <v>64.36</v>
      </c>
      <c r="L19" s="51">
        <v>32.94</v>
      </c>
      <c r="M19" s="51">
        <v>68.819999999999993</v>
      </c>
      <c r="N19" s="51">
        <v>229.2</v>
      </c>
      <c r="O19" s="51">
        <v>0</v>
      </c>
      <c r="P19" s="51">
        <v>0.51</v>
      </c>
      <c r="Q19" s="51">
        <v>4.71</v>
      </c>
    </row>
    <row r="20" spans="1:17" customFormat="1">
      <c r="A20" s="50">
        <v>45492.5</v>
      </c>
      <c r="B20" s="51">
        <v>9.25</v>
      </c>
      <c r="C20" s="51">
        <v>4.1399999999999997</v>
      </c>
      <c r="D20" s="51">
        <v>14</v>
      </c>
      <c r="E20" s="51">
        <v>13.35</v>
      </c>
      <c r="F20" s="51">
        <v>19.079999999999998</v>
      </c>
      <c r="G20" s="51">
        <v>65.069999999999993</v>
      </c>
      <c r="H20" s="51">
        <v>27.61</v>
      </c>
      <c r="I20" s="51">
        <v>5.29</v>
      </c>
      <c r="J20" s="51">
        <v>1.25</v>
      </c>
      <c r="K20" s="51">
        <v>53.45</v>
      </c>
      <c r="L20" s="51">
        <v>32.76</v>
      </c>
      <c r="M20" s="51">
        <v>71.69</v>
      </c>
      <c r="N20" s="51">
        <v>409.1</v>
      </c>
      <c r="O20" s="51">
        <v>0</v>
      </c>
      <c r="P20" s="51">
        <v>0.46</v>
      </c>
      <c r="Q20" s="51">
        <v>4.71</v>
      </c>
    </row>
    <row r="21" spans="1:17" customFormat="1">
      <c r="A21" s="50">
        <v>45492.541666666664</v>
      </c>
      <c r="B21" s="51">
        <v>9.2899999999999991</v>
      </c>
      <c r="C21" s="51">
        <v>4.0999999999999996</v>
      </c>
      <c r="D21" s="51">
        <v>14.02</v>
      </c>
      <c r="E21" s="51">
        <v>29.44</v>
      </c>
      <c r="F21" s="51">
        <v>16.649999999999999</v>
      </c>
      <c r="G21" s="51">
        <v>56.69</v>
      </c>
      <c r="H21" s="51">
        <v>21.98</v>
      </c>
      <c r="I21" s="51">
        <v>5.25</v>
      </c>
      <c r="J21" s="51">
        <v>1.42</v>
      </c>
      <c r="K21" s="51">
        <v>82.62</v>
      </c>
      <c r="L21" s="51">
        <v>33.79</v>
      </c>
      <c r="M21" s="51">
        <v>66.37</v>
      </c>
      <c r="N21" s="51">
        <v>573.5</v>
      </c>
      <c r="O21" s="51">
        <v>0</v>
      </c>
      <c r="P21" s="51">
        <v>0.42</v>
      </c>
      <c r="Q21" s="51">
        <v>4.71</v>
      </c>
    </row>
    <row r="22" spans="1:17" customFormat="1">
      <c r="A22" s="50">
        <v>45492.583333333336</v>
      </c>
      <c r="B22" s="51">
        <v>9.2799999999999994</v>
      </c>
      <c r="C22" s="51">
        <v>4.12</v>
      </c>
      <c r="D22" s="51">
        <v>14.02</v>
      </c>
      <c r="E22" s="51">
        <v>17.21</v>
      </c>
      <c r="F22" s="51">
        <v>26.77</v>
      </c>
      <c r="G22" s="51">
        <v>56.69</v>
      </c>
      <c r="H22" s="51">
        <v>23.32</v>
      </c>
      <c r="I22" s="51">
        <v>5.14</v>
      </c>
      <c r="J22" s="51">
        <v>1.25</v>
      </c>
      <c r="K22" s="51">
        <v>49.61</v>
      </c>
      <c r="L22" s="51">
        <v>34.700000000000003</v>
      </c>
      <c r="M22" s="51">
        <v>65.39</v>
      </c>
      <c r="N22" s="51">
        <v>500.9</v>
      </c>
      <c r="O22" s="51">
        <v>0</v>
      </c>
      <c r="P22" s="51">
        <v>0.39</v>
      </c>
      <c r="Q22" s="51">
        <v>4.7300000000000004</v>
      </c>
    </row>
    <row r="23" spans="1:17" customFormat="1">
      <c r="A23" s="50">
        <v>45492.625</v>
      </c>
      <c r="B23" s="51">
        <v>9.17</v>
      </c>
      <c r="C23" s="51">
        <v>4.34</v>
      </c>
      <c r="D23" s="51">
        <v>14</v>
      </c>
      <c r="E23" s="51">
        <v>19.899999999999999</v>
      </c>
      <c r="F23" s="51">
        <v>20.97</v>
      </c>
      <c r="G23" s="51">
        <v>60.51</v>
      </c>
      <c r="H23" s="51">
        <v>32.97</v>
      </c>
      <c r="I23" s="51">
        <v>5.09</v>
      </c>
      <c r="J23" s="51">
        <v>1.1299999999999999</v>
      </c>
      <c r="K23" s="51">
        <v>49.79</v>
      </c>
      <c r="L23" s="51">
        <v>35.36</v>
      </c>
      <c r="M23" s="51">
        <v>60.88</v>
      </c>
      <c r="N23" s="51">
        <v>587.4</v>
      </c>
      <c r="O23" s="51">
        <v>0</v>
      </c>
      <c r="P23" s="51">
        <v>0.51</v>
      </c>
      <c r="Q23" s="51">
        <v>4.7300000000000004</v>
      </c>
    </row>
    <row r="24" spans="1:17" customFormat="1">
      <c r="A24" s="50">
        <v>45492.666666666664</v>
      </c>
      <c r="B24" s="51">
        <v>9.08</v>
      </c>
      <c r="C24" s="51">
        <v>4.37</v>
      </c>
      <c r="D24" s="51">
        <v>14</v>
      </c>
      <c r="E24" s="51">
        <v>21.39</v>
      </c>
      <c r="F24" s="51">
        <v>23.4</v>
      </c>
      <c r="G24" s="51">
        <v>61.24</v>
      </c>
      <c r="H24" s="51">
        <v>32.97</v>
      </c>
      <c r="I24" s="51">
        <v>5.03</v>
      </c>
      <c r="J24" s="51">
        <v>1.17</v>
      </c>
      <c r="K24" s="51">
        <v>56.85</v>
      </c>
      <c r="L24" s="51">
        <v>34.6</v>
      </c>
      <c r="M24" s="51">
        <v>59.86</v>
      </c>
      <c r="N24" s="51">
        <v>334.1</v>
      </c>
      <c r="O24" s="51">
        <v>0</v>
      </c>
      <c r="P24" s="51">
        <v>0.52</v>
      </c>
      <c r="Q24" s="51">
        <v>4.72</v>
      </c>
    </row>
    <row r="25" spans="1:17" customFormat="1">
      <c r="A25" s="50">
        <v>45492.708333333336</v>
      </c>
      <c r="B25" s="51">
        <v>9.06</v>
      </c>
      <c r="C25" s="51">
        <v>4.3899999999999997</v>
      </c>
      <c r="D25" s="51">
        <v>14</v>
      </c>
      <c r="E25" s="51">
        <v>18.11</v>
      </c>
      <c r="F25" s="51">
        <v>26.07</v>
      </c>
      <c r="G25" s="51">
        <v>66.39</v>
      </c>
      <c r="H25" s="51">
        <v>32.94</v>
      </c>
      <c r="I25" s="51">
        <v>4.82</v>
      </c>
      <c r="J25" s="51">
        <v>1.41</v>
      </c>
      <c r="K25" s="51">
        <v>51.85</v>
      </c>
      <c r="L25" s="51">
        <v>34.79</v>
      </c>
      <c r="M25" s="51">
        <v>62.5</v>
      </c>
      <c r="N25" s="51">
        <v>220.7</v>
      </c>
      <c r="O25" s="51">
        <v>0</v>
      </c>
      <c r="P25" s="51">
        <v>0.52</v>
      </c>
      <c r="Q25" s="51">
        <v>4.72</v>
      </c>
    </row>
    <row r="26" spans="1:17" customFormat="1">
      <c r="A26" s="50">
        <v>45492.75</v>
      </c>
      <c r="B26" s="51">
        <v>9.11</v>
      </c>
      <c r="C26" s="51">
        <v>4.3899999999999997</v>
      </c>
      <c r="D26" s="51">
        <v>14</v>
      </c>
      <c r="E26" s="51">
        <v>14.41</v>
      </c>
      <c r="F26" s="51">
        <v>28.75</v>
      </c>
      <c r="G26" s="51">
        <v>66.39</v>
      </c>
      <c r="H26" s="51">
        <v>32.94</v>
      </c>
      <c r="I26" s="51">
        <v>4.76</v>
      </c>
      <c r="J26" s="51">
        <v>1.1000000000000001</v>
      </c>
      <c r="K26" s="51">
        <v>46.15</v>
      </c>
      <c r="L26" s="51">
        <v>34.200000000000003</v>
      </c>
      <c r="M26" s="51">
        <v>65.84</v>
      </c>
      <c r="N26" s="51">
        <v>99.8</v>
      </c>
      <c r="O26" s="51">
        <v>0</v>
      </c>
      <c r="P26" s="51">
        <v>0.6</v>
      </c>
      <c r="Q26" s="51">
        <v>4.7300000000000004</v>
      </c>
    </row>
    <row r="27" spans="1:17" customFormat="1">
      <c r="A27" s="50">
        <v>45492.791666666664</v>
      </c>
      <c r="B27" s="51">
        <v>9.2200000000000006</v>
      </c>
      <c r="C27" s="51">
        <v>4.22</v>
      </c>
      <c r="D27" s="51">
        <v>14</v>
      </c>
      <c r="E27" s="51">
        <v>11.14</v>
      </c>
      <c r="F27" s="51">
        <v>22.9</v>
      </c>
      <c r="G27" s="51">
        <v>65.98</v>
      </c>
      <c r="H27" s="51">
        <v>29.99</v>
      </c>
      <c r="I27" s="51">
        <v>4.9800000000000004</v>
      </c>
      <c r="J27" s="51">
        <v>0.28000000000000003</v>
      </c>
      <c r="K27" s="51">
        <v>173.83</v>
      </c>
      <c r="L27" s="51">
        <v>31.51</v>
      </c>
      <c r="M27" s="51">
        <v>96.49</v>
      </c>
      <c r="N27" s="51">
        <v>13.3</v>
      </c>
      <c r="O27" s="51">
        <v>1.2</v>
      </c>
      <c r="P27" s="51">
        <v>0.68</v>
      </c>
      <c r="Q27" s="51">
        <v>4.71</v>
      </c>
    </row>
    <row r="28" spans="1:17" customFormat="1">
      <c r="A28" s="50">
        <v>45492.833333333336</v>
      </c>
      <c r="B28" s="51">
        <v>9.1300000000000008</v>
      </c>
      <c r="C28" s="51">
        <v>4.3099999999999996</v>
      </c>
      <c r="D28" s="51">
        <v>14</v>
      </c>
      <c r="E28" s="51">
        <v>8.0299999999999994</v>
      </c>
      <c r="F28" s="51">
        <v>17.41</v>
      </c>
      <c r="G28" s="51">
        <v>79.55</v>
      </c>
      <c r="H28" s="51">
        <v>29.3</v>
      </c>
      <c r="I28" s="51">
        <v>5.74</v>
      </c>
      <c r="J28" s="51">
        <v>0.32</v>
      </c>
      <c r="K28" s="51">
        <v>288.58999999999997</v>
      </c>
      <c r="L28" s="51">
        <v>29.54</v>
      </c>
      <c r="M28" s="51">
        <v>95.43</v>
      </c>
      <c r="N28" s="51">
        <v>3.4</v>
      </c>
      <c r="O28" s="51">
        <v>0</v>
      </c>
      <c r="P28" s="51">
        <v>0.79</v>
      </c>
      <c r="Q28" s="51">
        <v>4.72</v>
      </c>
    </row>
    <row r="29" spans="1:17" customFormat="1">
      <c r="A29" s="50">
        <v>45492.875</v>
      </c>
      <c r="B29" s="51">
        <v>9.14</v>
      </c>
      <c r="C29" s="51">
        <v>4.3</v>
      </c>
      <c r="D29" s="51">
        <v>14</v>
      </c>
      <c r="E29" s="51">
        <v>7.06</v>
      </c>
      <c r="F29" s="51">
        <v>15.36</v>
      </c>
      <c r="G29" s="51">
        <v>79.55</v>
      </c>
      <c r="H29" s="51">
        <v>27.74</v>
      </c>
      <c r="I29" s="51">
        <v>4.5199999999999996</v>
      </c>
      <c r="J29" s="51">
        <v>0.48</v>
      </c>
      <c r="K29" s="51">
        <v>272.85000000000002</v>
      </c>
      <c r="L29" s="51">
        <v>27.84</v>
      </c>
      <c r="M29" s="51">
        <v>93.79</v>
      </c>
      <c r="N29" s="51">
        <v>2.9</v>
      </c>
      <c r="O29" s="51">
        <v>0</v>
      </c>
      <c r="P29" s="51">
        <v>0.51</v>
      </c>
      <c r="Q29" s="51">
        <v>4.72</v>
      </c>
    </row>
    <row r="30" spans="1:17" customFormat="1">
      <c r="A30" s="50">
        <v>45492.916666666664</v>
      </c>
      <c r="B30" s="51">
        <v>9.11</v>
      </c>
      <c r="C30" s="51">
        <v>4.34</v>
      </c>
      <c r="D30" s="51">
        <v>14</v>
      </c>
      <c r="E30" s="51">
        <v>6.54</v>
      </c>
      <c r="F30" s="51">
        <v>12.84</v>
      </c>
      <c r="G30" s="51">
        <v>47.88</v>
      </c>
      <c r="H30" s="51">
        <v>18.03</v>
      </c>
      <c r="I30" s="51">
        <v>4.5999999999999996</v>
      </c>
      <c r="J30" s="51">
        <v>0.34</v>
      </c>
      <c r="K30" s="51">
        <v>257.89999999999998</v>
      </c>
      <c r="L30" s="51">
        <v>27.59</v>
      </c>
      <c r="M30" s="51">
        <v>97.73</v>
      </c>
      <c r="N30" s="51">
        <v>2.4</v>
      </c>
      <c r="O30" s="51">
        <v>0</v>
      </c>
      <c r="P30" s="51">
        <v>0.52</v>
      </c>
      <c r="Q30" s="51">
        <v>4.72</v>
      </c>
    </row>
    <row r="31" spans="1:17" customFormat="1">
      <c r="A31" s="50">
        <v>45492.958333333336</v>
      </c>
      <c r="B31" s="51">
        <v>9.14</v>
      </c>
      <c r="C31" s="51">
        <v>4.32</v>
      </c>
      <c r="D31" s="51">
        <v>14</v>
      </c>
      <c r="E31" s="51">
        <v>7.07</v>
      </c>
      <c r="F31" s="51">
        <v>10.87</v>
      </c>
      <c r="G31" s="51">
        <v>38.380000000000003</v>
      </c>
      <c r="H31" s="51">
        <v>15.63</v>
      </c>
      <c r="I31" s="51">
        <v>4.79</v>
      </c>
      <c r="J31" s="51">
        <v>0.36</v>
      </c>
      <c r="K31" s="51">
        <v>274.77999999999997</v>
      </c>
      <c r="L31" s="51">
        <v>27.62</v>
      </c>
      <c r="M31" s="51">
        <v>92.29</v>
      </c>
      <c r="N31" s="51">
        <v>2.2000000000000002</v>
      </c>
      <c r="O31" s="51">
        <v>0</v>
      </c>
      <c r="P31" s="51">
        <v>0.53</v>
      </c>
      <c r="Q31" s="51">
        <v>4.71</v>
      </c>
    </row>
    <row r="32" spans="1:17" customFormat="1">
      <c r="A32" s="50">
        <v>45493</v>
      </c>
      <c r="B32" s="51">
        <v>9.23</v>
      </c>
      <c r="C32" s="51">
        <v>4.2</v>
      </c>
      <c r="D32" s="51">
        <v>14</v>
      </c>
      <c r="E32" s="51">
        <v>7.81</v>
      </c>
      <c r="F32" s="51">
        <v>5.12</v>
      </c>
      <c r="G32" s="51">
        <v>35.06</v>
      </c>
      <c r="H32" s="51">
        <v>11.62</v>
      </c>
      <c r="I32" s="51">
        <v>5.57</v>
      </c>
      <c r="J32" s="51">
        <v>0.32</v>
      </c>
      <c r="K32" s="51">
        <v>270.93</v>
      </c>
      <c r="L32" s="51">
        <v>27.32</v>
      </c>
      <c r="M32" s="51">
        <v>95.33</v>
      </c>
      <c r="N32" s="51">
        <v>2.6</v>
      </c>
      <c r="O32" s="51">
        <v>0.2</v>
      </c>
      <c r="P32" s="51">
        <v>0.57999999999999996</v>
      </c>
      <c r="Q32" s="51">
        <v>4.72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9.06</v>
      </c>
      <c r="C34" s="41">
        <f t="shared" si="0"/>
        <v>4.0999999999999996</v>
      </c>
      <c r="D34" s="41">
        <f t="shared" si="0"/>
        <v>14</v>
      </c>
      <c r="E34" s="41">
        <f t="shared" si="0"/>
        <v>6.54</v>
      </c>
      <c r="F34" s="41">
        <f t="shared" si="0"/>
        <v>3.63</v>
      </c>
      <c r="G34" s="41">
        <f t="shared" si="0"/>
        <v>35.06</v>
      </c>
      <c r="H34" s="41">
        <f t="shared" si="0"/>
        <v>11.62</v>
      </c>
      <c r="I34" s="41">
        <f t="shared" si="0"/>
        <v>4.5199999999999996</v>
      </c>
      <c r="J34" s="41">
        <f t="shared" si="0"/>
        <v>0.18</v>
      </c>
      <c r="K34" s="41">
        <f t="shared" si="0"/>
        <v>46.15</v>
      </c>
      <c r="L34" s="41">
        <f t="shared" si="0"/>
        <v>27.32</v>
      </c>
      <c r="M34" s="41">
        <f t="shared" si="0"/>
        <v>59.86</v>
      </c>
      <c r="N34" s="41">
        <f t="shared" si="0"/>
        <v>2.1</v>
      </c>
      <c r="O34" s="41">
        <f t="shared" si="0"/>
        <v>0</v>
      </c>
      <c r="P34" s="41">
        <f t="shared" si="0"/>
        <v>0.39</v>
      </c>
      <c r="Q34" s="41">
        <f t="shared" si="0"/>
        <v>4.7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9.32</v>
      </c>
      <c r="C35" s="33">
        <f t="shared" si="1"/>
        <v>4.3899999999999997</v>
      </c>
      <c r="D35" s="33">
        <f t="shared" si="1"/>
        <v>14.05</v>
      </c>
      <c r="E35" s="33">
        <f t="shared" si="1"/>
        <v>29.44</v>
      </c>
      <c r="F35" s="33">
        <f t="shared" si="1"/>
        <v>28.75</v>
      </c>
      <c r="G35" s="33">
        <f t="shared" si="1"/>
        <v>98.41</v>
      </c>
      <c r="H35" s="33">
        <f t="shared" si="1"/>
        <v>32.97</v>
      </c>
      <c r="I35" s="33">
        <f t="shared" si="1"/>
        <v>8.2100000000000009</v>
      </c>
      <c r="J35" s="33">
        <f t="shared" si="1"/>
        <v>1.8</v>
      </c>
      <c r="K35" s="33">
        <f t="shared" si="1"/>
        <v>337.85</v>
      </c>
      <c r="L35" s="33">
        <f t="shared" si="1"/>
        <v>35.36</v>
      </c>
      <c r="M35" s="33">
        <f t="shared" si="1"/>
        <v>97.73</v>
      </c>
      <c r="N35" s="33">
        <f t="shared" si="1"/>
        <v>587.4</v>
      </c>
      <c r="O35" s="33">
        <f t="shared" si="1"/>
        <v>1.2</v>
      </c>
      <c r="P35" s="33">
        <f t="shared" si="1"/>
        <v>0.79</v>
      </c>
      <c r="Q35" s="33">
        <f t="shared" si="1"/>
        <v>4.7300000000000004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9.1937499999999996</v>
      </c>
      <c r="C36" s="41">
        <f t="shared" si="2"/>
        <v>4.2350000000000003</v>
      </c>
      <c r="D36" s="41">
        <f t="shared" si="2"/>
        <v>14.004166666666668</v>
      </c>
      <c r="E36" s="41">
        <f t="shared" si="2"/>
        <v>12.96625</v>
      </c>
      <c r="F36" s="41">
        <f t="shared" si="2"/>
        <v>13.467500000000001</v>
      </c>
      <c r="G36" s="41">
        <f t="shared" si="2"/>
        <v>66.558333333333351</v>
      </c>
      <c r="H36" s="41">
        <f t="shared" si="2"/>
        <v>24.724166666666665</v>
      </c>
      <c r="I36" s="41">
        <f t="shared" si="2"/>
        <v>6.1012500000000003</v>
      </c>
      <c r="J36" s="41">
        <f t="shared" si="2"/>
        <v>0.79541666666666666</v>
      </c>
      <c r="K36" s="41">
        <f t="shared" si="2"/>
        <v>150.01124999999996</v>
      </c>
      <c r="L36" s="41">
        <f t="shared" si="2"/>
        <v>30.680000000000007</v>
      </c>
      <c r="M36" s="41">
        <f t="shared" si="2"/>
        <v>83.32374999999999</v>
      </c>
      <c r="N36" s="41">
        <f t="shared" si="2"/>
        <v>151.00833333333335</v>
      </c>
      <c r="O36" s="41">
        <f t="shared" si="2"/>
        <v>5.8333333333333327E-2</v>
      </c>
      <c r="P36" s="41">
        <f t="shared" si="2"/>
        <v>0.58124999999999993</v>
      </c>
      <c r="Q36" s="41">
        <f t="shared" si="2"/>
        <v>4.7170833333333331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6.9081709653826859E-2</v>
      </c>
      <c r="C37" s="41">
        <f t="shared" ref="C37:Q37" si="3">STDEV(C9:C32)</f>
        <v>9.0265309432570009E-2</v>
      </c>
      <c r="D37" s="41">
        <f t="shared" si="3"/>
        <v>1.1389036172018144E-2</v>
      </c>
      <c r="E37" s="41">
        <f t="shared" si="3"/>
        <v>5.8688394619749831</v>
      </c>
      <c r="F37" s="41">
        <f t="shared" si="3"/>
        <v>8.1563862682269832</v>
      </c>
      <c r="G37" s="41">
        <f t="shared" si="3"/>
        <v>16.763759998143591</v>
      </c>
      <c r="H37" s="41">
        <f t="shared" si="3"/>
        <v>6.1859714478506298</v>
      </c>
      <c r="I37" s="41">
        <f t="shared" si="3"/>
        <v>1.2955620318073777</v>
      </c>
      <c r="J37" s="41">
        <f t="shared" si="3"/>
        <v>0.53798318356348407</v>
      </c>
      <c r="K37" s="41">
        <f t="shared" si="3"/>
        <v>105.1181561412846</v>
      </c>
      <c r="L37" s="41">
        <f t="shared" si="3"/>
        <v>2.8500480545146556</v>
      </c>
      <c r="M37" s="41">
        <f t="shared" si="3"/>
        <v>14.542303451445159</v>
      </c>
      <c r="N37" s="41">
        <f t="shared" si="3"/>
        <v>196.12680662102852</v>
      </c>
      <c r="O37" s="41">
        <f t="shared" si="3"/>
        <v>0.24657068246098393</v>
      </c>
      <c r="P37" s="41">
        <f t="shared" si="3"/>
        <v>9.5294166982401063E-2</v>
      </c>
      <c r="Q37" s="41">
        <f t="shared" si="3"/>
        <v>7.5060362182809573E-3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45493.041666666664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45493.041666666664</v>
      </c>
      <c r="B9" s="51">
        <v>9.35</v>
      </c>
      <c r="C9" s="51">
        <v>4.0999999999999996</v>
      </c>
      <c r="D9" s="51">
        <v>14.05</v>
      </c>
      <c r="E9" s="51">
        <v>8.24</v>
      </c>
      <c r="F9" s="51">
        <v>4.5999999999999996</v>
      </c>
      <c r="G9" s="51">
        <v>29.9</v>
      </c>
      <c r="H9" s="51">
        <v>11.62</v>
      </c>
      <c r="I9" s="51">
        <v>5.68</v>
      </c>
      <c r="J9" s="51">
        <v>0.36</v>
      </c>
      <c r="K9" s="51">
        <v>276.29000000000002</v>
      </c>
      <c r="L9" s="51">
        <v>26.78</v>
      </c>
      <c r="M9" s="51">
        <v>94.98</v>
      </c>
      <c r="N9" s="51">
        <v>2.6</v>
      </c>
      <c r="O9" s="51">
        <v>0</v>
      </c>
      <c r="P9" s="51">
        <v>0.56999999999999995</v>
      </c>
      <c r="Q9" s="51">
        <v>4.72</v>
      </c>
    </row>
    <row r="10" spans="1:21" customFormat="1">
      <c r="A10" s="50">
        <v>45493.083333333336</v>
      </c>
      <c r="B10" s="51">
        <v>9.34</v>
      </c>
      <c r="C10" s="51">
        <v>4.09</v>
      </c>
      <c r="D10" s="51">
        <v>14.07</v>
      </c>
      <c r="E10" s="51">
        <v>8.77</v>
      </c>
      <c r="F10" s="51">
        <v>4.57</v>
      </c>
      <c r="G10" s="51">
        <v>20.94</v>
      </c>
      <c r="H10" s="51">
        <v>11.25</v>
      </c>
      <c r="I10" s="51">
        <v>5.49</v>
      </c>
      <c r="J10" s="51">
        <v>0.71</v>
      </c>
      <c r="K10" s="51">
        <v>235.65</v>
      </c>
      <c r="L10" s="51">
        <v>26.82</v>
      </c>
      <c r="M10" s="51">
        <v>101.71</v>
      </c>
      <c r="N10" s="51">
        <v>3</v>
      </c>
      <c r="O10" s="51">
        <v>9</v>
      </c>
      <c r="P10" s="51">
        <v>0.55000000000000004</v>
      </c>
      <c r="Q10" s="51">
        <v>4.72</v>
      </c>
    </row>
    <row r="11" spans="1:21" customFormat="1">
      <c r="A11" s="50">
        <v>45493.125</v>
      </c>
      <c r="B11" s="51">
        <v>9.32</v>
      </c>
      <c r="C11" s="51">
        <v>4.0999999999999996</v>
      </c>
      <c r="D11" s="51">
        <v>14.05</v>
      </c>
      <c r="E11" s="51">
        <v>9.8699999999999992</v>
      </c>
      <c r="F11" s="51">
        <v>4.0199999999999996</v>
      </c>
      <c r="G11" s="51">
        <v>14.76</v>
      </c>
      <c r="H11" s="51">
        <v>8.07</v>
      </c>
      <c r="I11" s="51">
        <v>5.18</v>
      </c>
      <c r="J11" s="51">
        <v>0.21</v>
      </c>
      <c r="K11" s="51">
        <v>292.5</v>
      </c>
      <c r="L11" s="51">
        <v>25.7</v>
      </c>
      <c r="M11" s="51">
        <v>105.57</v>
      </c>
      <c r="N11" s="51">
        <v>2.5</v>
      </c>
      <c r="O11" s="51">
        <v>0</v>
      </c>
      <c r="P11" s="51">
        <v>0.52</v>
      </c>
      <c r="Q11" s="51">
        <v>4.72</v>
      </c>
    </row>
    <row r="12" spans="1:21" customFormat="1">
      <c r="A12" s="50">
        <v>45493.166666666664</v>
      </c>
      <c r="B12" s="51">
        <v>9.3000000000000007</v>
      </c>
      <c r="C12" s="51">
        <v>4.08</v>
      </c>
      <c r="D12" s="51">
        <v>14.04</v>
      </c>
      <c r="E12" s="51">
        <v>10.08</v>
      </c>
      <c r="F12" s="51">
        <v>3.96</v>
      </c>
      <c r="G12" s="51">
        <v>13.46</v>
      </c>
      <c r="H12" s="51">
        <v>5.73</v>
      </c>
      <c r="I12" s="51">
        <v>5.37</v>
      </c>
      <c r="J12" s="51">
        <v>0.49</v>
      </c>
      <c r="K12" s="51">
        <v>177.79</v>
      </c>
      <c r="L12" s="51">
        <v>25.67</v>
      </c>
      <c r="M12" s="51">
        <v>106.83</v>
      </c>
      <c r="N12" s="51">
        <v>2.7</v>
      </c>
      <c r="O12" s="51">
        <v>0</v>
      </c>
      <c r="P12" s="51">
        <v>0.55000000000000004</v>
      </c>
      <c r="Q12" s="51">
        <v>4.71</v>
      </c>
    </row>
    <row r="13" spans="1:21" customFormat="1">
      <c r="A13" s="50">
        <v>45493.208333333336</v>
      </c>
      <c r="B13" s="51">
        <v>9.24</v>
      </c>
      <c r="C13" s="51">
        <v>4.12</v>
      </c>
      <c r="D13" s="51">
        <v>14</v>
      </c>
      <c r="E13" s="51">
        <v>9.36</v>
      </c>
      <c r="F13" s="51">
        <v>3.75</v>
      </c>
      <c r="G13" s="51">
        <v>34.28</v>
      </c>
      <c r="H13" s="51">
        <v>7.38</v>
      </c>
      <c r="I13" s="51">
        <v>5.35</v>
      </c>
      <c r="J13" s="51">
        <v>0.28000000000000003</v>
      </c>
      <c r="K13" s="51">
        <v>209.32</v>
      </c>
      <c r="L13" s="51">
        <v>25.59</v>
      </c>
      <c r="M13" s="51">
        <v>102.65</v>
      </c>
      <c r="N13" s="51">
        <v>2.4</v>
      </c>
      <c r="O13" s="51">
        <v>0</v>
      </c>
      <c r="P13" s="51">
        <v>0.56000000000000005</v>
      </c>
      <c r="Q13" s="51">
        <v>4.7300000000000004</v>
      </c>
    </row>
    <row r="14" spans="1:21" customFormat="1">
      <c r="A14" s="50">
        <v>45493.25</v>
      </c>
      <c r="B14" s="51">
        <v>9.26</v>
      </c>
      <c r="C14" s="51">
        <v>4.12</v>
      </c>
      <c r="D14" s="51">
        <v>14</v>
      </c>
      <c r="E14" s="51">
        <v>8.34</v>
      </c>
      <c r="F14" s="51">
        <v>3.67</v>
      </c>
      <c r="G14" s="51">
        <v>39.28</v>
      </c>
      <c r="H14" s="51">
        <v>13.83</v>
      </c>
      <c r="I14" s="51">
        <v>5.91</v>
      </c>
      <c r="J14" s="51">
        <v>0.28000000000000003</v>
      </c>
      <c r="K14" s="51">
        <v>61.05</v>
      </c>
      <c r="L14" s="51">
        <v>25.78</v>
      </c>
      <c r="M14" s="51">
        <v>101.91</v>
      </c>
      <c r="N14" s="51">
        <v>19.8</v>
      </c>
      <c r="O14" s="51">
        <v>0</v>
      </c>
      <c r="P14" s="51">
        <v>0.6</v>
      </c>
      <c r="Q14" s="51">
        <v>4.72</v>
      </c>
    </row>
    <row r="15" spans="1:21" customFormat="1">
      <c r="A15" s="50">
        <v>45493.291666666664</v>
      </c>
      <c r="B15" s="51">
        <v>9.26</v>
      </c>
      <c r="C15" s="51">
        <v>4.0999999999999996</v>
      </c>
      <c r="D15" s="51">
        <v>14.01</v>
      </c>
      <c r="E15" s="51">
        <v>9.18</v>
      </c>
      <c r="F15" s="51">
        <v>5.19</v>
      </c>
      <c r="G15" s="51">
        <v>43.49</v>
      </c>
      <c r="H15" s="51">
        <v>13.86</v>
      </c>
      <c r="I15" s="51">
        <v>6.97</v>
      </c>
      <c r="J15" s="51">
        <v>0.35</v>
      </c>
      <c r="K15" s="51">
        <v>47.44</v>
      </c>
      <c r="L15" s="51">
        <v>26.72</v>
      </c>
      <c r="M15" s="51">
        <v>101.42</v>
      </c>
      <c r="N15" s="51">
        <v>77</v>
      </c>
      <c r="O15" s="51">
        <v>0</v>
      </c>
      <c r="P15" s="51">
        <v>0.67</v>
      </c>
      <c r="Q15" s="51">
        <v>4.72</v>
      </c>
    </row>
    <row r="16" spans="1:21" customFormat="1">
      <c r="A16" s="50">
        <v>45493.333333333336</v>
      </c>
      <c r="B16" s="51">
        <v>9.32</v>
      </c>
      <c r="C16" s="51">
        <v>4.07</v>
      </c>
      <c r="D16" s="51">
        <v>14.03</v>
      </c>
      <c r="E16" s="51">
        <v>8.3800000000000008</v>
      </c>
      <c r="F16" s="51">
        <v>6.03</v>
      </c>
      <c r="G16" s="51">
        <v>56.58</v>
      </c>
      <c r="H16" s="51">
        <v>15.76</v>
      </c>
      <c r="I16" s="51">
        <v>7.03</v>
      </c>
      <c r="J16" s="51">
        <v>0.69</v>
      </c>
      <c r="K16" s="51">
        <v>166.72</v>
      </c>
      <c r="L16" s="51">
        <v>27.85</v>
      </c>
      <c r="M16" s="51">
        <v>101.05</v>
      </c>
      <c r="N16" s="51">
        <v>115.1</v>
      </c>
      <c r="O16" s="51">
        <v>0.2</v>
      </c>
      <c r="P16" s="51">
        <v>0.68</v>
      </c>
      <c r="Q16" s="51">
        <v>4.7300000000000004</v>
      </c>
    </row>
    <row r="17" spans="1:17" customFormat="1">
      <c r="A17" s="50">
        <v>45493.375</v>
      </c>
      <c r="B17" s="51">
        <v>9.34</v>
      </c>
      <c r="C17" s="51">
        <v>4.09</v>
      </c>
      <c r="D17" s="51">
        <v>14.06</v>
      </c>
      <c r="E17" s="51">
        <v>8.94</v>
      </c>
      <c r="F17" s="51">
        <v>6.36</v>
      </c>
      <c r="G17" s="51">
        <v>56.58</v>
      </c>
      <c r="H17" s="51">
        <v>15.76</v>
      </c>
      <c r="I17" s="51">
        <v>6.93</v>
      </c>
      <c r="J17" s="51">
        <v>0.92</v>
      </c>
      <c r="K17" s="51">
        <v>75.48</v>
      </c>
      <c r="L17" s="51">
        <v>29.84</v>
      </c>
      <c r="M17" s="51">
        <v>87.67</v>
      </c>
      <c r="N17" s="51">
        <v>217.9</v>
      </c>
      <c r="O17" s="51">
        <v>0</v>
      </c>
      <c r="P17" s="51">
        <v>0.59</v>
      </c>
      <c r="Q17" s="51">
        <v>4.7300000000000004</v>
      </c>
    </row>
    <row r="18" spans="1:17" customFormat="1">
      <c r="A18" s="50">
        <v>45493.416666666664</v>
      </c>
      <c r="B18" s="51">
        <v>9.34</v>
      </c>
      <c r="C18" s="51">
        <v>4.09</v>
      </c>
      <c r="D18" s="51">
        <v>14.06</v>
      </c>
      <c r="E18" s="51">
        <v>8.65</v>
      </c>
      <c r="F18" s="51">
        <v>7.21</v>
      </c>
      <c r="G18" s="51">
        <v>53.7</v>
      </c>
      <c r="H18" s="51">
        <v>15.09</v>
      </c>
      <c r="I18" s="51">
        <v>6.19</v>
      </c>
      <c r="J18" s="51">
        <v>1.08</v>
      </c>
      <c r="K18" s="51">
        <v>69.34</v>
      </c>
      <c r="L18" s="51">
        <v>30.92</v>
      </c>
      <c r="M18" s="51">
        <v>79.680000000000007</v>
      </c>
      <c r="N18" s="51">
        <v>286.60000000000002</v>
      </c>
      <c r="O18" s="51">
        <v>0</v>
      </c>
      <c r="P18" s="51">
        <v>0.56999999999999995</v>
      </c>
      <c r="Q18" s="51">
        <v>4.7300000000000004</v>
      </c>
    </row>
    <row r="19" spans="1:17" customFormat="1">
      <c r="A19" s="50">
        <v>45493.458333333336</v>
      </c>
      <c r="B19" s="51">
        <v>9.3000000000000007</v>
      </c>
      <c r="C19" s="51">
        <v>4.09</v>
      </c>
      <c r="D19" s="51">
        <v>14.04</v>
      </c>
      <c r="E19" s="51">
        <v>11.6</v>
      </c>
      <c r="F19" s="51">
        <v>7.65</v>
      </c>
      <c r="G19" s="51">
        <v>46.07</v>
      </c>
      <c r="H19" s="51">
        <v>13.31</v>
      </c>
      <c r="I19" s="51">
        <v>5.8</v>
      </c>
      <c r="J19" s="51">
        <v>1.1100000000000001</v>
      </c>
      <c r="K19" s="51">
        <v>66.91</v>
      </c>
      <c r="L19" s="51">
        <v>32.36</v>
      </c>
      <c r="M19" s="51">
        <v>71.88</v>
      </c>
      <c r="N19" s="51">
        <v>283.89999999999998</v>
      </c>
      <c r="O19" s="51">
        <v>0</v>
      </c>
      <c r="P19" s="51">
        <v>0.53</v>
      </c>
      <c r="Q19" s="51">
        <v>4.7300000000000004</v>
      </c>
    </row>
    <row r="20" spans="1:17" customFormat="1">
      <c r="A20" s="50">
        <v>45493.5</v>
      </c>
      <c r="B20" s="51">
        <v>9.3000000000000007</v>
      </c>
      <c r="C20" s="51">
        <v>4.09</v>
      </c>
      <c r="D20" s="51">
        <v>14.04</v>
      </c>
      <c r="E20" s="51">
        <v>11.61</v>
      </c>
      <c r="F20" s="51">
        <v>9.36</v>
      </c>
      <c r="G20" s="51">
        <v>39.799999999999997</v>
      </c>
      <c r="H20" s="51">
        <v>10.98</v>
      </c>
      <c r="I20" s="51">
        <v>5.47</v>
      </c>
      <c r="J20" s="51">
        <v>1.1200000000000001</v>
      </c>
      <c r="K20" s="51">
        <v>59.63</v>
      </c>
      <c r="L20" s="51">
        <v>33.11</v>
      </c>
      <c r="M20" s="51">
        <v>68.02</v>
      </c>
      <c r="N20" s="51">
        <v>384.8</v>
      </c>
      <c r="O20" s="51">
        <v>0</v>
      </c>
      <c r="P20" s="51">
        <v>0.5</v>
      </c>
      <c r="Q20" s="51">
        <v>4.7300000000000004</v>
      </c>
    </row>
    <row r="21" spans="1:17" customFormat="1">
      <c r="A21" s="50">
        <v>45493.541666666664</v>
      </c>
      <c r="B21" s="51">
        <v>9.3000000000000007</v>
      </c>
      <c r="C21" s="51">
        <v>4.05</v>
      </c>
      <c r="D21" s="51">
        <v>14.02</v>
      </c>
      <c r="E21" s="51">
        <v>11.4</v>
      </c>
      <c r="F21" s="51">
        <v>10.15</v>
      </c>
      <c r="G21" s="51">
        <v>37.880000000000003</v>
      </c>
      <c r="H21" s="51">
        <v>8.7899999999999991</v>
      </c>
      <c r="I21" s="51">
        <v>5.04</v>
      </c>
      <c r="J21" s="51">
        <v>1.87</v>
      </c>
      <c r="K21" s="51">
        <v>55.83</v>
      </c>
      <c r="L21" s="51">
        <v>33.49</v>
      </c>
      <c r="M21" s="51">
        <v>66</v>
      </c>
      <c r="N21" s="51">
        <v>576.1</v>
      </c>
      <c r="O21" s="51">
        <v>0</v>
      </c>
      <c r="P21" s="51">
        <v>0.52</v>
      </c>
      <c r="Q21" s="51">
        <v>4.7300000000000004</v>
      </c>
    </row>
    <row r="22" spans="1:17" customFormat="1">
      <c r="A22" s="50">
        <v>45493.583333333336</v>
      </c>
      <c r="B22" s="51">
        <v>9.35</v>
      </c>
      <c r="C22" s="51">
        <v>4.09</v>
      </c>
      <c r="D22" s="51">
        <v>14.07</v>
      </c>
      <c r="E22" s="51">
        <v>11.24</v>
      </c>
      <c r="F22" s="51">
        <v>13.25</v>
      </c>
      <c r="G22" s="51">
        <v>33.380000000000003</v>
      </c>
      <c r="H22" s="51">
        <v>6.49</v>
      </c>
      <c r="I22" s="51">
        <v>4.7</v>
      </c>
      <c r="J22" s="51">
        <v>1.58</v>
      </c>
      <c r="K22" s="51">
        <v>57.91</v>
      </c>
      <c r="L22" s="51">
        <v>33.72</v>
      </c>
      <c r="M22" s="51">
        <v>69.13</v>
      </c>
      <c r="N22" s="51">
        <v>375.7</v>
      </c>
      <c r="O22" s="51">
        <v>0</v>
      </c>
      <c r="P22" s="51">
        <v>0.5</v>
      </c>
      <c r="Q22" s="51">
        <v>4.71</v>
      </c>
    </row>
    <row r="23" spans="1:17" customFormat="1">
      <c r="A23" s="50">
        <v>45493.625</v>
      </c>
      <c r="B23" s="51">
        <v>9.33</v>
      </c>
      <c r="C23" s="51">
        <v>4.09</v>
      </c>
      <c r="D23" s="51">
        <v>14.07</v>
      </c>
      <c r="E23" s="51">
        <v>11.1</v>
      </c>
      <c r="F23" s="51">
        <v>14.84</v>
      </c>
      <c r="G23" s="51">
        <v>33.380000000000003</v>
      </c>
      <c r="H23" s="51">
        <v>8.26</v>
      </c>
      <c r="I23" s="51">
        <v>4.45</v>
      </c>
      <c r="J23" s="51">
        <v>1.56</v>
      </c>
      <c r="K23" s="51">
        <v>51.47</v>
      </c>
      <c r="L23" s="51">
        <v>34.07</v>
      </c>
      <c r="M23" s="51">
        <v>66.83</v>
      </c>
      <c r="N23" s="51">
        <v>731</v>
      </c>
      <c r="O23" s="51">
        <v>0</v>
      </c>
      <c r="P23" s="51">
        <v>0.38</v>
      </c>
      <c r="Q23" s="51">
        <v>4.71</v>
      </c>
    </row>
    <row r="24" spans="1:17" customFormat="1">
      <c r="A24" s="50">
        <v>45493.666666666664</v>
      </c>
      <c r="B24" s="51">
        <v>9.34</v>
      </c>
      <c r="C24" s="51">
        <v>4.08</v>
      </c>
      <c r="D24" s="51">
        <v>14.07</v>
      </c>
      <c r="E24" s="51">
        <v>18.03</v>
      </c>
      <c r="F24" s="51">
        <v>17.649999999999999</v>
      </c>
      <c r="G24" s="51">
        <v>31.9</v>
      </c>
      <c r="H24" s="51">
        <v>9.61</v>
      </c>
      <c r="I24" s="51">
        <v>4.49</v>
      </c>
      <c r="J24" s="51">
        <v>1.38</v>
      </c>
      <c r="K24" s="51">
        <v>55.64</v>
      </c>
      <c r="L24" s="51">
        <v>33.950000000000003</v>
      </c>
      <c r="M24" s="51">
        <v>66.08</v>
      </c>
      <c r="N24" s="51">
        <v>283.89999999999998</v>
      </c>
      <c r="O24" s="51">
        <v>0</v>
      </c>
      <c r="P24" s="51">
        <v>0.39</v>
      </c>
      <c r="Q24" s="51">
        <v>4.72</v>
      </c>
    </row>
    <row r="25" spans="1:17" customFormat="1">
      <c r="A25" s="50">
        <v>45493.708333333336</v>
      </c>
      <c r="B25" s="51">
        <v>9.33</v>
      </c>
      <c r="C25" s="51">
        <v>4.0999999999999996</v>
      </c>
      <c r="D25" s="51">
        <v>14.06</v>
      </c>
      <c r="E25" s="51">
        <v>9.9</v>
      </c>
      <c r="F25" s="51">
        <v>19.41</v>
      </c>
      <c r="G25" s="51">
        <v>34.29</v>
      </c>
      <c r="H25" s="51">
        <v>10.130000000000001</v>
      </c>
      <c r="I25" s="51">
        <v>4.0599999999999996</v>
      </c>
      <c r="J25" s="51">
        <v>0.59</v>
      </c>
      <c r="K25" s="51">
        <v>78.61</v>
      </c>
      <c r="L25" s="51">
        <v>32.619999999999997</v>
      </c>
      <c r="M25" s="51">
        <v>70.31</v>
      </c>
      <c r="N25" s="51">
        <v>61.4</v>
      </c>
      <c r="O25" s="51">
        <v>0</v>
      </c>
      <c r="P25" s="51">
        <v>0.36</v>
      </c>
      <c r="Q25" s="51">
        <v>4.72</v>
      </c>
    </row>
    <row r="26" spans="1:17" customFormat="1">
      <c r="A26" s="50">
        <v>45493.75</v>
      </c>
      <c r="B26" s="51">
        <v>9.31</v>
      </c>
      <c r="C26" s="51">
        <v>4.09</v>
      </c>
      <c r="D26" s="51">
        <v>14.05</v>
      </c>
      <c r="E26" s="51">
        <v>9.27</v>
      </c>
      <c r="F26" s="51">
        <v>12.56</v>
      </c>
      <c r="G26" s="51">
        <v>34.29</v>
      </c>
      <c r="H26" s="51">
        <v>10.130000000000001</v>
      </c>
      <c r="I26" s="51">
        <v>4.62</v>
      </c>
      <c r="J26" s="51">
        <v>0.37</v>
      </c>
      <c r="K26" s="51">
        <v>193.53</v>
      </c>
      <c r="L26" s="51">
        <v>30.32</v>
      </c>
      <c r="M26" s="51">
        <v>96.98</v>
      </c>
      <c r="N26" s="51">
        <v>16.600000000000001</v>
      </c>
      <c r="O26" s="51">
        <v>7.6</v>
      </c>
      <c r="P26" s="51">
        <v>0.38</v>
      </c>
      <c r="Q26" s="51">
        <v>4.7300000000000004</v>
      </c>
    </row>
    <row r="27" spans="1:17" customFormat="1">
      <c r="A27" s="50">
        <v>45493.791666666664</v>
      </c>
      <c r="B27" s="51">
        <v>9.3000000000000007</v>
      </c>
      <c r="C27" s="51">
        <v>4.09</v>
      </c>
      <c r="D27" s="51">
        <v>14.04</v>
      </c>
      <c r="E27" s="51">
        <v>10.44</v>
      </c>
      <c r="F27" s="51">
        <v>9.0500000000000007</v>
      </c>
      <c r="G27" s="51">
        <v>32.33</v>
      </c>
      <c r="H27" s="51">
        <v>9.65</v>
      </c>
      <c r="I27" s="51">
        <v>4.49</v>
      </c>
      <c r="J27" s="51">
        <v>0.12</v>
      </c>
      <c r="K27" s="51">
        <v>324.61</v>
      </c>
      <c r="L27" s="51">
        <v>26.51</v>
      </c>
      <c r="M27" s="51">
        <v>103.02</v>
      </c>
      <c r="N27" s="51">
        <v>5.2</v>
      </c>
      <c r="O27" s="51">
        <v>0.2</v>
      </c>
      <c r="P27" s="51">
        <v>0.33</v>
      </c>
      <c r="Q27" s="51">
        <v>4.72</v>
      </c>
    </row>
    <row r="28" spans="1:17" customFormat="1">
      <c r="A28" s="50">
        <v>45493.833333333336</v>
      </c>
      <c r="B28" s="51">
        <v>9.27</v>
      </c>
      <c r="C28" s="51">
        <v>4.08</v>
      </c>
      <c r="D28" s="51">
        <v>14.02</v>
      </c>
      <c r="E28" s="51">
        <v>10.85</v>
      </c>
      <c r="F28" s="51">
        <v>8.1999999999999993</v>
      </c>
      <c r="G28" s="51">
        <v>23.1</v>
      </c>
      <c r="H28" s="51">
        <v>7.26</v>
      </c>
      <c r="I28" s="51">
        <v>4.21</v>
      </c>
      <c r="J28" s="51">
        <v>0.73</v>
      </c>
      <c r="K28" s="51">
        <v>275.27</v>
      </c>
      <c r="L28" s="51">
        <v>26.89</v>
      </c>
      <c r="M28" s="51">
        <v>102.88</v>
      </c>
      <c r="N28" s="51">
        <v>2.8</v>
      </c>
      <c r="O28" s="51">
        <v>1.6</v>
      </c>
      <c r="P28" s="51">
        <v>0.32</v>
      </c>
      <c r="Q28" s="51">
        <v>4.74</v>
      </c>
    </row>
    <row r="29" spans="1:17" customFormat="1">
      <c r="A29" s="50">
        <v>45493.875</v>
      </c>
      <c r="B29" s="51">
        <v>9.24</v>
      </c>
      <c r="C29" s="51">
        <v>4.1100000000000003</v>
      </c>
      <c r="D29" s="51">
        <v>14</v>
      </c>
      <c r="E29" s="51">
        <v>11.53</v>
      </c>
      <c r="F29" s="51">
        <v>5.71</v>
      </c>
      <c r="G29" s="51">
        <v>16.34</v>
      </c>
      <c r="H29" s="51">
        <v>6.39</v>
      </c>
      <c r="I29" s="51">
        <v>4.1500000000000004</v>
      </c>
      <c r="J29" s="51">
        <v>0.59</v>
      </c>
      <c r="K29" s="51">
        <v>272.23</v>
      </c>
      <c r="L29" s="51">
        <v>26.52</v>
      </c>
      <c r="M29" s="51">
        <v>106.58</v>
      </c>
      <c r="N29" s="51">
        <v>3.3</v>
      </c>
      <c r="O29" s="51">
        <v>0</v>
      </c>
      <c r="P29" s="51">
        <v>0.32</v>
      </c>
      <c r="Q29" s="51">
        <v>4.8</v>
      </c>
    </row>
    <row r="30" spans="1:17" customFormat="1">
      <c r="A30" s="50">
        <v>45493.916666666664</v>
      </c>
      <c r="B30" s="51">
        <v>9.2200000000000006</v>
      </c>
      <c r="C30" s="51">
        <v>4.18</v>
      </c>
      <c r="D30" s="51">
        <v>14</v>
      </c>
      <c r="E30" s="51">
        <v>11.83</v>
      </c>
      <c r="F30" s="51">
        <v>5.48</v>
      </c>
      <c r="G30" s="51">
        <v>13.84</v>
      </c>
      <c r="H30" s="51">
        <v>6.39</v>
      </c>
      <c r="I30" s="51">
        <v>4.0599999999999996</v>
      </c>
      <c r="J30" s="51">
        <v>0.49</v>
      </c>
      <c r="K30" s="51">
        <v>276.52</v>
      </c>
      <c r="L30" s="51">
        <v>26.49</v>
      </c>
      <c r="M30" s="51">
        <v>107.95</v>
      </c>
      <c r="N30" s="51">
        <v>2.8</v>
      </c>
      <c r="O30" s="51">
        <v>0</v>
      </c>
      <c r="P30" s="51">
        <v>0.31</v>
      </c>
      <c r="Q30" s="51">
        <v>4.82</v>
      </c>
    </row>
    <row r="31" spans="1:17" customFormat="1">
      <c r="A31" s="50">
        <v>45493.958333333336</v>
      </c>
      <c r="B31" s="51">
        <v>9.3000000000000007</v>
      </c>
      <c r="C31" s="51">
        <v>4.18</v>
      </c>
      <c r="D31" s="51">
        <v>14.04</v>
      </c>
      <c r="E31" s="51">
        <v>11.85</v>
      </c>
      <c r="F31" s="51">
        <v>6.28</v>
      </c>
      <c r="G31" s="51">
        <v>20.75</v>
      </c>
      <c r="H31" s="51">
        <v>6.49</v>
      </c>
      <c r="I31" s="51">
        <v>4.0199999999999996</v>
      </c>
      <c r="J31" s="51">
        <v>0.67</v>
      </c>
      <c r="K31" s="51">
        <v>311.93</v>
      </c>
      <c r="L31" s="51">
        <v>26.78</v>
      </c>
      <c r="M31" s="51">
        <v>106.7</v>
      </c>
      <c r="N31" s="51">
        <v>2.8</v>
      </c>
      <c r="O31" s="51">
        <v>2</v>
      </c>
      <c r="P31" s="51">
        <v>0.38</v>
      </c>
      <c r="Q31" s="51">
        <v>4.8899999999999997</v>
      </c>
    </row>
    <row r="32" spans="1:17" customFormat="1">
      <c r="A32" s="50">
        <v>45494</v>
      </c>
      <c r="B32" s="51">
        <v>9.24</v>
      </c>
      <c r="C32" s="51">
        <v>4.1100000000000003</v>
      </c>
      <c r="D32" s="51">
        <v>14</v>
      </c>
      <c r="E32" s="51">
        <v>11.01</v>
      </c>
      <c r="F32" s="51">
        <v>6.21</v>
      </c>
      <c r="G32" s="51">
        <v>20.75</v>
      </c>
      <c r="H32" s="51">
        <v>6.49</v>
      </c>
      <c r="I32" s="51">
        <v>4.46</v>
      </c>
      <c r="J32" s="51">
        <v>1.0900000000000001</v>
      </c>
      <c r="K32" s="51">
        <v>298.45999999999998</v>
      </c>
      <c r="L32" s="51">
        <v>26.04</v>
      </c>
      <c r="M32" s="51">
        <v>105.54</v>
      </c>
      <c r="N32" s="51">
        <v>2.8</v>
      </c>
      <c r="O32" s="51">
        <v>3.4</v>
      </c>
      <c r="P32" s="51">
        <v>0.36</v>
      </c>
      <c r="Q32" s="51">
        <v>4.92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9.2200000000000006</v>
      </c>
      <c r="C34" s="41">
        <f t="shared" si="0"/>
        <v>4.05</v>
      </c>
      <c r="D34" s="41">
        <f t="shared" si="0"/>
        <v>14</v>
      </c>
      <c r="E34" s="41">
        <f t="shared" si="0"/>
        <v>8.24</v>
      </c>
      <c r="F34" s="41">
        <f t="shared" si="0"/>
        <v>3.67</v>
      </c>
      <c r="G34" s="41">
        <f t="shared" si="0"/>
        <v>13.46</v>
      </c>
      <c r="H34" s="41">
        <f t="shared" si="0"/>
        <v>5.73</v>
      </c>
      <c r="I34" s="41">
        <f t="shared" si="0"/>
        <v>4.0199999999999996</v>
      </c>
      <c r="J34" s="41">
        <f t="shared" si="0"/>
        <v>0.12</v>
      </c>
      <c r="K34" s="41">
        <f t="shared" si="0"/>
        <v>47.44</v>
      </c>
      <c r="L34" s="41">
        <f t="shared" si="0"/>
        <v>25.59</v>
      </c>
      <c r="M34" s="41">
        <f t="shared" si="0"/>
        <v>66</v>
      </c>
      <c r="N34" s="41">
        <f t="shared" si="0"/>
        <v>2.4</v>
      </c>
      <c r="O34" s="41">
        <f t="shared" si="0"/>
        <v>0</v>
      </c>
      <c r="P34" s="41">
        <f t="shared" si="0"/>
        <v>0.31</v>
      </c>
      <c r="Q34" s="41">
        <f t="shared" si="0"/>
        <v>4.71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9.35</v>
      </c>
      <c r="C35" s="33">
        <f t="shared" si="1"/>
        <v>4.18</v>
      </c>
      <c r="D35" s="33">
        <f t="shared" si="1"/>
        <v>14.07</v>
      </c>
      <c r="E35" s="33">
        <f t="shared" si="1"/>
        <v>18.03</v>
      </c>
      <c r="F35" s="33">
        <f t="shared" si="1"/>
        <v>19.41</v>
      </c>
      <c r="G35" s="33">
        <f t="shared" si="1"/>
        <v>56.58</v>
      </c>
      <c r="H35" s="33">
        <f t="shared" si="1"/>
        <v>15.76</v>
      </c>
      <c r="I35" s="33">
        <f t="shared" si="1"/>
        <v>7.03</v>
      </c>
      <c r="J35" s="33">
        <f t="shared" si="1"/>
        <v>1.87</v>
      </c>
      <c r="K35" s="33">
        <f t="shared" si="1"/>
        <v>324.61</v>
      </c>
      <c r="L35" s="33">
        <f t="shared" si="1"/>
        <v>34.07</v>
      </c>
      <c r="M35" s="33">
        <f t="shared" si="1"/>
        <v>107.95</v>
      </c>
      <c r="N35" s="33">
        <f t="shared" si="1"/>
        <v>731</v>
      </c>
      <c r="O35" s="33">
        <f t="shared" si="1"/>
        <v>9</v>
      </c>
      <c r="P35" s="33">
        <f t="shared" si="1"/>
        <v>0.68</v>
      </c>
      <c r="Q35" s="33">
        <f t="shared" si="1"/>
        <v>4.92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9.3000000000000043</v>
      </c>
      <c r="C36" s="41">
        <f t="shared" si="2"/>
        <v>4.0995833333333342</v>
      </c>
      <c r="D36" s="41">
        <f t="shared" si="2"/>
        <v>14.037083333333333</v>
      </c>
      <c r="E36" s="41">
        <f t="shared" si="2"/>
        <v>10.477916666666667</v>
      </c>
      <c r="F36" s="41">
        <f t="shared" si="2"/>
        <v>8.1316666666666677</v>
      </c>
      <c r="G36" s="41">
        <f t="shared" si="2"/>
        <v>32.544583333333335</v>
      </c>
      <c r="H36" s="41">
        <f t="shared" si="2"/>
        <v>9.9466666666666672</v>
      </c>
      <c r="I36" s="41">
        <f t="shared" si="2"/>
        <v>5.1716666666666669</v>
      </c>
      <c r="J36" s="41">
        <f t="shared" si="2"/>
        <v>0.77666666666666673</v>
      </c>
      <c r="K36" s="41">
        <f t="shared" si="2"/>
        <v>166.25541666666666</v>
      </c>
      <c r="L36" s="41">
        <f t="shared" si="2"/>
        <v>28.939166666666665</v>
      </c>
      <c r="M36" s="41">
        <f t="shared" si="2"/>
        <v>91.307083333333324</v>
      </c>
      <c r="N36" s="41">
        <f t="shared" si="2"/>
        <v>144.2791666666667</v>
      </c>
      <c r="O36" s="41">
        <f t="shared" si="2"/>
        <v>0.99999999999999989</v>
      </c>
      <c r="P36" s="41">
        <f t="shared" si="2"/>
        <v>0.47666666666666679</v>
      </c>
      <c r="Q36" s="41">
        <f t="shared" si="2"/>
        <v>4.7458333333333336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3.9231752889497561E-2</v>
      </c>
      <c r="C37" s="41">
        <f t="shared" ref="C37:Q37" si="3">STDEV(C9:C32)</f>
        <v>2.8964621098200416E-2</v>
      </c>
      <c r="D37" s="41">
        <f t="shared" si="3"/>
        <v>2.5277445981790339E-2</v>
      </c>
      <c r="E37" s="41">
        <f t="shared" si="3"/>
        <v>2.026908074032884</v>
      </c>
      <c r="F37" s="41">
        <f t="shared" si="3"/>
        <v>4.4277746561672595</v>
      </c>
      <c r="G37" s="41">
        <f t="shared" si="3"/>
        <v>12.929871373369654</v>
      </c>
      <c r="H37" s="41">
        <f t="shared" si="3"/>
        <v>3.2438660062750246</v>
      </c>
      <c r="I37" s="41">
        <f t="shared" si="3"/>
        <v>0.94508645413904313</v>
      </c>
      <c r="J37" s="41">
        <f t="shared" si="3"/>
        <v>0.4793262179230402</v>
      </c>
      <c r="K37" s="41">
        <f t="shared" si="3"/>
        <v>105.4438338428142</v>
      </c>
      <c r="L37" s="41">
        <f t="shared" si="3"/>
        <v>3.2096822498383681</v>
      </c>
      <c r="M37" s="41">
        <f t="shared" si="3"/>
        <v>16.331158131185919</v>
      </c>
      <c r="N37" s="41">
        <f t="shared" si="3"/>
        <v>205.40686872890714</v>
      </c>
      <c r="O37" s="41">
        <f t="shared" si="3"/>
        <v>2.4043438949570821</v>
      </c>
      <c r="P37" s="41">
        <f t="shared" si="3"/>
        <v>0.11623314900464563</v>
      </c>
      <c r="Q37" s="41">
        <f t="shared" si="3"/>
        <v>5.5475546251335404E-2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45494.041666666664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45494.041666666664</v>
      </c>
      <c r="B9" s="51">
        <v>9.2200000000000006</v>
      </c>
      <c r="C9" s="51">
        <v>4.1500000000000004</v>
      </c>
      <c r="D9" s="51">
        <v>14</v>
      </c>
      <c r="E9" s="51">
        <v>10.01</v>
      </c>
      <c r="F9" s="51">
        <v>7.57</v>
      </c>
      <c r="G9" s="51">
        <v>20.18</v>
      </c>
      <c r="H9" s="51">
        <v>5.24</v>
      </c>
      <c r="I9" s="51">
        <v>4.2699999999999996</v>
      </c>
      <c r="J9" s="51">
        <v>0.67</v>
      </c>
      <c r="K9" s="51">
        <v>309.16000000000003</v>
      </c>
      <c r="L9" s="51">
        <v>26.06</v>
      </c>
      <c r="M9" s="51">
        <v>105.39</v>
      </c>
      <c r="N9" s="51">
        <v>2.5</v>
      </c>
      <c r="O9" s="51">
        <v>0</v>
      </c>
      <c r="P9" s="51">
        <v>0.35</v>
      </c>
      <c r="Q9" s="51">
        <v>4.92</v>
      </c>
    </row>
    <row r="10" spans="1:21" customFormat="1">
      <c r="A10" s="50">
        <v>45494.083333333336</v>
      </c>
      <c r="B10" s="51">
        <v>9.26</v>
      </c>
      <c r="C10" s="51">
        <v>4.12</v>
      </c>
      <c r="D10" s="51">
        <v>14</v>
      </c>
      <c r="E10" s="51">
        <v>9.34</v>
      </c>
      <c r="F10" s="51">
        <v>8.26</v>
      </c>
      <c r="G10" s="51">
        <v>14.15</v>
      </c>
      <c r="H10" s="51">
        <v>4.16</v>
      </c>
      <c r="I10" s="51">
        <v>4.22</v>
      </c>
      <c r="J10" s="51">
        <v>0.53</v>
      </c>
      <c r="K10" s="51">
        <v>305.60000000000002</v>
      </c>
      <c r="L10" s="51">
        <v>26.14</v>
      </c>
      <c r="M10" s="51">
        <v>104.43</v>
      </c>
      <c r="N10" s="51">
        <v>2.5</v>
      </c>
      <c r="O10" s="51">
        <v>0.2</v>
      </c>
      <c r="P10" s="51">
        <v>0.34</v>
      </c>
      <c r="Q10" s="51">
        <v>4.97</v>
      </c>
    </row>
    <row r="11" spans="1:21" customFormat="1">
      <c r="A11" s="50">
        <v>45494.125</v>
      </c>
      <c r="B11" s="51">
        <v>9.27</v>
      </c>
      <c r="C11" s="51">
        <v>4.0999999999999996</v>
      </c>
      <c r="D11" s="51">
        <v>14.02</v>
      </c>
      <c r="E11" s="51">
        <v>8.83</v>
      </c>
      <c r="F11" s="51">
        <v>8.43</v>
      </c>
      <c r="G11" s="51">
        <v>12.39</v>
      </c>
      <c r="H11" s="51">
        <v>3.3</v>
      </c>
      <c r="I11" s="51">
        <v>4.04</v>
      </c>
      <c r="J11" s="51">
        <v>0.39</v>
      </c>
      <c r="K11" s="51">
        <v>320.22000000000003</v>
      </c>
      <c r="L11" s="51">
        <v>26.24</v>
      </c>
      <c r="M11" s="51">
        <v>104.14</v>
      </c>
      <c r="N11" s="51">
        <v>2.4</v>
      </c>
      <c r="O11" s="51">
        <v>0.2</v>
      </c>
      <c r="P11" s="51">
        <v>0.34</v>
      </c>
      <c r="Q11" s="51">
        <v>5.04</v>
      </c>
    </row>
    <row r="12" spans="1:21" customFormat="1">
      <c r="A12" s="50">
        <v>45494.166666666664</v>
      </c>
      <c r="B12" s="51">
        <v>9.2799999999999994</v>
      </c>
      <c r="C12" s="51">
        <v>4.09</v>
      </c>
      <c r="D12" s="51">
        <v>14.03</v>
      </c>
      <c r="E12" s="51">
        <v>9.3699999999999992</v>
      </c>
      <c r="F12" s="51">
        <v>6.99</v>
      </c>
      <c r="G12" s="51">
        <v>12.39</v>
      </c>
      <c r="H12" s="51">
        <v>2.46</v>
      </c>
      <c r="I12" s="51">
        <v>4.09</v>
      </c>
      <c r="J12" s="51">
        <v>0.35</v>
      </c>
      <c r="K12" s="51">
        <v>334.66</v>
      </c>
      <c r="L12" s="51">
        <v>26.38</v>
      </c>
      <c r="M12" s="51">
        <v>100.94</v>
      </c>
      <c r="N12" s="51">
        <v>2.5</v>
      </c>
      <c r="O12" s="51">
        <v>0</v>
      </c>
      <c r="P12" s="51">
        <v>0.31</v>
      </c>
      <c r="Q12" s="51">
        <v>5.0199999999999996</v>
      </c>
    </row>
    <row r="13" spans="1:21" customFormat="1">
      <c r="A13" s="50">
        <v>45494.208333333336</v>
      </c>
      <c r="B13" s="51">
        <v>9.2799999999999994</v>
      </c>
      <c r="C13" s="51">
        <v>4.09</v>
      </c>
      <c r="D13" s="51">
        <v>14.02</v>
      </c>
      <c r="E13" s="51">
        <v>10.46</v>
      </c>
      <c r="F13" s="51">
        <v>4.58</v>
      </c>
      <c r="G13" s="51">
        <v>18.61</v>
      </c>
      <c r="H13" s="51">
        <v>4.93</v>
      </c>
      <c r="I13" s="51">
        <v>3.88</v>
      </c>
      <c r="J13" s="51">
        <v>0.37</v>
      </c>
      <c r="K13" s="51">
        <v>308.85000000000002</v>
      </c>
      <c r="L13" s="51">
        <v>26.25</v>
      </c>
      <c r="M13" s="51">
        <v>100.08</v>
      </c>
      <c r="N13" s="51">
        <v>2.6</v>
      </c>
      <c r="O13" s="51">
        <v>0</v>
      </c>
      <c r="P13" s="51">
        <v>0.31</v>
      </c>
      <c r="Q13" s="51">
        <v>5.04</v>
      </c>
    </row>
    <row r="14" spans="1:21" customFormat="1">
      <c r="A14" s="50">
        <v>45494.25</v>
      </c>
      <c r="B14" s="51">
        <v>9.25</v>
      </c>
      <c r="C14" s="51">
        <v>4.0999999999999996</v>
      </c>
      <c r="D14" s="51">
        <v>14</v>
      </c>
      <c r="E14" s="51">
        <v>10.82</v>
      </c>
      <c r="F14" s="51">
        <v>3.76</v>
      </c>
      <c r="G14" s="51">
        <v>26.21</v>
      </c>
      <c r="H14" s="51">
        <v>7.63</v>
      </c>
      <c r="I14" s="51">
        <v>3.85</v>
      </c>
      <c r="J14" s="51">
        <v>0.21</v>
      </c>
      <c r="K14" s="51">
        <v>315.95</v>
      </c>
      <c r="L14" s="51">
        <v>26.38</v>
      </c>
      <c r="M14" s="51">
        <v>100.65</v>
      </c>
      <c r="N14" s="51">
        <v>22.7</v>
      </c>
      <c r="O14" s="51">
        <v>0</v>
      </c>
      <c r="P14" s="51">
        <v>0.34</v>
      </c>
      <c r="Q14" s="51">
        <v>4.97</v>
      </c>
    </row>
    <row r="15" spans="1:21" customFormat="1">
      <c r="A15" s="50">
        <v>45494.291666666664</v>
      </c>
      <c r="B15" s="51">
        <v>9.25</v>
      </c>
      <c r="C15" s="51">
        <v>4.0999999999999996</v>
      </c>
      <c r="D15" s="51">
        <v>14</v>
      </c>
      <c r="E15" s="51">
        <v>11.58</v>
      </c>
      <c r="F15" s="51">
        <v>3.93</v>
      </c>
      <c r="G15" s="51">
        <v>38.15</v>
      </c>
      <c r="H15" s="51">
        <v>7.63</v>
      </c>
      <c r="I15" s="51">
        <v>3.99</v>
      </c>
      <c r="J15" s="51">
        <v>0.78</v>
      </c>
      <c r="K15" s="51">
        <v>348.12</v>
      </c>
      <c r="L15" s="51">
        <v>26.71</v>
      </c>
      <c r="M15" s="51">
        <v>103.33</v>
      </c>
      <c r="N15" s="51">
        <v>45.8</v>
      </c>
      <c r="O15" s="51">
        <v>1.4</v>
      </c>
      <c r="P15" s="51">
        <v>0.38</v>
      </c>
      <c r="Q15" s="51">
        <v>4.99</v>
      </c>
    </row>
    <row r="16" spans="1:21" customFormat="1">
      <c r="A16" s="50">
        <v>45494.333333333336</v>
      </c>
      <c r="B16" s="51">
        <v>9.3000000000000007</v>
      </c>
      <c r="C16" s="51">
        <v>4.1100000000000003</v>
      </c>
      <c r="D16" s="51">
        <v>14.04</v>
      </c>
      <c r="E16" s="51">
        <v>12.82</v>
      </c>
      <c r="F16" s="51">
        <v>3.63</v>
      </c>
      <c r="G16" s="51">
        <v>48.06</v>
      </c>
      <c r="H16" s="51">
        <v>11.41</v>
      </c>
      <c r="I16" s="51">
        <v>4.4800000000000004</v>
      </c>
      <c r="J16" s="51">
        <v>0.42</v>
      </c>
      <c r="K16" s="51">
        <v>347.17</v>
      </c>
      <c r="L16" s="51">
        <v>27.01</v>
      </c>
      <c r="M16" s="51">
        <v>105.04</v>
      </c>
      <c r="N16" s="51">
        <v>74.099999999999994</v>
      </c>
      <c r="O16" s="51">
        <v>1.2</v>
      </c>
      <c r="P16" s="51">
        <v>0.53</v>
      </c>
      <c r="Q16" s="51">
        <v>4.97</v>
      </c>
    </row>
    <row r="17" spans="1:17" customFormat="1">
      <c r="A17" s="50">
        <v>45494.375</v>
      </c>
      <c r="B17" s="51">
        <v>9.34</v>
      </c>
      <c r="C17" s="51">
        <v>4.1100000000000003</v>
      </c>
      <c r="D17" s="51">
        <v>14.08</v>
      </c>
      <c r="E17" s="51">
        <v>13.66</v>
      </c>
      <c r="F17" s="51">
        <v>7.07</v>
      </c>
      <c r="G17" s="51">
        <v>60.08</v>
      </c>
      <c r="H17" s="51">
        <v>20.09</v>
      </c>
      <c r="I17" s="51">
        <v>5.26</v>
      </c>
      <c r="J17" s="51">
        <v>0.38</v>
      </c>
      <c r="K17" s="51">
        <v>303.10000000000002</v>
      </c>
      <c r="L17" s="51">
        <v>28.06</v>
      </c>
      <c r="M17" s="51">
        <v>103.45</v>
      </c>
      <c r="N17" s="51">
        <v>166.1</v>
      </c>
      <c r="O17" s="51">
        <v>0</v>
      </c>
      <c r="P17" s="51">
        <v>0.55000000000000004</v>
      </c>
      <c r="Q17" s="51">
        <v>4.91</v>
      </c>
    </row>
    <row r="18" spans="1:17" customFormat="1">
      <c r="A18" s="50">
        <v>45494.416666666664</v>
      </c>
      <c r="B18" s="51">
        <v>9.32</v>
      </c>
      <c r="C18" s="51">
        <v>4.08</v>
      </c>
      <c r="D18" s="51">
        <v>14.04</v>
      </c>
      <c r="E18" s="51">
        <v>16.37</v>
      </c>
      <c r="F18" s="51">
        <v>7.9</v>
      </c>
      <c r="G18" s="51">
        <v>76.010000000000005</v>
      </c>
      <c r="H18" s="51">
        <v>25</v>
      </c>
      <c r="I18" s="51">
        <v>5.55</v>
      </c>
      <c r="J18" s="51">
        <v>0.37</v>
      </c>
      <c r="K18" s="51">
        <v>336.13</v>
      </c>
      <c r="L18" s="51">
        <v>28.88</v>
      </c>
      <c r="M18" s="51">
        <v>94.83</v>
      </c>
      <c r="N18" s="51">
        <v>176.6</v>
      </c>
      <c r="O18" s="51">
        <v>0.2</v>
      </c>
      <c r="P18" s="51">
        <v>0.56999999999999995</v>
      </c>
      <c r="Q18" s="51">
        <v>4.74</v>
      </c>
    </row>
    <row r="19" spans="1:17" customFormat="1">
      <c r="A19" s="50">
        <v>45494.458333333336</v>
      </c>
      <c r="B19" s="51">
        <v>9.2899999999999991</v>
      </c>
      <c r="C19" s="51">
        <v>4.08</v>
      </c>
      <c r="D19" s="51">
        <v>14.02</v>
      </c>
      <c r="E19" s="51">
        <v>14.64</v>
      </c>
      <c r="F19" s="51">
        <v>11.68</v>
      </c>
      <c r="G19" s="51">
        <v>76.010000000000005</v>
      </c>
      <c r="H19" s="51">
        <v>25</v>
      </c>
      <c r="I19" s="51">
        <v>5.47</v>
      </c>
      <c r="J19" s="51">
        <v>0.57999999999999996</v>
      </c>
      <c r="K19" s="51">
        <v>270.32</v>
      </c>
      <c r="L19" s="51">
        <v>30.8</v>
      </c>
      <c r="M19" s="51">
        <v>96.27</v>
      </c>
      <c r="N19" s="51">
        <v>310.8</v>
      </c>
      <c r="O19" s="51">
        <v>0</v>
      </c>
      <c r="P19" s="51">
        <v>0.54</v>
      </c>
      <c r="Q19" s="51">
        <v>4.74</v>
      </c>
    </row>
    <row r="20" spans="1:17" customFormat="1">
      <c r="A20" s="50">
        <v>45494.5</v>
      </c>
      <c r="B20" s="51">
        <v>9.2899999999999991</v>
      </c>
      <c r="C20" s="51">
        <v>4.0999999999999996</v>
      </c>
      <c r="D20" s="51">
        <v>14.03</v>
      </c>
      <c r="E20" s="51">
        <v>13.85</v>
      </c>
      <c r="F20" s="51">
        <v>11.7</v>
      </c>
      <c r="G20" s="51">
        <v>70.7</v>
      </c>
      <c r="H20" s="51">
        <v>24.45</v>
      </c>
      <c r="I20" s="51">
        <v>5.19</v>
      </c>
      <c r="J20" s="51">
        <v>0.59</v>
      </c>
      <c r="K20" s="51">
        <v>323.43</v>
      </c>
      <c r="L20" s="51">
        <v>30.75</v>
      </c>
      <c r="M20" s="51">
        <v>89.57</v>
      </c>
      <c r="N20" s="51">
        <v>441.3</v>
      </c>
      <c r="O20" s="51">
        <v>0</v>
      </c>
      <c r="P20" s="51">
        <v>0.54</v>
      </c>
      <c r="Q20" s="51">
        <v>4.7300000000000004</v>
      </c>
    </row>
    <row r="21" spans="1:17" customFormat="1">
      <c r="A21" s="50">
        <v>45494.541666666664</v>
      </c>
      <c r="B21" s="51">
        <v>9.34</v>
      </c>
      <c r="C21" s="51">
        <v>4.0999999999999996</v>
      </c>
      <c r="D21" s="51">
        <v>14.07</v>
      </c>
      <c r="E21" s="51">
        <v>12.21</v>
      </c>
      <c r="F21" s="51">
        <v>11.47</v>
      </c>
      <c r="G21" s="51">
        <v>65.13</v>
      </c>
      <c r="H21" s="51">
        <v>19.239999999999998</v>
      </c>
      <c r="I21" s="51">
        <v>5.15</v>
      </c>
      <c r="J21" s="51">
        <v>1.68</v>
      </c>
      <c r="K21" s="51">
        <v>332.97</v>
      </c>
      <c r="L21" s="51">
        <v>31.01</v>
      </c>
      <c r="M21" s="51">
        <v>85.44</v>
      </c>
      <c r="N21" s="51">
        <v>215.9</v>
      </c>
      <c r="O21" s="51">
        <v>0</v>
      </c>
      <c r="P21" s="51">
        <v>0.5</v>
      </c>
      <c r="Q21" s="51">
        <v>4.7699999999999996</v>
      </c>
    </row>
    <row r="22" spans="1:17" customFormat="1">
      <c r="A22" s="50">
        <v>45494.583333333336</v>
      </c>
      <c r="B22" s="51">
        <v>9.33</v>
      </c>
      <c r="C22" s="51">
        <v>4.0999999999999996</v>
      </c>
      <c r="D22" s="51">
        <v>14.07</v>
      </c>
      <c r="E22" s="51">
        <v>12.58</v>
      </c>
      <c r="F22" s="51">
        <v>8.75</v>
      </c>
      <c r="G22" s="51">
        <v>50.95</v>
      </c>
      <c r="H22" s="51">
        <v>14.76</v>
      </c>
      <c r="I22" s="51">
        <v>5.04</v>
      </c>
      <c r="J22" s="51">
        <v>1.01</v>
      </c>
      <c r="K22" s="51">
        <v>52.21</v>
      </c>
      <c r="L22" s="51">
        <v>31.12</v>
      </c>
      <c r="M22" s="51">
        <v>80.180000000000007</v>
      </c>
      <c r="N22" s="51">
        <v>286.8</v>
      </c>
      <c r="O22" s="51">
        <v>0</v>
      </c>
      <c r="P22" s="51">
        <v>0.45</v>
      </c>
      <c r="Q22" s="51">
        <v>4.8499999999999996</v>
      </c>
    </row>
    <row r="23" spans="1:17" customFormat="1">
      <c r="A23" s="50">
        <v>45494.625</v>
      </c>
      <c r="B23" s="51">
        <v>9.26</v>
      </c>
      <c r="C23" s="51">
        <v>4.09</v>
      </c>
      <c r="D23" s="51">
        <v>14</v>
      </c>
      <c r="E23" s="51">
        <v>13.31</v>
      </c>
      <c r="F23" s="51">
        <v>8.1300000000000008</v>
      </c>
      <c r="G23" s="51">
        <v>42.43</v>
      </c>
      <c r="H23" s="51">
        <v>13.74</v>
      </c>
      <c r="I23" s="51">
        <v>4.66</v>
      </c>
      <c r="J23" s="51">
        <v>0.67</v>
      </c>
      <c r="K23" s="51">
        <v>48.32</v>
      </c>
      <c r="L23" s="51">
        <v>32.31</v>
      </c>
      <c r="M23" s="51">
        <v>72.400000000000006</v>
      </c>
      <c r="N23" s="51">
        <v>371.5</v>
      </c>
      <c r="O23" s="51">
        <v>0</v>
      </c>
      <c r="P23" s="51">
        <v>0.49</v>
      </c>
      <c r="Q23" s="51">
        <v>4.8499999999999996</v>
      </c>
    </row>
    <row r="24" spans="1:17" customFormat="1">
      <c r="A24" s="50">
        <v>45494.666666666664</v>
      </c>
      <c r="B24" s="51">
        <v>9.23</v>
      </c>
      <c r="C24" s="51">
        <v>4.18</v>
      </c>
      <c r="D24" s="51">
        <v>14</v>
      </c>
      <c r="E24" s="51">
        <v>13.05</v>
      </c>
      <c r="F24" s="51">
        <v>7.09</v>
      </c>
      <c r="G24" s="51">
        <v>42.43</v>
      </c>
      <c r="H24" s="51">
        <v>14.66</v>
      </c>
      <c r="I24" s="51">
        <v>4.68</v>
      </c>
      <c r="J24" s="51">
        <v>0.28000000000000003</v>
      </c>
      <c r="K24" s="51">
        <v>345.68</v>
      </c>
      <c r="L24" s="51">
        <v>32.94</v>
      </c>
      <c r="M24" s="51">
        <v>95.48</v>
      </c>
      <c r="N24" s="51">
        <v>215.7</v>
      </c>
      <c r="O24" s="51">
        <v>1.4</v>
      </c>
      <c r="P24" s="51">
        <v>0.47</v>
      </c>
      <c r="Q24" s="51">
        <v>4.78</v>
      </c>
    </row>
    <row r="25" spans="1:17" customFormat="1">
      <c r="A25" s="50">
        <v>45494.708333333336</v>
      </c>
      <c r="B25" s="51">
        <v>9.19</v>
      </c>
      <c r="C25" s="51">
        <v>4.1900000000000004</v>
      </c>
      <c r="D25" s="51">
        <v>14</v>
      </c>
      <c r="E25" s="51">
        <v>12.56</v>
      </c>
      <c r="F25" s="51">
        <v>4.95</v>
      </c>
      <c r="G25" s="51">
        <v>40.35</v>
      </c>
      <c r="H25" s="51">
        <v>14.66</v>
      </c>
      <c r="I25" s="51">
        <v>4.55</v>
      </c>
      <c r="J25" s="51">
        <v>0.43</v>
      </c>
      <c r="K25" s="51">
        <v>276.91000000000003</v>
      </c>
      <c r="L25" s="51">
        <v>26.8</v>
      </c>
      <c r="M25" s="51">
        <v>105.61</v>
      </c>
      <c r="N25" s="51">
        <v>25.1</v>
      </c>
      <c r="O25" s="51">
        <v>1.8</v>
      </c>
      <c r="P25" s="51">
        <v>0.45</v>
      </c>
      <c r="Q25" s="51">
        <v>4.79</v>
      </c>
    </row>
    <row r="26" spans="1:17" customFormat="1">
      <c r="A26" s="50">
        <v>45494.75</v>
      </c>
      <c r="B26" s="51">
        <v>9.4</v>
      </c>
      <c r="C26" s="51">
        <v>4.21</v>
      </c>
      <c r="D26" s="51">
        <v>14.11</v>
      </c>
      <c r="E26" s="51">
        <v>12.42</v>
      </c>
      <c r="F26" s="51">
        <v>11.05</v>
      </c>
      <c r="G26" s="51">
        <v>26.72</v>
      </c>
      <c r="H26" s="51">
        <v>10.62</v>
      </c>
      <c r="I26" s="51">
        <v>4.38</v>
      </c>
      <c r="J26" s="51">
        <v>0.36</v>
      </c>
      <c r="K26" s="51">
        <v>290.2</v>
      </c>
      <c r="L26" s="51">
        <v>26.84</v>
      </c>
      <c r="M26" s="51">
        <v>106.27</v>
      </c>
      <c r="N26" s="51">
        <v>12.1</v>
      </c>
      <c r="O26" s="51">
        <v>0</v>
      </c>
      <c r="P26" s="51">
        <v>0.5</v>
      </c>
      <c r="Q26" s="51">
        <v>4.8</v>
      </c>
    </row>
    <row r="27" spans="1:17" customFormat="1">
      <c r="A27" s="50">
        <v>45494.791666666664</v>
      </c>
      <c r="B27" s="51">
        <v>9.39</v>
      </c>
      <c r="C27" s="51">
        <v>4.07</v>
      </c>
      <c r="D27" s="51">
        <v>14.1</v>
      </c>
      <c r="E27" s="51">
        <v>9.58</v>
      </c>
      <c r="F27" s="51">
        <v>12.71</v>
      </c>
      <c r="G27" s="51">
        <v>21.63</v>
      </c>
      <c r="H27" s="51">
        <v>9.9700000000000006</v>
      </c>
      <c r="I27" s="51">
        <v>4</v>
      </c>
      <c r="J27" s="51">
        <v>0.36</v>
      </c>
      <c r="K27" s="51">
        <v>272.16000000000003</v>
      </c>
      <c r="L27" s="51">
        <v>26.96</v>
      </c>
      <c r="M27" s="51">
        <v>101.23</v>
      </c>
      <c r="N27" s="51">
        <v>6.5</v>
      </c>
      <c r="O27" s="51">
        <v>1.2</v>
      </c>
      <c r="P27" s="51">
        <v>0.45</v>
      </c>
      <c r="Q27" s="51">
        <v>4.79</v>
      </c>
    </row>
    <row r="28" spans="1:17" customFormat="1">
      <c r="A28" s="50">
        <v>45494.833333333336</v>
      </c>
      <c r="B28" s="51">
        <v>9.34</v>
      </c>
      <c r="C28" s="51">
        <v>4.0999999999999996</v>
      </c>
      <c r="D28" s="51">
        <v>14.08</v>
      </c>
      <c r="E28" s="51">
        <v>9.57</v>
      </c>
      <c r="F28" s="51">
        <v>12.67</v>
      </c>
      <c r="G28" s="51">
        <v>22.16</v>
      </c>
      <c r="H28" s="51">
        <v>7.26</v>
      </c>
      <c r="I28" s="51">
        <v>4.2</v>
      </c>
      <c r="J28" s="51">
        <v>0.47</v>
      </c>
      <c r="K28" s="51">
        <v>291.23</v>
      </c>
      <c r="L28" s="51">
        <v>26.85</v>
      </c>
      <c r="M28" s="51">
        <v>103.24</v>
      </c>
      <c r="N28" s="51">
        <v>2.8</v>
      </c>
      <c r="O28" s="51">
        <v>3.2</v>
      </c>
      <c r="P28" s="51">
        <v>0.48</v>
      </c>
      <c r="Q28" s="51">
        <v>4.78</v>
      </c>
    </row>
    <row r="29" spans="1:17" customFormat="1">
      <c r="A29" s="50">
        <v>45494.875</v>
      </c>
      <c r="B29" s="51">
        <v>9.33</v>
      </c>
      <c r="C29" s="51">
        <v>4.09</v>
      </c>
      <c r="D29" s="51">
        <v>14.06</v>
      </c>
      <c r="E29" s="51">
        <v>9.14</v>
      </c>
      <c r="F29" s="51">
        <v>13.71</v>
      </c>
      <c r="G29" s="51">
        <v>22.16</v>
      </c>
      <c r="H29" s="51">
        <v>7.21</v>
      </c>
      <c r="I29" s="51">
        <v>4.1500000000000004</v>
      </c>
      <c r="J29" s="51">
        <v>0.44</v>
      </c>
      <c r="K29" s="51">
        <v>277.29000000000002</v>
      </c>
      <c r="L29" s="51">
        <v>26.88</v>
      </c>
      <c r="M29" s="51">
        <v>102.45</v>
      </c>
      <c r="N29" s="51">
        <v>3</v>
      </c>
      <c r="O29" s="51">
        <v>0</v>
      </c>
      <c r="P29" s="51">
        <v>0.45</v>
      </c>
      <c r="Q29" s="51">
        <v>4.7699999999999996</v>
      </c>
    </row>
    <row r="30" spans="1:17" customFormat="1">
      <c r="A30" s="50">
        <v>45494.916666666664</v>
      </c>
      <c r="B30" s="51">
        <v>9.33</v>
      </c>
      <c r="C30" s="51">
        <v>4.09</v>
      </c>
      <c r="D30" s="51">
        <v>14.06</v>
      </c>
      <c r="E30" s="51">
        <v>9.52</v>
      </c>
      <c r="F30" s="51">
        <v>10.9</v>
      </c>
      <c r="G30" s="51">
        <v>16.010000000000002</v>
      </c>
      <c r="H30" s="51">
        <v>7.07</v>
      </c>
      <c r="I30" s="51">
        <v>4</v>
      </c>
      <c r="J30" s="51">
        <v>0.95</v>
      </c>
      <c r="K30" s="51">
        <v>276.29000000000002</v>
      </c>
      <c r="L30" s="51">
        <v>26.64</v>
      </c>
      <c r="M30" s="51">
        <v>99.78</v>
      </c>
      <c r="N30" s="51">
        <v>3.3</v>
      </c>
      <c r="O30" s="51">
        <v>0</v>
      </c>
      <c r="P30" s="51">
        <v>0.44</v>
      </c>
      <c r="Q30" s="51">
        <v>4.79</v>
      </c>
    </row>
    <row r="31" spans="1:17" customFormat="1">
      <c r="A31" s="50">
        <v>45494.958333333336</v>
      </c>
      <c r="B31" s="51">
        <v>9.35</v>
      </c>
      <c r="C31" s="51">
        <v>4.07</v>
      </c>
      <c r="D31" s="51">
        <v>14.07</v>
      </c>
      <c r="E31" s="51">
        <v>10.210000000000001</v>
      </c>
      <c r="F31" s="51">
        <v>6.6</v>
      </c>
      <c r="G31" s="51">
        <v>12</v>
      </c>
      <c r="H31" s="51">
        <v>7.07</v>
      </c>
      <c r="I31" s="51">
        <v>4.13</v>
      </c>
      <c r="J31" s="51">
        <v>0.92</v>
      </c>
      <c r="K31" s="51">
        <v>276.52999999999997</v>
      </c>
      <c r="L31" s="51">
        <v>26.73</v>
      </c>
      <c r="M31" s="51">
        <v>96.85</v>
      </c>
      <c r="N31" s="51">
        <v>3.3</v>
      </c>
      <c r="O31" s="51">
        <v>0</v>
      </c>
      <c r="P31" s="51">
        <v>0.4</v>
      </c>
      <c r="Q31" s="51">
        <v>4.76</v>
      </c>
    </row>
    <row r="32" spans="1:17" customFormat="1">
      <c r="A32" s="50">
        <v>45495</v>
      </c>
      <c r="B32" s="51">
        <v>9.34</v>
      </c>
      <c r="C32" s="51">
        <v>4.08</v>
      </c>
      <c r="D32" s="51">
        <v>14.06</v>
      </c>
      <c r="E32" s="51">
        <v>10.94</v>
      </c>
      <c r="F32" s="51">
        <v>5.52</v>
      </c>
      <c r="G32" s="51">
        <v>9.74</v>
      </c>
      <c r="H32" s="51">
        <v>4.95</v>
      </c>
      <c r="I32" s="51">
        <v>3.85</v>
      </c>
      <c r="J32" s="51">
        <v>0.82</v>
      </c>
      <c r="K32" s="51">
        <v>279.08</v>
      </c>
      <c r="L32" s="51">
        <v>26.64</v>
      </c>
      <c r="M32" s="51">
        <v>96.77</v>
      </c>
      <c r="N32" s="51">
        <v>3.2</v>
      </c>
      <c r="O32" s="51">
        <v>0</v>
      </c>
      <c r="P32" s="51">
        <v>0.39</v>
      </c>
      <c r="Q32" s="51">
        <v>4.76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9.19</v>
      </c>
      <c r="C34" s="41">
        <f t="shared" si="0"/>
        <v>4.07</v>
      </c>
      <c r="D34" s="41">
        <f t="shared" si="0"/>
        <v>14</v>
      </c>
      <c r="E34" s="41">
        <f t="shared" si="0"/>
        <v>8.83</v>
      </c>
      <c r="F34" s="41">
        <f t="shared" si="0"/>
        <v>3.63</v>
      </c>
      <c r="G34" s="41">
        <f t="shared" si="0"/>
        <v>9.74</v>
      </c>
      <c r="H34" s="41">
        <f t="shared" si="0"/>
        <v>2.46</v>
      </c>
      <c r="I34" s="41">
        <f t="shared" si="0"/>
        <v>3.85</v>
      </c>
      <c r="J34" s="41">
        <f t="shared" si="0"/>
        <v>0.21</v>
      </c>
      <c r="K34" s="41">
        <f t="shared" si="0"/>
        <v>48.32</v>
      </c>
      <c r="L34" s="41">
        <f t="shared" si="0"/>
        <v>26.06</v>
      </c>
      <c r="M34" s="41">
        <f t="shared" si="0"/>
        <v>72.400000000000006</v>
      </c>
      <c r="N34" s="41">
        <f t="shared" si="0"/>
        <v>2.4</v>
      </c>
      <c r="O34" s="41">
        <f t="shared" si="0"/>
        <v>0</v>
      </c>
      <c r="P34" s="41">
        <f t="shared" si="0"/>
        <v>0.31</v>
      </c>
      <c r="Q34" s="41">
        <f t="shared" si="0"/>
        <v>4.7300000000000004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</v>
      </c>
      <c r="C35" s="33">
        <f t="shared" si="1"/>
        <v>4.21</v>
      </c>
      <c r="D35" s="33">
        <f t="shared" si="1"/>
        <v>14.11</v>
      </c>
      <c r="E35" s="33">
        <f t="shared" si="1"/>
        <v>16.37</v>
      </c>
      <c r="F35" s="33">
        <f t="shared" si="1"/>
        <v>13.71</v>
      </c>
      <c r="G35" s="33">
        <f t="shared" si="1"/>
        <v>76.010000000000005</v>
      </c>
      <c r="H35" s="33">
        <f t="shared" si="1"/>
        <v>25</v>
      </c>
      <c r="I35" s="33">
        <f t="shared" si="1"/>
        <v>5.55</v>
      </c>
      <c r="J35" s="33">
        <f t="shared" si="1"/>
        <v>1.68</v>
      </c>
      <c r="K35" s="33">
        <f t="shared" si="1"/>
        <v>348.12</v>
      </c>
      <c r="L35" s="33">
        <f t="shared" si="1"/>
        <v>32.94</v>
      </c>
      <c r="M35" s="33">
        <f t="shared" si="1"/>
        <v>106.27</v>
      </c>
      <c r="N35" s="33">
        <f t="shared" si="1"/>
        <v>441.3</v>
      </c>
      <c r="O35" s="33">
        <f t="shared" si="1"/>
        <v>3.2</v>
      </c>
      <c r="P35" s="33">
        <f t="shared" si="1"/>
        <v>0.56999999999999995</v>
      </c>
      <c r="Q35" s="33">
        <f t="shared" si="1"/>
        <v>5.04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9.2991666666666681</v>
      </c>
      <c r="C36" s="41">
        <f t="shared" si="2"/>
        <v>4.1083333333333325</v>
      </c>
      <c r="D36" s="41">
        <f t="shared" si="2"/>
        <v>14.04</v>
      </c>
      <c r="E36" s="41">
        <f t="shared" si="2"/>
        <v>11.535000000000002</v>
      </c>
      <c r="F36" s="41">
        <f t="shared" si="2"/>
        <v>8.2937500000000011</v>
      </c>
      <c r="G36" s="41">
        <f t="shared" si="2"/>
        <v>35.193749999999994</v>
      </c>
      <c r="H36" s="41">
        <f t="shared" si="2"/>
        <v>11.354583333333332</v>
      </c>
      <c r="I36" s="41">
        <f t="shared" si="2"/>
        <v>4.461666666666666</v>
      </c>
      <c r="J36" s="41">
        <f t="shared" si="2"/>
        <v>0.58458333333333323</v>
      </c>
      <c r="K36" s="41">
        <f t="shared" si="2"/>
        <v>285.06583333333327</v>
      </c>
      <c r="L36" s="41">
        <f t="shared" si="2"/>
        <v>27.974166666666665</v>
      </c>
      <c r="M36" s="41">
        <f t="shared" si="2"/>
        <v>98.075833333333335</v>
      </c>
      <c r="N36" s="41">
        <f t="shared" si="2"/>
        <v>99.962499999999991</v>
      </c>
      <c r="O36" s="41">
        <f t="shared" si="2"/>
        <v>0.45</v>
      </c>
      <c r="P36" s="41">
        <f t="shared" si="2"/>
        <v>0.44041666666666668</v>
      </c>
      <c r="Q36" s="41">
        <f t="shared" si="2"/>
        <v>4.8554166666666676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5.2578443811349129E-2</v>
      </c>
      <c r="C37" s="41">
        <f t="shared" ref="C37:Q37" si="3">STDEV(C9:C32)</f>
        <v>3.702721286774939E-2</v>
      </c>
      <c r="D37" s="41">
        <f t="shared" si="3"/>
        <v>3.5015524507305933E-2</v>
      </c>
      <c r="E37" s="41">
        <f t="shared" si="3"/>
        <v>2.0192292976583208</v>
      </c>
      <c r="F37" s="41">
        <f t="shared" si="3"/>
        <v>3.0786824009772347</v>
      </c>
      <c r="G37" s="41">
        <f t="shared" si="3"/>
        <v>21.744947401637944</v>
      </c>
      <c r="H37" s="41">
        <f t="shared" si="3"/>
        <v>7.0334851149567976</v>
      </c>
      <c r="I37" s="41">
        <f t="shared" si="3"/>
        <v>0.53977182511539945</v>
      </c>
      <c r="J37" s="41">
        <f t="shared" si="3"/>
        <v>0.32195029547062581</v>
      </c>
      <c r="K37" s="41">
        <f t="shared" si="3"/>
        <v>76.742029747135206</v>
      </c>
      <c r="L37" s="41">
        <f t="shared" si="3"/>
        <v>2.1965504906491642</v>
      </c>
      <c r="M37" s="41">
        <f t="shared" si="3"/>
        <v>8.5269623097492087</v>
      </c>
      <c r="N37" s="41">
        <f t="shared" si="3"/>
        <v>137.16182068763823</v>
      </c>
      <c r="O37" s="41">
        <f t="shared" si="3"/>
        <v>0.82198064083836153</v>
      </c>
      <c r="P37" s="41">
        <f t="shared" si="3"/>
        <v>8.0567507026131815E-2</v>
      </c>
      <c r="Q37" s="41">
        <f t="shared" si="3"/>
        <v>0.10681064784350731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45495.041666666664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45495.041666666664</v>
      </c>
      <c r="B9" s="51">
        <v>9.3800000000000008</v>
      </c>
      <c r="C9" s="51">
        <v>4.12</v>
      </c>
      <c r="D9" s="51">
        <v>14.12</v>
      </c>
      <c r="E9" s="51">
        <v>11.47</v>
      </c>
      <c r="F9" s="51">
        <v>4.5</v>
      </c>
      <c r="G9" s="51">
        <v>9.2100000000000009</v>
      </c>
      <c r="H9" s="51">
        <v>3.62</v>
      </c>
      <c r="I9" s="51">
        <v>3.5</v>
      </c>
      <c r="J9" s="51">
        <v>1.1399999999999999</v>
      </c>
      <c r="K9" s="51">
        <v>278.16000000000003</v>
      </c>
      <c r="L9" s="51">
        <v>26.66</v>
      </c>
      <c r="M9" s="51">
        <v>95.38</v>
      </c>
      <c r="N9" s="51">
        <v>2.8</v>
      </c>
      <c r="O9" s="51">
        <v>0</v>
      </c>
      <c r="P9" s="51">
        <v>0.37</v>
      </c>
      <c r="Q9" s="51">
        <v>4.78</v>
      </c>
    </row>
    <row r="10" spans="1:21" customFormat="1">
      <c r="A10" s="50">
        <v>45495.083333333336</v>
      </c>
      <c r="B10" s="51">
        <v>9.39</v>
      </c>
      <c r="C10" s="51">
        <v>4.09</v>
      </c>
      <c r="D10" s="51">
        <v>14.1</v>
      </c>
      <c r="E10" s="51">
        <v>11.63</v>
      </c>
      <c r="F10" s="51">
        <v>4.5999999999999996</v>
      </c>
      <c r="G10" s="51">
        <v>6.98</v>
      </c>
      <c r="H10" s="51">
        <v>3.62</v>
      </c>
      <c r="I10" s="51">
        <v>3.38</v>
      </c>
      <c r="J10" s="51">
        <v>1.0900000000000001</v>
      </c>
      <c r="K10" s="51">
        <v>275.14</v>
      </c>
      <c r="L10" s="51">
        <v>26.45</v>
      </c>
      <c r="M10" s="51">
        <v>96.97</v>
      </c>
      <c r="N10" s="51">
        <v>2.6</v>
      </c>
      <c r="O10" s="51">
        <v>0</v>
      </c>
      <c r="P10" s="51">
        <v>0.35</v>
      </c>
      <c r="Q10" s="51">
        <v>4.79</v>
      </c>
    </row>
    <row r="11" spans="1:21" customFormat="1">
      <c r="A11" s="50">
        <v>45495.125</v>
      </c>
      <c r="B11" s="51">
        <v>9.4</v>
      </c>
      <c r="C11" s="51">
        <v>4.08</v>
      </c>
      <c r="D11" s="51">
        <v>14.1</v>
      </c>
      <c r="E11" s="51">
        <v>10.08</v>
      </c>
      <c r="F11" s="51">
        <v>4</v>
      </c>
      <c r="G11" s="51">
        <v>5.71</v>
      </c>
      <c r="H11" s="51">
        <v>2.76</v>
      </c>
      <c r="I11" s="51">
        <v>3.26</v>
      </c>
      <c r="J11" s="51">
        <v>0.86</v>
      </c>
      <c r="K11" s="51">
        <v>277.07</v>
      </c>
      <c r="L11" s="51">
        <v>26.21</v>
      </c>
      <c r="M11" s="51">
        <v>101.67</v>
      </c>
      <c r="N11" s="51">
        <v>2.5</v>
      </c>
      <c r="O11" s="51">
        <v>0</v>
      </c>
      <c r="P11" s="51">
        <v>0.36</v>
      </c>
      <c r="Q11" s="51">
        <v>4.78</v>
      </c>
    </row>
    <row r="12" spans="1:21" customFormat="1">
      <c r="A12" s="50">
        <v>45495.166666666664</v>
      </c>
      <c r="B12" s="51">
        <v>9.3800000000000008</v>
      </c>
      <c r="C12" s="51">
        <v>4.0999999999999996</v>
      </c>
      <c r="D12" s="51">
        <v>14.11</v>
      </c>
      <c r="E12" s="51">
        <v>9.27</v>
      </c>
      <c r="F12" s="51">
        <v>6.3</v>
      </c>
      <c r="G12" s="51">
        <v>5.71</v>
      </c>
      <c r="H12" s="51">
        <v>2.52</v>
      </c>
      <c r="I12" s="51">
        <v>3.15</v>
      </c>
      <c r="J12" s="51">
        <v>0.91</v>
      </c>
      <c r="K12" s="51">
        <v>275.54000000000002</v>
      </c>
      <c r="L12" s="51">
        <v>26.07</v>
      </c>
      <c r="M12" s="51">
        <v>101.59</v>
      </c>
      <c r="N12" s="51">
        <v>2.6</v>
      </c>
      <c r="O12" s="51">
        <v>0</v>
      </c>
      <c r="P12" s="51">
        <v>0.35</v>
      </c>
      <c r="Q12" s="51">
        <v>4.7699999999999996</v>
      </c>
    </row>
    <row r="13" spans="1:21" customFormat="1">
      <c r="A13" s="50">
        <v>45495.208333333336</v>
      </c>
      <c r="B13" s="51">
        <v>9.39</v>
      </c>
      <c r="C13" s="51">
        <v>4.07</v>
      </c>
      <c r="D13" s="51">
        <v>14.11</v>
      </c>
      <c r="E13" s="51">
        <v>7.96</v>
      </c>
      <c r="F13" s="51">
        <v>6.16</v>
      </c>
      <c r="G13" s="51">
        <v>5.1100000000000003</v>
      </c>
      <c r="H13" s="51">
        <v>2.2000000000000002</v>
      </c>
      <c r="I13" s="51">
        <v>3.06</v>
      </c>
      <c r="J13" s="51">
        <v>0.82</v>
      </c>
      <c r="K13" s="51">
        <v>275.14</v>
      </c>
      <c r="L13" s="51">
        <v>25.73</v>
      </c>
      <c r="M13" s="51">
        <v>101.68</v>
      </c>
      <c r="N13" s="51">
        <v>2.2999999999999998</v>
      </c>
      <c r="O13" s="51">
        <v>0.2</v>
      </c>
      <c r="P13" s="51">
        <v>0.33</v>
      </c>
      <c r="Q13" s="51">
        <v>4.79</v>
      </c>
    </row>
    <row r="14" spans="1:21" customFormat="1">
      <c r="A14" s="50">
        <v>45495.25</v>
      </c>
      <c r="B14" s="51">
        <v>9.4</v>
      </c>
      <c r="C14" s="51">
        <v>4.1100000000000003</v>
      </c>
      <c r="D14" s="51">
        <v>14.13</v>
      </c>
      <c r="E14" s="51">
        <v>7.37</v>
      </c>
      <c r="F14" s="51">
        <v>6.57</v>
      </c>
      <c r="G14" s="51">
        <v>3.6</v>
      </c>
      <c r="H14" s="51">
        <v>1.85</v>
      </c>
      <c r="I14" s="51">
        <v>2.96</v>
      </c>
      <c r="J14" s="51">
        <v>0.67</v>
      </c>
      <c r="K14" s="51">
        <v>278.7</v>
      </c>
      <c r="L14" s="51">
        <v>25.75</v>
      </c>
      <c r="M14" s="51">
        <v>101.54</v>
      </c>
      <c r="N14" s="51">
        <v>6.2</v>
      </c>
      <c r="O14" s="51">
        <v>0</v>
      </c>
      <c r="P14" s="51">
        <v>0.33</v>
      </c>
      <c r="Q14" s="51">
        <v>4.78</v>
      </c>
    </row>
    <row r="15" spans="1:21" customFormat="1">
      <c r="A15" s="50">
        <v>45495.291666666664</v>
      </c>
      <c r="B15" s="51">
        <v>9.42</v>
      </c>
      <c r="C15" s="51">
        <v>4.0999999999999996</v>
      </c>
      <c r="D15" s="51">
        <v>14.14</v>
      </c>
      <c r="E15" s="51">
        <v>7.17</v>
      </c>
      <c r="F15" s="51">
        <v>5.85</v>
      </c>
      <c r="G15" s="51">
        <v>3.01</v>
      </c>
      <c r="H15" s="51">
        <v>1.45</v>
      </c>
      <c r="I15" s="51">
        <v>2.98</v>
      </c>
      <c r="J15" s="51">
        <v>0.68</v>
      </c>
      <c r="K15" s="51">
        <v>277.88</v>
      </c>
      <c r="L15" s="51">
        <v>26.11</v>
      </c>
      <c r="M15" s="51">
        <v>102.29</v>
      </c>
      <c r="N15" s="51">
        <v>44.3</v>
      </c>
      <c r="O15" s="51">
        <v>0</v>
      </c>
      <c r="P15" s="51">
        <v>0.33</v>
      </c>
      <c r="Q15" s="51">
        <v>4.7699999999999996</v>
      </c>
    </row>
    <row r="16" spans="1:21" customFormat="1">
      <c r="A16" s="50">
        <v>45495.333333333336</v>
      </c>
      <c r="B16" s="51">
        <v>9.44</v>
      </c>
      <c r="C16" s="51">
        <v>4.1100000000000003</v>
      </c>
      <c r="D16" s="51">
        <v>14.15</v>
      </c>
      <c r="E16" s="51">
        <v>7.41</v>
      </c>
      <c r="F16" s="51">
        <v>5.37</v>
      </c>
      <c r="G16" s="51">
        <v>2.17</v>
      </c>
      <c r="H16" s="51">
        <v>1.19</v>
      </c>
      <c r="I16" s="51">
        <v>3.09</v>
      </c>
      <c r="J16" s="51">
        <v>0.75</v>
      </c>
      <c r="K16" s="51">
        <v>279.51</v>
      </c>
      <c r="L16" s="51">
        <v>26.75</v>
      </c>
      <c r="M16" s="51">
        <v>100.66</v>
      </c>
      <c r="N16" s="51">
        <v>63.2</v>
      </c>
      <c r="O16" s="51">
        <v>0</v>
      </c>
      <c r="P16" s="51">
        <v>0.32</v>
      </c>
      <c r="Q16" s="51">
        <v>4.7699999999999996</v>
      </c>
    </row>
    <row r="17" spans="1:17" customFormat="1">
      <c r="A17" s="50">
        <v>45495.375</v>
      </c>
      <c r="B17" s="51">
        <v>9.4499999999999993</v>
      </c>
      <c r="C17" s="51">
        <v>4.09</v>
      </c>
      <c r="D17" s="51">
        <v>14.17</v>
      </c>
      <c r="E17" s="51">
        <v>8.07</v>
      </c>
      <c r="F17" s="51">
        <v>4.76</v>
      </c>
      <c r="G17" s="51">
        <v>6.05</v>
      </c>
      <c r="H17" s="51">
        <v>0.93</v>
      </c>
      <c r="I17" s="51">
        <v>3.82</v>
      </c>
      <c r="J17" s="51">
        <v>0.7</v>
      </c>
      <c r="K17" s="51">
        <v>289</v>
      </c>
      <c r="L17" s="51">
        <v>27.15</v>
      </c>
      <c r="M17" s="51">
        <v>100.15</v>
      </c>
      <c r="N17" s="51">
        <v>89.9</v>
      </c>
      <c r="O17" s="51">
        <v>0.2</v>
      </c>
      <c r="P17" s="51">
        <v>0.43</v>
      </c>
      <c r="Q17" s="51">
        <v>4.76</v>
      </c>
    </row>
    <row r="18" spans="1:17" customFormat="1">
      <c r="A18" s="50">
        <v>45495.416666666664</v>
      </c>
      <c r="B18" s="51">
        <v>9.3800000000000008</v>
      </c>
      <c r="C18" s="51">
        <v>4.08</v>
      </c>
      <c r="D18" s="51">
        <v>14.1</v>
      </c>
      <c r="E18" s="51">
        <v>8.86</v>
      </c>
      <c r="F18" s="51">
        <v>4.01</v>
      </c>
      <c r="G18" s="51">
        <v>6.05</v>
      </c>
      <c r="H18" s="51">
        <v>2.58</v>
      </c>
      <c r="I18" s="51">
        <v>4.83</v>
      </c>
      <c r="J18" s="51">
        <v>0.81</v>
      </c>
      <c r="K18" s="51">
        <v>316.22000000000003</v>
      </c>
      <c r="L18" s="51">
        <v>27.22</v>
      </c>
      <c r="M18" s="51">
        <v>99.06</v>
      </c>
      <c r="N18" s="51">
        <v>141.6</v>
      </c>
      <c r="O18" s="51">
        <v>0.2</v>
      </c>
      <c r="P18" s="51">
        <v>0.49</v>
      </c>
      <c r="Q18" s="51">
        <v>4.75</v>
      </c>
    </row>
    <row r="19" spans="1:17" customFormat="1">
      <c r="A19" s="50">
        <v>45495.458333333336</v>
      </c>
      <c r="B19" s="51">
        <v>9.33</v>
      </c>
      <c r="C19" s="51">
        <v>4.1100000000000003</v>
      </c>
      <c r="D19" s="51">
        <v>14.07</v>
      </c>
      <c r="E19" s="51">
        <v>9.83</v>
      </c>
      <c r="F19" s="51">
        <v>4.0599999999999996</v>
      </c>
      <c r="G19" s="51">
        <v>19.61</v>
      </c>
      <c r="H19" s="51">
        <v>3.73</v>
      </c>
      <c r="I19" s="51">
        <v>5.15</v>
      </c>
      <c r="J19" s="51">
        <v>0.93</v>
      </c>
      <c r="K19" s="51">
        <v>308.91000000000003</v>
      </c>
      <c r="L19" s="51">
        <v>27.43</v>
      </c>
      <c r="M19" s="51">
        <v>99.71</v>
      </c>
      <c r="N19" s="51">
        <v>114.8</v>
      </c>
      <c r="O19" s="51">
        <v>0</v>
      </c>
      <c r="P19" s="51">
        <v>0.54</v>
      </c>
      <c r="Q19" s="51">
        <v>4.75</v>
      </c>
    </row>
    <row r="20" spans="1:17" customFormat="1">
      <c r="A20" s="50">
        <v>45495.5</v>
      </c>
      <c r="B20" s="51">
        <v>9.33</v>
      </c>
      <c r="C20" s="51">
        <v>4.0999999999999996</v>
      </c>
      <c r="D20" s="51">
        <v>14.05</v>
      </c>
      <c r="E20" s="51">
        <v>10.17</v>
      </c>
      <c r="F20" s="51">
        <v>3.99</v>
      </c>
      <c r="G20" s="51">
        <v>35.96</v>
      </c>
      <c r="H20" s="51">
        <v>6.94</v>
      </c>
      <c r="I20" s="51">
        <v>5.68</v>
      </c>
      <c r="J20" s="51">
        <v>0.81</v>
      </c>
      <c r="K20" s="51">
        <v>291.38</v>
      </c>
      <c r="L20" s="51">
        <v>27.55</v>
      </c>
      <c r="M20" s="51">
        <v>102.61</v>
      </c>
      <c r="N20" s="51">
        <v>123.4</v>
      </c>
      <c r="O20" s="51">
        <v>0.2</v>
      </c>
      <c r="P20" s="51">
        <v>0.56000000000000005</v>
      </c>
      <c r="Q20" s="51">
        <v>4.74</v>
      </c>
    </row>
    <row r="21" spans="1:17" customFormat="1">
      <c r="A21" s="50">
        <v>45495.541666666664</v>
      </c>
      <c r="B21" s="51">
        <v>9.42</v>
      </c>
      <c r="C21" s="51">
        <v>4.0999999999999996</v>
      </c>
      <c r="D21" s="51">
        <v>14.15</v>
      </c>
      <c r="E21" s="51">
        <v>10.210000000000001</v>
      </c>
      <c r="F21" s="51">
        <v>5.0599999999999996</v>
      </c>
      <c r="G21" s="51">
        <v>35.96</v>
      </c>
      <c r="H21" s="51">
        <v>6.94</v>
      </c>
      <c r="I21" s="51">
        <v>5.69</v>
      </c>
      <c r="J21" s="51">
        <v>1.1599999999999999</v>
      </c>
      <c r="K21" s="51">
        <v>277.02</v>
      </c>
      <c r="L21" s="51">
        <v>26.99</v>
      </c>
      <c r="M21" s="51">
        <v>101.08</v>
      </c>
      <c r="N21" s="51">
        <v>253.7</v>
      </c>
      <c r="O21" s="51">
        <v>0</v>
      </c>
      <c r="P21" s="51">
        <v>0.57999999999999996</v>
      </c>
      <c r="Q21" s="51">
        <v>4.72</v>
      </c>
    </row>
    <row r="22" spans="1:17" customFormat="1">
      <c r="A22" s="50">
        <v>45495.583333333336</v>
      </c>
      <c r="B22" s="51">
        <v>9.3800000000000008</v>
      </c>
      <c r="C22" s="51">
        <v>4.0999999999999996</v>
      </c>
      <c r="D22" s="51">
        <v>14.12</v>
      </c>
      <c r="E22" s="51">
        <v>7.74</v>
      </c>
      <c r="F22" s="51">
        <v>5.04</v>
      </c>
      <c r="G22" s="51">
        <v>33.15</v>
      </c>
      <c r="H22" s="51">
        <v>5.14</v>
      </c>
      <c r="I22" s="51">
        <v>5.37</v>
      </c>
      <c r="J22" s="51">
        <v>1</v>
      </c>
      <c r="K22" s="51">
        <v>274.22000000000003</v>
      </c>
      <c r="L22" s="51">
        <v>25.98</v>
      </c>
      <c r="M22" s="51">
        <v>98.38</v>
      </c>
      <c r="N22" s="51">
        <v>64.8</v>
      </c>
      <c r="O22" s="51">
        <v>0</v>
      </c>
      <c r="P22" s="51">
        <v>0.53</v>
      </c>
      <c r="Q22" s="51">
        <v>4.7300000000000004</v>
      </c>
    </row>
    <row r="23" spans="1:17" customFormat="1">
      <c r="A23" s="50">
        <v>45495.625</v>
      </c>
      <c r="B23" s="51">
        <v>9.3800000000000008</v>
      </c>
      <c r="C23" s="51">
        <v>4.0999999999999996</v>
      </c>
      <c r="D23" s="51">
        <v>14.1</v>
      </c>
      <c r="E23" s="51">
        <v>7.09</v>
      </c>
      <c r="F23" s="51">
        <v>5.45</v>
      </c>
      <c r="G23" s="51">
        <v>22.4</v>
      </c>
      <c r="H23" s="51">
        <v>3.74</v>
      </c>
      <c r="I23" s="51">
        <v>4.68</v>
      </c>
      <c r="J23" s="51">
        <v>1.22</v>
      </c>
      <c r="K23" s="51">
        <v>275.61</v>
      </c>
      <c r="L23" s="51">
        <v>25.96</v>
      </c>
      <c r="M23" s="51">
        <v>97.41</v>
      </c>
      <c r="N23" s="51">
        <v>95.9</v>
      </c>
      <c r="O23" s="51">
        <v>0.4</v>
      </c>
      <c r="P23" s="51">
        <v>0.44</v>
      </c>
      <c r="Q23" s="51">
        <v>4.7300000000000004</v>
      </c>
    </row>
    <row r="24" spans="1:17" customFormat="1">
      <c r="A24" s="50">
        <v>45495.666666666664</v>
      </c>
      <c r="B24" s="51">
        <v>9.3800000000000008</v>
      </c>
      <c r="C24" s="51">
        <v>4.09</v>
      </c>
      <c r="D24" s="51">
        <v>14.1</v>
      </c>
      <c r="E24" s="51">
        <v>6.55</v>
      </c>
      <c r="F24" s="51">
        <v>5.18</v>
      </c>
      <c r="G24" s="51">
        <v>15.36</v>
      </c>
      <c r="H24" s="51">
        <v>3.09</v>
      </c>
      <c r="I24" s="51">
        <v>4.38</v>
      </c>
      <c r="J24" s="51">
        <v>0.95</v>
      </c>
      <c r="K24" s="51">
        <v>274.11</v>
      </c>
      <c r="L24" s="51">
        <v>25.42</v>
      </c>
      <c r="M24" s="51">
        <v>97.98</v>
      </c>
      <c r="N24" s="51">
        <v>97.9</v>
      </c>
      <c r="O24" s="51">
        <v>0</v>
      </c>
      <c r="P24" s="51">
        <v>0.42</v>
      </c>
      <c r="Q24" s="51">
        <v>4.7300000000000004</v>
      </c>
    </row>
    <row r="25" spans="1:17" customFormat="1">
      <c r="A25" s="50">
        <v>45495.708333333336</v>
      </c>
      <c r="B25" s="51">
        <v>9.35</v>
      </c>
      <c r="C25" s="51">
        <v>4.07</v>
      </c>
      <c r="D25" s="51">
        <v>14.06</v>
      </c>
      <c r="E25" s="51">
        <v>6.49</v>
      </c>
      <c r="F25" s="51">
        <v>4.7699999999999996</v>
      </c>
      <c r="G25" s="51">
        <v>10.64</v>
      </c>
      <c r="H25" s="51">
        <v>2.41</v>
      </c>
      <c r="I25" s="51">
        <v>4.1100000000000003</v>
      </c>
      <c r="J25" s="51">
        <v>1.02</v>
      </c>
      <c r="K25" s="51">
        <v>277.47000000000003</v>
      </c>
      <c r="L25" s="51">
        <v>25.53</v>
      </c>
      <c r="M25" s="51">
        <v>97.25</v>
      </c>
      <c r="N25" s="51">
        <v>26.4</v>
      </c>
      <c r="O25" s="51">
        <v>1.6</v>
      </c>
      <c r="P25" s="51">
        <v>0.4</v>
      </c>
      <c r="Q25" s="51">
        <v>4.7300000000000004</v>
      </c>
    </row>
    <row r="26" spans="1:17" customFormat="1">
      <c r="A26" s="50">
        <v>45495.75</v>
      </c>
      <c r="B26" s="51">
        <v>9.36</v>
      </c>
      <c r="C26" s="51">
        <v>4.07</v>
      </c>
      <c r="D26" s="51">
        <v>14.07</v>
      </c>
      <c r="E26" s="51">
        <v>7.02</v>
      </c>
      <c r="F26" s="51">
        <v>4.46</v>
      </c>
      <c r="G26" s="51">
        <v>8.14</v>
      </c>
      <c r="H26" s="51">
        <v>1.75</v>
      </c>
      <c r="I26" s="51">
        <v>3.95</v>
      </c>
      <c r="J26" s="51">
        <v>1.08</v>
      </c>
      <c r="K26" s="51">
        <v>276.16000000000003</v>
      </c>
      <c r="L26" s="51">
        <v>25.16</v>
      </c>
      <c r="M26" s="51">
        <v>100.3</v>
      </c>
      <c r="N26" s="51">
        <v>19.100000000000001</v>
      </c>
      <c r="O26" s="51">
        <v>1.8</v>
      </c>
      <c r="P26" s="51">
        <v>0.36</v>
      </c>
      <c r="Q26" s="51">
        <v>4.7300000000000004</v>
      </c>
    </row>
    <row r="27" spans="1:17" customFormat="1">
      <c r="A27" s="50">
        <v>45495.791666666664</v>
      </c>
      <c r="B27" s="51">
        <v>9.39</v>
      </c>
      <c r="C27" s="51">
        <v>4.09</v>
      </c>
      <c r="D27" s="51">
        <v>14.1</v>
      </c>
      <c r="E27" s="51">
        <v>11.21</v>
      </c>
      <c r="F27" s="51">
        <v>3.86</v>
      </c>
      <c r="G27" s="51">
        <v>7.05</v>
      </c>
      <c r="H27" s="51">
        <v>1.37</v>
      </c>
      <c r="I27" s="51">
        <v>3.71</v>
      </c>
      <c r="J27" s="51">
        <v>0.82</v>
      </c>
      <c r="K27" s="51">
        <v>277.08999999999997</v>
      </c>
      <c r="L27" s="51">
        <v>25.36</v>
      </c>
      <c r="M27" s="51">
        <v>102.67</v>
      </c>
      <c r="N27" s="51">
        <v>4.5999999999999996</v>
      </c>
      <c r="O27" s="51">
        <v>0</v>
      </c>
      <c r="P27" s="51">
        <v>0.34</v>
      </c>
      <c r="Q27" s="51">
        <v>4.7300000000000004</v>
      </c>
    </row>
    <row r="28" spans="1:17" customFormat="1">
      <c r="A28" s="50">
        <v>45495.833333333336</v>
      </c>
      <c r="B28" s="51">
        <v>9.39</v>
      </c>
      <c r="C28" s="51">
        <v>4.09</v>
      </c>
      <c r="D28" s="51">
        <v>14.11</v>
      </c>
      <c r="E28" s="51">
        <v>11.72</v>
      </c>
      <c r="F28" s="51">
        <v>4.0199999999999996</v>
      </c>
      <c r="G28" s="51">
        <v>7.94</v>
      </c>
      <c r="H28" s="51">
        <v>1.37</v>
      </c>
      <c r="I28" s="51">
        <v>3.61</v>
      </c>
      <c r="J28" s="51">
        <v>0.98</v>
      </c>
      <c r="K28" s="51">
        <v>275.25</v>
      </c>
      <c r="L28" s="51">
        <v>25.56</v>
      </c>
      <c r="M28" s="51">
        <v>99.81</v>
      </c>
      <c r="N28" s="51">
        <v>2.9</v>
      </c>
      <c r="O28" s="51">
        <v>0</v>
      </c>
      <c r="P28" s="51">
        <v>0.33</v>
      </c>
      <c r="Q28" s="51">
        <v>4.7300000000000004</v>
      </c>
    </row>
    <row r="29" spans="1:17" customFormat="1">
      <c r="A29" s="50">
        <v>45495.875</v>
      </c>
      <c r="B29" s="51">
        <v>9.3800000000000008</v>
      </c>
      <c r="C29" s="51">
        <v>4.1100000000000003</v>
      </c>
      <c r="D29" s="51">
        <v>14.11</v>
      </c>
      <c r="E29" s="51">
        <v>12.59</v>
      </c>
      <c r="F29" s="51">
        <v>4.03</v>
      </c>
      <c r="G29" s="51">
        <v>7.94</v>
      </c>
      <c r="H29" s="51">
        <v>2.97</v>
      </c>
      <c r="I29" s="51">
        <v>3.57</v>
      </c>
      <c r="J29" s="51">
        <v>1.1599999999999999</v>
      </c>
      <c r="K29" s="51">
        <v>274.13</v>
      </c>
      <c r="L29" s="51">
        <v>25.81</v>
      </c>
      <c r="M29" s="51">
        <v>95.92</v>
      </c>
      <c r="N29" s="51">
        <v>3.1</v>
      </c>
      <c r="O29" s="51">
        <v>0</v>
      </c>
      <c r="P29" s="51">
        <v>0.33</v>
      </c>
      <c r="Q29" s="51">
        <v>4.7300000000000004</v>
      </c>
    </row>
    <row r="30" spans="1:17" customFormat="1">
      <c r="A30" s="50">
        <v>45495.916666666664</v>
      </c>
      <c r="B30" s="51">
        <v>9.36</v>
      </c>
      <c r="C30" s="51">
        <v>4.09</v>
      </c>
      <c r="D30" s="51">
        <v>14.09</v>
      </c>
      <c r="E30" s="51">
        <v>12.87</v>
      </c>
      <c r="F30" s="51">
        <v>3.86</v>
      </c>
      <c r="G30" s="51">
        <v>5.77</v>
      </c>
      <c r="H30" s="51">
        <v>2.97</v>
      </c>
      <c r="I30" s="51">
        <v>3.45</v>
      </c>
      <c r="J30" s="51">
        <v>1.08</v>
      </c>
      <c r="K30" s="51">
        <v>277.57</v>
      </c>
      <c r="L30" s="51">
        <v>25.82</v>
      </c>
      <c r="M30" s="51">
        <v>100.27</v>
      </c>
      <c r="N30" s="51">
        <v>2.8</v>
      </c>
      <c r="O30" s="51">
        <v>0</v>
      </c>
      <c r="P30" s="51">
        <v>0.37</v>
      </c>
      <c r="Q30" s="51">
        <v>4.7300000000000004</v>
      </c>
    </row>
    <row r="31" spans="1:17" customFormat="1">
      <c r="A31" s="50">
        <v>45495.958333333336</v>
      </c>
      <c r="B31" s="51">
        <v>9.39</v>
      </c>
      <c r="C31" s="51">
        <v>4.08</v>
      </c>
      <c r="D31" s="51">
        <v>14.11</v>
      </c>
      <c r="E31" s="51">
        <v>12.48</v>
      </c>
      <c r="F31" s="51">
        <v>4.71</v>
      </c>
      <c r="G31" s="51">
        <v>8.0399999999999991</v>
      </c>
      <c r="H31" s="51">
        <v>2.58</v>
      </c>
      <c r="I31" s="51">
        <v>3.6</v>
      </c>
      <c r="J31" s="51">
        <v>0.96</v>
      </c>
      <c r="K31" s="51">
        <v>273.57</v>
      </c>
      <c r="L31" s="51">
        <v>25.96</v>
      </c>
      <c r="M31" s="51">
        <v>99.08</v>
      </c>
      <c r="N31" s="51">
        <v>2.5</v>
      </c>
      <c r="O31" s="51">
        <v>0</v>
      </c>
      <c r="P31" s="51">
        <v>0.38</v>
      </c>
      <c r="Q31" s="51">
        <v>4.72</v>
      </c>
    </row>
    <row r="32" spans="1:17" customFormat="1">
      <c r="A32" s="50">
        <v>45496</v>
      </c>
      <c r="B32" s="51">
        <v>9.4</v>
      </c>
      <c r="C32" s="51">
        <v>4.08</v>
      </c>
      <c r="D32" s="51">
        <v>14.11</v>
      </c>
      <c r="E32" s="51">
        <v>10.57</v>
      </c>
      <c r="F32" s="51">
        <v>5.98</v>
      </c>
      <c r="G32" s="51">
        <v>8.0399999999999991</v>
      </c>
      <c r="H32" s="51">
        <v>2.2799999999999998</v>
      </c>
      <c r="I32" s="51">
        <v>3.57</v>
      </c>
      <c r="J32" s="51">
        <v>0.74</v>
      </c>
      <c r="K32" s="51">
        <v>273.44</v>
      </c>
      <c r="L32" s="51">
        <v>25.98</v>
      </c>
      <c r="M32" s="51">
        <v>98.67</v>
      </c>
      <c r="N32" s="51">
        <v>2.4</v>
      </c>
      <c r="O32" s="51">
        <v>0</v>
      </c>
      <c r="P32" s="51">
        <v>0.36</v>
      </c>
      <c r="Q32" s="51">
        <v>4.72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9.33</v>
      </c>
      <c r="C34" s="41">
        <f t="shared" si="0"/>
        <v>4.07</v>
      </c>
      <c r="D34" s="41">
        <f t="shared" si="0"/>
        <v>14.05</v>
      </c>
      <c r="E34" s="41">
        <f t="shared" si="0"/>
        <v>6.49</v>
      </c>
      <c r="F34" s="41">
        <f t="shared" si="0"/>
        <v>3.86</v>
      </c>
      <c r="G34" s="41">
        <f t="shared" si="0"/>
        <v>2.17</v>
      </c>
      <c r="H34" s="41">
        <f t="shared" si="0"/>
        <v>0.93</v>
      </c>
      <c r="I34" s="41">
        <f t="shared" si="0"/>
        <v>2.96</v>
      </c>
      <c r="J34" s="41">
        <f t="shared" si="0"/>
        <v>0.67</v>
      </c>
      <c r="K34" s="41">
        <f t="shared" si="0"/>
        <v>273.44</v>
      </c>
      <c r="L34" s="41">
        <f t="shared" si="0"/>
        <v>25.16</v>
      </c>
      <c r="M34" s="41">
        <f t="shared" si="0"/>
        <v>95.38</v>
      </c>
      <c r="N34" s="41">
        <f t="shared" si="0"/>
        <v>2.2999999999999998</v>
      </c>
      <c r="O34" s="41">
        <f t="shared" si="0"/>
        <v>0</v>
      </c>
      <c r="P34" s="41">
        <f t="shared" si="0"/>
        <v>0.32</v>
      </c>
      <c r="Q34" s="41">
        <f t="shared" si="0"/>
        <v>4.72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9.4499999999999993</v>
      </c>
      <c r="C35" s="33">
        <f t="shared" si="1"/>
        <v>4.12</v>
      </c>
      <c r="D35" s="33">
        <f t="shared" si="1"/>
        <v>14.17</v>
      </c>
      <c r="E35" s="33">
        <f t="shared" si="1"/>
        <v>12.87</v>
      </c>
      <c r="F35" s="33">
        <f t="shared" si="1"/>
        <v>6.57</v>
      </c>
      <c r="G35" s="33">
        <f t="shared" si="1"/>
        <v>35.96</v>
      </c>
      <c r="H35" s="33">
        <f t="shared" si="1"/>
        <v>6.94</v>
      </c>
      <c r="I35" s="33">
        <f t="shared" si="1"/>
        <v>5.69</v>
      </c>
      <c r="J35" s="33">
        <f t="shared" si="1"/>
        <v>1.22</v>
      </c>
      <c r="K35" s="33">
        <f t="shared" si="1"/>
        <v>316.22000000000003</v>
      </c>
      <c r="L35" s="33">
        <f t="shared" si="1"/>
        <v>27.55</v>
      </c>
      <c r="M35" s="33">
        <f t="shared" si="1"/>
        <v>102.67</v>
      </c>
      <c r="N35" s="33">
        <f t="shared" si="1"/>
        <v>253.7</v>
      </c>
      <c r="O35" s="33">
        <f t="shared" si="1"/>
        <v>1.8</v>
      </c>
      <c r="P35" s="33">
        <f t="shared" si="1"/>
        <v>0.57999999999999996</v>
      </c>
      <c r="Q35" s="33">
        <f t="shared" si="1"/>
        <v>4.79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9.3862499999999986</v>
      </c>
      <c r="C36" s="41">
        <f t="shared" si="2"/>
        <v>4.0929166666666665</v>
      </c>
      <c r="D36" s="41">
        <f t="shared" si="2"/>
        <v>14.107500000000002</v>
      </c>
      <c r="E36" s="41">
        <f t="shared" si="2"/>
        <v>9.4095833333333339</v>
      </c>
      <c r="F36" s="41">
        <f t="shared" si="2"/>
        <v>4.8579166666666662</v>
      </c>
      <c r="G36" s="41">
        <f t="shared" si="2"/>
        <v>11.65</v>
      </c>
      <c r="H36" s="41">
        <f t="shared" si="2"/>
        <v>2.9166666666666661</v>
      </c>
      <c r="I36" s="41">
        <f t="shared" si="2"/>
        <v>3.9395833333333319</v>
      </c>
      <c r="J36" s="41">
        <f t="shared" si="2"/>
        <v>0.93083333333333329</v>
      </c>
      <c r="K36" s="41">
        <f t="shared" si="2"/>
        <v>280.34541666666661</v>
      </c>
      <c r="L36" s="41">
        <f t="shared" si="2"/>
        <v>26.19208333333334</v>
      </c>
      <c r="M36" s="41">
        <f t="shared" si="2"/>
        <v>99.672083333333333</v>
      </c>
      <c r="N36" s="41">
        <f t="shared" si="2"/>
        <v>48.845833333333331</v>
      </c>
      <c r="O36" s="41">
        <f t="shared" si="2"/>
        <v>0.19166666666666668</v>
      </c>
      <c r="P36" s="41">
        <f t="shared" si="2"/>
        <v>0.39999999999999997</v>
      </c>
      <c r="Q36" s="41">
        <f t="shared" si="2"/>
        <v>4.7483333333333348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2.8864375515729415E-2</v>
      </c>
      <c r="C37" s="41">
        <f t="shared" ref="C37:Q37" si="3">STDEV(C9:C32)</f>
        <v>1.398109489606421E-2</v>
      </c>
      <c r="D37" s="41">
        <f t="shared" si="3"/>
        <v>2.8322674892097947E-2</v>
      </c>
      <c r="E37" s="41">
        <f t="shared" si="3"/>
        <v>2.0896670822149557</v>
      </c>
      <c r="F37" s="41">
        <f t="shared" si="3"/>
        <v>0.84329570432176371</v>
      </c>
      <c r="G37" s="41">
        <f t="shared" si="3"/>
        <v>10.199533663679031</v>
      </c>
      <c r="H37" s="41">
        <f t="shared" si="3"/>
        <v>1.5829105461463873</v>
      </c>
      <c r="I37" s="41">
        <f t="shared" si="3"/>
        <v>0.85820074253799283</v>
      </c>
      <c r="J37" s="41">
        <f t="shared" si="3"/>
        <v>0.16565854527668811</v>
      </c>
      <c r="K37" s="41">
        <f t="shared" si="3"/>
        <v>10.862807699819321</v>
      </c>
      <c r="L37" s="41">
        <f t="shared" si="3"/>
        <v>0.68170489067546824</v>
      </c>
      <c r="M37" s="41">
        <f t="shared" si="3"/>
        <v>2.0921072779181431</v>
      </c>
      <c r="N37" s="41">
        <f t="shared" si="3"/>
        <v>63.851056163452817</v>
      </c>
      <c r="O37" s="41">
        <f t="shared" si="3"/>
        <v>0.47723539599280129</v>
      </c>
      <c r="P37" s="41">
        <f t="shared" si="3"/>
        <v>8.1293884469706201E-2</v>
      </c>
      <c r="Q37" s="41">
        <f t="shared" si="3"/>
        <v>2.425707725801781E-2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45496.041666666664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45496.041666666664</v>
      </c>
      <c r="B9" s="51">
        <v>9.26</v>
      </c>
      <c r="C9" s="51">
        <v>4.12</v>
      </c>
      <c r="D9" s="51">
        <v>14.02</v>
      </c>
      <c r="E9" s="51">
        <v>10.57</v>
      </c>
      <c r="F9" s="51">
        <v>5.73</v>
      </c>
      <c r="G9" s="51">
        <v>5.83</v>
      </c>
      <c r="H9" s="51">
        <v>2.09</v>
      </c>
      <c r="I9" s="51">
        <v>3.39</v>
      </c>
      <c r="J9" s="51">
        <v>0.93</v>
      </c>
      <c r="K9" s="51">
        <v>274.16000000000003</v>
      </c>
      <c r="L9" s="51">
        <v>26.05</v>
      </c>
      <c r="M9" s="51">
        <v>96.17</v>
      </c>
      <c r="N9" s="51">
        <v>2.4</v>
      </c>
      <c r="O9" s="51">
        <v>0</v>
      </c>
      <c r="P9" s="51">
        <v>0.34</v>
      </c>
      <c r="Q9" s="51">
        <v>4.71</v>
      </c>
    </row>
    <row r="10" spans="1:21" customFormat="1">
      <c r="A10" s="50">
        <v>45496.083333333336</v>
      </c>
      <c r="B10" s="51">
        <v>9.24</v>
      </c>
      <c r="C10" s="51">
        <v>4.12</v>
      </c>
      <c r="D10" s="51">
        <v>14</v>
      </c>
      <c r="E10" s="51">
        <v>10.72</v>
      </c>
      <c r="F10" s="51">
        <v>5.15</v>
      </c>
      <c r="G10" s="51">
        <v>4.4000000000000004</v>
      </c>
      <c r="H10" s="51">
        <v>1.89</v>
      </c>
      <c r="I10" s="51">
        <v>3.51</v>
      </c>
      <c r="J10" s="51">
        <v>0.85</v>
      </c>
      <c r="K10" s="51">
        <v>274.12</v>
      </c>
      <c r="L10" s="51">
        <v>26.02</v>
      </c>
      <c r="M10" s="51">
        <v>97.94</v>
      </c>
      <c r="N10" s="51">
        <v>2.5</v>
      </c>
      <c r="O10" s="51">
        <v>0</v>
      </c>
      <c r="P10" s="51">
        <v>0.35</v>
      </c>
      <c r="Q10" s="51">
        <v>4.71</v>
      </c>
    </row>
    <row r="11" spans="1:21" customFormat="1">
      <c r="A11" s="50">
        <v>45496.125</v>
      </c>
      <c r="B11" s="51">
        <v>9.26</v>
      </c>
      <c r="C11" s="51">
        <v>4.0999999999999996</v>
      </c>
      <c r="D11" s="51">
        <v>14</v>
      </c>
      <c r="E11" s="51">
        <v>11.16</v>
      </c>
      <c r="F11" s="51">
        <v>5.13</v>
      </c>
      <c r="G11" s="51">
        <v>4.4000000000000004</v>
      </c>
      <c r="H11" s="51">
        <v>1.78</v>
      </c>
      <c r="I11" s="51">
        <v>3.33</v>
      </c>
      <c r="J11" s="51">
        <v>0.97</v>
      </c>
      <c r="K11" s="51">
        <v>277.88</v>
      </c>
      <c r="L11" s="51">
        <v>25.95</v>
      </c>
      <c r="M11" s="51">
        <v>101.35</v>
      </c>
      <c r="N11" s="51">
        <v>2.6</v>
      </c>
      <c r="O11" s="51">
        <v>0</v>
      </c>
      <c r="P11" s="51">
        <v>0.31</v>
      </c>
      <c r="Q11" s="51">
        <v>4.72</v>
      </c>
    </row>
    <row r="12" spans="1:21" customFormat="1">
      <c r="A12" s="50">
        <v>45496.166666666664</v>
      </c>
      <c r="B12" s="51">
        <v>9.24</v>
      </c>
      <c r="C12" s="51">
        <v>4.17</v>
      </c>
      <c r="D12" s="51">
        <v>14</v>
      </c>
      <c r="E12" s="51">
        <v>12.08</v>
      </c>
      <c r="F12" s="51">
        <v>4.4800000000000004</v>
      </c>
      <c r="G12" s="51">
        <v>4.71</v>
      </c>
      <c r="H12" s="51">
        <v>1.6</v>
      </c>
      <c r="I12" s="51">
        <v>3.11</v>
      </c>
      <c r="J12" s="51">
        <v>0.98</v>
      </c>
      <c r="K12" s="51">
        <v>277.95999999999998</v>
      </c>
      <c r="L12" s="51">
        <v>25.47</v>
      </c>
      <c r="M12" s="51">
        <v>101.42</v>
      </c>
      <c r="N12" s="51">
        <v>2.2999999999999998</v>
      </c>
      <c r="O12" s="51">
        <v>0</v>
      </c>
      <c r="P12" s="51">
        <v>0.3</v>
      </c>
      <c r="Q12" s="51">
        <v>4.7300000000000004</v>
      </c>
    </row>
    <row r="13" spans="1:21" customFormat="1">
      <c r="A13" s="50">
        <v>45496.208333333336</v>
      </c>
      <c r="B13" s="51">
        <v>9.1999999999999993</v>
      </c>
      <c r="C13" s="51">
        <v>4.18</v>
      </c>
      <c r="D13" s="51">
        <v>14</v>
      </c>
      <c r="E13" s="51">
        <v>12.42</v>
      </c>
      <c r="F13" s="51">
        <v>4.1100000000000003</v>
      </c>
      <c r="G13" s="51">
        <v>4.71</v>
      </c>
      <c r="H13" s="51">
        <v>1.49</v>
      </c>
      <c r="I13" s="51">
        <v>3.14</v>
      </c>
      <c r="J13" s="51">
        <v>0.96</v>
      </c>
      <c r="K13" s="51">
        <v>277.2</v>
      </c>
      <c r="L13" s="51">
        <v>25.42</v>
      </c>
      <c r="M13" s="51">
        <v>98.46</v>
      </c>
      <c r="N13" s="51">
        <v>2.6</v>
      </c>
      <c r="O13" s="51">
        <v>0</v>
      </c>
      <c r="P13" s="51">
        <v>0.28999999999999998</v>
      </c>
      <c r="Q13" s="51">
        <v>4.7300000000000004</v>
      </c>
    </row>
    <row r="14" spans="1:21" customFormat="1">
      <c r="A14" s="50">
        <v>45496.25</v>
      </c>
      <c r="B14" s="51">
        <v>9.19</v>
      </c>
      <c r="C14" s="51">
        <v>4.1900000000000004</v>
      </c>
      <c r="D14" s="51">
        <v>14</v>
      </c>
      <c r="E14" s="51">
        <v>12.82</v>
      </c>
      <c r="F14" s="51">
        <v>4.04</v>
      </c>
      <c r="G14" s="51">
        <v>3.85</v>
      </c>
      <c r="H14" s="51">
        <v>1.48</v>
      </c>
      <c r="I14" s="51">
        <v>2.97</v>
      </c>
      <c r="J14" s="51">
        <v>0.91</v>
      </c>
      <c r="K14" s="51">
        <v>275.81</v>
      </c>
      <c r="L14" s="51">
        <v>25.42</v>
      </c>
      <c r="M14" s="51">
        <v>97.88</v>
      </c>
      <c r="N14" s="51">
        <v>9.1</v>
      </c>
      <c r="O14" s="51">
        <v>0</v>
      </c>
      <c r="P14" s="51">
        <v>0.28999999999999998</v>
      </c>
      <c r="Q14" s="51">
        <v>4.7300000000000004</v>
      </c>
    </row>
    <row r="15" spans="1:21" customFormat="1">
      <c r="A15" s="50">
        <v>45496.291666666664</v>
      </c>
      <c r="B15" s="51">
        <v>9.19</v>
      </c>
      <c r="C15" s="51">
        <v>4.2</v>
      </c>
      <c r="D15" s="51">
        <v>14</v>
      </c>
      <c r="E15" s="51">
        <v>13.17</v>
      </c>
      <c r="F15" s="51">
        <v>4.08</v>
      </c>
      <c r="G15" s="51">
        <v>3.37</v>
      </c>
      <c r="H15" s="51">
        <v>1.6</v>
      </c>
      <c r="I15" s="51">
        <v>3.04</v>
      </c>
      <c r="J15" s="51">
        <v>0.85</v>
      </c>
      <c r="K15" s="51">
        <v>276.3</v>
      </c>
      <c r="L15" s="51">
        <v>25.68</v>
      </c>
      <c r="M15" s="51">
        <v>99.38</v>
      </c>
      <c r="N15" s="51">
        <v>27.8</v>
      </c>
      <c r="O15" s="51">
        <v>0</v>
      </c>
      <c r="P15" s="51">
        <v>0.3</v>
      </c>
      <c r="Q15" s="51">
        <v>4.72</v>
      </c>
    </row>
    <row r="16" spans="1:21" customFormat="1">
      <c r="A16" s="50">
        <v>45496.333333333336</v>
      </c>
      <c r="B16" s="51">
        <v>9.2899999999999991</v>
      </c>
      <c r="C16" s="51">
        <v>4.1900000000000004</v>
      </c>
      <c r="D16" s="51">
        <v>14.04</v>
      </c>
      <c r="E16" s="51">
        <v>13.67</v>
      </c>
      <c r="F16" s="51">
        <v>5.0599999999999996</v>
      </c>
      <c r="G16" s="51">
        <v>6.12</v>
      </c>
      <c r="H16" s="51">
        <v>1.6</v>
      </c>
      <c r="I16" s="51">
        <v>3.06</v>
      </c>
      <c r="J16" s="51">
        <v>1.03</v>
      </c>
      <c r="K16" s="51">
        <v>274.58</v>
      </c>
      <c r="L16" s="51">
        <v>25.87</v>
      </c>
      <c r="M16" s="51">
        <v>99.34</v>
      </c>
      <c r="N16" s="51">
        <v>44.6</v>
      </c>
      <c r="O16" s="51">
        <v>0</v>
      </c>
      <c r="P16" s="51">
        <v>0.32</v>
      </c>
      <c r="Q16" s="51">
        <v>4.72</v>
      </c>
    </row>
    <row r="17" spans="1:17" customFormat="1">
      <c r="A17" s="50">
        <v>45496.375</v>
      </c>
      <c r="B17" s="51">
        <v>9.2899999999999991</v>
      </c>
      <c r="C17" s="51">
        <v>4.0999999999999996</v>
      </c>
      <c r="D17" s="51">
        <v>14.02</v>
      </c>
      <c r="E17" s="51">
        <v>11.6</v>
      </c>
      <c r="F17" s="51">
        <v>4.87</v>
      </c>
      <c r="G17" s="51">
        <v>6.12</v>
      </c>
      <c r="H17" s="51">
        <v>1.66</v>
      </c>
      <c r="I17" s="51">
        <v>3.08</v>
      </c>
      <c r="J17" s="51">
        <v>0.94</v>
      </c>
      <c r="K17" s="51">
        <v>275.7</v>
      </c>
      <c r="L17" s="51">
        <v>25.81</v>
      </c>
      <c r="M17" s="51">
        <v>100.87</v>
      </c>
      <c r="N17" s="51">
        <v>63.9</v>
      </c>
      <c r="O17" s="51">
        <v>1</v>
      </c>
      <c r="P17" s="51">
        <v>0.31</v>
      </c>
      <c r="Q17" s="51">
        <v>4.72</v>
      </c>
    </row>
    <row r="18" spans="1:17" customFormat="1">
      <c r="A18" s="50">
        <v>45496.416666666664</v>
      </c>
      <c r="B18" s="51">
        <v>9.26</v>
      </c>
      <c r="C18" s="51">
        <v>4.0999999999999996</v>
      </c>
      <c r="D18" s="51">
        <v>14</v>
      </c>
      <c r="E18" s="51">
        <v>11.1</v>
      </c>
      <c r="F18" s="51">
        <v>3.79</v>
      </c>
      <c r="G18" s="51">
        <v>6.03</v>
      </c>
      <c r="H18" s="51">
        <v>1.66</v>
      </c>
      <c r="I18" s="51">
        <v>3.19</v>
      </c>
      <c r="J18" s="51">
        <v>1.1100000000000001</v>
      </c>
      <c r="K18" s="51">
        <v>278.64</v>
      </c>
      <c r="L18" s="51">
        <v>25.04</v>
      </c>
      <c r="M18" s="51">
        <v>104.01</v>
      </c>
      <c r="N18" s="51">
        <v>53.1</v>
      </c>
      <c r="O18" s="51">
        <v>5.6</v>
      </c>
      <c r="P18" s="51">
        <v>0.32</v>
      </c>
      <c r="Q18" s="51">
        <v>4.7300000000000004</v>
      </c>
    </row>
    <row r="19" spans="1:17" customFormat="1">
      <c r="A19" s="50">
        <v>45496.458333333336</v>
      </c>
      <c r="B19" s="51">
        <v>9.26</v>
      </c>
      <c r="C19" s="51">
        <v>4.0999999999999996</v>
      </c>
      <c r="D19" s="51">
        <v>14</v>
      </c>
      <c r="E19" s="51">
        <v>9.23</v>
      </c>
      <c r="F19" s="51">
        <v>3.94</v>
      </c>
      <c r="G19" s="51">
        <v>6.27</v>
      </c>
      <c r="H19" s="51">
        <v>2.44</v>
      </c>
      <c r="I19" s="51">
        <v>3.25</v>
      </c>
      <c r="J19" s="51">
        <v>0.95</v>
      </c>
      <c r="K19" s="51">
        <v>275.68</v>
      </c>
      <c r="L19" s="51">
        <v>24.57</v>
      </c>
      <c r="M19" s="51">
        <v>105.06</v>
      </c>
      <c r="N19" s="51">
        <v>43.7</v>
      </c>
      <c r="O19" s="51">
        <v>1.8</v>
      </c>
      <c r="P19" s="51">
        <v>0.32</v>
      </c>
      <c r="Q19" s="51">
        <v>4.7300000000000004</v>
      </c>
    </row>
    <row r="20" spans="1:17" customFormat="1">
      <c r="A20" s="50">
        <v>45496.5</v>
      </c>
      <c r="B20" s="51">
        <v>9.27</v>
      </c>
      <c r="C20" s="51">
        <v>4.08</v>
      </c>
      <c r="D20" s="51">
        <v>14.01</v>
      </c>
      <c r="E20" s="51">
        <v>9.14</v>
      </c>
      <c r="F20" s="51">
        <v>4.6900000000000004</v>
      </c>
      <c r="G20" s="51">
        <v>6.27</v>
      </c>
      <c r="H20" s="51">
        <v>2.44</v>
      </c>
      <c r="I20" s="51">
        <v>3.26</v>
      </c>
      <c r="J20" s="51">
        <v>1.1100000000000001</v>
      </c>
      <c r="K20" s="51">
        <v>276.52</v>
      </c>
      <c r="L20" s="51">
        <v>24.67</v>
      </c>
      <c r="M20" s="51">
        <v>105.82</v>
      </c>
      <c r="N20" s="51">
        <v>50.3</v>
      </c>
      <c r="O20" s="51">
        <v>2.2000000000000002</v>
      </c>
      <c r="P20" s="51">
        <v>0.32</v>
      </c>
      <c r="Q20" s="51">
        <v>4.7300000000000004</v>
      </c>
    </row>
    <row r="21" spans="1:17" customFormat="1">
      <c r="A21" s="50">
        <v>45496.541666666664</v>
      </c>
      <c r="B21" s="51">
        <v>9.25</v>
      </c>
      <c r="C21" s="51">
        <v>4.1399999999999997</v>
      </c>
      <c r="D21" s="51">
        <v>14</v>
      </c>
      <c r="E21" s="51">
        <v>9.0399999999999991</v>
      </c>
      <c r="F21" s="51">
        <v>4.2</v>
      </c>
      <c r="G21" s="51">
        <v>5.85</v>
      </c>
      <c r="H21" s="51">
        <v>2.2799999999999998</v>
      </c>
      <c r="I21" s="51">
        <v>3.15</v>
      </c>
      <c r="J21" s="51">
        <v>1.24</v>
      </c>
      <c r="K21" s="51">
        <v>275.68</v>
      </c>
      <c r="L21" s="51">
        <v>24.62</v>
      </c>
      <c r="M21" s="51">
        <v>106.27</v>
      </c>
      <c r="N21" s="51">
        <v>48.7</v>
      </c>
      <c r="O21" s="51">
        <v>1.4</v>
      </c>
      <c r="P21" s="51">
        <v>0.28999999999999998</v>
      </c>
      <c r="Q21" s="51">
        <v>4.7300000000000004</v>
      </c>
    </row>
    <row r="22" spans="1:17" customFormat="1">
      <c r="A22" s="50">
        <v>45496.583333333336</v>
      </c>
      <c r="B22" s="51">
        <v>9.18</v>
      </c>
      <c r="C22" s="51">
        <v>4.2</v>
      </c>
      <c r="D22" s="51">
        <v>14</v>
      </c>
      <c r="E22" s="51">
        <v>9.94</v>
      </c>
      <c r="F22" s="51">
        <v>4.12</v>
      </c>
      <c r="G22" s="51">
        <v>4.6100000000000003</v>
      </c>
      <c r="H22" s="51">
        <v>1.89</v>
      </c>
      <c r="I22" s="51">
        <v>3.13</v>
      </c>
      <c r="J22" s="51">
        <v>1.1200000000000001</v>
      </c>
      <c r="K22" s="51">
        <v>276.32</v>
      </c>
      <c r="L22" s="51">
        <v>24.83</v>
      </c>
      <c r="M22" s="51">
        <v>103.91</v>
      </c>
      <c r="N22" s="51">
        <v>58.4</v>
      </c>
      <c r="O22" s="51">
        <v>0.6</v>
      </c>
      <c r="P22" s="51">
        <v>0.28999999999999998</v>
      </c>
      <c r="Q22" s="51">
        <v>4.7300000000000004</v>
      </c>
    </row>
    <row r="23" spans="1:17" customFormat="1">
      <c r="A23" s="50">
        <v>45496.625</v>
      </c>
      <c r="B23" s="51">
        <v>9.1999999999999993</v>
      </c>
      <c r="C23" s="51">
        <v>4.17</v>
      </c>
      <c r="D23" s="51">
        <v>14</v>
      </c>
      <c r="E23" s="51">
        <v>10.52</v>
      </c>
      <c r="F23" s="51">
        <v>3.96</v>
      </c>
      <c r="G23" s="51">
        <v>5.98</v>
      </c>
      <c r="H23" s="51">
        <v>1.76</v>
      </c>
      <c r="I23" s="51">
        <v>3.04</v>
      </c>
      <c r="J23" s="51">
        <v>1.28</v>
      </c>
      <c r="K23" s="51">
        <v>280.35000000000002</v>
      </c>
      <c r="L23" s="51">
        <v>24.86</v>
      </c>
      <c r="M23" s="51">
        <v>103.37</v>
      </c>
      <c r="N23" s="51">
        <v>36.9</v>
      </c>
      <c r="O23" s="51">
        <v>0.8</v>
      </c>
      <c r="P23" s="51">
        <v>0.28000000000000003</v>
      </c>
      <c r="Q23" s="51">
        <v>4.7300000000000004</v>
      </c>
    </row>
    <row r="24" spans="1:17" customFormat="1">
      <c r="A24" s="50">
        <v>45496.666666666664</v>
      </c>
      <c r="B24" s="51">
        <v>9.1999999999999993</v>
      </c>
      <c r="C24" s="51">
        <v>4.17</v>
      </c>
      <c r="D24" s="51">
        <v>14</v>
      </c>
      <c r="E24" s="51">
        <v>10.69</v>
      </c>
      <c r="F24" s="51">
        <v>4.1900000000000004</v>
      </c>
      <c r="G24" s="51">
        <v>5.98</v>
      </c>
      <c r="H24" s="51">
        <v>1.64</v>
      </c>
      <c r="I24" s="51">
        <v>3.02</v>
      </c>
      <c r="J24" s="51">
        <v>1.19</v>
      </c>
      <c r="K24" s="51">
        <v>279.51</v>
      </c>
      <c r="L24" s="51">
        <v>24.77</v>
      </c>
      <c r="M24" s="51">
        <v>103.9</v>
      </c>
      <c r="N24" s="51">
        <v>33.5</v>
      </c>
      <c r="O24" s="51">
        <v>1.8</v>
      </c>
      <c r="P24" s="51">
        <v>0.28000000000000003</v>
      </c>
      <c r="Q24" s="51">
        <v>4.7300000000000004</v>
      </c>
    </row>
    <row r="25" spans="1:17" customFormat="1">
      <c r="A25" s="50">
        <v>45496.708333333336</v>
      </c>
      <c r="B25" s="51">
        <v>9.2200000000000006</v>
      </c>
      <c r="C25" s="51">
        <v>4.2</v>
      </c>
      <c r="D25" s="51">
        <v>14</v>
      </c>
      <c r="E25" s="51">
        <v>11.18</v>
      </c>
      <c r="F25" s="51">
        <v>3.99</v>
      </c>
      <c r="G25" s="51">
        <v>6.4</v>
      </c>
      <c r="H25" s="51">
        <v>1.52</v>
      </c>
      <c r="I25" s="51">
        <v>2.96</v>
      </c>
      <c r="J25" s="51">
        <v>0.91</v>
      </c>
      <c r="K25" s="51">
        <v>276.20999999999998</v>
      </c>
      <c r="L25" s="51">
        <v>24.8</v>
      </c>
      <c r="M25" s="51">
        <v>109.81</v>
      </c>
      <c r="N25" s="51">
        <v>27.2</v>
      </c>
      <c r="O25" s="51">
        <v>1.6</v>
      </c>
      <c r="P25" s="51">
        <v>0.31</v>
      </c>
      <c r="Q25" s="51">
        <v>4.74</v>
      </c>
    </row>
    <row r="26" spans="1:17" customFormat="1">
      <c r="A26" s="50">
        <v>45496.75</v>
      </c>
      <c r="B26" s="51">
        <v>9.25</v>
      </c>
      <c r="C26" s="51">
        <v>4.1100000000000003</v>
      </c>
      <c r="D26" s="51">
        <v>14</v>
      </c>
      <c r="E26" s="51">
        <v>10.41</v>
      </c>
      <c r="F26" s="51">
        <v>3.98</v>
      </c>
      <c r="G26" s="51">
        <v>6.4</v>
      </c>
      <c r="H26" s="51">
        <v>1.86</v>
      </c>
      <c r="I26" s="51">
        <v>3.12</v>
      </c>
      <c r="J26" s="51">
        <v>0.88</v>
      </c>
      <c r="K26" s="51">
        <v>279.16000000000003</v>
      </c>
      <c r="L26" s="51">
        <v>24.89</v>
      </c>
      <c r="M26" s="51">
        <v>107.71</v>
      </c>
      <c r="N26" s="51">
        <v>15.3</v>
      </c>
      <c r="O26" s="51">
        <v>0.8</v>
      </c>
      <c r="P26" s="51">
        <v>0.31</v>
      </c>
      <c r="Q26" s="51">
        <v>4.71</v>
      </c>
    </row>
    <row r="27" spans="1:17" customFormat="1">
      <c r="A27" s="50">
        <v>45496.791666666664</v>
      </c>
      <c r="B27" s="51">
        <v>9.25</v>
      </c>
      <c r="C27" s="51">
        <v>4.12</v>
      </c>
      <c r="D27" s="51">
        <v>14</v>
      </c>
      <c r="E27" s="51">
        <v>10.31</v>
      </c>
      <c r="F27" s="51">
        <v>3.85</v>
      </c>
      <c r="G27" s="51">
        <v>5.2</v>
      </c>
      <c r="H27" s="51">
        <v>4.05</v>
      </c>
      <c r="I27" s="51">
        <v>3.25</v>
      </c>
      <c r="J27" s="51">
        <v>0.84</v>
      </c>
      <c r="K27" s="51">
        <v>275.89</v>
      </c>
      <c r="L27" s="51">
        <v>24.93</v>
      </c>
      <c r="M27" s="51">
        <v>103.69</v>
      </c>
      <c r="N27" s="51">
        <v>5.8</v>
      </c>
      <c r="O27" s="51">
        <v>0.4</v>
      </c>
      <c r="P27" s="51">
        <v>0.3</v>
      </c>
      <c r="Q27" s="51">
        <v>4.72</v>
      </c>
    </row>
    <row r="28" spans="1:17" customFormat="1">
      <c r="A28" s="50">
        <v>45496.833333333336</v>
      </c>
      <c r="B28" s="51">
        <v>9.23</v>
      </c>
      <c r="C28" s="51">
        <v>4.13</v>
      </c>
      <c r="D28" s="51">
        <v>14</v>
      </c>
      <c r="E28" s="51">
        <v>10.14</v>
      </c>
      <c r="F28" s="51">
        <v>3.83</v>
      </c>
      <c r="G28" s="51">
        <v>3.9</v>
      </c>
      <c r="H28" s="51">
        <v>4.05</v>
      </c>
      <c r="I28" s="51">
        <v>3.34</v>
      </c>
      <c r="J28" s="51">
        <v>0.88</v>
      </c>
      <c r="K28" s="51">
        <v>280.52999999999997</v>
      </c>
      <c r="L28" s="51">
        <v>25.11</v>
      </c>
      <c r="M28" s="51">
        <v>102.22</v>
      </c>
      <c r="N28" s="51">
        <v>2.5</v>
      </c>
      <c r="O28" s="51">
        <v>0.2</v>
      </c>
      <c r="P28" s="51">
        <v>0.31</v>
      </c>
      <c r="Q28" s="51">
        <v>4.72</v>
      </c>
    </row>
    <row r="29" spans="1:17" customFormat="1">
      <c r="A29" s="50">
        <v>45496.875</v>
      </c>
      <c r="B29" s="51">
        <v>9.2100000000000009</v>
      </c>
      <c r="C29" s="51">
        <v>4.16</v>
      </c>
      <c r="D29" s="51">
        <v>14</v>
      </c>
      <c r="E29" s="51">
        <v>9.91</v>
      </c>
      <c r="F29" s="51">
        <v>4.17</v>
      </c>
      <c r="G29" s="51">
        <v>3.17</v>
      </c>
      <c r="H29" s="51">
        <v>3.28</v>
      </c>
      <c r="I29" s="51">
        <v>3.39</v>
      </c>
      <c r="J29" s="51">
        <v>0.86</v>
      </c>
      <c r="K29" s="51">
        <v>275.95999999999998</v>
      </c>
      <c r="L29" s="51">
        <v>25.11</v>
      </c>
      <c r="M29" s="51">
        <v>101</v>
      </c>
      <c r="N29" s="51">
        <v>2.5</v>
      </c>
      <c r="O29" s="51">
        <v>0.2</v>
      </c>
      <c r="P29" s="51">
        <v>0.3</v>
      </c>
      <c r="Q29" s="51">
        <v>4.72</v>
      </c>
    </row>
    <row r="30" spans="1:17" customFormat="1">
      <c r="A30" s="50">
        <v>45496.916666666664</v>
      </c>
      <c r="B30" s="51">
        <v>9.24</v>
      </c>
      <c r="C30" s="51">
        <v>4.13</v>
      </c>
      <c r="D30" s="51">
        <v>14</v>
      </c>
      <c r="E30" s="51">
        <v>10.029999999999999</v>
      </c>
      <c r="F30" s="51">
        <v>4.47</v>
      </c>
      <c r="G30" s="51">
        <v>3.84</v>
      </c>
      <c r="H30" s="51">
        <v>3.28</v>
      </c>
      <c r="I30" s="51">
        <v>3.41</v>
      </c>
      <c r="J30" s="51">
        <v>0.91</v>
      </c>
      <c r="K30" s="51">
        <v>275.04000000000002</v>
      </c>
      <c r="L30" s="51">
        <v>25.1</v>
      </c>
      <c r="M30" s="51">
        <v>100.91</v>
      </c>
      <c r="N30" s="51">
        <v>2.5</v>
      </c>
      <c r="O30" s="51">
        <v>0.2</v>
      </c>
      <c r="P30" s="51">
        <v>0.28000000000000003</v>
      </c>
      <c r="Q30" s="51">
        <v>4.74</v>
      </c>
    </row>
    <row r="31" spans="1:17" customFormat="1">
      <c r="A31" s="50">
        <v>45496.958333333336</v>
      </c>
      <c r="B31" s="51">
        <v>9.24</v>
      </c>
      <c r="C31" s="51">
        <v>4.2</v>
      </c>
      <c r="D31" s="51">
        <v>14</v>
      </c>
      <c r="E31" s="51">
        <v>10.65</v>
      </c>
      <c r="F31" s="51">
        <v>4.0599999999999996</v>
      </c>
      <c r="G31" s="51">
        <v>4.13</v>
      </c>
      <c r="H31" s="51">
        <v>2.29</v>
      </c>
      <c r="I31" s="51">
        <v>3.22</v>
      </c>
      <c r="J31" s="51">
        <v>1.1299999999999999</v>
      </c>
      <c r="K31" s="51">
        <v>276.95</v>
      </c>
      <c r="L31" s="51">
        <v>25.03</v>
      </c>
      <c r="M31" s="51">
        <v>100.5</v>
      </c>
      <c r="N31" s="51">
        <v>2.7</v>
      </c>
      <c r="O31" s="51">
        <v>1.4</v>
      </c>
      <c r="P31" s="51">
        <v>0.27</v>
      </c>
      <c r="Q31" s="51">
        <v>4.74</v>
      </c>
    </row>
    <row r="32" spans="1:17" customFormat="1">
      <c r="A32" s="50">
        <v>45497</v>
      </c>
      <c r="B32" s="51">
        <v>9.18</v>
      </c>
      <c r="C32" s="51">
        <v>4.22</v>
      </c>
      <c r="D32" s="51">
        <v>14</v>
      </c>
      <c r="E32" s="51">
        <v>10.97</v>
      </c>
      <c r="F32" s="51">
        <v>4.16</v>
      </c>
      <c r="G32" s="51">
        <v>6.68</v>
      </c>
      <c r="H32" s="51">
        <v>1.61</v>
      </c>
      <c r="I32" s="51">
        <v>3.15</v>
      </c>
      <c r="J32" s="51">
        <v>1.01</v>
      </c>
      <c r="K32" s="51">
        <v>274.87</v>
      </c>
      <c r="L32" s="51">
        <v>24.8</v>
      </c>
      <c r="M32" s="51">
        <v>101.27</v>
      </c>
      <c r="N32" s="51">
        <v>2.7</v>
      </c>
      <c r="O32" s="51">
        <v>1.4</v>
      </c>
      <c r="P32" s="51">
        <v>0.27</v>
      </c>
      <c r="Q32" s="51">
        <v>4.72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9.18</v>
      </c>
      <c r="C34" s="41">
        <f t="shared" si="0"/>
        <v>4.08</v>
      </c>
      <c r="D34" s="41">
        <f t="shared" si="0"/>
        <v>14</v>
      </c>
      <c r="E34" s="41">
        <f t="shared" si="0"/>
        <v>9.0399999999999991</v>
      </c>
      <c r="F34" s="41">
        <f t="shared" si="0"/>
        <v>3.79</v>
      </c>
      <c r="G34" s="41">
        <f t="shared" si="0"/>
        <v>3.17</v>
      </c>
      <c r="H34" s="41">
        <f t="shared" si="0"/>
        <v>1.48</v>
      </c>
      <c r="I34" s="41">
        <f t="shared" si="0"/>
        <v>2.96</v>
      </c>
      <c r="J34" s="41">
        <f t="shared" si="0"/>
        <v>0.84</v>
      </c>
      <c r="K34" s="41">
        <f t="shared" si="0"/>
        <v>274.12</v>
      </c>
      <c r="L34" s="41">
        <f t="shared" si="0"/>
        <v>24.57</v>
      </c>
      <c r="M34" s="41">
        <f t="shared" si="0"/>
        <v>96.17</v>
      </c>
      <c r="N34" s="41">
        <f t="shared" si="0"/>
        <v>2.2999999999999998</v>
      </c>
      <c r="O34" s="41">
        <f t="shared" si="0"/>
        <v>0</v>
      </c>
      <c r="P34" s="41">
        <f t="shared" si="0"/>
        <v>0.27</v>
      </c>
      <c r="Q34" s="41">
        <f t="shared" si="0"/>
        <v>4.71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9.2899999999999991</v>
      </c>
      <c r="C35" s="33">
        <f t="shared" si="1"/>
        <v>4.22</v>
      </c>
      <c r="D35" s="33">
        <f t="shared" si="1"/>
        <v>14.04</v>
      </c>
      <c r="E35" s="33">
        <f t="shared" si="1"/>
        <v>13.67</v>
      </c>
      <c r="F35" s="33">
        <f t="shared" si="1"/>
        <v>5.73</v>
      </c>
      <c r="G35" s="33">
        <f t="shared" si="1"/>
        <v>6.68</v>
      </c>
      <c r="H35" s="33">
        <f t="shared" si="1"/>
        <v>4.05</v>
      </c>
      <c r="I35" s="33">
        <f t="shared" si="1"/>
        <v>3.51</v>
      </c>
      <c r="J35" s="33">
        <f t="shared" si="1"/>
        <v>1.28</v>
      </c>
      <c r="K35" s="33">
        <f t="shared" si="1"/>
        <v>280.52999999999997</v>
      </c>
      <c r="L35" s="33">
        <f t="shared" si="1"/>
        <v>26.05</v>
      </c>
      <c r="M35" s="33">
        <f t="shared" si="1"/>
        <v>109.81</v>
      </c>
      <c r="N35" s="33">
        <f t="shared" si="1"/>
        <v>63.9</v>
      </c>
      <c r="O35" s="33">
        <f t="shared" si="1"/>
        <v>5.6</v>
      </c>
      <c r="P35" s="33">
        <f t="shared" si="1"/>
        <v>0.35</v>
      </c>
      <c r="Q35" s="33">
        <f t="shared" si="1"/>
        <v>4.74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9.2333333333333325</v>
      </c>
      <c r="C36" s="41">
        <f t="shared" si="2"/>
        <v>4.1499999999999995</v>
      </c>
      <c r="D36" s="41">
        <f t="shared" si="2"/>
        <v>14.003749999999998</v>
      </c>
      <c r="E36" s="41">
        <f t="shared" si="2"/>
        <v>10.894583333333335</v>
      </c>
      <c r="F36" s="41">
        <f t="shared" si="2"/>
        <v>4.3354166666666663</v>
      </c>
      <c r="G36" s="41">
        <f t="shared" si="2"/>
        <v>5.1758333333333342</v>
      </c>
      <c r="H36" s="41">
        <f t="shared" si="2"/>
        <v>2.1350000000000002</v>
      </c>
      <c r="I36" s="41">
        <f t="shared" si="2"/>
        <v>3.1879166666666663</v>
      </c>
      <c r="J36" s="41">
        <f t="shared" si="2"/>
        <v>0.99333333333333318</v>
      </c>
      <c r="K36" s="41">
        <f t="shared" si="2"/>
        <v>276.70916666666665</v>
      </c>
      <c r="L36" s="41">
        <f t="shared" si="2"/>
        <v>25.200833333333332</v>
      </c>
      <c r="M36" s="41">
        <f t="shared" si="2"/>
        <v>102.17749999999999</v>
      </c>
      <c r="N36" s="41">
        <f t="shared" si="2"/>
        <v>22.650000000000002</v>
      </c>
      <c r="O36" s="41">
        <f t="shared" si="2"/>
        <v>0.89166666666666661</v>
      </c>
      <c r="P36" s="41">
        <f t="shared" si="2"/>
        <v>0.30249999999999994</v>
      </c>
      <c r="Q36" s="41">
        <f t="shared" si="2"/>
        <v>4.7254166666666668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3.3056824154603905E-2</v>
      </c>
      <c r="C37" s="41">
        <f t="shared" ref="C37:Q37" si="3">STDEV(C9:C32)</f>
        <v>4.1910878529690151E-2</v>
      </c>
      <c r="D37" s="41">
        <f t="shared" si="3"/>
        <v>9.6964807600711869E-3</v>
      </c>
      <c r="E37" s="41">
        <f t="shared" si="3"/>
        <v>1.2239990734816917</v>
      </c>
      <c r="F37" s="41">
        <f t="shared" si="3"/>
        <v>0.50947525576017005</v>
      </c>
      <c r="G37" s="41">
        <f t="shared" si="3"/>
        <v>1.1003790519502819</v>
      </c>
      <c r="H37" s="41">
        <f t="shared" si="3"/>
        <v>0.77194841008067816</v>
      </c>
      <c r="I37" s="41">
        <f t="shared" si="3"/>
        <v>0.14899603632506686</v>
      </c>
      <c r="J37" s="41">
        <f t="shared" si="3"/>
        <v>0.1293349768310344</v>
      </c>
      <c r="K37" s="41">
        <f t="shared" si="3"/>
        <v>1.8457187045271077</v>
      </c>
      <c r="L37" s="41">
        <f t="shared" si="3"/>
        <v>0.47547611531193373</v>
      </c>
      <c r="M37" s="41">
        <f t="shared" si="3"/>
        <v>3.3103122800285556</v>
      </c>
      <c r="N37" s="41">
        <f t="shared" si="3"/>
        <v>22.079599082686581</v>
      </c>
      <c r="O37" s="41">
        <f t="shared" si="3"/>
        <v>1.2328534123049197</v>
      </c>
      <c r="P37" s="41">
        <f t="shared" si="3"/>
        <v>2.0269917740767387E-2</v>
      </c>
      <c r="Q37" s="41">
        <f t="shared" si="3"/>
        <v>8.8362724123315223E-3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Q39" sqref="Q3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45497.041666666664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45497.041666666664</v>
      </c>
      <c r="B9" s="51">
        <v>9.3000000000000007</v>
      </c>
      <c r="C9" s="51">
        <v>4.09</v>
      </c>
      <c r="D9" s="51">
        <v>14.02</v>
      </c>
      <c r="E9" s="51">
        <v>11.94</v>
      </c>
      <c r="F9" s="51">
        <v>3.72</v>
      </c>
      <c r="G9" s="51">
        <v>6.68</v>
      </c>
      <c r="H9" s="51">
        <v>1.57</v>
      </c>
      <c r="I9" s="51">
        <v>3.04</v>
      </c>
      <c r="J9" s="51">
        <v>1.18</v>
      </c>
      <c r="K9" s="51">
        <v>276.95999999999998</v>
      </c>
      <c r="L9" s="51">
        <v>24.42</v>
      </c>
      <c r="M9" s="51">
        <v>101.87</v>
      </c>
      <c r="N9" s="51">
        <v>2.7</v>
      </c>
      <c r="O9" s="51">
        <v>2.4</v>
      </c>
      <c r="P9" s="51">
        <v>0.26</v>
      </c>
      <c r="Q9" s="51">
        <v>4.74</v>
      </c>
    </row>
    <row r="10" spans="1:21" customFormat="1">
      <c r="A10" s="50">
        <v>45497.083333333336</v>
      </c>
      <c r="B10" s="51">
        <v>9.27</v>
      </c>
      <c r="C10" s="51">
        <v>4.08</v>
      </c>
      <c r="D10" s="51">
        <v>14.02</v>
      </c>
      <c r="E10" s="51">
        <v>12.58</v>
      </c>
      <c r="F10" s="51">
        <v>3.8</v>
      </c>
      <c r="G10" s="51">
        <v>5.28</v>
      </c>
      <c r="H10" s="51">
        <v>1.48</v>
      </c>
      <c r="I10" s="51">
        <v>2.89</v>
      </c>
      <c r="J10" s="51">
        <v>1.1100000000000001</v>
      </c>
      <c r="K10" s="51">
        <v>282.69</v>
      </c>
      <c r="L10" s="51">
        <v>24.27</v>
      </c>
      <c r="M10" s="51">
        <v>103.75</v>
      </c>
      <c r="N10" s="51">
        <v>2.6</v>
      </c>
      <c r="O10" s="51">
        <v>1.4</v>
      </c>
      <c r="P10" s="51">
        <v>0.27</v>
      </c>
      <c r="Q10" s="51">
        <v>4.7300000000000004</v>
      </c>
    </row>
    <row r="11" spans="1:21" customFormat="1">
      <c r="A11" s="50">
        <v>45497.125</v>
      </c>
      <c r="B11" s="51">
        <v>9.31</v>
      </c>
      <c r="C11" s="51">
        <v>4.1100000000000003</v>
      </c>
      <c r="D11" s="51">
        <v>14.06</v>
      </c>
      <c r="E11" s="51">
        <v>7.97</v>
      </c>
      <c r="F11" s="51">
        <v>4.45</v>
      </c>
      <c r="G11" s="51">
        <v>3.86</v>
      </c>
      <c r="H11" s="51">
        <v>1.24</v>
      </c>
      <c r="I11" s="51">
        <v>2.92</v>
      </c>
      <c r="J11" s="51">
        <v>0.98</v>
      </c>
      <c r="K11" s="51">
        <v>275.37</v>
      </c>
      <c r="L11" s="51">
        <v>24.08</v>
      </c>
      <c r="M11" s="51">
        <v>108</v>
      </c>
      <c r="N11" s="51">
        <v>2.5</v>
      </c>
      <c r="O11" s="51">
        <v>1.8</v>
      </c>
      <c r="P11" s="51">
        <v>0.28999999999999998</v>
      </c>
      <c r="Q11" s="51">
        <v>4.71</v>
      </c>
    </row>
    <row r="12" spans="1:21" customFormat="1">
      <c r="A12" s="50">
        <v>45497.166666666664</v>
      </c>
      <c r="B12" s="51">
        <v>9.32</v>
      </c>
      <c r="C12" s="51">
        <v>4.0999999999999996</v>
      </c>
      <c r="D12" s="51">
        <v>14.06</v>
      </c>
      <c r="E12" s="51">
        <v>6.45</v>
      </c>
      <c r="F12" s="51">
        <v>4.07</v>
      </c>
      <c r="G12" s="51">
        <v>3.86</v>
      </c>
      <c r="H12" s="51">
        <v>1.02</v>
      </c>
      <c r="I12" s="51">
        <v>3</v>
      </c>
      <c r="J12" s="51">
        <v>1.06</v>
      </c>
      <c r="K12" s="51">
        <v>278.17</v>
      </c>
      <c r="L12" s="51">
        <v>23.98</v>
      </c>
      <c r="M12" s="51">
        <v>104.2</v>
      </c>
      <c r="N12" s="51">
        <v>2.6</v>
      </c>
      <c r="O12" s="51">
        <v>0.8</v>
      </c>
      <c r="P12" s="51">
        <v>0.27</v>
      </c>
      <c r="Q12" s="51">
        <v>4.72</v>
      </c>
    </row>
    <row r="13" spans="1:21" customFormat="1">
      <c r="A13" s="50">
        <v>45497.208333333336</v>
      </c>
      <c r="B13" s="51">
        <v>9.31</v>
      </c>
      <c r="C13" s="51">
        <v>4.09</v>
      </c>
      <c r="D13" s="51">
        <v>14.05</v>
      </c>
      <c r="E13" s="51">
        <v>6.53</v>
      </c>
      <c r="F13" s="51">
        <v>3.95</v>
      </c>
      <c r="G13" s="51">
        <v>3.03</v>
      </c>
      <c r="H13" s="51">
        <v>0.96</v>
      </c>
      <c r="I13" s="51">
        <v>2.98</v>
      </c>
      <c r="J13" s="51">
        <v>1.07</v>
      </c>
      <c r="K13" s="51">
        <v>277.3</v>
      </c>
      <c r="L13" s="51">
        <v>23.99</v>
      </c>
      <c r="M13" s="51">
        <v>103.38</v>
      </c>
      <c r="N13" s="51">
        <v>2.6</v>
      </c>
      <c r="O13" s="51">
        <v>0.2</v>
      </c>
      <c r="P13" s="51">
        <v>0.27</v>
      </c>
      <c r="Q13" s="27" t="s">
        <v>14</v>
      </c>
    </row>
    <row r="14" spans="1:21" customFormat="1">
      <c r="A14" s="50">
        <v>45497.25</v>
      </c>
      <c r="B14" s="51">
        <v>9.31</v>
      </c>
      <c r="C14" s="51">
        <v>4.0999999999999996</v>
      </c>
      <c r="D14" s="51">
        <v>14.04</v>
      </c>
      <c r="E14" s="51">
        <v>6.15</v>
      </c>
      <c r="F14" s="51">
        <v>4.0199999999999996</v>
      </c>
      <c r="G14" s="51">
        <v>2.4300000000000002</v>
      </c>
      <c r="H14" s="51">
        <v>0.96</v>
      </c>
      <c r="I14" s="51">
        <v>2.95</v>
      </c>
      <c r="J14" s="51">
        <v>1.22</v>
      </c>
      <c r="K14" s="51">
        <v>277.77</v>
      </c>
      <c r="L14" s="51">
        <v>24.14</v>
      </c>
      <c r="M14" s="51">
        <v>104.18</v>
      </c>
      <c r="N14" s="51">
        <v>17.399999999999999</v>
      </c>
      <c r="O14" s="51">
        <v>0</v>
      </c>
      <c r="P14" s="51">
        <v>0.26</v>
      </c>
      <c r="Q14" s="27" t="s">
        <v>14</v>
      </c>
    </row>
    <row r="15" spans="1:21" customFormat="1">
      <c r="A15" s="50">
        <v>45497.291666666664</v>
      </c>
      <c r="B15" s="51">
        <v>9.2899999999999991</v>
      </c>
      <c r="C15" s="51">
        <v>4.09</v>
      </c>
      <c r="D15" s="51">
        <v>14.04</v>
      </c>
      <c r="E15" s="51">
        <v>5.92</v>
      </c>
      <c r="F15" s="51">
        <v>3.61</v>
      </c>
      <c r="G15" s="51">
        <v>2.19</v>
      </c>
      <c r="H15" s="51">
        <v>0.92</v>
      </c>
      <c r="I15" s="51">
        <v>2.97</v>
      </c>
      <c r="J15" s="51">
        <v>1.1100000000000001</v>
      </c>
      <c r="K15" s="51">
        <v>275.8</v>
      </c>
      <c r="L15" s="51">
        <v>24.33</v>
      </c>
      <c r="M15" s="51">
        <v>100.06</v>
      </c>
      <c r="N15" s="51">
        <v>40.4</v>
      </c>
      <c r="O15" s="51">
        <v>0.4</v>
      </c>
      <c r="P15" s="51">
        <v>0.27</v>
      </c>
      <c r="Q15" s="27" t="s">
        <v>14</v>
      </c>
    </row>
    <row r="16" spans="1:21" customFormat="1">
      <c r="A16" s="50">
        <v>45497.333333333336</v>
      </c>
      <c r="B16" s="51">
        <v>9.31</v>
      </c>
      <c r="C16" s="51">
        <v>4.0999999999999996</v>
      </c>
      <c r="D16" s="51">
        <v>14.05</v>
      </c>
      <c r="E16" s="51">
        <v>6.03</v>
      </c>
      <c r="F16" s="51">
        <v>3.5</v>
      </c>
      <c r="G16" s="51">
        <v>2.19</v>
      </c>
      <c r="H16" s="51">
        <v>0.82</v>
      </c>
      <c r="I16" s="51">
        <v>2.94</v>
      </c>
      <c r="J16" s="51">
        <v>1.1599999999999999</v>
      </c>
      <c r="K16" s="51">
        <v>275.88</v>
      </c>
      <c r="L16" s="51">
        <v>24.7</v>
      </c>
      <c r="M16" s="51">
        <v>98.26</v>
      </c>
      <c r="N16" s="51">
        <v>66</v>
      </c>
      <c r="O16" s="51">
        <v>0</v>
      </c>
      <c r="P16" s="51">
        <v>0.25</v>
      </c>
      <c r="Q16" s="27" t="s">
        <v>14</v>
      </c>
    </row>
    <row r="17" spans="1:17" customFormat="1">
      <c r="A17" s="50">
        <v>45497.375</v>
      </c>
      <c r="B17" s="51">
        <v>9.32</v>
      </c>
      <c r="C17" s="51">
        <v>4.07</v>
      </c>
      <c r="D17" s="51">
        <v>14.02</v>
      </c>
      <c r="E17" s="51">
        <v>6.68</v>
      </c>
      <c r="F17" s="51">
        <v>4.22</v>
      </c>
      <c r="G17" s="51">
        <v>2.2999999999999998</v>
      </c>
      <c r="H17" s="51">
        <v>0.73</v>
      </c>
      <c r="I17" s="51">
        <v>2.91</v>
      </c>
      <c r="J17" s="51">
        <v>1.1399999999999999</v>
      </c>
      <c r="K17" s="51">
        <v>277.27999999999997</v>
      </c>
      <c r="L17" s="51">
        <v>25.31</v>
      </c>
      <c r="M17" s="51">
        <v>95.66</v>
      </c>
      <c r="N17" s="51">
        <v>108.3</v>
      </c>
      <c r="O17" s="51">
        <v>0</v>
      </c>
      <c r="P17" s="51">
        <v>0.26</v>
      </c>
      <c r="Q17" s="51">
        <v>4.74</v>
      </c>
    </row>
    <row r="18" spans="1:17" customFormat="1">
      <c r="A18" s="50">
        <v>45497.416666666664</v>
      </c>
      <c r="B18" s="51">
        <v>9.27</v>
      </c>
      <c r="C18" s="51">
        <v>4.09</v>
      </c>
      <c r="D18" s="51">
        <v>14.02</v>
      </c>
      <c r="E18" s="51">
        <v>7.51</v>
      </c>
      <c r="F18" s="51">
        <v>3.72</v>
      </c>
      <c r="G18" s="51">
        <v>2.2999999999999998</v>
      </c>
      <c r="H18" s="51">
        <v>0.69</v>
      </c>
      <c r="I18" s="51">
        <v>2.92</v>
      </c>
      <c r="J18" s="51">
        <v>1.1399999999999999</v>
      </c>
      <c r="K18" s="51">
        <v>275.14999999999998</v>
      </c>
      <c r="L18" s="51">
        <v>25.53</v>
      </c>
      <c r="M18" s="51">
        <v>93.82</v>
      </c>
      <c r="N18" s="51">
        <v>93.6</v>
      </c>
      <c r="O18" s="51">
        <v>0.6</v>
      </c>
      <c r="P18" s="51">
        <v>0.27</v>
      </c>
      <c r="Q18" s="51">
        <v>4.74</v>
      </c>
    </row>
    <row r="19" spans="1:17" customFormat="1">
      <c r="A19" s="50">
        <v>45497.458333333336</v>
      </c>
      <c r="B19" s="51">
        <v>9.26</v>
      </c>
      <c r="C19" s="51">
        <v>4.0999999999999996</v>
      </c>
      <c r="D19" s="51">
        <v>14</v>
      </c>
      <c r="E19" s="51">
        <v>11.88</v>
      </c>
      <c r="F19" s="51">
        <v>3.55</v>
      </c>
      <c r="G19" s="51">
        <v>2.78</v>
      </c>
      <c r="H19" s="51">
        <v>1.28</v>
      </c>
      <c r="I19" s="51">
        <v>3.1</v>
      </c>
      <c r="J19" s="51">
        <v>0.91</v>
      </c>
      <c r="K19" s="51">
        <v>279.47000000000003</v>
      </c>
      <c r="L19" s="51">
        <v>25.14</v>
      </c>
      <c r="M19" s="51">
        <v>97.96</v>
      </c>
      <c r="N19" s="51">
        <v>72.599999999999994</v>
      </c>
      <c r="O19" s="51">
        <v>0.8</v>
      </c>
      <c r="P19" s="51">
        <v>0.28000000000000003</v>
      </c>
      <c r="Q19" s="51">
        <v>4.74</v>
      </c>
    </row>
    <row r="20" spans="1:17" customFormat="1">
      <c r="A20" s="50">
        <v>45497.5</v>
      </c>
      <c r="B20" s="51">
        <v>9.33</v>
      </c>
      <c r="C20" s="51">
        <v>4.12</v>
      </c>
      <c r="D20" s="51">
        <v>14.05</v>
      </c>
      <c r="E20" s="51">
        <v>12.17</v>
      </c>
      <c r="F20" s="51">
        <v>3.5</v>
      </c>
      <c r="G20" s="51">
        <v>7.78</v>
      </c>
      <c r="H20" s="51">
        <v>1.6</v>
      </c>
      <c r="I20" s="51">
        <v>3.24</v>
      </c>
      <c r="J20" s="51">
        <v>1.01</v>
      </c>
      <c r="K20" s="51">
        <v>278.52</v>
      </c>
      <c r="L20" s="51">
        <v>24.84</v>
      </c>
      <c r="M20" s="51">
        <v>106.36</v>
      </c>
      <c r="N20" s="51">
        <v>57.4</v>
      </c>
      <c r="O20" s="51">
        <v>1.6</v>
      </c>
      <c r="P20" s="51">
        <v>0.33</v>
      </c>
      <c r="Q20" s="51">
        <v>4.74</v>
      </c>
    </row>
    <row r="21" spans="1:17" customFormat="1">
      <c r="A21" s="50">
        <v>45497.541666666664</v>
      </c>
      <c r="B21" s="51">
        <v>9.31</v>
      </c>
      <c r="C21" s="51">
        <v>4.08</v>
      </c>
      <c r="D21" s="51">
        <v>14.04</v>
      </c>
      <c r="E21" s="51">
        <v>10.97</v>
      </c>
      <c r="F21" s="51">
        <v>4.01</v>
      </c>
      <c r="G21" s="51">
        <v>7.78</v>
      </c>
      <c r="H21" s="51">
        <v>1.6</v>
      </c>
      <c r="I21" s="51">
        <v>3.5</v>
      </c>
      <c r="J21" s="51">
        <v>1.0900000000000001</v>
      </c>
      <c r="K21" s="51">
        <v>278.05</v>
      </c>
      <c r="L21" s="51">
        <v>24.97</v>
      </c>
      <c r="M21" s="51">
        <v>106.15</v>
      </c>
      <c r="N21" s="51">
        <v>98.6</v>
      </c>
      <c r="O21" s="51">
        <v>0.6</v>
      </c>
      <c r="P21" s="51">
        <v>0.32</v>
      </c>
      <c r="Q21" s="27" t="s">
        <v>14</v>
      </c>
    </row>
    <row r="22" spans="1:17" customFormat="1">
      <c r="A22" s="50">
        <v>45497.583333333336</v>
      </c>
      <c r="B22" s="51">
        <v>9.2899999999999991</v>
      </c>
      <c r="C22" s="51">
        <v>4.1100000000000003</v>
      </c>
      <c r="D22" s="51">
        <v>14.03</v>
      </c>
      <c r="E22" s="51">
        <v>10.01</v>
      </c>
      <c r="F22" s="51">
        <v>3.86</v>
      </c>
      <c r="G22" s="51">
        <v>6.11</v>
      </c>
      <c r="H22" s="51">
        <v>1.59</v>
      </c>
      <c r="I22" s="51">
        <v>3.52</v>
      </c>
      <c r="J22" s="51">
        <v>1.1100000000000001</v>
      </c>
      <c r="K22" s="51">
        <v>279.64999999999998</v>
      </c>
      <c r="L22" s="51">
        <v>24.86</v>
      </c>
      <c r="M22" s="51">
        <v>102.15</v>
      </c>
      <c r="N22" s="51">
        <v>85.8</v>
      </c>
      <c r="O22" s="51">
        <v>0</v>
      </c>
      <c r="P22" s="51">
        <v>0.3</v>
      </c>
      <c r="Q22" s="27" t="s">
        <v>14</v>
      </c>
    </row>
    <row r="23" spans="1:17" customFormat="1">
      <c r="A23" s="50">
        <v>45497.625</v>
      </c>
      <c r="B23" s="51">
        <v>9.3000000000000007</v>
      </c>
      <c r="C23" s="51">
        <v>4.09</v>
      </c>
      <c r="D23" s="51">
        <v>14.03</v>
      </c>
      <c r="E23" s="51">
        <v>9.6</v>
      </c>
      <c r="F23" s="51">
        <v>3.77</v>
      </c>
      <c r="G23" s="51">
        <v>4.63</v>
      </c>
      <c r="H23" s="51">
        <v>1.52</v>
      </c>
      <c r="I23" s="51">
        <v>3.52</v>
      </c>
      <c r="J23" s="51">
        <v>1.19</v>
      </c>
      <c r="K23" s="51">
        <v>278.76</v>
      </c>
      <c r="L23" s="51">
        <v>25.3</v>
      </c>
      <c r="M23" s="51">
        <v>99.3</v>
      </c>
      <c r="N23" s="51">
        <v>107.9</v>
      </c>
      <c r="O23" s="51">
        <v>0</v>
      </c>
      <c r="P23" s="51">
        <v>0.31</v>
      </c>
      <c r="Q23" s="27" t="s">
        <v>14</v>
      </c>
    </row>
    <row r="24" spans="1:17" customFormat="1">
      <c r="A24" s="50">
        <v>45497.666666666664</v>
      </c>
      <c r="B24" s="51">
        <v>9.32</v>
      </c>
      <c r="C24" s="51">
        <v>4.09</v>
      </c>
      <c r="D24" s="51">
        <v>14.06</v>
      </c>
      <c r="E24" s="51">
        <v>9.15</v>
      </c>
      <c r="F24" s="51">
        <v>4.1900000000000004</v>
      </c>
      <c r="G24" s="51">
        <v>3.6</v>
      </c>
      <c r="H24" s="51">
        <v>1.3</v>
      </c>
      <c r="I24" s="51">
        <v>3.5</v>
      </c>
      <c r="J24" s="51">
        <v>1.25</v>
      </c>
      <c r="K24" s="51">
        <v>272.29000000000002</v>
      </c>
      <c r="L24" s="51">
        <v>25.79</v>
      </c>
      <c r="M24" s="51">
        <v>96.25</v>
      </c>
      <c r="N24" s="51">
        <v>132.19999999999999</v>
      </c>
      <c r="O24" s="51">
        <v>0</v>
      </c>
      <c r="P24" s="51">
        <v>0.3</v>
      </c>
      <c r="Q24" s="27" t="s">
        <v>14</v>
      </c>
    </row>
    <row r="25" spans="1:17" customFormat="1">
      <c r="A25" s="50">
        <v>45497.708333333336</v>
      </c>
      <c r="B25" s="51">
        <v>9.33</v>
      </c>
      <c r="C25" s="51">
        <v>4.1100000000000003</v>
      </c>
      <c r="D25" s="51">
        <v>14.07</v>
      </c>
      <c r="E25" s="51">
        <v>8.86</v>
      </c>
      <c r="F25" s="51">
        <v>4.04</v>
      </c>
      <c r="G25" s="51">
        <v>3.18</v>
      </c>
      <c r="H25" s="51">
        <v>1.29</v>
      </c>
      <c r="I25" s="51">
        <v>3.37</v>
      </c>
      <c r="J25" s="51">
        <v>1.22</v>
      </c>
      <c r="K25" s="51">
        <v>277.23</v>
      </c>
      <c r="L25" s="51">
        <v>25.95</v>
      </c>
      <c r="M25" s="51">
        <v>92.71</v>
      </c>
      <c r="N25" s="51">
        <v>109.1</v>
      </c>
      <c r="O25" s="51">
        <v>0</v>
      </c>
      <c r="P25" s="51">
        <v>0.28000000000000003</v>
      </c>
      <c r="Q25" s="27" t="s">
        <v>14</v>
      </c>
    </row>
    <row r="26" spans="1:17" customFormat="1">
      <c r="A26" s="50">
        <v>45497.75</v>
      </c>
      <c r="B26" s="51">
        <v>9.33</v>
      </c>
      <c r="C26" s="51">
        <v>4.09</v>
      </c>
      <c r="D26" s="51">
        <v>14.07</v>
      </c>
      <c r="E26" s="51">
        <v>9.8000000000000007</v>
      </c>
      <c r="F26" s="51">
        <v>4.21</v>
      </c>
      <c r="G26" s="51">
        <v>2.4700000000000002</v>
      </c>
      <c r="H26" s="51">
        <v>1.18</v>
      </c>
      <c r="I26" s="51">
        <v>3.26</v>
      </c>
      <c r="J26" s="51">
        <v>1.07</v>
      </c>
      <c r="K26" s="51">
        <v>276.41000000000003</v>
      </c>
      <c r="L26" s="51">
        <v>25.48</v>
      </c>
      <c r="M26" s="51">
        <v>92.81</v>
      </c>
      <c r="N26" s="51">
        <v>11.3</v>
      </c>
      <c r="O26" s="51">
        <v>0</v>
      </c>
      <c r="P26" s="51">
        <v>0.28000000000000003</v>
      </c>
      <c r="Q26" s="27" t="s">
        <v>14</v>
      </c>
    </row>
    <row r="27" spans="1:17" customFormat="1">
      <c r="A27" s="50">
        <v>45497.791666666664</v>
      </c>
      <c r="B27" s="51">
        <v>9.2899999999999991</v>
      </c>
      <c r="C27" s="51">
        <v>4.08</v>
      </c>
      <c r="D27" s="51">
        <v>14.03</v>
      </c>
      <c r="E27" s="51">
        <v>9.5399999999999991</v>
      </c>
      <c r="F27" s="51">
        <v>4.03</v>
      </c>
      <c r="G27" s="51">
        <v>1.82</v>
      </c>
      <c r="H27" s="51">
        <v>0.95</v>
      </c>
      <c r="I27" s="51">
        <v>3.22</v>
      </c>
      <c r="J27" s="51">
        <v>1.1100000000000001</v>
      </c>
      <c r="K27" s="51">
        <v>275.16000000000003</v>
      </c>
      <c r="L27" s="51">
        <v>25.39</v>
      </c>
      <c r="M27" s="51">
        <v>98.76</v>
      </c>
      <c r="N27" s="51">
        <v>5.0999999999999996</v>
      </c>
      <c r="O27" s="51">
        <v>0.2</v>
      </c>
      <c r="P27" s="51">
        <v>0.28000000000000003</v>
      </c>
      <c r="Q27" s="27" t="s">
        <v>14</v>
      </c>
    </row>
    <row r="28" spans="1:17" customFormat="1">
      <c r="A28" s="50">
        <v>45497.833333333336</v>
      </c>
      <c r="B28" s="51">
        <v>9.2899999999999991</v>
      </c>
      <c r="C28" s="51">
        <v>4.08</v>
      </c>
      <c r="D28" s="51">
        <v>14.04</v>
      </c>
      <c r="E28" s="51">
        <v>9.9499999999999993</v>
      </c>
      <c r="F28" s="51">
        <v>3.67</v>
      </c>
      <c r="G28" s="51">
        <v>1.48</v>
      </c>
      <c r="H28" s="51">
        <v>0.89</v>
      </c>
      <c r="I28" s="51">
        <v>3.21</v>
      </c>
      <c r="J28" s="51">
        <v>0.88</v>
      </c>
      <c r="K28" s="51">
        <v>272.76</v>
      </c>
      <c r="L28" s="51">
        <v>24.41</v>
      </c>
      <c r="M28" s="51">
        <v>99.59</v>
      </c>
      <c r="N28" s="51">
        <v>2.7</v>
      </c>
      <c r="O28" s="51">
        <v>0.2</v>
      </c>
      <c r="P28" s="51">
        <v>0.28999999999999998</v>
      </c>
      <c r="Q28" s="51">
        <v>4.7300000000000004</v>
      </c>
    </row>
    <row r="29" spans="1:17" customFormat="1">
      <c r="A29" s="50">
        <v>45497.875</v>
      </c>
      <c r="B29" s="51">
        <v>9.2899999999999991</v>
      </c>
      <c r="C29" s="51">
        <v>4.1100000000000003</v>
      </c>
      <c r="D29" s="51">
        <v>14.04</v>
      </c>
      <c r="E29" s="51">
        <v>10.72</v>
      </c>
      <c r="F29" s="51">
        <v>3.56</v>
      </c>
      <c r="G29" s="51">
        <v>1.45</v>
      </c>
      <c r="H29" s="51">
        <v>0.89</v>
      </c>
      <c r="I29" s="51">
        <v>3.2</v>
      </c>
      <c r="J29" s="51">
        <v>0.9</v>
      </c>
      <c r="K29" s="51">
        <v>277.49</v>
      </c>
      <c r="L29" s="51">
        <v>24.61</v>
      </c>
      <c r="M29" s="51">
        <v>100.93</v>
      </c>
      <c r="N29" s="51">
        <v>2.6</v>
      </c>
      <c r="O29" s="51">
        <v>0</v>
      </c>
      <c r="P29" s="51">
        <v>0.3</v>
      </c>
      <c r="Q29" s="51">
        <v>4.7300000000000004</v>
      </c>
    </row>
    <row r="30" spans="1:17" customFormat="1">
      <c r="A30" s="50">
        <v>45497.916666666664</v>
      </c>
      <c r="B30" s="51">
        <v>9.35</v>
      </c>
      <c r="C30" s="51">
        <v>4.0599999999999996</v>
      </c>
      <c r="D30" s="51">
        <v>14.07</v>
      </c>
      <c r="E30" s="51">
        <v>10.45</v>
      </c>
      <c r="F30" s="51">
        <v>4.18</v>
      </c>
      <c r="G30" s="51">
        <v>1.37</v>
      </c>
      <c r="H30" s="51">
        <v>0.89</v>
      </c>
      <c r="I30" s="51">
        <v>3.21</v>
      </c>
      <c r="J30" s="51">
        <v>1.04</v>
      </c>
      <c r="K30" s="51">
        <v>273.27</v>
      </c>
      <c r="L30" s="51">
        <v>24.66</v>
      </c>
      <c r="M30" s="51">
        <v>101.58</v>
      </c>
      <c r="N30" s="51">
        <v>2.7</v>
      </c>
      <c r="O30" s="51">
        <v>0</v>
      </c>
      <c r="P30" s="51">
        <v>0.31</v>
      </c>
      <c r="Q30" s="51">
        <v>4.72</v>
      </c>
    </row>
    <row r="31" spans="1:17" customFormat="1">
      <c r="A31" s="50">
        <v>45497.958333333336</v>
      </c>
      <c r="B31" s="51">
        <v>9.34</v>
      </c>
      <c r="C31" s="51">
        <v>4.07</v>
      </c>
      <c r="D31" s="51">
        <v>14.04</v>
      </c>
      <c r="E31" s="51">
        <v>9.0299999999999994</v>
      </c>
      <c r="F31" s="51">
        <v>4.45</v>
      </c>
      <c r="G31" s="51">
        <v>1.37</v>
      </c>
      <c r="H31" s="51">
        <v>0.89</v>
      </c>
      <c r="I31" s="51">
        <v>3.23</v>
      </c>
      <c r="J31" s="51">
        <v>0.86</v>
      </c>
      <c r="K31" s="51">
        <v>274.7</v>
      </c>
      <c r="L31" s="51">
        <v>24.72</v>
      </c>
      <c r="M31" s="51">
        <v>99.51</v>
      </c>
      <c r="N31" s="51">
        <v>2.5</v>
      </c>
      <c r="O31" s="51">
        <v>0</v>
      </c>
      <c r="P31" s="51">
        <v>0.28999999999999998</v>
      </c>
      <c r="Q31" s="27" t="s">
        <v>14</v>
      </c>
    </row>
    <row r="32" spans="1:17" customFormat="1">
      <c r="A32" s="50">
        <v>45498</v>
      </c>
      <c r="B32" s="51">
        <v>9.3000000000000007</v>
      </c>
      <c r="C32" s="51">
        <v>4.0999999999999996</v>
      </c>
      <c r="D32" s="51">
        <v>14.03</v>
      </c>
      <c r="E32" s="51">
        <v>8.89</v>
      </c>
      <c r="F32" s="51">
        <v>4.9400000000000004</v>
      </c>
      <c r="G32" s="51">
        <v>1.38</v>
      </c>
      <c r="H32" s="51">
        <v>0.83</v>
      </c>
      <c r="I32" s="51">
        <v>3.19</v>
      </c>
      <c r="J32" s="51">
        <v>0.7</v>
      </c>
      <c r="K32" s="51">
        <v>274.35000000000002</v>
      </c>
      <c r="L32" s="51">
        <v>24.79</v>
      </c>
      <c r="M32" s="51">
        <v>99.88</v>
      </c>
      <c r="N32" s="51">
        <v>2.4</v>
      </c>
      <c r="O32" s="51">
        <v>0</v>
      </c>
      <c r="P32" s="51">
        <v>0.28999999999999998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9.26</v>
      </c>
      <c r="C34" s="41">
        <f t="shared" si="0"/>
        <v>4.0599999999999996</v>
      </c>
      <c r="D34" s="41">
        <f t="shared" si="0"/>
        <v>14</v>
      </c>
      <c r="E34" s="41">
        <f t="shared" si="0"/>
        <v>5.92</v>
      </c>
      <c r="F34" s="41">
        <f t="shared" si="0"/>
        <v>3.5</v>
      </c>
      <c r="G34" s="41">
        <f t="shared" si="0"/>
        <v>1.37</v>
      </c>
      <c r="H34" s="41">
        <f t="shared" si="0"/>
        <v>0.69</v>
      </c>
      <c r="I34" s="41">
        <f t="shared" si="0"/>
        <v>2.89</v>
      </c>
      <c r="J34" s="41">
        <f t="shared" si="0"/>
        <v>0.7</v>
      </c>
      <c r="K34" s="41">
        <f t="shared" si="0"/>
        <v>272.29000000000002</v>
      </c>
      <c r="L34" s="41">
        <f t="shared" si="0"/>
        <v>23.98</v>
      </c>
      <c r="M34" s="41">
        <f t="shared" si="0"/>
        <v>92.71</v>
      </c>
      <c r="N34" s="41">
        <f t="shared" si="0"/>
        <v>2.4</v>
      </c>
      <c r="O34" s="41">
        <f t="shared" si="0"/>
        <v>0</v>
      </c>
      <c r="P34" s="41">
        <f t="shared" si="0"/>
        <v>0.25</v>
      </c>
      <c r="Q34" s="41">
        <f t="shared" si="0"/>
        <v>4.71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9.35</v>
      </c>
      <c r="C35" s="33">
        <f t="shared" si="1"/>
        <v>4.12</v>
      </c>
      <c r="D35" s="33">
        <f t="shared" si="1"/>
        <v>14.07</v>
      </c>
      <c r="E35" s="33">
        <f t="shared" si="1"/>
        <v>12.58</v>
      </c>
      <c r="F35" s="33">
        <f t="shared" si="1"/>
        <v>4.9400000000000004</v>
      </c>
      <c r="G35" s="33">
        <f t="shared" si="1"/>
        <v>7.78</v>
      </c>
      <c r="H35" s="33">
        <f t="shared" si="1"/>
        <v>1.6</v>
      </c>
      <c r="I35" s="33">
        <f t="shared" si="1"/>
        <v>3.52</v>
      </c>
      <c r="J35" s="33">
        <f t="shared" si="1"/>
        <v>1.25</v>
      </c>
      <c r="K35" s="33">
        <f t="shared" si="1"/>
        <v>282.69</v>
      </c>
      <c r="L35" s="33">
        <f t="shared" si="1"/>
        <v>25.95</v>
      </c>
      <c r="M35" s="33">
        <f t="shared" si="1"/>
        <v>108</v>
      </c>
      <c r="N35" s="33">
        <f t="shared" si="1"/>
        <v>132.19999999999999</v>
      </c>
      <c r="O35" s="33">
        <f t="shared" si="1"/>
        <v>2.4</v>
      </c>
      <c r="P35" s="33">
        <f t="shared" si="1"/>
        <v>0.33</v>
      </c>
      <c r="Q35" s="33">
        <f t="shared" si="1"/>
        <v>4.74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9.3058333333333341</v>
      </c>
      <c r="C36" s="41">
        <f t="shared" si="2"/>
        <v>4.092083333333334</v>
      </c>
      <c r="D36" s="41">
        <f t="shared" si="2"/>
        <v>14.040833333333333</v>
      </c>
      <c r="E36" s="41">
        <f t="shared" si="2"/>
        <v>9.1158333333333346</v>
      </c>
      <c r="F36" s="41">
        <f t="shared" si="2"/>
        <v>3.9591666666666665</v>
      </c>
      <c r="G36" s="41">
        <f t="shared" si="2"/>
        <v>3.3883333333333341</v>
      </c>
      <c r="H36" s="41">
        <f t="shared" si="2"/>
        <v>1.1287499999999999</v>
      </c>
      <c r="I36" s="41">
        <f t="shared" si="2"/>
        <v>3.1579166666666669</v>
      </c>
      <c r="J36" s="41">
        <f t="shared" si="2"/>
        <v>1.0629166666666665</v>
      </c>
      <c r="K36" s="41">
        <f t="shared" si="2"/>
        <v>276.68666666666667</v>
      </c>
      <c r="L36" s="41">
        <f t="shared" si="2"/>
        <v>24.819166666666664</v>
      </c>
      <c r="M36" s="41">
        <f t="shared" si="2"/>
        <v>100.29666666666668</v>
      </c>
      <c r="N36" s="41">
        <f t="shared" si="2"/>
        <v>42.983333333333341</v>
      </c>
      <c r="O36" s="41">
        <f t="shared" si="2"/>
        <v>0.45833333333333326</v>
      </c>
      <c r="P36" s="41">
        <f t="shared" si="2"/>
        <v>0.28458333333333335</v>
      </c>
      <c r="Q36" s="41">
        <f t="shared" si="2"/>
        <v>4.7309090909090914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2.2441550490235874E-2</v>
      </c>
      <c r="C37" s="41">
        <f t="shared" ref="C37:Q37" si="3">STDEV(C9:C32)</f>
        <v>1.4738050920238305E-2</v>
      </c>
      <c r="D37" s="41">
        <f t="shared" si="3"/>
        <v>1.8395809226599998E-2</v>
      </c>
      <c r="E37" s="41">
        <f t="shared" si="3"/>
        <v>2.0787640907345701</v>
      </c>
      <c r="F37" s="41">
        <f t="shared" si="3"/>
        <v>0.35178942153147791</v>
      </c>
      <c r="G37" s="41">
        <f t="shared" si="3"/>
        <v>2.0001057943033387</v>
      </c>
      <c r="H37" s="41">
        <f t="shared" si="3"/>
        <v>0.30429265804342176</v>
      </c>
      <c r="I37" s="41">
        <f t="shared" si="3"/>
        <v>0.21079516467242365</v>
      </c>
      <c r="J37" s="41">
        <f t="shared" si="3"/>
        <v>0.13379020457634466</v>
      </c>
      <c r="K37" s="41">
        <f t="shared" si="3"/>
        <v>2.3863118107149601</v>
      </c>
      <c r="L37" s="41">
        <f t="shared" si="3"/>
        <v>0.56913295357099569</v>
      </c>
      <c r="M37" s="41">
        <f t="shared" si="3"/>
        <v>4.1588749175355559</v>
      </c>
      <c r="N37" s="41">
        <f t="shared" si="3"/>
        <v>46.312367271808057</v>
      </c>
      <c r="O37" s="41">
        <f t="shared" si="3"/>
        <v>0.68392515905499907</v>
      </c>
      <c r="P37" s="41">
        <f t="shared" si="3"/>
        <v>2.0425722629262621E-2</v>
      </c>
      <c r="Q37" s="41">
        <f t="shared" si="3"/>
        <v>1.0444659357342012E-2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P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2" activePane="bottomRight" state="frozen"/>
      <selection activeCell="A9" sqref="A9"/>
      <selection pane="topRight" activeCell="A9" sqref="A9"/>
      <selection pane="bottomLeft" activeCell="A9" sqref="A9"/>
      <selection pane="bottomRight" activeCell="Q37" sqref="Q37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45498.041666666664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45498.041666666664</v>
      </c>
      <c r="B9" s="51">
        <v>9.18</v>
      </c>
      <c r="C9" s="51">
        <v>4.2300000000000004</v>
      </c>
      <c r="D9" s="51">
        <v>14</v>
      </c>
      <c r="E9" s="51">
        <v>9.1</v>
      </c>
      <c r="F9" s="51">
        <v>4.32</v>
      </c>
      <c r="G9" s="51">
        <v>1.48</v>
      </c>
      <c r="H9" s="51">
        <v>0.83</v>
      </c>
      <c r="I9" s="51">
        <v>3.17</v>
      </c>
      <c r="J9" s="51">
        <v>0.83</v>
      </c>
      <c r="K9" s="51">
        <v>274.41000000000003</v>
      </c>
      <c r="L9" s="51">
        <v>24.65</v>
      </c>
      <c r="M9" s="51">
        <v>99.43</v>
      </c>
      <c r="N9" s="51">
        <v>2.2000000000000002</v>
      </c>
      <c r="O9" s="51">
        <v>0</v>
      </c>
      <c r="P9" s="51">
        <v>0.3</v>
      </c>
      <c r="Q9" s="27" t="s">
        <v>14</v>
      </c>
    </row>
    <row r="10" spans="1:21" customFormat="1">
      <c r="A10" s="50">
        <v>45498.083333333336</v>
      </c>
      <c r="B10" s="51">
        <v>9.17</v>
      </c>
      <c r="C10" s="51">
        <v>4.22</v>
      </c>
      <c r="D10" s="51">
        <v>14</v>
      </c>
      <c r="E10" s="51">
        <v>8.5299999999999994</v>
      </c>
      <c r="F10" s="51">
        <v>4.09</v>
      </c>
      <c r="G10" s="51">
        <v>1.49</v>
      </c>
      <c r="H10" s="51">
        <v>0.84</v>
      </c>
      <c r="I10" s="51">
        <v>3.23</v>
      </c>
      <c r="J10" s="51">
        <v>0.98</v>
      </c>
      <c r="K10" s="51">
        <v>276.44</v>
      </c>
      <c r="L10" s="51">
        <v>24.9</v>
      </c>
      <c r="M10" s="51">
        <v>99.07</v>
      </c>
      <c r="N10" s="51">
        <v>2.4</v>
      </c>
      <c r="O10" s="51">
        <v>0</v>
      </c>
      <c r="P10" s="51">
        <v>0.28000000000000003</v>
      </c>
      <c r="Q10" s="27" t="s">
        <v>14</v>
      </c>
    </row>
    <row r="11" spans="1:21" customFormat="1">
      <c r="A11" s="50">
        <v>45498.125</v>
      </c>
      <c r="B11" s="51">
        <v>9.1999999999999993</v>
      </c>
      <c r="C11" s="51">
        <v>4.18</v>
      </c>
      <c r="D11" s="51">
        <v>14</v>
      </c>
      <c r="E11" s="51">
        <v>10.65</v>
      </c>
      <c r="F11" s="51">
        <v>4.9000000000000004</v>
      </c>
      <c r="G11" s="51">
        <v>1.49</v>
      </c>
      <c r="H11" s="51">
        <v>0.84</v>
      </c>
      <c r="I11" s="51">
        <v>3.07</v>
      </c>
      <c r="J11" s="51">
        <v>0.91</v>
      </c>
      <c r="K11" s="51">
        <v>275.89999999999998</v>
      </c>
      <c r="L11" s="51">
        <v>24.93</v>
      </c>
      <c r="M11" s="51">
        <v>95.4</v>
      </c>
      <c r="N11" s="51">
        <v>2.4</v>
      </c>
      <c r="O11" s="51">
        <v>0</v>
      </c>
      <c r="P11" s="51">
        <v>0.26</v>
      </c>
      <c r="Q11" s="27" t="s">
        <v>14</v>
      </c>
    </row>
    <row r="12" spans="1:21" customFormat="1">
      <c r="A12" s="50">
        <v>45498.166666666664</v>
      </c>
      <c r="B12" s="51">
        <v>9.1999999999999993</v>
      </c>
      <c r="C12" s="51">
        <v>4.1900000000000004</v>
      </c>
      <c r="D12" s="51">
        <v>14</v>
      </c>
      <c r="E12" s="51">
        <v>10.97</v>
      </c>
      <c r="F12" s="51">
        <v>3.76</v>
      </c>
      <c r="G12" s="51">
        <v>1.46</v>
      </c>
      <c r="H12" s="51">
        <v>0.82</v>
      </c>
      <c r="I12" s="51">
        <v>2.98</v>
      </c>
      <c r="J12" s="51">
        <v>0.99</v>
      </c>
      <c r="K12" s="51">
        <v>276.70999999999998</v>
      </c>
      <c r="L12" s="51">
        <v>24.96</v>
      </c>
      <c r="M12" s="51">
        <v>96.65</v>
      </c>
      <c r="N12" s="51">
        <v>2.2999999999999998</v>
      </c>
      <c r="O12" s="51">
        <v>0</v>
      </c>
      <c r="P12" s="51">
        <v>0.26</v>
      </c>
      <c r="Q12" s="27" t="s">
        <v>14</v>
      </c>
    </row>
    <row r="13" spans="1:21" customFormat="1">
      <c r="A13" s="50">
        <v>45498.208333333336</v>
      </c>
      <c r="B13" s="51">
        <v>9.2100000000000009</v>
      </c>
      <c r="C13" s="51">
        <v>4.17</v>
      </c>
      <c r="D13" s="51">
        <v>14</v>
      </c>
      <c r="E13" s="51">
        <v>11.74</v>
      </c>
      <c r="F13" s="51">
        <v>3.83</v>
      </c>
      <c r="G13" s="51">
        <v>1.46</v>
      </c>
      <c r="H13" s="51">
        <v>0.81</v>
      </c>
      <c r="I13" s="51">
        <v>2.89</v>
      </c>
      <c r="J13" s="51">
        <v>1.01</v>
      </c>
      <c r="K13" s="51">
        <v>274.79000000000002</v>
      </c>
      <c r="L13" s="51">
        <v>25.02</v>
      </c>
      <c r="M13" s="51">
        <v>95.41</v>
      </c>
      <c r="N13" s="51">
        <v>2.4</v>
      </c>
      <c r="O13" s="51">
        <v>0</v>
      </c>
      <c r="P13" s="51">
        <v>0.26</v>
      </c>
      <c r="Q13" s="27" t="s">
        <v>14</v>
      </c>
    </row>
    <row r="14" spans="1:21" customFormat="1">
      <c r="A14" s="50">
        <v>45498.25</v>
      </c>
      <c r="B14" s="51">
        <v>9.19</v>
      </c>
      <c r="C14" s="51">
        <v>4.1900000000000004</v>
      </c>
      <c r="D14" s="51">
        <v>14</v>
      </c>
      <c r="E14" s="51">
        <v>12.14</v>
      </c>
      <c r="F14" s="51">
        <v>3.57</v>
      </c>
      <c r="G14" s="51">
        <v>1.47</v>
      </c>
      <c r="H14" s="51">
        <v>0.81</v>
      </c>
      <c r="I14" s="51">
        <v>2.78</v>
      </c>
      <c r="J14" s="51">
        <v>0.83</v>
      </c>
      <c r="K14" s="51">
        <v>274.48</v>
      </c>
      <c r="L14" s="51">
        <v>24.87</v>
      </c>
      <c r="M14" s="51">
        <v>95.41</v>
      </c>
      <c r="N14" s="51">
        <v>8.8000000000000007</v>
      </c>
      <c r="O14" s="51">
        <v>0</v>
      </c>
      <c r="P14" s="51">
        <v>0.26</v>
      </c>
      <c r="Q14" s="27" t="s">
        <v>14</v>
      </c>
    </row>
    <row r="15" spans="1:21" customFormat="1">
      <c r="A15" s="50">
        <v>45498.291666666664</v>
      </c>
      <c r="B15" s="51">
        <v>9.2200000000000006</v>
      </c>
      <c r="C15" s="51">
        <v>4.22</v>
      </c>
      <c r="D15" s="51">
        <v>14</v>
      </c>
      <c r="E15" s="51">
        <v>13.03</v>
      </c>
      <c r="F15" s="51">
        <v>3.97</v>
      </c>
      <c r="G15" s="51">
        <v>1.48</v>
      </c>
      <c r="H15" s="51">
        <v>0.79</v>
      </c>
      <c r="I15" s="51">
        <v>2.82</v>
      </c>
      <c r="J15" s="51">
        <v>0.81</v>
      </c>
      <c r="K15" s="51">
        <v>277.12</v>
      </c>
      <c r="L15" s="51">
        <v>24.75</v>
      </c>
      <c r="M15" s="51">
        <v>103.94</v>
      </c>
      <c r="N15" s="51">
        <v>21.2</v>
      </c>
      <c r="O15" s="51">
        <v>0</v>
      </c>
      <c r="P15" s="51">
        <v>0.3</v>
      </c>
      <c r="Q15" s="51">
        <v>4.72</v>
      </c>
    </row>
    <row r="16" spans="1:21" customFormat="1">
      <c r="A16" s="50">
        <v>45498.333333333336</v>
      </c>
      <c r="B16" s="51">
        <v>9.1999999999999993</v>
      </c>
      <c r="C16" s="51">
        <v>4.18</v>
      </c>
      <c r="D16" s="51">
        <v>14</v>
      </c>
      <c r="E16" s="51">
        <v>11.59</v>
      </c>
      <c r="F16" s="51">
        <v>4.16</v>
      </c>
      <c r="G16" s="51">
        <v>1.48</v>
      </c>
      <c r="H16" s="51">
        <v>0.77</v>
      </c>
      <c r="I16" s="51">
        <v>2.94</v>
      </c>
      <c r="J16" s="51">
        <v>0.88</v>
      </c>
      <c r="K16" s="51">
        <v>275.72000000000003</v>
      </c>
      <c r="L16" s="51">
        <v>24.44</v>
      </c>
      <c r="M16" s="51">
        <v>103.99</v>
      </c>
      <c r="N16" s="51">
        <v>31.9</v>
      </c>
      <c r="O16" s="51">
        <v>0</v>
      </c>
      <c r="P16" s="51">
        <v>0.28000000000000003</v>
      </c>
      <c r="Q16" s="27" t="s">
        <v>14</v>
      </c>
    </row>
    <row r="17" spans="1:17" customFormat="1">
      <c r="A17" s="50">
        <v>45498.375</v>
      </c>
      <c r="B17" s="51">
        <v>9.19</v>
      </c>
      <c r="C17" s="51">
        <v>4.22</v>
      </c>
      <c r="D17" s="51">
        <v>14</v>
      </c>
      <c r="E17" s="51">
        <v>10.74</v>
      </c>
      <c r="F17" s="51">
        <v>3.58</v>
      </c>
      <c r="G17" s="51">
        <v>1.47</v>
      </c>
      <c r="H17" s="51">
        <v>0.75</v>
      </c>
      <c r="I17" s="51">
        <v>3.01</v>
      </c>
      <c r="J17" s="51">
        <v>0.79</v>
      </c>
      <c r="K17" s="51">
        <v>273.8</v>
      </c>
      <c r="L17" s="51">
        <v>24.92</v>
      </c>
      <c r="M17" s="51">
        <v>102.77</v>
      </c>
      <c r="N17" s="51">
        <v>88</v>
      </c>
      <c r="O17" s="51">
        <v>0</v>
      </c>
      <c r="P17" s="51">
        <v>0.28999999999999998</v>
      </c>
      <c r="Q17" s="27" t="s">
        <v>14</v>
      </c>
    </row>
    <row r="18" spans="1:17" customFormat="1">
      <c r="A18" s="50">
        <v>45498.416666666664</v>
      </c>
      <c r="B18" s="51">
        <v>9.16</v>
      </c>
      <c r="C18" s="51">
        <v>4.22</v>
      </c>
      <c r="D18" s="51">
        <v>14</v>
      </c>
      <c r="E18" s="51">
        <v>10.66</v>
      </c>
      <c r="F18" s="51">
        <v>4.0599999999999996</v>
      </c>
      <c r="G18" s="51">
        <v>1.49</v>
      </c>
      <c r="H18" s="51">
        <v>0.78</v>
      </c>
      <c r="I18" s="51">
        <v>3.11</v>
      </c>
      <c r="J18" s="51">
        <v>0.98</v>
      </c>
      <c r="K18" s="51">
        <v>279.85000000000002</v>
      </c>
      <c r="L18" s="51">
        <v>25.75</v>
      </c>
      <c r="M18" s="51">
        <v>99.61</v>
      </c>
      <c r="N18" s="51">
        <v>125.5</v>
      </c>
      <c r="O18" s="51">
        <v>0</v>
      </c>
      <c r="P18" s="51">
        <v>0.28999999999999998</v>
      </c>
      <c r="Q18" s="27" t="s">
        <v>14</v>
      </c>
    </row>
    <row r="19" spans="1:17" customFormat="1">
      <c r="A19" s="50">
        <v>45498.458333333336</v>
      </c>
      <c r="B19" s="51">
        <v>9.18</v>
      </c>
      <c r="C19" s="51">
        <v>4.22</v>
      </c>
      <c r="D19" s="51">
        <v>14</v>
      </c>
      <c r="E19" s="51">
        <v>11.02</v>
      </c>
      <c r="F19" s="51">
        <v>4.74</v>
      </c>
      <c r="G19" s="51">
        <v>1.69</v>
      </c>
      <c r="H19" s="51">
        <v>0.78</v>
      </c>
      <c r="I19" s="51">
        <v>3.14</v>
      </c>
      <c r="J19" s="51">
        <v>0.96</v>
      </c>
      <c r="K19" s="51">
        <v>277.43</v>
      </c>
      <c r="L19" s="51">
        <v>25.93</v>
      </c>
      <c r="M19" s="51">
        <v>94.23</v>
      </c>
      <c r="N19" s="51">
        <v>115.1</v>
      </c>
      <c r="O19" s="51">
        <v>0</v>
      </c>
      <c r="P19" s="51">
        <v>0.3</v>
      </c>
      <c r="Q19" s="27" t="s">
        <v>14</v>
      </c>
    </row>
    <row r="20" spans="1:17" customFormat="1">
      <c r="A20" s="50">
        <v>45498.5</v>
      </c>
      <c r="B20" s="51">
        <v>9.19</v>
      </c>
      <c r="C20" s="51">
        <v>4.21</v>
      </c>
      <c r="D20" s="51">
        <v>14</v>
      </c>
      <c r="E20" s="51">
        <v>11.03</v>
      </c>
      <c r="F20" s="51">
        <v>5.74</v>
      </c>
      <c r="G20" s="51">
        <v>1.83</v>
      </c>
      <c r="H20" s="51">
        <v>0.77</v>
      </c>
      <c r="I20" s="51">
        <v>3.16</v>
      </c>
      <c r="J20" s="51">
        <v>0.93</v>
      </c>
      <c r="K20" s="51">
        <v>278.72000000000003</v>
      </c>
      <c r="L20" s="51">
        <v>25.65</v>
      </c>
      <c r="M20" s="51">
        <v>96.66</v>
      </c>
      <c r="N20" s="51">
        <v>66.599999999999994</v>
      </c>
      <c r="O20" s="51">
        <v>0.2</v>
      </c>
      <c r="P20" s="51">
        <v>0.28999999999999998</v>
      </c>
      <c r="Q20" s="27" t="s">
        <v>14</v>
      </c>
    </row>
    <row r="21" spans="1:17" customFormat="1">
      <c r="A21" s="50">
        <v>45498.541666666664</v>
      </c>
      <c r="B21" s="51">
        <v>9.2100000000000009</v>
      </c>
      <c r="C21" s="51">
        <v>4.18</v>
      </c>
      <c r="D21" s="51">
        <v>14</v>
      </c>
      <c r="E21" s="51">
        <v>12.02</v>
      </c>
      <c r="F21" s="51">
        <v>3.74</v>
      </c>
      <c r="G21" s="51">
        <v>1.89</v>
      </c>
      <c r="H21" s="51">
        <v>0.76</v>
      </c>
      <c r="I21" s="51">
        <v>3.09</v>
      </c>
      <c r="J21" s="51">
        <v>0.94</v>
      </c>
      <c r="K21" s="51">
        <v>283.85000000000002</v>
      </c>
      <c r="L21" s="51">
        <v>25.45</v>
      </c>
      <c r="M21" s="51">
        <v>97.29</v>
      </c>
      <c r="N21" s="51">
        <v>54.6</v>
      </c>
      <c r="O21" s="51">
        <v>0</v>
      </c>
      <c r="P21" s="51">
        <v>0.3</v>
      </c>
      <c r="Q21" s="27" t="s">
        <v>14</v>
      </c>
    </row>
    <row r="22" spans="1:17" customFormat="1">
      <c r="A22" s="50">
        <v>45498.583333333336</v>
      </c>
      <c r="B22" s="51">
        <v>9.19</v>
      </c>
      <c r="C22" s="51">
        <v>4.18</v>
      </c>
      <c r="D22" s="51">
        <v>14</v>
      </c>
      <c r="E22" s="51">
        <v>12.53</v>
      </c>
      <c r="F22" s="51">
        <v>3.72</v>
      </c>
      <c r="G22" s="51">
        <v>1.89</v>
      </c>
      <c r="H22" s="51">
        <v>0.77</v>
      </c>
      <c r="I22" s="51">
        <v>3.09</v>
      </c>
      <c r="J22" s="51">
        <v>0.89</v>
      </c>
      <c r="K22" s="51">
        <v>277.18</v>
      </c>
      <c r="L22" s="51">
        <v>26.09</v>
      </c>
      <c r="M22" s="51">
        <v>96.19</v>
      </c>
      <c r="N22" s="51">
        <v>128.19999999999999</v>
      </c>
      <c r="O22" s="51">
        <v>0</v>
      </c>
      <c r="P22" s="51">
        <v>0.3</v>
      </c>
      <c r="Q22" s="27" t="s">
        <v>14</v>
      </c>
    </row>
    <row r="23" spans="1:17" customFormat="1">
      <c r="A23" s="50">
        <v>45498.625</v>
      </c>
      <c r="B23" s="51">
        <v>9.18</v>
      </c>
      <c r="C23" s="51">
        <v>4.2300000000000004</v>
      </c>
      <c r="D23" s="51">
        <v>14</v>
      </c>
      <c r="E23" s="51">
        <v>12.9</v>
      </c>
      <c r="F23" s="51">
        <v>4.21</v>
      </c>
      <c r="G23" s="51">
        <v>3.64</v>
      </c>
      <c r="H23" s="51">
        <v>0.77</v>
      </c>
      <c r="I23" s="51">
        <v>2.95</v>
      </c>
      <c r="J23" s="51">
        <v>0.74</v>
      </c>
      <c r="K23" s="51">
        <v>278.14999999999998</v>
      </c>
      <c r="L23" s="51">
        <v>26.32</v>
      </c>
      <c r="M23" s="51">
        <v>94.95</v>
      </c>
      <c r="N23" s="51">
        <v>131.5</v>
      </c>
      <c r="O23" s="51">
        <v>0</v>
      </c>
      <c r="P23" s="51">
        <v>0.31</v>
      </c>
      <c r="Q23" s="27" t="s">
        <v>14</v>
      </c>
    </row>
    <row r="24" spans="1:17" customFormat="1">
      <c r="A24" s="50">
        <v>45498.666666666664</v>
      </c>
      <c r="B24" s="51">
        <v>9.16</v>
      </c>
      <c r="C24" s="51">
        <v>4.24</v>
      </c>
      <c r="D24" s="51">
        <v>14</v>
      </c>
      <c r="E24" s="51">
        <v>13.36</v>
      </c>
      <c r="F24" s="51">
        <v>3.73</v>
      </c>
      <c r="G24" s="51">
        <v>3.64</v>
      </c>
      <c r="H24" s="51">
        <v>0.84</v>
      </c>
      <c r="I24" s="51">
        <v>2.95</v>
      </c>
      <c r="J24" s="51">
        <v>0.93</v>
      </c>
      <c r="K24" s="51">
        <v>276.56</v>
      </c>
      <c r="L24" s="51">
        <v>26.58</v>
      </c>
      <c r="M24" s="51">
        <v>95.5</v>
      </c>
      <c r="N24" s="51">
        <v>119.7</v>
      </c>
      <c r="O24" s="51">
        <v>0</v>
      </c>
      <c r="P24" s="51">
        <v>0.34</v>
      </c>
      <c r="Q24" s="27" t="s">
        <v>14</v>
      </c>
    </row>
    <row r="25" spans="1:17" customFormat="1">
      <c r="A25" s="50">
        <v>45498.708333333336</v>
      </c>
      <c r="B25" s="51">
        <v>9.1999999999999993</v>
      </c>
      <c r="C25" s="51">
        <v>4.24</v>
      </c>
      <c r="D25" s="51">
        <v>14</v>
      </c>
      <c r="E25" s="51">
        <v>13.38</v>
      </c>
      <c r="F25" s="51">
        <v>5.0199999999999996</v>
      </c>
      <c r="G25" s="51">
        <v>4.8899999999999997</v>
      </c>
      <c r="H25" s="51">
        <v>0.94</v>
      </c>
      <c r="I25" s="51">
        <v>3.01</v>
      </c>
      <c r="J25" s="51">
        <v>0.82</v>
      </c>
      <c r="K25" s="51">
        <v>276.58</v>
      </c>
      <c r="L25" s="51">
        <v>26.74</v>
      </c>
      <c r="M25" s="51">
        <v>97.89</v>
      </c>
      <c r="N25" s="51">
        <v>100.3</v>
      </c>
      <c r="O25" s="51">
        <v>0</v>
      </c>
      <c r="P25" s="51">
        <v>0.34</v>
      </c>
      <c r="Q25" s="27" t="s">
        <v>14</v>
      </c>
    </row>
    <row r="26" spans="1:17" customFormat="1">
      <c r="A26" s="50">
        <v>45498.75</v>
      </c>
      <c r="B26" s="51">
        <v>9.18</v>
      </c>
      <c r="C26" s="51">
        <v>4.22</v>
      </c>
      <c r="D26" s="51">
        <v>14</v>
      </c>
      <c r="E26" s="51">
        <v>11.62</v>
      </c>
      <c r="F26" s="51">
        <v>6.7</v>
      </c>
      <c r="G26" s="51">
        <v>7.46</v>
      </c>
      <c r="H26" s="51">
        <v>0.94</v>
      </c>
      <c r="I26" s="51">
        <v>3.19</v>
      </c>
      <c r="J26" s="51">
        <v>0.81</v>
      </c>
      <c r="K26" s="51">
        <v>276.04000000000002</v>
      </c>
      <c r="L26" s="51">
        <v>26.63</v>
      </c>
      <c r="M26" s="51">
        <v>93.11</v>
      </c>
      <c r="N26" s="51">
        <v>59.4</v>
      </c>
      <c r="O26" s="51">
        <v>0</v>
      </c>
      <c r="P26" s="51">
        <v>0.33</v>
      </c>
      <c r="Q26" s="27" t="s">
        <v>14</v>
      </c>
    </row>
    <row r="27" spans="1:17" customFormat="1">
      <c r="A27" s="50">
        <v>45498.791666666664</v>
      </c>
      <c r="B27" s="51">
        <v>9.18</v>
      </c>
      <c r="C27" s="51">
        <v>4.21</v>
      </c>
      <c r="D27" s="51">
        <v>14</v>
      </c>
      <c r="E27" s="51">
        <v>10.02</v>
      </c>
      <c r="F27" s="51">
        <v>5.68</v>
      </c>
      <c r="G27" s="51">
        <v>7.46</v>
      </c>
      <c r="H27" s="51">
        <v>1.21</v>
      </c>
      <c r="I27" s="51">
        <v>3.18</v>
      </c>
      <c r="J27" s="51">
        <v>0.83</v>
      </c>
      <c r="K27" s="51">
        <v>276.11</v>
      </c>
      <c r="L27" s="51">
        <v>26.15</v>
      </c>
      <c r="M27" s="51">
        <v>95.1</v>
      </c>
      <c r="N27" s="51">
        <v>11.1</v>
      </c>
      <c r="O27" s="51">
        <v>0</v>
      </c>
      <c r="P27" s="51">
        <v>0.33</v>
      </c>
      <c r="Q27" s="27" t="s">
        <v>14</v>
      </c>
    </row>
    <row r="28" spans="1:17" customFormat="1">
      <c r="A28" s="50">
        <v>45498.833333333336</v>
      </c>
      <c r="B28" s="51">
        <v>9.19</v>
      </c>
      <c r="C28" s="51">
        <v>4.2</v>
      </c>
      <c r="D28" s="51">
        <v>14</v>
      </c>
      <c r="E28" s="51">
        <v>10.029999999999999</v>
      </c>
      <c r="F28" s="51">
        <v>6.38</v>
      </c>
      <c r="G28" s="51">
        <v>5.61</v>
      </c>
      <c r="H28" s="51">
        <v>1.23</v>
      </c>
      <c r="I28" s="51">
        <v>3.08</v>
      </c>
      <c r="J28" s="51">
        <v>0.74</v>
      </c>
      <c r="K28" s="51">
        <v>275.45</v>
      </c>
      <c r="L28" s="51">
        <v>25.9</v>
      </c>
      <c r="M28" s="51">
        <v>94.38</v>
      </c>
      <c r="N28" s="51">
        <v>2.4</v>
      </c>
      <c r="O28" s="51">
        <v>0</v>
      </c>
      <c r="P28" s="51">
        <v>0.34</v>
      </c>
      <c r="Q28" s="27" t="s">
        <v>14</v>
      </c>
    </row>
    <row r="29" spans="1:17" customFormat="1">
      <c r="A29" s="50">
        <v>45498.875</v>
      </c>
      <c r="B29" s="51">
        <v>9.18</v>
      </c>
      <c r="C29" s="51">
        <v>4.21</v>
      </c>
      <c r="D29" s="51">
        <v>14</v>
      </c>
      <c r="E29" s="51">
        <v>10.029999999999999</v>
      </c>
      <c r="F29" s="51">
        <v>5.7</v>
      </c>
      <c r="G29" s="51">
        <v>6.29</v>
      </c>
      <c r="H29" s="51">
        <v>1.23</v>
      </c>
      <c r="I29" s="51">
        <v>3.1</v>
      </c>
      <c r="J29" s="51">
        <v>0.83</v>
      </c>
      <c r="K29" s="51">
        <v>275.2</v>
      </c>
      <c r="L29" s="51">
        <v>25.92</v>
      </c>
      <c r="M29" s="51">
        <v>94.5</v>
      </c>
      <c r="N29" s="51">
        <v>2.2999999999999998</v>
      </c>
      <c r="O29" s="51">
        <v>0</v>
      </c>
      <c r="P29" s="51">
        <v>0.33</v>
      </c>
      <c r="Q29" s="27" t="s">
        <v>14</v>
      </c>
    </row>
    <row r="30" spans="1:17" customFormat="1">
      <c r="A30" s="50">
        <v>45498.916666666664</v>
      </c>
      <c r="B30" s="51">
        <v>9.18</v>
      </c>
      <c r="C30" s="51">
        <v>4.1900000000000004</v>
      </c>
      <c r="D30" s="51">
        <v>14</v>
      </c>
      <c r="E30" s="51">
        <v>10.47</v>
      </c>
      <c r="F30" s="51">
        <v>5.97</v>
      </c>
      <c r="G30" s="51">
        <v>7.01</v>
      </c>
      <c r="H30" s="51">
        <v>1.1499999999999999</v>
      </c>
      <c r="I30" s="51">
        <v>3.07</v>
      </c>
      <c r="J30" s="51">
        <v>0.94</v>
      </c>
      <c r="K30" s="51">
        <v>275.24</v>
      </c>
      <c r="L30" s="51">
        <v>25.95</v>
      </c>
      <c r="M30" s="51">
        <v>94.17</v>
      </c>
      <c r="N30" s="51">
        <v>2.4</v>
      </c>
      <c r="O30" s="51">
        <v>0</v>
      </c>
      <c r="P30" s="51">
        <v>0.32</v>
      </c>
      <c r="Q30" s="27" t="s">
        <v>14</v>
      </c>
    </row>
    <row r="31" spans="1:17" customFormat="1">
      <c r="A31" s="50">
        <v>45498.958333333336</v>
      </c>
      <c r="B31" s="51">
        <v>9.18</v>
      </c>
      <c r="C31" s="51">
        <v>4.2</v>
      </c>
      <c r="D31" s="51">
        <v>14</v>
      </c>
      <c r="E31" s="51">
        <v>11.15</v>
      </c>
      <c r="F31" s="51">
        <v>4.3600000000000003</v>
      </c>
      <c r="G31" s="51">
        <v>7.01</v>
      </c>
      <c r="H31" s="51">
        <v>0.94</v>
      </c>
      <c r="I31" s="51">
        <v>3.03</v>
      </c>
      <c r="J31" s="51">
        <v>0.88</v>
      </c>
      <c r="K31" s="51">
        <v>277.47000000000003</v>
      </c>
      <c r="L31" s="51">
        <v>25.95</v>
      </c>
      <c r="M31" s="51">
        <v>93.28</v>
      </c>
      <c r="N31" s="51">
        <v>2.5</v>
      </c>
      <c r="O31" s="51">
        <v>0</v>
      </c>
      <c r="P31" s="51">
        <v>0.32</v>
      </c>
      <c r="Q31" s="27" t="s">
        <v>14</v>
      </c>
    </row>
    <row r="32" spans="1:17" customFormat="1">
      <c r="A32" s="50">
        <v>45499</v>
      </c>
      <c r="B32" s="51">
        <v>9.19</v>
      </c>
      <c r="C32" s="51">
        <v>4.2</v>
      </c>
      <c r="D32" s="51">
        <v>14</v>
      </c>
      <c r="E32" s="51">
        <v>11.78</v>
      </c>
      <c r="F32" s="51">
        <v>4.1900000000000004</v>
      </c>
      <c r="G32" s="51">
        <v>5.53</v>
      </c>
      <c r="H32" s="51">
        <v>0.87</v>
      </c>
      <c r="I32" s="51">
        <v>3.06</v>
      </c>
      <c r="J32" s="51">
        <v>0.92</v>
      </c>
      <c r="K32" s="51">
        <v>277.12</v>
      </c>
      <c r="L32" s="51">
        <v>25.85</v>
      </c>
      <c r="M32" s="51">
        <v>94.56</v>
      </c>
      <c r="N32" s="51">
        <v>2.4</v>
      </c>
      <c r="O32" s="51">
        <v>0</v>
      </c>
      <c r="P32" s="51">
        <v>0.31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9.16</v>
      </c>
      <c r="C34" s="41">
        <f t="shared" si="0"/>
        <v>4.17</v>
      </c>
      <c r="D34" s="41">
        <f t="shared" si="0"/>
        <v>14</v>
      </c>
      <c r="E34" s="41">
        <f t="shared" si="0"/>
        <v>8.5299999999999994</v>
      </c>
      <c r="F34" s="41">
        <f t="shared" si="0"/>
        <v>3.57</v>
      </c>
      <c r="G34" s="41">
        <f t="shared" si="0"/>
        <v>1.46</v>
      </c>
      <c r="H34" s="41">
        <f t="shared" si="0"/>
        <v>0.75</v>
      </c>
      <c r="I34" s="41">
        <f t="shared" si="0"/>
        <v>2.78</v>
      </c>
      <c r="J34" s="41">
        <f t="shared" si="0"/>
        <v>0.74</v>
      </c>
      <c r="K34" s="41">
        <f t="shared" si="0"/>
        <v>273.8</v>
      </c>
      <c r="L34" s="41">
        <f t="shared" si="0"/>
        <v>24.44</v>
      </c>
      <c r="M34" s="41">
        <f t="shared" si="0"/>
        <v>93.11</v>
      </c>
      <c r="N34" s="41">
        <f t="shared" si="0"/>
        <v>2.2000000000000002</v>
      </c>
      <c r="O34" s="41">
        <f t="shared" si="0"/>
        <v>0</v>
      </c>
      <c r="P34" s="41">
        <f t="shared" si="0"/>
        <v>0.26</v>
      </c>
      <c r="Q34" s="41">
        <f t="shared" si="0"/>
        <v>4.72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9.2200000000000006</v>
      </c>
      <c r="C35" s="33">
        <f t="shared" si="1"/>
        <v>4.24</v>
      </c>
      <c r="D35" s="33">
        <f t="shared" si="1"/>
        <v>14</v>
      </c>
      <c r="E35" s="33">
        <f t="shared" si="1"/>
        <v>13.38</v>
      </c>
      <c r="F35" s="33">
        <f t="shared" si="1"/>
        <v>6.7</v>
      </c>
      <c r="G35" s="33">
        <f t="shared" si="1"/>
        <v>7.46</v>
      </c>
      <c r="H35" s="33">
        <f t="shared" si="1"/>
        <v>1.23</v>
      </c>
      <c r="I35" s="33">
        <f t="shared" si="1"/>
        <v>3.23</v>
      </c>
      <c r="J35" s="33">
        <f t="shared" si="1"/>
        <v>1.01</v>
      </c>
      <c r="K35" s="33">
        <f t="shared" si="1"/>
        <v>283.85000000000002</v>
      </c>
      <c r="L35" s="33">
        <f t="shared" si="1"/>
        <v>26.74</v>
      </c>
      <c r="M35" s="33">
        <f t="shared" si="1"/>
        <v>103.99</v>
      </c>
      <c r="N35" s="33">
        <f t="shared" si="1"/>
        <v>131.5</v>
      </c>
      <c r="O35" s="33">
        <f t="shared" si="1"/>
        <v>0.2</v>
      </c>
      <c r="P35" s="33">
        <f t="shared" si="1"/>
        <v>0.34</v>
      </c>
      <c r="Q35" s="33">
        <f t="shared" si="1"/>
        <v>4.72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9.1879166666666681</v>
      </c>
      <c r="C36" s="41">
        <f t="shared" si="2"/>
        <v>4.2062499999999989</v>
      </c>
      <c r="D36" s="41">
        <f t="shared" si="2"/>
        <v>14</v>
      </c>
      <c r="E36" s="41">
        <f t="shared" si="2"/>
        <v>11.270416666666664</v>
      </c>
      <c r="F36" s="41">
        <f t="shared" si="2"/>
        <v>4.5883333333333338</v>
      </c>
      <c r="G36" s="41">
        <f t="shared" si="2"/>
        <v>3.3587500000000006</v>
      </c>
      <c r="H36" s="41">
        <f t="shared" si="2"/>
        <v>0.8849999999999999</v>
      </c>
      <c r="I36" s="41">
        <f t="shared" si="2"/>
        <v>3.0458333333333338</v>
      </c>
      <c r="J36" s="41">
        <f t="shared" si="2"/>
        <v>0.88208333333333311</v>
      </c>
      <c r="K36" s="41">
        <f t="shared" si="2"/>
        <v>276.67999999999995</v>
      </c>
      <c r="L36" s="41">
        <f t="shared" si="2"/>
        <v>25.595833333333331</v>
      </c>
      <c r="M36" s="41">
        <f t="shared" si="2"/>
        <v>96.812083333333348</v>
      </c>
      <c r="N36" s="41">
        <f t="shared" si="2"/>
        <v>45.233333333333348</v>
      </c>
      <c r="O36" s="41">
        <f t="shared" si="2"/>
        <v>8.3333333333333332E-3</v>
      </c>
      <c r="P36" s="41">
        <f t="shared" si="2"/>
        <v>0.30166666666666664</v>
      </c>
      <c r="Q36" s="41">
        <f t="shared" si="2"/>
        <v>4.72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1.4738050920238357E-2</v>
      </c>
      <c r="C37" s="41">
        <f t="shared" ref="C37:P37" si="3">STDEV(C9:C32)</f>
        <v>2.0390215044604594E-2</v>
      </c>
      <c r="D37" s="41">
        <f t="shared" si="3"/>
        <v>0</v>
      </c>
      <c r="E37" s="41">
        <f t="shared" si="3"/>
        <v>1.2673782564521001</v>
      </c>
      <c r="F37" s="41">
        <f t="shared" si="3"/>
        <v>0.94829671868390775</v>
      </c>
      <c r="G37" s="41">
        <f t="shared" si="3"/>
        <v>2.3408346941245957</v>
      </c>
      <c r="H37" s="41">
        <f t="shared" si="3"/>
        <v>0.15681614823680165</v>
      </c>
      <c r="I37" s="41">
        <f t="shared" si="3"/>
        <v>0.11537902253259641</v>
      </c>
      <c r="J37" s="41">
        <f t="shared" si="3"/>
        <v>7.8240385805636817E-2</v>
      </c>
      <c r="K37" s="41">
        <f t="shared" si="3"/>
        <v>2.0808422207919199</v>
      </c>
      <c r="L37" s="41">
        <f t="shared" si="3"/>
        <v>0.68170449205854788</v>
      </c>
      <c r="M37" s="41">
        <f t="shared" si="3"/>
        <v>3.1598045882979826</v>
      </c>
      <c r="N37" s="41">
        <f t="shared" si="3"/>
        <v>50.399117199537841</v>
      </c>
      <c r="O37" s="41">
        <f t="shared" si="3"/>
        <v>4.0824829046386311E-2</v>
      </c>
      <c r="P37" s="41">
        <f t="shared" si="3"/>
        <v>2.632021320560279E-2</v>
      </c>
      <c r="Q37" s="27" t="s">
        <v>14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1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8" activePane="bottomRight" state="frozen"/>
      <selection activeCell="A9" sqref="A9"/>
      <selection pane="topRight" activeCell="A9" sqref="A9"/>
      <selection pane="bottomLeft" activeCell="A9" sqref="A9"/>
      <selection pane="bottomRight" activeCell="Q34" sqref="Q34:Q37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45499.041666666664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45499.041666666664</v>
      </c>
      <c r="B9" s="51">
        <v>9.2799999999999994</v>
      </c>
      <c r="C9" s="51">
        <v>4.0999999999999996</v>
      </c>
      <c r="D9" s="51">
        <v>14.01</v>
      </c>
      <c r="E9" s="51">
        <v>12.59</v>
      </c>
      <c r="F9" s="51">
        <v>3.9</v>
      </c>
      <c r="G9" s="51">
        <v>8.73</v>
      </c>
      <c r="H9" s="51">
        <v>4.3499999999999996</v>
      </c>
      <c r="I9" s="51">
        <v>3.06</v>
      </c>
      <c r="J9" s="51">
        <v>0.96</v>
      </c>
      <c r="K9" s="51">
        <v>277.55</v>
      </c>
      <c r="L9" s="51">
        <v>25.66</v>
      </c>
      <c r="M9" s="51">
        <v>98.22</v>
      </c>
      <c r="N9" s="51">
        <v>2.5</v>
      </c>
      <c r="O9" s="51">
        <v>0</v>
      </c>
      <c r="P9" s="51">
        <v>0.31</v>
      </c>
      <c r="Q9" s="27" t="s">
        <v>14</v>
      </c>
    </row>
    <row r="10" spans="1:21" customFormat="1">
      <c r="A10" s="50">
        <v>45499.083333333336</v>
      </c>
      <c r="B10" s="51">
        <v>9.32</v>
      </c>
      <c r="C10" s="51">
        <v>4.0999999999999996</v>
      </c>
      <c r="D10" s="51">
        <v>14.05</v>
      </c>
      <c r="E10" s="51">
        <v>12.38</v>
      </c>
      <c r="F10" s="51">
        <v>3.81</v>
      </c>
      <c r="G10" s="51">
        <v>8.73</v>
      </c>
      <c r="H10" s="51">
        <v>4.3499999999999996</v>
      </c>
      <c r="I10" s="51">
        <v>3.07</v>
      </c>
      <c r="J10" s="51">
        <v>0.86</v>
      </c>
      <c r="K10" s="51">
        <v>276.08999999999997</v>
      </c>
      <c r="L10" s="51">
        <v>25.36</v>
      </c>
      <c r="M10" s="51">
        <v>101.12</v>
      </c>
      <c r="N10" s="51">
        <v>1.7</v>
      </c>
      <c r="O10" s="51">
        <v>0</v>
      </c>
      <c r="P10" s="51">
        <v>0.34</v>
      </c>
      <c r="Q10" s="27" t="s">
        <v>14</v>
      </c>
    </row>
    <row r="11" spans="1:21" customFormat="1">
      <c r="A11" s="50">
        <v>45499.125</v>
      </c>
      <c r="B11" s="51">
        <v>9.3000000000000007</v>
      </c>
      <c r="C11" s="51">
        <v>4.09</v>
      </c>
      <c r="D11" s="51">
        <v>14.04</v>
      </c>
      <c r="E11" s="51">
        <v>10</v>
      </c>
      <c r="F11" s="51">
        <v>4.18</v>
      </c>
      <c r="G11" s="51">
        <v>9.31</v>
      </c>
      <c r="H11" s="51">
        <v>5.78</v>
      </c>
      <c r="I11" s="51">
        <v>3.14</v>
      </c>
      <c r="J11" s="51">
        <v>0.9</v>
      </c>
      <c r="K11" s="51">
        <v>276.44</v>
      </c>
      <c r="L11" s="51">
        <v>25.5</v>
      </c>
      <c r="M11" s="51">
        <v>97.06</v>
      </c>
      <c r="N11" s="51">
        <v>2.4</v>
      </c>
      <c r="O11" s="51">
        <v>0.2</v>
      </c>
      <c r="P11" s="51">
        <v>0.33</v>
      </c>
      <c r="Q11" s="27" t="s">
        <v>14</v>
      </c>
    </row>
    <row r="12" spans="1:21" customFormat="1">
      <c r="A12" s="50">
        <v>45499.166666666664</v>
      </c>
      <c r="B12" s="51">
        <v>9.31</v>
      </c>
      <c r="C12" s="51">
        <v>4.07</v>
      </c>
      <c r="D12" s="51">
        <v>14.03</v>
      </c>
      <c r="E12" s="51">
        <v>9.74</v>
      </c>
      <c r="F12" s="51">
        <v>4.22</v>
      </c>
      <c r="G12" s="51">
        <v>10.71</v>
      </c>
      <c r="H12" s="51">
        <v>5.78</v>
      </c>
      <c r="I12" s="51">
        <v>3.15</v>
      </c>
      <c r="J12" s="51">
        <v>1.1100000000000001</v>
      </c>
      <c r="K12" s="51">
        <v>277.23</v>
      </c>
      <c r="L12" s="51">
        <v>25.54</v>
      </c>
      <c r="M12" s="51">
        <v>96.46</v>
      </c>
      <c r="N12" s="51">
        <v>2.5</v>
      </c>
      <c r="O12" s="51">
        <v>0</v>
      </c>
      <c r="P12" s="51">
        <v>0.33</v>
      </c>
      <c r="Q12" s="27" t="s">
        <v>14</v>
      </c>
    </row>
    <row r="13" spans="1:21" customFormat="1">
      <c r="A13" s="50">
        <v>45499.208333333336</v>
      </c>
      <c r="B13" s="51">
        <v>9.27</v>
      </c>
      <c r="C13" s="51">
        <v>4.09</v>
      </c>
      <c r="D13" s="51">
        <v>14.02</v>
      </c>
      <c r="E13" s="51">
        <v>9.6300000000000008</v>
      </c>
      <c r="F13" s="51">
        <v>3.98</v>
      </c>
      <c r="G13" s="51">
        <v>23.13</v>
      </c>
      <c r="H13" s="51">
        <v>7.54</v>
      </c>
      <c r="I13" s="51">
        <v>3.17</v>
      </c>
      <c r="J13" s="51">
        <v>1.03</v>
      </c>
      <c r="K13" s="51">
        <v>277.89999999999998</v>
      </c>
      <c r="L13" s="51">
        <v>25.41</v>
      </c>
      <c r="M13" s="51">
        <v>95.36</v>
      </c>
      <c r="N13" s="51">
        <v>2.5</v>
      </c>
      <c r="O13" s="51">
        <v>0</v>
      </c>
      <c r="P13" s="51">
        <v>0.32</v>
      </c>
      <c r="Q13" s="27" t="s">
        <v>14</v>
      </c>
    </row>
    <row r="14" spans="1:21" customFormat="1">
      <c r="A14" s="50">
        <v>45499.25</v>
      </c>
      <c r="B14" s="51">
        <v>9.2899999999999991</v>
      </c>
      <c r="C14" s="51">
        <v>4.08</v>
      </c>
      <c r="D14" s="51">
        <v>14.03</v>
      </c>
      <c r="E14" s="51">
        <v>9.2799999999999994</v>
      </c>
      <c r="F14" s="51">
        <v>3.93</v>
      </c>
      <c r="G14" s="51">
        <v>23.13</v>
      </c>
      <c r="H14" s="51">
        <v>7.54</v>
      </c>
      <c r="I14" s="51">
        <v>3.15</v>
      </c>
      <c r="J14" s="51">
        <v>0.99</v>
      </c>
      <c r="K14" s="51">
        <v>283.13</v>
      </c>
      <c r="L14" s="51">
        <v>25.18</v>
      </c>
      <c r="M14" s="51">
        <v>98.84</v>
      </c>
      <c r="N14" s="51">
        <v>2.9</v>
      </c>
      <c r="O14" s="51">
        <v>0.4</v>
      </c>
      <c r="P14" s="51">
        <v>0.32</v>
      </c>
      <c r="Q14" s="27" t="s">
        <v>14</v>
      </c>
    </row>
    <row r="15" spans="1:21" customFormat="1">
      <c r="A15" s="50">
        <v>45499.291666666664</v>
      </c>
      <c r="B15" s="51">
        <v>9.32</v>
      </c>
      <c r="C15" s="51">
        <v>4.08</v>
      </c>
      <c r="D15" s="51">
        <v>14.05</v>
      </c>
      <c r="E15" s="51">
        <v>9.5500000000000007</v>
      </c>
      <c r="F15" s="51">
        <v>3.7</v>
      </c>
      <c r="G15" s="51">
        <v>22.84</v>
      </c>
      <c r="H15" s="51">
        <v>6.81</v>
      </c>
      <c r="I15" s="51">
        <v>3.16</v>
      </c>
      <c r="J15" s="51">
        <v>0.84</v>
      </c>
      <c r="K15" s="51">
        <v>277.25</v>
      </c>
      <c r="L15" s="51">
        <v>24.53</v>
      </c>
      <c r="M15" s="51">
        <v>103.24</v>
      </c>
      <c r="N15" s="51">
        <v>4.3</v>
      </c>
      <c r="O15" s="51">
        <v>3.4</v>
      </c>
      <c r="P15" s="51">
        <v>0.3</v>
      </c>
      <c r="Q15" s="27" t="s">
        <v>14</v>
      </c>
    </row>
    <row r="16" spans="1:21" customFormat="1">
      <c r="A16" s="50">
        <v>45499.333333333336</v>
      </c>
      <c r="B16" s="51">
        <v>9.2899999999999991</v>
      </c>
      <c r="C16" s="51">
        <v>4.08</v>
      </c>
      <c r="D16" s="51">
        <v>14.03</v>
      </c>
      <c r="E16" s="51">
        <v>9.64</v>
      </c>
      <c r="F16" s="51">
        <v>3.72</v>
      </c>
      <c r="G16" s="51">
        <v>20.99</v>
      </c>
      <c r="H16" s="51">
        <v>6.81</v>
      </c>
      <c r="I16" s="51">
        <v>3.38</v>
      </c>
      <c r="J16" s="51">
        <v>0.93</v>
      </c>
      <c r="K16" s="51">
        <v>278.73</v>
      </c>
      <c r="L16" s="51">
        <v>24.28</v>
      </c>
      <c r="M16" s="51">
        <v>102.53</v>
      </c>
      <c r="N16" s="51">
        <v>5.3</v>
      </c>
      <c r="O16" s="51">
        <v>2</v>
      </c>
      <c r="P16" s="51">
        <v>0.32</v>
      </c>
      <c r="Q16" s="27" t="s">
        <v>14</v>
      </c>
    </row>
    <row r="17" spans="1:17" customFormat="1">
      <c r="A17" s="50">
        <v>45499.375</v>
      </c>
      <c r="B17" s="51">
        <v>9.2899999999999991</v>
      </c>
      <c r="C17" s="51">
        <v>4.0599999999999996</v>
      </c>
      <c r="D17" s="51">
        <v>14.01</v>
      </c>
      <c r="E17" s="51">
        <v>10.15</v>
      </c>
      <c r="F17" s="51">
        <v>3.32</v>
      </c>
      <c r="G17" s="51">
        <v>18.97</v>
      </c>
      <c r="H17" s="51">
        <v>5.86</v>
      </c>
      <c r="I17" s="51">
        <v>3.44</v>
      </c>
      <c r="J17" s="51">
        <v>0.8</v>
      </c>
      <c r="K17" s="51">
        <v>290.31</v>
      </c>
      <c r="L17" s="51">
        <v>24.22</v>
      </c>
      <c r="M17" s="51">
        <v>104.3</v>
      </c>
      <c r="N17" s="51">
        <v>7.9</v>
      </c>
      <c r="O17" s="51">
        <v>1</v>
      </c>
      <c r="P17" s="51">
        <v>0.33</v>
      </c>
      <c r="Q17" s="27" t="s">
        <v>14</v>
      </c>
    </row>
    <row r="18" spans="1:17" customFormat="1">
      <c r="A18" s="50">
        <v>45499.416666666664</v>
      </c>
      <c r="B18" s="51">
        <v>9.2799999999999994</v>
      </c>
      <c r="C18" s="51">
        <v>4.09</v>
      </c>
      <c r="D18" s="51">
        <v>14.02</v>
      </c>
      <c r="E18" s="51">
        <v>11.22</v>
      </c>
      <c r="F18" s="51">
        <v>3.56</v>
      </c>
      <c r="G18" s="51">
        <v>15.11</v>
      </c>
      <c r="H18" s="51">
        <v>5.91</v>
      </c>
      <c r="I18" s="51">
        <v>3.41</v>
      </c>
      <c r="J18" s="51">
        <v>1</v>
      </c>
      <c r="K18" s="51">
        <v>281.67</v>
      </c>
      <c r="L18" s="51">
        <v>24.13</v>
      </c>
      <c r="M18" s="51">
        <v>107.94</v>
      </c>
      <c r="N18" s="51">
        <v>10</v>
      </c>
      <c r="O18" s="51">
        <v>1.2</v>
      </c>
      <c r="P18" s="51">
        <v>0.33</v>
      </c>
      <c r="Q18" s="27" t="s">
        <v>14</v>
      </c>
    </row>
    <row r="19" spans="1:17" customFormat="1">
      <c r="A19" s="50">
        <v>45499.458333333336</v>
      </c>
      <c r="B19" s="51">
        <v>9.2899999999999991</v>
      </c>
      <c r="C19" s="51">
        <v>4.08</v>
      </c>
      <c r="D19" s="51">
        <v>14.02</v>
      </c>
      <c r="E19" s="51">
        <v>13.11</v>
      </c>
      <c r="F19" s="51">
        <v>3.1</v>
      </c>
      <c r="G19" s="51">
        <v>18.72</v>
      </c>
      <c r="H19" s="51">
        <v>7.23</v>
      </c>
      <c r="I19" s="51">
        <v>3.39</v>
      </c>
      <c r="J19" s="51">
        <v>0.82</v>
      </c>
      <c r="K19" s="51">
        <v>286.39999999999998</v>
      </c>
      <c r="L19" s="51">
        <v>24.1</v>
      </c>
      <c r="M19" s="51">
        <v>108.21</v>
      </c>
      <c r="N19" s="51">
        <v>9.5</v>
      </c>
      <c r="O19" s="51">
        <v>1</v>
      </c>
      <c r="P19" s="51">
        <v>0.4</v>
      </c>
      <c r="Q19" s="27" t="s">
        <v>14</v>
      </c>
    </row>
    <row r="20" spans="1:17" customFormat="1">
      <c r="A20" s="50">
        <v>45499.5</v>
      </c>
      <c r="B20" s="51">
        <v>9.33</v>
      </c>
      <c r="C20" s="51">
        <v>4.12</v>
      </c>
      <c r="D20" s="51">
        <v>14.07</v>
      </c>
      <c r="E20" s="51">
        <v>12.83</v>
      </c>
      <c r="F20" s="51">
        <v>3.59</v>
      </c>
      <c r="G20" s="51">
        <v>18.72</v>
      </c>
      <c r="H20" s="51">
        <v>7.98</v>
      </c>
      <c r="I20" s="51">
        <v>4.54</v>
      </c>
      <c r="J20" s="51">
        <v>1.1200000000000001</v>
      </c>
      <c r="K20" s="51">
        <v>289.54000000000002</v>
      </c>
      <c r="L20" s="51">
        <v>24.41</v>
      </c>
      <c r="M20" s="51">
        <v>107.81</v>
      </c>
      <c r="N20" s="51">
        <v>83.1</v>
      </c>
      <c r="O20" s="51">
        <v>0.6</v>
      </c>
      <c r="P20" s="51">
        <v>0.48</v>
      </c>
      <c r="Q20" s="27" t="s">
        <v>14</v>
      </c>
    </row>
    <row r="21" spans="1:17" customFormat="1">
      <c r="A21" s="50">
        <v>45499.541666666664</v>
      </c>
      <c r="B21" s="51">
        <v>9.31</v>
      </c>
      <c r="C21" s="51">
        <v>4.08</v>
      </c>
      <c r="D21" s="51">
        <v>14.04</v>
      </c>
      <c r="E21" s="51">
        <v>10.84</v>
      </c>
      <c r="F21" s="51">
        <v>3.34</v>
      </c>
      <c r="G21" s="51">
        <v>18.920000000000002</v>
      </c>
      <c r="H21" s="51">
        <v>10.62</v>
      </c>
      <c r="I21" s="51">
        <v>5.42</v>
      </c>
      <c r="J21" s="51">
        <v>1.19</v>
      </c>
      <c r="K21" s="51">
        <v>301.32</v>
      </c>
      <c r="L21" s="51">
        <v>24.92</v>
      </c>
      <c r="M21" s="51">
        <v>106.41</v>
      </c>
      <c r="N21" s="51">
        <v>152.5</v>
      </c>
      <c r="O21" s="51">
        <v>0.6</v>
      </c>
      <c r="P21" s="51">
        <v>0.55000000000000004</v>
      </c>
      <c r="Q21" s="27" t="s">
        <v>14</v>
      </c>
    </row>
    <row r="22" spans="1:17" customFormat="1">
      <c r="A22" s="50">
        <v>45499.583333333336</v>
      </c>
      <c r="B22" s="51">
        <v>9.31</v>
      </c>
      <c r="C22" s="51">
        <v>4.08</v>
      </c>
      <c r="D22" s="51">
        <v>14.03</v>
      </c>
      <c r="E22" s="51">
        <v>10.01</v>
      </c>
      <c r="F22" s="51">
        <v>3.49</v>
      </c>
      <c r="G22" s="51">
        <v>24.73</v>
      </c>
      <c r="H22" s="51">
        <v>10.62</v>
      </c>
      <c r="I22" s="51">
        <v>5.8</v>
      </c>
      <c r="J22" s="51">
        <v>1.05</v>
      </c>
      <c r="K22" s="51">
        <v>296.81</v>
      </c>
      <c r="L22" s="51">
        <v>25.24</v>
      </c>
      <c r="M22" s="51">
        <v>105.99</v>
      </c>
      <c r="N22" s="51">
        <v>164</v>
      </c>
      <c r="O22" s="51">
        <v>0.4</v>
      </c>
      <c r="P22" s="51">
        <v>0.56000000000000005</v>
      </c>
      <c r="Q22" s="27" t="s">
        <v>14</v>
      </c>
    </row>
    <row r="23" spans="1:17" customFormat="1">
      <c r="A23" s="50">
        <v>45499.625</v>
      </c>
      <c r="B23" s="51">
        <v>9.31</v>
      </c>
      <c r="C23" s="51">
        <v>4.09</v>
      </c>
      <c r="D23" s="51">
        <v>14.04</v>
      </c>
      <c r="E23" s="51">
        <v>10.11</v>
      </c>
      <c r="F23" s="51">
        <v>3.5</v>
      </c>
      <c r="G23" s="51">
        <v>24.73</v>
      </c>
      <c r="H23" s="51">
        <v>10.74</v>
      </c>
      <c r="I23" s="51">
        <v>5.53</v>
      </c>
      <c r="J23" s="51">
        <v>1.1299999999999999</v>
      </c>
      <c r="K23" s="51">
        <v>281.83999999999997</v>
      </c>
      <c r="L23" s="51">
        <v>25.58</v>
      </c>
      <c r="M23" s="51">
        <v>101.81</v>
      </c>
      <c r="N23" s="51">
        <v>179.6</v>
      </c>
      <c r="O23" s="51">
        <v>0</v>
      </c>
      <c r="P23" s="51">
        <v>0.45</v>
      </c>
      <c r="Q23" s="27" t="s">
        <v>14</v>
      </c>
    </row>
    <row r="24" spans="1:17" customFormat="1">
      <c r="A24" s="50">
        <v>45499.666666666664</v>
      </c>
      <c r="B24" s="51">
        <v>9.3000000000000007</v>
      </c>
      <c r="C24" s="51">
        <v>4.0999999999999996</v>
      </c>
      <c r="D24" s="51">
        <v>14.05</v>
      </c>
      <c r="E24" s="51">
        <v>9.8000000000000007</v>
      </c>
      <c r="F24" s="51">
        <v>3.69</v>
      </c>
      <c r="G24" s="51">
        <v>18.649999999999999</v>
      </c>
      <c r="H24" s="51">
        <v>10.74</v>
      </c>
      <c r="I24" s="51">
        <v>5.44</v>
      </c>
      <c r="J24" s="51">
        <v>0.9</v>
      </c>
      <c r="K24" s="51">
        <v>281.22000000000003</v>
      </c>
      <c r="L24" s="51">
        <v>26.08</v>
      </c>
      <c r="M24" s="51">
        <v>97.8</v>
      </c>
      <c r="N24" s="51">
        <v>133.30000000000001</v>
      </c>
      <c r="O24" s="51">
        <v>0</v>
      </c>
      <c r="P24" s="51">
        <v>0.45</v>
      </c>
      <c r="Q24" s="27" t="s">
        <v>14</v>
      </c>
    </row>
    <row r="25" spans="1:17" customFormat="1">
      <c r="A25" s="50">
        <v>45499.708333333336</v>
      </c>
      <c r="B25" s="51">
        <v>9.31</v>
      </c>
      <c r="C25" s="51">
        <v>4.09</v>
      </c>
      <c r="D25" s="51">
        <v>14.05</v>
      </c>
      <c r="E25" s="51">
        <v>10.39</v>
      </c>
      <c r="F25" s="51">
        <v>3.58</v>
      </c>
      <c r="G25" s="51">
        <v>21.4</v>
      </c>
      <c r="H25" s="51">
        <v>9.6300000000000008</v>
      </c>
      <c r="I25" s="51">
        <v>5.51</v>
      </c>
      <c r="J25" s="51">
        <v>0.81</v>
      </c>
      <c r="K25" s="51">
        <v>278.32</v>
      </c>
      <c r="L25" s="51">
        <v>25.91</v>
      </c>
      <c r="M25" s="51">
        <v>98.73</v>
      </c>
      <c r="N25" s="51">
        <v>53.7</v>
      </c>
      <c r="O25" s="51">
        <v>0</v>
      </c>
      <c r="P25" s="51">
        <v>0.44</v>
      </c>
      <c r="Q25" s="27" t="s">
        <v>14</v>
      </c>
    </row>
    <row r="26" spans="1:17" customFormat="1">
      <c r="A26" s="50">
        <v>45499.75</v>
      </c>
      <c r="B26" s="51">
        <v>9.31</v>
      </c>
      <c r="C26" s="51">
        <v>4.08</v>
      </c>
      <c r="D26" s="51">
        <v>14.04</v>
      </c>
      <c r="E26" s="51">
        <v>10.78</v>
      </c>
      <c r="F26" s="51">
        <v>4.41</v>
      </c>
      <c r="G26" s="51">
        <v>21.4</v>
      </c>
      <c r="H26" s="51">
        <v>8</v>
      </c>
      <c r="I26" s="51">
        <v>5.32</v>
      </c>
      <c r="J26" s="51">
        <v>0.69</v>
      </c>
      <c r="K26" s="51">
        <v>280.13</v>
      </c>
      <c r="L26" s="51">
        <v>25.59</v>
      </c>
      <c r="M26" s="51">
        <v>96.38</v>
      </c>
      <c r="N26" s="51">
        <v>17.2</v>
      </c>
      <c r="O26" s="51">
        <v>0</v>
      </c>
      <c r="P26" s="51">
        <v>0.42</v>
      </c>
      <c r="Q26" s="27" t="s">
        <v>14</v>
      </c>
    </row>
    <row r="27" spans="1:17" customFormat="1">
      <c r="A27" s="50">
        <v>45499.791666666664</v>
      </c>
      <c r="B27" s="51">
        <v>9.3000000000000007</v>
      </c>
      <c r="C27" s="51">
        <v>4.0999999999999996</v>
      </c>
      <c r="D27" s="51">
        <v>14.04</v>
      </c>
      <c r="E27" s="51">
        <v>10.85</v>
      </c>
      <c r="F27" s="51">
        <v>3.67</v>
      </c>
      <c r="G27" s="51">
        <v>17.47</v>
      </c>
      <c r="H27" s="51">
        <v>10.34</v>
      </c>
      <c r="I27" s="51">
        <v>4.9000000000000004</v>
      </c>
      <c r="J27" s="51">
        <v>0.73</v>
      </c>
      <c r="K27" s="51">
        <v>277.20999999999998</v>
      </c>
      <c r="L27" s="51">
        <v>25.56</v>
      </c>
      <c r="M27" s="51">
        <v>99.14</v>
      </c>
      <c r="N27" s="51">
        <v>7.9</v>
      </c>
      <c r="O27" s="51">
        <v>0</v>
      </c>
      <c r="P27" s="51">
        <v>0.38</v>
      </c>
      <c r="Q27" s="27" t="s">
        <v>14</v>
      </c>
    </row>
    <row r="28" spans="1:17" customFormat="1">
      <c r="A28" s="50">
        <v>45499.833333333336</v>
      </c>
      <c r="B28" s="51">
        <v>9.2899999999999991</v>
      </c>
      <c r="C28" s="51">
        <v>4.07</v>
      </c>
      <c r="D28" s="51">
        <v>14.03</v>
      </c>
      <c r="E28" s="51">
        <v>11.05</v>
      </c>
      <c r="F28" s="51">
        <v>3.38</v>
      </c>
      <c r="G28" s="51">
        <v>17.04</v>
      </c>
      <c r="H28" s="51">
        <v>10.34</v>
      </c>
      <c r="I28" s="51">
        <v>4.6100000000000003</v>
      </c>
      <c r="J28" s="51">
        <v>0.83</v>
      </c>
      <c r="K28" s="51">
        <v>282.68</v>
      </c>
      <c r="L28" s="51">
        <v>25.69</v>
      </c>
      <c r="M28" s="51">
        <v>97.61</v>
      </c>
      <c r="N28" s="51">
        <v>2.4</v>
      </c>
      <c r="O28" s="51">
        <v>0</v>
      </c>
      <c r="P28" s="51">
        <v>0.35</v>
      </c>
      <c r="Q28" s="27" t="s">
        <v>14</v>
      </c>
    </row>
    <row r="29" spans="1:17" customFormat="1">
      <c r="A29" s="50">
        <v>45499.875</v>
      </c>
      <c r="B29" s="51">
        <v>9.31</v>
      </c>
      <c r="C29" s="51">
        <v>4.0999999999999996</v>
      </c>
      <c r="D29" s="51">
        <v>14.03</v>
      </c>
      <c r="E29" s="51">
        <v>11.58</v>
      </c>
      <c r="F29" s="51">
        <v>4.79</v>
      </c>
      <c r="G29" s="51">
        <v>13.14</v>
      </c>
      <c r="H29" s="51">
        <v>7.24</v>
      </c>
      <c r="I29" s="51">
        <v>4.41</v>
      </c>
      <c r="J29" s="51">
        <v>0.74</v>
      </c>
      <c r="K29" s="51">
        <v>278.36</v>
      </c>
      <c r="L29" s="51">
        <v>25.66</v>
      </c>
      <c r="M29" s="51">
        <v>101.64</v>
      </c>
      <c r="N29" s="51">
        <v>2.4</v>
      </c>
      <c r="O29" s="51">
        <v>0</v>
      </c>
      <c r="P29" s="51">
        <v>0.36</v>
      </c>
      <c r="Q29" s="27" t="s">
        <v>14</v>
      </c>
    </row>
    <row r="30" spans="1:17" customFormat="1">
      <c r="A30" s="50">
        <v>45499.916666666664</v>
      </c>
      <c r="B30" s="51">
        <v>9.31</v>
      </c>
      <c r="C30" s="51">
        <v>4.08</v>
      </c>
      <c r="D30" s="51">
        <v>14.05</v>
      </c>
      <c r="E30" s="51">
        <v>10.27</v>
      </c>
      <c r="F30" s="51">
        <v>5.43</v>
      </c>
      <c r="G30" s="51">
        <v>13.11</v>
      </c>
      <c r="H30" s="51">
        <v>7.23</v>
      </c>
      <c r="I30" s="51">
        <v>4.28</v>
      </c>
      <c r="J30" s="51">
        <v>0.74</v>
      </c>
      <c r="K30" s="51">
        <v>276.92</v>
      </c>
      <c r="L30" s="51">
        <v>25.64</v>
      </c>
      <c r="M30" s="51">
        <v>101.35</v>
      </c>
      <c r="N30" s="51">
        <v>2.4</v>
      </c>
      <c r="O30" s="51">
        <v>0</v>
      </c>
      <c r="P30" s="51">
        <v>0.32</v>
      </c>
      <c r="Q30" s="27" t="s">
        <v>14</v>
      </c>
    </row>
    <row r="31" spans="1:17" customFormat="1">
      <c r="A31" s="50">
        <v>45499.958333333336</v>
      </c>
      <c r="B31" s="51">
        <v>9.3000000000000007</v>
      </c>
      <c r="C31" s="51">
        <v>4.08</v>
      </c>
      <c r="D31" s="51">
        <v>14.04</v>
      </c>
      <c r="E31" s="51">
        <v>9.94</v>
      </c>
      <c r="F31" s="51">
        <v>3.93</v>
      </c>
      <c r="G31" s="51">
        <v>11.97</v>
      </c>
      <c r="H31" s="51">
        <v>7.23</v>
      </c>
      <c r="I31" s="51">
        <v>4.08</v>
      </c>
      <c r="J31" s="51">
        <v>0.85</v>
      </c>
      <c r="K31" s="51">
        <v>283.95999999999998</v>
      </c>
      <c r="L31" s="51">
        <v>25.69</v>
      </c>
      <c r="M31" s="51">
        <v>97.72</v>
      </c>
      <c r="N31" s="51">
        <v>2.4</v>
      </c>
      <c r="O31" s="51">
        <v>0</v>
      </c>
      <c r="P31" s="51">
        <v>0.32</v>
      </c>
      <c r="Q31" s="27" t="s">
        <v>14</v>
      </c>
    </row>
    <row r="32" spans="1:17" customFormat="1">
      <c r="A32" s="50">
        <v>45500</v>
      </c>
      <c r="B32" s="51">
        <v>9.33</v>
      </c>
      <c r="C32" s="51">
        <v>4.08</v>
      </c>
      <c r="D32" s="51">
        <v>14.06</v>
      </c>
      <c r="E32" s="51">
        <v>9.77</v>
      </c>
      <c r="F32" s="51">
        <v>5.05</v>
      </c>
      <c r="G32" s="51">
        <v>15.03</v>
      </c>
      <c r="H32" s="51">
        <v>5.29</v>
      </c>
      <c r="I32" s="51">
        <v>4.05</v>
      </c>
      <c r="J32" s="51">
        <v>0.8</v>
      </c>
      <c r="K32" s="51">
        <v>279.19</v>
      </c>
      <c r="L32" s="51">
        <v>25.56</v>
      </c>
      <c r="M32" s="51">
        <v>97.09</v>
      </c>
      <c r="N32" s="51">
        <v>2.4</v>
      </c>
      <c r="O32" s="51">
        <v>0</v>
      </c>
      <c r="P32" s="51">
        <v>0.31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P34" si="0">MIN(B9:B32)</f>
        <v>9.27</v>
      </c>
      <c r="C34" s="41">
        <f t="shared" si="0"/>
        <v>4.0599999999999996</v>
      </c>
      <c r="D34" s="41">
        <f t="shared" si="0"/>
        <v>14.01</v>
      </c>
      <c r="E34" s="41">
        <f t="shared" si="0"/>
        <v>9.2799999999999994</v>
      </c>
      <c r="F34" s="41">
        <f t="shared" si="0"/>
        <v>3.1</v>
      </c>
      <c r="G34" s="41">
        <f t="shared" si="0"/>
        <v>8.73</v>
      </c>
      <c r="H34" s="41">
        <f t="shared" si="0"/>
        <v>4.3499999999999996</v>
      </c>
      <c r="I34" s="41">
        <f t="shared" si="0"/>
        <v>3.06</v>
      </c>
      <c r="J34" s="41">
        <f t="shared" si="0"/>
        <v>0.69</v>
      </c>
      <c r="K34" s="41">
        <f t="shared" si="0"/>
        <v>276.08999999999997</v>
      </c>
      <c r="L34" s="41">
        <f t="shared" si="0"/>
        <v>24.1</v>
      </c>
      <c r="M34" s="41">
        <f t="shared" si="0"/>
        <v>95.36</v>
      </c>
      <c r="N34" s="41">
        <f t="shared" si="0"/>
        <v>1.7</v>
      </c>
      <c r="O34" s="41">
        <f t="shared" si="0"/>
        <v>0</v>
      </c>
      <c r="P34" s="41">
        <f t="shared" si="0"/>
        <v>0.3</v>
      </c>
      <c r="Q34" s="27" t="s">
        <v>14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P35" si="1">MAX(B9:B32)</f>
        <v>9.33</v>
      </c>
      <c r="C35" s="33">
        <f t="shared" si="1"/>
        <v>4.12</v>
      </c>
      <c r="D35" s="33">
        <f t="shared" si="1"/>
        <v>14.07</v>
      </c>
      <c r="E35" s="33">
        <f t="shared" si="1"/>
        <v>13.11</v>
      </c>
      <c r="F35" s="33">
        <f t="shared" si="1"/>
        <v>5.43</v>
      </c>
      <c r="G35" s="33">
        <f t="shared" si="1"/>
        <v>24.73</v>
      </c>
      <c r="H35" s="33">
        <f t="shared" si="1"/>
        <v>10.74</v>
      </c>
      <c r="I35" s="33">
        <f t="shared" si="1"/>
        <v>5.8</v>
      </c>
      <c r="J35" s="33">
        <f t="shared" si="1"/>
        <v>1.19</v>
      </c>
      <c r="K35" s="33">
        <f t="shared" si="1"/>
        <v>301.32</v>
      </c>
      <c r="L35" s="33">
        <f t="shared" si="1"/>
        <v>26.08</v>
      </c>
      <c r="M35" s="33">
        <f t="shared" si="1"/>
        <v>108.21</v>
      </c>
      <c r="N35" s="33">
        <f t="shared" si="1"/>
        <v>179.6</v>
      </c>
      <c r="O35" s="33">
        <f t="shared" si="1"/>
        <v>3.4</v>
      </c>
      <c r="P35" s="33">
        <f t="shared" si="1"/>
        <v>0.56000000000000005</v>
      </c>
      <c r="Q35" s="27" t="s">
        <v>14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P36" si="2">AVERAGE(B9:B32)</f>
        <v>9.3025000000000002</v>
      </c>
      <c r="C36" s="41">
        <f t="shared" si="2"/>
        <v>4.0862499999999988</v>
      </c>
      <c r="D36" s="41">
        <f t="shared" si="2"/>
        <v>14.036666666666667</v>
      </c>
      <c r="E36" s="41">
        <f t="shared" si="2"/>
        <v>10.64625</v>
      </c>
      <c r="F36" s="41">
        <f t="shared" si="2"/>
        <v>3.8862500000000009</v>
      </c>
      <c r="G36" s="41">
        <f t="shared" si="2"/>
        <v>17.361666666666661</v>
      </c>
      <c r="H36" s="41">
        <f t="shared" si="2"/>
        <v>7.665</v>
      </c>
      <c r="I36" s="41">
        <f t="shared" si="2"/>
        <v>4.1420833333333329</v>
      </c>
      <c r="J36" s="41">
        <f t="shared" si="2"/>
        <v>0.90916666666666668</v>
      </c>
      <c r="K36" s="41">
        <f t="shared" si="2"/>
        <v>282.09166666666664</v>
      </c>
      <c r="L36" s="41">
        <f t="shared" si="2"/>
        <v>25.22666666666667</v>
      </c>
      <c r="M36" s="41">
        <f t="shared" si="2"/>
        <v>100.94833333333332</v>
      </c>
      <c r="N36" s="41">
        <f t="shared" si="2"/>
        <v>35.616666666666667</v>
      </c>
      <c r="O36" s="41">
        <f t="shared" si="2"/>
        <v>0.44999999999999996</v>
      </c>
      <c r="P36" s="41">
        <f t="shared" si="2"/>
        <v>0.3758333333333333</v>
      </c>
      <c r="Q36" s="27" t="s">
        <v>14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1.5393392145305138E-2</v>
      </c>
      <c r="C37" s="41">
        <f t="shared" ref="C37:P37" si="3">STDEV(C9:C32)</f>
        <v>1.2790111669635132E-2</v>
      </c>
      <c r="D37" s="41">
        <f t="shared" si="3"/>
        <v>1.493949148388629E-2</v>
      </c>
      <c r="E37" s="41">
        <f t="shared" si="3"/>
        <v>1.1144342003709793</v>
      </c>
      <c r="F37" s="41">
        <f t="shared" si="3"/>
        <v>0.5626089266513814</v>
      </c>
      <c r="G37" s="41">
        <f t="shared" si="3"/>
        <v>5.0860710612986759</v>
      </c>
      <c r="H37" s="41">
        <f t="shared" si="3"/>
        <v>2.0648655077794751</v>
      </c>
      <c r="I37" s="41">
        <f t="shared" si="3"/>
        <v>0.97096536080545337</v>
      </c>
      <c r="J37" s="41">
        <f t="shared" si="3"/>
        <v>0.14154171812937141</v>
      </c>
      <c r="K37" s="41">
        <f t="shared" si="3"/>
        <v>6.5587191662281938</v>
      </c>
      <c r="L37" s="41">
        <f t="shared" si="3"/>
        <v>0.60808084893415082</v>
      </c>
      <c r="M37" s="41">
        <f t="shared" si="3"/>
        <v>4.0548057013087044</v>
      </c>
      <c r="N37" s="41">
        <f t="shared" si="3"/>
        <v>59.066496548320465</v>
      </c>
      <c r="O37" s="41">
        <f t="shared" si="3"/>
        <v>0.81347349706968486</v>
      </c>
      <c r="P37" s="41">
        <f t="shared" si="3"/>
        <v>7.6152973430581514E-2</v>
      </c>
      <c r="Q37" s="27" t="s">
        <v>14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0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8" activePane="bottomRight" state="frozen"/>
      <selection activeCell="A9" sqref="A9"/>
      <selection pane="topRight" activeCell="A9" sqref="A9"/>
      <selection pane="bottomLeft" activeCell="A9" sqref="A9"/>
      <selection pane="bottomRight" activeCell="Q39" sqref="Q3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45500.041666666664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45500.041666666664</v>
      </c>
      <c r="B9" s="51">
        <v>9.2899999999999991</v>
      </c>
      <c r="C9" s="51">
        <v>4.12</v>
      </c>
      <c r="D9" s="51">
        <v>14.03</v>
      </c>
      <c r="E9" s="51">
        <v>9.83</v>
      </c>
      <c r="F9" s="51">
        <v>4.57</v>
      </c>
      <c r="G9" s="51">
        <v>15.03</v>
      </c>
      <c r="H9" s="51">
        <v>3.89</v>
      </c>
      <c r="I9" s="51">
        <v>4.21</v>
      </c>
      <c r="J9" s="51">
        <v>0.75</v>
      </c>
      <c r="K9" s="51">
        <v>281.22000000000003</v>
      </c>
      <c r="L9" s="51">
        <v>25.17</v>
      </c>
      <c r="M9" s="51">
        <v>99.96</v>
      </c>
      <c r="N9" s="51">
        <v>2.4</v>
      </c>
      <c r="O9" s="51">
        <v>0.2</v>
      </c>
      <c r="P9" s="51">
        <v>0.31</v>
      </c>
      <c r="Q9" s="27" t="s">
        <v>14</v>
      </c>
    </row>
    <row r="10" spans="1:21" customFormat="1">
      <c r="A10" s="50">
        <v>45500.083333333336</v>
      </c>
      <c r="B10" s="51">
        <v>9.2799999999999994</v>
      </c>
      <c r="C10" s="51">
        <v>4.0999999999999996</v>
      </c>
      <c r="D10" s="51">
        <v>14.03</v>
      </c>
      <c r="E10" s="51">
        <v>9.85</v>
      </c>
      <c r="F10" s="51">
        <v>4.0599999999999996</v>
      </c>
      <c r="G10" s="51">
        <v>12.22</v>
      </c>
      <c r="H10" s="51">
        <v>3.69</v>
      </c>
      <c r="I10" s="51">
        <v>4.12</v>
      </c>
      <c r="J10" s="51">
        <v>0.54</v>
      </c>
      <c r="K10" s="51">
        <v>275.16000000000003</v>
      </c>
      <c r="L10" s="51">
        <v>24.95</v>
      </c>
      <c r="M10" s="51">
        <v>101.13</v>
      </c>
      <c r="N10" s="51">
        <v>2.4</v>
      </c>
      <c r="O10" s="51">
        <v>0.2</v>
      </c>
      <c r="P10" s="51">
        <v>0.28000000000000003</v>
      </c>
      <c r="Q10" s="27" t="s">
        <v>14</v>
      </c>
    </row>
    <row r="11" spans="1:21" customFormat="1">
      <c r="A11" s="50">
        <v>45500.125</v>
      </c>
      <c r="B11" s="51">
        <v>9.26</v>
      </c>
      <c r="C11" s="51">
        <v>4.08</v>
      </c>
      <c r="D11" s="51">
        <v>14</v>
      </c>
      <c r="E11" s="51">
        <v>10.68</v>
      </c>
      <c r="F11" s="51">
        <v>3.46</v>
      </c>
      <c r="G11" s="51">
        <v>11.05</v>
      </c>
      <c r="H11" s="51">
        <v>5.97</v>
      </c>
      <c r="I11" s="51">
        <v>3.91</v>
      </c>
      <c r="J11" s="51">
        <v>0.54</v>
      </c>
      <c r="K11" s="51">
        <v>278.32</v>
      </c>
      <c r="L11" s="51">
        <v>24.91</v>
      </c>
      <c r="M11" s="51">
        <v>101.74</v>
      </c>
      <c r="N11" s="51">
        <v>2.4</v>
      </c>
      <c r="O11" s="51">
        <v>0.2</v>
      </c>
      <c r="P11" s="51">
        <v>0.27</v>
      </c>
      <c r="Q11" s="27" t="s">
        <v>14</v>
      </c>
    </row>
    <row r="12" spans="1:21" customFormat="1">
      <c r="A12" s="50">
        <v>45500.166666666664</v>
      </c>
      <c r="B12" s="51">
        <v>9.26</v>
      </c>
      <c r="C12" s="51">
        <v>4.0999999999999996</v>
      </c>
      <c r="D12" s="51">
        <v>14</v>
      </c>
      <c r="E12" s="51">
        <v>11.28</v>
      </c>
      <c r="F12" s="51">
        <v>3.41</v>
      </c>
      <c r="G12" s="51">
        <v>16.41</v>
      </c>
      <c r="H12" s="51">
        <v>6.44</v>
      </c>
      <c r="I12" s="51">
        <v>3.73</v>
      </c>
      <c r="J12" s="51">
        <v>0.53</v>
      </c>
      <c r="K12" s="51">
        <v>278.08</v>
      </c>
      <c r="L12" s="51">
        <v>24.87</v>
      </c>
      <c r="M12" s="51">
        <v>100.62</v>
      </c>
      <c r="N12" s="51">
        <v>2.5</v>
      </c>
      <c r="O12" s="51">
        <v>0.4</v>
      </c>
      <c r="P12" s="51">
        <v>0.27</v>
      </c>
      <c r="Q12" s="27" t="s">
        <v>14</v>
      </c>
    </row>
    <row r="13" spans="1:21" customFormat="1">
      <c r="A13" s="50">
        <v>45500.208333333336</v>
      </c>
      <c r="B13" s="51">
        <v>9.24</v>
      </c>
      <c r="C13" s="51">
        <v>4.13</v>
      </c>
      <c r="D13" s="51">
        <v>14</v>
      </c>
      <c r="E13" s="51">
        <v>11.75</v>
      </c>
      <c r="F13" s="51">
        <v>3.15</v>
      </c>
      <c r="G13" s="51">
        <v>16.41</v>
      </c>
      <c r="H13" s="51">
        <v>6.44</v>
      </c>
      <c r="I13" s="51">
        <v>3.77</v>
      </c>
      <c r="J13" s="51">
        <v>0.51</v>
      </c>
      <c r="K13" s="51">
        <v>277.02999999999997</v>
      </c>
      <c r="L13" s="51">
        <v>24.82</v>
      </c>
      <c r="M13" s="51">
        <v>100.55</v>
      </c>
      <c r="N13" s="51">
        <v>2.7</v>
      </c>
      <c r="O13" s="51">
        <v>0</v>
      </c>
      <c r="P13" s="51">
        <v>0.28000000000000003</v>
      </c>
      <c r="Q13" s="27" t="s">
        <v>14</v>
      </c>
    </row>
    <row r="14" spans="1:21" customFormat="1">
      <c r="A14" s="50">
        <v>45500.25</v>
      </c>
      <c r="B14" s="51">
        <v>9.2200000000000006</v>
      </c>
      <c r="C14" s="51">
        <v>4.1399999999999997</v>
      </c>
      <c r="D14" s="51">
        <v>14</v>
      </c>
      <c r="E14" s="51">
        <v>12.69</v>
      </c>
      <c r="F14" s="51">
        <v>2.96</v>
      </c>
      <c r="G14" s="51">
        <v>12.24</v>
      </c>
      <c r="H14" s="51">
        <v>5.38</v>
      </c>
      <c r="I14" s="51">
        <v>3.68</v>
      </c>
      <c r="J14" s="51">
        <v>0.54</v>
      </c>
      <c r="K14" s="51">
        <v>278.63</v>
      </c>
      <c r="L14" s="51">
        <v>24.92</v>
      </c>
      <c r="M14" s="51">
        <v>106.08</v>
      </c>
      <c r="N14" s="51">
        <v>4.0999999999999996</v>
      </c>
      <c r="O14" s="51">
        <v>1.6</v>
      </c>
      <c r="P14" s="51">
        <v>0.31</v>
      </c>
      <c r="Q14" s="27" t="s">
        <v>14</v>
      </c>
    </row>
    <row r="15" spans="1:21" customFormat="1">
      <c r="A15" s="50">
        <v>45500.291666666664</v>
      </c>
      <c r="B15" s="51">
        <v>9.2799999999999994</v>
      </c>
      <c r="C15" s="51">
        <v>4.09</v>
      </c>
      <c r="D15" s="51">
        <v>14.03</v>
      </c>
      <c r="E15" s="51">
        <v>12.09</v>
      </c>
      <c r="F15" s="51">
        <v>3.39</v>
      </c>
      <c r="G15" s="51">
        <v>10.65</v>
      </c>
      <c r="H15" s="51">
        <v>5.13</v>
      </c>
      <c r="I15" s="51">
        <v>4.01</v>
      </c>
      <c r="J15" s="51">
        <v>0.6</v>
      </c>
      <c r="K15" s="51">
        <v>277.8</v>
      </c>
      <c r="L15" s="51">
        <v>24.67</v>
      </c>
      <c r="M15" s="51">
        <v>106.18</v>
      </c>
      <c r="N15" s="51">
        <v>18.899999999999999</v>
      </c>
      <c r="O15" s="51">
        <v>0</v>
      </c>
      <c r="P15" s="51">
        <v>0.34</v>
      </c>
      <c r="Q15" s="27" t="s">
        <v>14</v>
      </c>
    </row>
    <row r="16" spans="1:21" customFormat="1">
      <c r="A16" s="50">
        <v>45500.333333333336</v>
      </c>
      <c r="B16" s="51">
        <v>9.25</v>
      </c>
      <c r="C16" s="51">
        <v>4.12</v>
      </c>
      <c r="D16" s="51">
        <v>14</v>
      </c>
      <c r="E16" s="51">
        <v>11.14</v>
      </c>
      <c r="F16" s="51">
        <v>3.23</v>
      </c>
      <c r="G16" s="51">
        <v>10.71</v>
      </c>
      <c r="H16" s="51">
        <v>7.38</v>
      </c>
      <c r="I16" s="51">
        <v>4.42</v>
      </c>
      <c r="J16" s="51">
        <v>0.7</v>
      </c>
      <c r="K16" s="51">
        <v>279.58999999999997</v>
      </c>
      <c r="L16" s="51">
        <v>24.86</v>
      </c>
      <c r="M16" s="51">
        <v>105.76</v>
      </c>
      <c r="N16" s="51">
        <v>24.1</v>
      </c>
      <c r="O16" s="51">
        <v>0</v>
      </c>
      <c r="P16" s="51">
        <v>0.39</v>
      </c>
      <c r="Q16" s="27" t="s">
        <v>14</v>
      </c>
    </row>
    <row r="17" spans="1:17" customFormat="1">
      <c r="A17" s="50">
        <v>45500.375</v>
      </c>
      <c r="B17" s="51">
        <v>9.24</v>
      </c>
      <c r="C17" s="51">
        <v>4.13</v>
      </c>
      <c r="D17" s="51">
        <v>14</v>
      </c>
      <c r="E17" s="51">
        <v>10.9</v>
      </c>
      <c r="F17" s="51">
        <v>3.08</v>
      </c>
      <c r="G17" s="51">
        <v>17.2</v>
      </c>
      <c r="H17" s="51">
        <v>7.38</v>
      </c>
      <c r="I17" s="51">
        <v>4.8899999999999997</v>
      </c>
      <c r="J17" s="51">
        <v>0.56999999999999995</v>
      </c>
      <c r="K17" s="51">
        <v>278.58999999999997</v>
      </c>
      <c r="L17" s="51">
        <v>25.2</v>
      </c>
      <c r="M17" s="51">
        <v>102.55</v>
      </c>
      <c r="N17" s="51">
        <v>54.8</v>
      </c>
      <c r="O17" s="51">
        <v>0.2</v>
      </c>
      <c r="P17" s="51">
        <v>0.45</v>
      </c>
      <c r="Q17" s="27" t="s">
        <v>14</v>
      </c>
    </row>
    <row r="18" spans="1:17" customFormat="1">
      <c r="A18" s="50">
        <v>45500.416666666664</v>
      </c>
      <c r="B18" s="51">
        <v>9.24</v>
      </c>
      <c r="C18" s="51">
        <v>4.12</v>
      </c>
      <c r="D18" s="51">
        <v>14</v>
      </c>
      <c r="E18" s="51">
        <v>10.76</v>
      </c>
      <c r="F18" s="51">
        <v>3.28</v>
      </c>
      <c r="G18" s="51">
        <v>19.940000000000001</v>
      </c>
      <c r="H18" s="51">
        <v>6.98</v>
      </c>
      <c r="I18" s="51">
        <v>6.06</v>
      </c>
      <c r="J18" s="51">
        <v>0.7</v>
      </c>
      <c r="K18" s="51">
        <v>281.73</v>
      </c>
      <c r="L18" s="51">
        <v>25.66</v>
      </c>
      <c r="M18" s="51">
        <v>100.89</v>
      </c>
      <c r="N18" s="51">
        <v>73.900000000000006</v>
      </c>
      <c r="O18" s="51">
        <v>0</v>
      </c>
      <c r="P18" s="51">
        <v>0.48</v>
      </c>
      <c r="Q18" s="27" t="s">
        <v>14</v>
      </c>
    </row>
    <row r="19" spans="1:17" customFormat="1">
      <c r="A19" s="50">
        <v>45500.458333333336</v>
      </c>
      <c r="B19" s="51">
        <v>9.3000000000000007</v>
      </c>
      <c r="C19" s="51">
        <v>4.1100000000000003</v>
      </c>
      <c r="D19" s="51">
        <v>14.05</v>
      </c>
      <c r="E19" s="51">
        <v>10.46</v>
      </c>
      <c r="F19" s="51">
        <v>3.77</v>
      </c>
      <c r="G19" s="51">
        <v>27.58</v>
      </c>
      <c r="H19" s="51">
        <v>9.7100000000000009</v>
      </c>
      <c r="I19" s="51">
        <v>6.05</v>
      </c>
      <c r="J19" s="51">
        <v>0.89</v>
      </c>
      <c r="K19" s="51">
        <v>285.69</v>
      </c>
      <c r="L19" s="51">
        <v>26.42</v>
      </c>
      <c r="M19" s="51">
        <v>97.2</v>
      </c>
      <c r="N19" s="51">
        <v>163.9</v>
      </c>
      <c r="O19" s="51">
        <v>0</v>
      </c>
      <c r="P19" s="51">
        <v>0.48</v>
      </c>
      <c r="Q19" s="27" t="s">
        <v>14</v>
      </c>
    </row>
    <row r="20" spans="1:17" customFormat="1">
      <c r="A20" s="50">
        <v>45500.5</v>
      </c>
      <c r="B20" s="51">
        <v>9.31</v>
      </c>
      <c r="C20" s="51">
        <v>4.1100000000000003</v>
      </c>
      <c r="D20" s="51">
        <v>14.06</v>
      </c>
      <c r="E20" s="51">
        <v>10.91</v>
      </c>
      <c r="F20" s="51">
        <v>4.01</v>
      </c>
      <c r="G20" s="51">
        <v>28</v>
      </c>
      <c r="H20" s="51">
        <v>9.7100000000000009</v>
      </c>
      <c r="I20" s="51">
        <v>5.9</v>
      </c>
      <c r="J20" s="51">
        <v>0.87</v>
      </c>
      <c r="K20" s="51">
        <v>282.68</v>
      </c>
      <c r="L20" s="51">
        <v>26.32</v>
      </c>
      <c r="M20" s="51">
        <v>101.23</v>
      </c>
      <c r="N20" s="51">
        <v>72</v>
      </c>
      <c r="O20" s="51">
        <v>1.8</v>
      </c>
      <c r="P20" s="51">
        <v>0.47</v>
      </c>
      <c r="Q20" s="27" t="s">
        <v>14</v>
      </c>
    </row>
    <row r="21" spans="1:17" customFormat="1">
      <c r="A21" s="50">
        <v>45500.541666666664</v>
      </c>
      <c r="B21" s="51">
        <v>9.25</v>
      </c>
      <c r="C21" s="51">
        <v>4.1100000000000003</v>
      </c>
      <c r="D21" s="51">
        <v>14.01</v>
      </c>
      <c r="E21" s="51">
        <v>11.36</v>
      </c>
      <c r="F21" s="51">
        <v>4.6900000000000004</v>
      </c>
      <c r="G21" s="51">
        <v>28</v>
      </c>
      <c r="H21" s="51">
        <v>9.35</v>
      </c>
      <c r="I21" s="51">
        <v>6.24</v>
      </c>
      <c r="J21" s="51">
        <v>1.02</v>
      </c>
      <c r="K21" s="51">
        <v>284.61</v>
      </c>
      <c r="L21" s="51">
        <v>27.19</v>
      </c>
      <c r="M21" s="51">
        <v>101.38</v>
      </c>
      <c r="N21" s="51">
        <v>384</v>
      </c>
      <c r="O21" s="51">
        <v>0.2</v>
      </c>
      <c r="P21" s="51">
        <v>0.49</v>
      </c>
      <c r="Q21" s="27" t="s">
        <v>14</v>
      </c>
    </row>
    <row r="22" spans="1:17" customFormat="1">
      <c r="A22" s="50">
        <v>45500.583333333336</v>
      </c>
      <c r="B22" s="51">
        <v>9.25</v>
      </c>
      <c r="C22" s="51">
        <v>4.13</v>
      </c>
      <c r="D22" s="51">
        <v>14.02</v>
      </c>
      <c r="E22" s="51">
        <v>11.57</v>
      </c>
      <c r="F22" s="51">
        <v>6.12</v>
      </c>
      <c r="G22" s="51">
        <v>28.94</v>
      </c>
      <c r="H22" s="51">
        <v>9.25</v>
      </c>
      <c r="I22" s="51">
        <v>6.24</v>
      </c>
      <c r="J22" s="51">
        <v>1.07</v>
      </c>
      <c r="K22" s="51">
        <v>281.06</v>
      </c>
      <c r="L22" s="51">
        <v>27.64</v>
      </c>
      <c r="M22" s="51">
        <v>93.37</v>
      </c>
      <c r="N22" s="51">
        <v>294.2</v>
      </c>
      <c r="O22" s="51">
        <v>0</v>
      </c>
      <c r="P22" s="51">
        <v>0.52</v>
      </c>
      <c r="Q22" s="27" t="s">
        <v>14</v>
      </c>
    </row>
    <row r="23" spans="1:17" customFormat="1">
      <c r="A23" s="50">
        <v>45500.625</v>
      </c>
      <c r="B23" s="51">
        <v>9.41</v>
      </c>
      <c r="C23" s="51">
        <v>4.12</v>
      </c>
      <c r="D23" s="51">
        <v>14.14</v>
      </c>
      <c r="E23" s="51">
        <v>11.11</v>
      </c>
      <c r="F23" s="51">
        <v>9.1199999999999992</v>
      </c>
      <c r="G23" s="51">
        <v>28.94</v>
      </c>
      <c r="H23" s="51">
        <v>9.25</v>
      </c>
      <c r="I23" s="51">
        <v>7.39</v>
      </c>
      <c r="J23" s="51">
        <v>0.9</v>
      </c>
      <c r="K23" s="51">
        <v>282.24</v>
      </c>
      <c r="L23" s="51">
        <v>27.46</v>
      </c>
      <c r="M23" s="51">
        <v>99.57</v>
      </c>
      <c r="N23" s="51">
        <v>144.5</v>
      </c>
      <c r="O23" s="51">
        <v>0</v>
      </c>
      <c r="P23" s="51">
        <v>0.65</v>
      </c>
      <c r="Q23" s="51">
        <v>4.6399999999999997</v>
      </c>
    </row>
    <row r="24" spans="1:17" customFormat="1">
      <c r="A24" s="50">
        <v>45500.666666666664</v>
      </c>
      <c r="B24" s="51">
        <v>9.4600000000000009</v>
      </c>
      <c r="C24" s="51">
        <v>4.08</v>
      </c>
      <c r="D24" s="51">
        <v>14.15</v>
      </c>
      <c r="E24" s="51">
        <v>11.93</v>
      </c>
      <c r="F24" s="51">
        <v>11.85</v>
      </c>
      <c r="G24" s="51">
        <v>39.74</v>
      </c>
      <c r="H24" s="51">
        <v>35.159999999999997</v>
      </c>
      <c r="I24" s="51">
        <v>6.6</v>
      </c>
      <c r="J24" s="51">
        <v>1.02</v>
      </c>
      <c r="K24" s="51">
        <v>279.06</v>
      </c>
      <c r="L24" s="51">
        <v>27.09</v>
      </c>
      <c r="M24" s="51">
        <v>99.81</v>
      </c>
      <c r="N24" s="51">
        <v>97.7</v>
      </c>
      <c r="O24" s="51">
        <v>0</v>
      </c>
      <c r="P24" s="51">
        <v>0.67</v>
      </c>
      <c r="Q24" s="51">
        <v>4.6500000000000004</v>
      </c>
    </row>
    <row r="25" spans="1:17" customFormat="1">
      <c r="A25" s="50">
        <v>45500.708333333336</v>
      </c>
      <c r="B25" s="51">
        <v>9.44</v>
      </c>
      <c r="C25" s="51">
        <v>4.07</v>
      </c>
      <c r="D25" s="51">
        <v>14.14</v>
      </c>
      <c r="E25" s="51">
        <v>11.52</v>
      </c>
      <c r="F25" s="51">
        <v>10.76</v>
      </c>
      <c r="G25" s="51">
        <v>39.74</v>
      </c>
      <c r="H25" s="51">
        <v>35.159999999999997</v>
      </c>
      <c r="I25" s="51">
        <v>6.17</v>
      </c>
      <c r="J25" s="51">
        <v>0.98</v>
      </c>
      <c r="K25" s="51">
        <v>280.95999999999998</v>
      </c>
      <c r="L25" s="51">
        <v>26.78</v>
      </c>
      <c r="M25" s="51">
        <v>99.27</v>
      </c>
      <c r="N25" s="51">
        <v>66.8</v>
      </c>
      <c r="O25" s="51">
        <v>0</v>
      </c>
      <c r="P25" s="51">
        <v>0.61</v>
      </c>
      <c r="Q25" s="51">
        <v>4.67</v>
      </c>
    </row>
    <row r="26" spans="1:17" customFormat="1">
      <c r="A26" s="50">
        <v>45500.75</v>
      </c>
      <c r="B26" s="51">
        <v>9.4499999999999993</v>
      </c>
      <c r="C26" s="51">
        <v>4.08</v>
      </c>
      <c r="D26" s="51">
        <v>14.15</v>
      </c>
      <c r="E26" s="51">
        <v>8.2799999999999994</v>
      </c>
      <c r="F26" s="51">
        <v>6.69</v>
      </c>
      <c r="G26" s="51">
        <v>31.73</v>
      </c>
      <c r="H26" s="51">
        <v>21.67</v>
      </c>
      <c r="I26" s="51">
        <v>5.49</v>
      </c>
      <c r="J26" s="51">
        <v>0.94</v>
      </c>
      <c r="K26" s="51">
        <v>281.69</v>
      </c>
      <c r="L26" s="51">
        <v>26.4</v>
      </c>
      <c r="M26" s="51">
        <v>99.04</v>
      </c>
      <c r="N26" s="51">
        <v>27.5</v>
      </c>
      <c r="O26" s="51">
        <v>0</v>
      </c>
      <c r="P26" s="51">
        <v>0.54</v>
      </c>
      <c r="Q26" s="51">
        <v>4.68</v>
      </c>
    </row>
    <row r="27" spans="1:17" customFormat="1">
      <c r="A27" s="50">
        <v>45500.791666666664</v>
      </c>
      <c r="B27" s="51">
        <v>9.39</v>
      </c>
      <c r="C27" s="51">
        <v>4.08</v>
      </c>
      <c r="D27" s="51">
        <v>14.1</v>
      </c>
      <c r="E27" s="51">
        <v>7.08</v>
      </c>
      <c r="F27" s="51">
        <v>6.06</v>
      </c>
      <c r="G27" s="51">
        <v>31.39</v>
      </c>
      <c r="H27" s="51">
        <v>19.93</v>
      </c>
      <c r="I27" s="51">
        <v>5.2</v>
      </c>
      <c r="J27" s="51">
        <v>0.96</v>
      </c>
      <c r="K27" s="51">
        <v>278.39999999999998</v>
      </c>
      <c r="L27" s="51">
        <v>26.13</v>
      </c>
      <c r="M27" s="51">
        <v>98.72</v>
      </c>
      <c r="N27" s="51">
        <v>6.3</v>
      </c>
      <c r="O27" s="51">
        <v>0</v>
      </c>
      <c r="P27" s="51">
        <v>0.51</v>
      </c>
      <c r="Q27" s="51">
        <v>4.67</v>
      </c>
    </row>
    <row r="28" spans="1:17" customFormat="1">
      <c r="A28" s="50">
        <v>45500.833333333336</v>
      </c>
      <c r="B28" s="51">
        <v>9.41</v>
      </c>
      <c r="C28" s="51">
        <v>4.07</v>
      </c>
      <c r="D28" s="51">
        <v>14.11</v>
      </c>
      <c r="E28" s="51">
        <v>7.6</v>
      </c>
      <c r="F28" s="51">
        <v>6.56</v>
      </c>
      <c r="G28" s="51">
        <v>31.39</v>
      </c>
      <c r="H28" s="51">
        <v>14.49</v>
      </c>
      <c r="I28" s="51">
        <v>4.9800000000000004</v>
      </c>
      <c r="J28" s="51">
        <v>0.86</v>
      </c>
      <c r="K28" s="51">
        <v>277.73</v>
      </c>
      <c r="L28" s="51">
        <v>25.98</v>
      </c>
      <c r="M28" s="51">
        <v>98.23</v>
      </c>
      <c r="N28" s="51">
        <v>2.4</v>
      </c>
      <c r="O28" s="51">
        <v>0</v>
      </c>
      <c r="P28" s="51">
        <v>0.48</v>
      </c>
      <c r="Q28" s="51">
        <v>4.66</v>
      </c>
    </row>
    <row r="29" spans="1:17" customFormat="1">
      <c r="A29" s="50">
        <v>45500.875</v>
      </c>
      <c r="B29" s="51">
        <v>9.41</v>
      </c>
      <c r="C29" s="51">
        <v>4.12</v>
      </c>
      <c r="D29" s="51">
        <v>14.12</v>
      </c>
      <c r="E29" s="51">
        <v>9.3699999999999992</v>
      </c>
      <c r="F29" s="51">
        <v>3.71</v>
      </c>
      <c r="G29" s="51">
        <v>23.7</v>
      </c>
      <c r="H29" s="51">
        <v>10.93</v>
      </c>
      <c r="I29" s="51">
        <v>4.7699999999999996</v>
      </c>
      <c r="J29" s="51">
        <v>0.69</v>
      </c>
      <c r="K29" s="51">
        <v>277.19</v>
      </c>
      <c r="L29" s="51">
        <v>25.98</v>
      </c>
      <c r="M29" s="51">
        <v>101.83</v>
      </c>
      <c r="N29" s="51">
        <v>3.3</v>
      </c>
      <c r="O29" s="51">
        <v>0.4</v>
      </c>
      <c r="P29" s="51">
        <v>0.44</v>
      </c>
      <c r="Q29" s="51">
        <v>4.6500000000000004</v>
      </c>
    </row>
    <row r="30" spans="1:17" customFormat="1">
      <c r="A30" s="50">
        <v>45500.916666666664</v>
      </c>
      <c r="B30" s="51">
        <v>9.33</v>
      </c>
      <c r="C30" s="51">
        <v>4.08</v>
      </c>
      <c r="D30" s="51">
        <v>14.06</v>
      </c>
      <c r="E30" s="51">
        <v>10.029999999999999</v>
      </c>
      <c r="F30" s="51">
        <v>3.82</v>
      </c>
      <c r="G30" s="51">
        <v>23.7</v>
      </c>
      <c r="H30" s="51">
        <v>8.2100000000000009</v>
      </c>
      <c r="I30" s="51">
        <v>4.34</v>
      </c>
      <c r="J30" s="51">
        <v>0.5</v>
      </c>
      <c r="K30" s="51">
        <v>276.18</v>
      </c>
      <c r="L30" s="51">
        <v>25.37</v>
      </c>
      <c r="M30" s="51">
        <v>105.65</v>
      </c>
      <c r="N30" s="51">
        <v>2.7</v>
      </c>
      <c r="O30" s="51">
        <v>0.2</v>
      </c>
      <c r="P30" s="51">
        <v>0.41</v>
      </c>
      <c r="Q30" s="51">
        <v>4.66</v>
      </c>
    </row>
    <row r="31" spans="1:17" customFormat="1">
      <c r="A31" s="50">
        <v>45500.958333333336</v>
      </c>
      <c r="B31" s="51">
        <v>9.35</v>
      </c>
      <c r="C31" s="51">
        <v>4.08</v>
      </c>
      <c r="D31" s="51">
        <v>14.07</v>
      </c>
      <c r="E31" s="51">
        <v>11</v>
      </c>
      <c r="F31" s="51">
        <v>3.87</v>
      </c>
      <c r="G31" s="51">
        <v>17.27</v>
      </c>
      <c r="H31" s="51">
        <v>6.61</v>
      </c>
      <c r="I31" s="51">
        <v>4.08</v>
      </c>
      <c r="J31" s="51">
        <v>0.68</v>
      </c>
      <c r="K31" s="51">
        <v>280.3</v>
      </c>
      <c r="L31" s="51">
        <v>25.47</v>
      </c>
      <c r="M31" s="51">
        <v>106.95</v>
      </c>
      <c r="N31" s="51">
        <v>3</v>
      </c>
      <c r="O31" s="51">
        <v>0</v>
      </c>
      <c r="P31" s="51">
        <v>0.4</v>
      </c>
      <c r="Q31" s="51">
        <v>4.6500000000000004</v>
      </c>
    </row>
    <row r="32" spans="1:17" customFormat="1">
      <c r="A32" s="50">
        <v>45501</v>
      </c>
      <c r="B32" s="51">
        <v>9.35</v>
      </c>
      <c r="C32" s="51">
        <v>4.07</v>
      </c>
      <c r="D32" s="51">
        <v>14.07</v>
      </c>
      <c r="E32" s="51">
        <v>11.65</v>
      </c>
      <c r="F32" s="51">
        <v>3.35</v>
      </c>
      <c r="G32" s="51">
        <v>14.69</v>
      </c>
      <c r="H32" s="51">
        <v>4.99</v>
      </c>
      <c r="I32" s="51">
        <v>3.92</v>
      </c>
      <c r="J32" s="51">
        <v>0.82</v>
      </c>
      <c r="K32" s="51">
        <v>278.05</v>
      </c>
      <c r="L32" s="51">
        <v>25.3</v>
      </c>
      <c r="M32" s="51">
        <v>106.53</v>
      </c>
      <c r="N32" s="51">
        <v>2.6</v>
      </c>
      <c r="O32" s="51">
        <v>0</v>
      </c>
      <c r="P32" s="51">
        <v>0.38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9.2200000000000006</v>
      </c>
      <c r="C34" s="41">
        <f t="shared" si="0"/>
        <v>4.07</v>
      </c>
      <c r="D34" s="41">
        <f t="shared" si="0"/>
        <v>14</v>
      </c>
      <c r="E34" s="41">
        <f t="shared" si="0"/>
        <v>7.08</v>
      </c>
      <c r="F34" s="41">
        <f t="shared" si="0"/>
        <v>2.96</v>
      </c>
      <c r="G34" s="41">
        <f t="shared" si="0"/>
        <v>10.65</v>
      </c>
      <c r="H34" s="41">
        <f t="shared" si="0"/>
        <v>3.69</v>
      </c>
      <c r="I34" s="41">
        <f t="shared" si="0"/>
        <v>3.68</v>
      </c>
      <c r="J34" s="41">
        <f t="shared" si="0"/>
        <v>0.5</v>
      </c>
      <c r="K34" s="41">
        <f t="shared" si="0"/>
        <v>275.16000000000003</v>
      </c>
      <c r="L34" s="41">
        <f t="shared" si="0"/>
        <v>24.67</v>
      </c>
      <c r="M34" s="41">
        <f t="shared" si="0"/>
        <v>93.37</v>
      </c>
      <c r="N34" s="41">
        <f t="shared" si="0"/>
        <v>2.4</v>
      </c>
      <c r="O34" s="41">
        <f t="shared" si="0"/>
        <v>0</v>
      </c>
      <c r="P34" s="41">
        <f t="shared" si="0"/>
        <v>0.27</v>
      </c>
      <c r="Q34" s="41">
        <f t="shared" si="0"/>
        <v>4.6399999999999997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9.4600000000000009</v>
      </c>
      <c r="C35" s="33">
        <f t="shared" si="1"/>
        <v>4.1399999999999997</v>
      </c>
      <c r="D35" s="33">
        <f t="shared" si="1"/>
        <v>14.15</v>
      </c>
      <c r="E35" s="33">
        <f t="shared" si="1"/>
        <v>12.69</v>
      </c>
      <c r="F35" s="33">
        <f t="shared" si="1"/>
        <v>11.85</v>
      </c>
      <c r="G35" s="33">
        <f t="shared" si="1"/>
        <v>39.74</v>
      </c>
      <c r="H35" s="33">
        <f t="shared" si="1"/>
        <v>35.159999999999997</v>
      </c>
      <c r="I35" s="33">
        <f t="shared" si="1"/>
        <v>7.39</v>
      </c>
      <c r="J35" s="33">
        <f t="shared" si="1"/>
        <v>1.07</v>
      </c>
      <c r="K35" s="33">
        <f t="shared" si="1"/>
        <v>285.69</v>
      </c>
      <c r="L35" s="33">
        <f t="shared" si="1"/>
        <v>27.64</v>
      </c>
      <c r="M35" s="33">
        <f t="shared" si="1"/>
        <v>106.95</v>
      </c>
      <c r="N35" s="33">
        <f t="shared" si="1"/>
        <v>384</v>
      </c>
      <c r="O35" s="33">
        <f t="shared" si="1"/>
        <v>1.8</v>
      </c>
      <c r="P35" s="33">
        <f t="shared" si="1"/>
        <v>0.67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9.3195833333333322</v>
      </c>
      <c r="C36" s="41">
        <f t="shared" si="2"/>
        <v>4.1016666666666657</v>
      </c>
      <c r="D36" s="41">
        <f t="shared" si="2"/>
        <v>14.055833333333334</v>
      </c>
      <c r="E36" s="41">
        <f t="shared" si="2"/>
        <v>10.618333333333334</v>
      </c>
      <c r="F36" s="41">
        <f t="shared" si="2"/>
        <v>4.9570833333333324</v>
      </c>
      <c r="G36" s="41">
        <f t="shared" si="2"/>
        <v>22.361250000000002</v>
      </c>
      <c r="H36" s="41">
        <f t="shared" si="2"/>
        <v>10.9625</v>
      </c>
      <c r="I36" s="41">
        <f t="shared" si="2"/>
        <v>5.0070833333333331</v>
      </c>
      <c r="J36" s="41">
        <f t="shared" si="2"/>
        <v>0.75749999999999995</v>
      </c>
      <c r="K36" s="41">
        <f t="shared" si="2"/>
        <v>279.66625000000005</v>
      </c>
      <c r="L36" s="41">
        <f t="shared" si="2"/>
        <v>25.814999999999998</v>
      </c>
      <c r="M36" s="41">
        <f t="shared" si="2"/>
        <v>101.42666666666666</v>
      </c>
      <c r="N36" s="41">
        <f t="shared" si="2"/>
        <v>60.795833333333327</v>
      </c>
      <c r="O36" s="41">
        <f t="shared" si="2"/>
        <v>0.22500000000000006</v>
      </c>
      <c r="P36" s="41">
        <f t="shared" si="2"/>
        <v>0.43458333333333338</v>
      </c>
      <c r="Q36" s="41">
        <f t="shared" si="2"/>
        <v>4.66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7.7374255164872771E-2</v>
      </c>
      <c r="C37" s="41">
        <f t="shared" ref="C37:Q37" si="3">STDEV(C9:C32)</f>
        <v>2.2586388102931128E-2</v>
      </c>
      <c r="D37" s="41">
        <f t="shared" si="3"/>
        <v>5.4606630164944506E-2</v>
      </c>
      <c r="E37" s="41">
        <f t="shared" si="3"/>
        <v>1.3880974363327647</v>
      </c>
      <c r="F37" s="41">
        <f t="shared" si="3"/>
        <v>2.4695105643702444</v>
      </c>
      <c r="G37" s="41">
        <f t="shared" si="3"/>
        <v>9.0501228973159051</v>
      </c>
      <c r="H37" s="41">
        <f t="shared" si="3"/>
        <v>8.6672673844207342</v>
      </c>
      <c r="I37" s="41">
        <f t="shared" si="3"/>
        <v>1.0898004570708713</v>
      </c>
      <c r="J37" s="41">
        <f t="shared" si="3"/>
        <v>0.18912268849703834</v>
      </c>
      <c r="K37" s="41">
        <f t="shared" si="3"/>
        <v>2.5971837799714277</v>
      </c>
      <c r="L37" s="41">
        <f t="shared" si="3"/>
        <v>0.92020791601458973</v>
      </c>
      <c r="M37" s="41">
        <f t="shared" si="3"/>
        <v>3.3599348682438768</v>
      </c>
      <c r="N37" s="41">
        <f t="shared" si="3"/>
        <v>98.361129116203699</v>
      </c>
      <c r="O37" s="41">
        <f t="shared" si="3"/>
        <v>0.47296474728452337</v>
      </c>
      <c r="P37" s="41">
        <f t="shared" si="3"/>
        <v>0.11725035150282577</v>
      </c>
      <c r="Q37" s="41">
        <f t="shared" si="3"/>
        <v>1.2472191289246363E-2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P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Q32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45501.041666666664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45501.041666666664</v>
      </c>
      <c r="B9" s="51">
        <v>9.2799999999999994</v>
      </c>
      <c r="C9" s="51">
        <v>4.13</v>
      </c>
      <c r="D9" s="51">
        <v>14.03</v>
      </c>
      <c r="E9" s="51">
        <v>12.02</v>
      </c>
      <c r="F9" s="51">
        <v>3.59</v>
      </c>
      <c r="G9" s="51">
        <v>14.69</v>
      </c>
      <c r="H9" s="51">
        <v>6.29</v>
      </c>
      <c r="I9" s="51">
        <v>3.77</v>
      </c>
      <c r="J9" s="51">
        <v>0.75</v>
      </c>
      <c r="K9" s="51">
        <v>278.45</v>
      </c>
      <c r="L9" s="51">
        <v>25.4</v>
      </c>
      <c r="M9" s="51">
        <v>104.69</v>
      </c>
      <c r="N9" s="51">
        <v>2.9</v>
      </c>
      <c r="O9" s="51">
        <v>0</v>
      </c>
      <c r="P9" s="51">
        <v>0.4</v>
      </c>
      <c r="Q9" s="51">
        <v>4.66</v>
      </c>
    </row>
    <row r="10" spans="1:21" customFormat="1">
      <c r="A10" s="50">
        <v>45501.083333333336</v>
      </c>
      <c r="B10" s="51">
        <v>9.3800000000000008</v>
      </c>
      <c r="C10" s="51">
        <v>4.09</v>
      </c>
      <c r="D10" s="51">
        <v>14.09</v>
      </c>
      <c r="E10" s="51">
        <v>11.64</v>
      </c>
      <c r="F10" s="51">
        <v>3.85</v>
      </c>
      <c r="G10" s="51">
        <v>13.76</v>
      </c>
      <c r="H10" s="51">
        <v>6.29</v>
      </c>
      <c r="I10" s="51">
        <v>3.65</v>
      </c>
      <c r="J10" s="51">
        <v>0.76</v>
      </c>
      <c r="K10" s="51">
        <v>280.11</v>
      </c>
      <c r="L10" s="51">
        <v>25.42</v>
      </c>
      <c r="M10" s="51">
        <v>101.77</v>
      </c>
      <c r="N10" s="51">
        <v>2.9</v>
      </c>
      <c r="O10" s="51">
        <v>0</v>
      </c>
      <c r="P10" s="51">
        <v>0.4</v>
      </c>
      <c r="Q10" s="51">
        <v>4.6500000000000004</v>
      </c>
    </row>
    <row r="11" spans="1:21" customFormat="1">
      <c r="A11" s="50">
        <v>45501.125</v>
      </c>
      <c r="B11" s="51">
        <v>9.32</v>
      </c>
      <c r="C11" s="51">
        <v>4.0999999999999996</v>
      </c>
      <c r="D11" s="51">
        <v>14.06</v>
      </c>
      <c r="E11" s="51">
        <v>10.37</v>
      </c>
      <c r="F11" s="51">
        <v>4.01</v>
      </c>
      <c r="G11" s="51">
        <v>13.64</v>
      </c>
      <c r="H11" s="51">
        <v>4.8899999999999997</v>
      </c>
      <c r="I11" s="51">
        <v>3.58</v>
      </c>
      <c r="J11" s="51">
        <v>0.86</v>
      </c>
      <c r="K11" s="51">
        <v>280.38</v>
      </c>
      <c r="L11" s="51">
        <v>25.41</v>
      </c>
      <c r="M11" s="51">
        <v>100.25</v>
      </c>
      <c r="N11" s="51">
        <v>2.6</v>
      </c>
      <c r="O11" s="51">
        <v>0</v>
      </c>
      <c r="P11" s="51">
        <v>0.39</v>
      </c>
      <c r="Q11" s="51">
        <v>4.6500000000000004</v>
      </c>
    </row>
    <row r="12" spans="1:21" customFormat="1">
      <c r="A12" s="50">
        <v>45501.166666666664</v>
      </c>
      <c r="B12" s="51">
        <v>9.35</v>
      </c>
      <c r="C12" s="51">
        <v>4.09</v>
      </c>
      <c r="D12" s="51">
        <v>14.08</v>
      </c>
      <c r="E12" s="51">
        <v>10.38</v>
      </c>
      <c r="F12" s="51">
        <v>3.86</v>
      </c>
      <c r="G12" s="51">
        <v>12.93</v>
      </c>
      <c r="H12" s="51">
        <v>4.37</v>
      </c>
      <c r="I12" s="51">
        <v>3.53</v>
      </c>
      <c r="J12" s="51">
        <v>0.85</v>
      </c>
      <c r="K12" s="51">
        <v>278.75</v>
      </c>
      <c r="L12" s="51">
        <v>25.29</v>
      </c>
      <c r="M12" s="51">
        <v>101.16</v>
      </c>
      <c r="N12" s="51">
        <v>2.5</v>
      </c>
      <c r="O12" s="51">
        <v>0</v>
      </c>
      <c r="P12" s="51">
        <v>0.37</v>
      </c>
      <c r="Q12" s="51">
        <v>4.6500000000000004</v>
      </c>
    </row>
    <row r="13" spans="1:21" customFormat="1">
      <c r="A13" s="50">
        <v>45501.208333333336</v>
      </c>
      <c r="B13" s="51">
        <v>9.3800000000000008</v>
      </c>
      <c r="C13" s="51">
        <v>4.08</v>
      </c>
      <c r="D13" s="51">
        <v>14.1</v>
      </c>
      <c r="E13" s="51">
        <v>10.02</v>
      </c>
      <c r="F13" s="51">
        <v>3.8</v>
      </c>
      <c r="G13" s="51">
        <v>14.05</v>
      </c>
      <c r="H13" s="51">
        <v>3.73</v>
      </c>
      <c r="I13" s="51">
        <v>3.61</v>
      </c>
      <c r="J13" s="51">
        <v>0.85</v>
      </c>
      <c r="K13" s="51">
        <v>279.64999999999998</v>
      </c>
      <c r="L13" s="51">
        <v>25.11</v>
      </c>
      <c r="M13" s="51">
        <v>103.12</v>
      </c>
      <c r="N13" s="51">
        <v>2.7</v>
      </c>
      <c r="O13" s="51">
        <v>0.2</v>
      </c>
      <c r="P13" s="51">
        <v>0.37</v>
      </c>
      <c r="Q13" s="51">
        <v>4.67</v>
      </c>
    </row>
    <row r="14" spans="1:21" customFormat="1">
      <c r="A14" s="50">
        <v>45501.25</v>
      </c>
      <c r="B14" s="51">
        <v>9.39</v>
      </c>
      <c r="C14" s="51">
        <v>4.1100000000000003</v>
      </c>
      <c r="D14" s="51">
        <v>14.12</v>
      </c>
      <c r="E14" s="51">
        <v>9.65</v>
      </c>
      <c r="F14" s="51">
        <v>3.77</v>
      </c>
      <c r="G14" s="51">
        <v>14.05</v>
      </c>
      <c r="H14" s="51">
        <v>3.54</v>
      </c>
      <c r="I14" s="51">
        <v>3.54</v>
      </c>
      <c r="J14" s="51">
        <v>0.69</v>
      </c>
      <c r="K14" s="51">
        <v>278.83</v>
      </c>
      <c r="L14" s="51">
        <v>24.76</v>
      </c>
      <c r="M14" s="51">
        <v>107.1</v>
      </c>
      <c r="N14" s="51">
        <v>5.7</v>
      </c>
      <c r="O14" s="51">
        <v>0.2</v>
      </c>
      <c r="P14" s="51">
        <v>0.36</v>
      </c>
      <c r="Q14" s="51">
        <v>4.66</v>
      </c>
    </row>
    <row r="15" spans="1:21" customFormat="1">
      <c r="A15" s="50">
        <v>45501.291666666664</v>
      </c>
      <c r="B15" s="51">
        <v>9.3699999999999992</v>
      </c>
      <c r="C15" s="51">
        <v>4.0999999999999996</v>
      </c>
      <c r="D15" s="51">
        <v>14.09</v>
      </c>
      <c r="E15" s="51">
        <v>10.64</v>
      </c>
      <c r="F15" s="51">
        <v>3.86</v>
      </c>
      <c r="G15" s="51">
        <v>11.64</v>
      </c>
      <c r="H15" s="51">
        <v>3.49</v>
      </c>
      <c r="I15" s="51">
        <v>3.43</v>
      </c>
      <c r="J15" s="51">
        <v>0.64</v>
      </c>
      <c r="K15" s="51">
        <v>276.43</v>
      </c>
      <c r="L15" s="51">
        <v>24.8</v>
      </c>
      <c r="M15" s="51">
        <v>103.09</v>
      </c>
      <c r="N15" s="51">
        <v>31</v>
      </c>
      <c r="O15" s="51">
        <v>0</v>
      </c>
      <c r="P15" s="51">
        <v>0.31</v>
      </c>
      <c r="Q15" s="51">
        <v>4.66</v>
      </c>
    </row>
    <row r="16" spans="1:21" customFormat="1">
      <c r="A16" s="50">
        <v>45501.333333333336</v>
      </c>
      <c r="B16" s="51">
        <v>9.34</v>
      </c>
      <c r="C16" s="51">
        <v>4.08</v>
      </c>
      <c r="D16" s="51">
        <v>14.07</v>
      </c>
      <c r="E16" s="51">
        <v>11</v>
      </c>
      <c r="F16" s="51">
        <v>4.05</v>
      </c>
      <c r="G16" s="51">
        <v>8.15</v>
      </c>
      <c r="H16" s="51">
        <v>3.06</v>
      </c>
      <c r="I16" s="51">
        <v>3.28</v>
      </c>
      <c r="J16" s="51">
        <v>0.86</v>
      </c>
      <c r="K16" s="51">
        <v>281.31</v>
      </c>
      <c r="L16" s="51">
        <v>24.98</v>
      </c>
      <c r="M16" s="51">
        <v>99.62</v>
      </c>
      <c r="N16" s="51">
        <v>43.3</v>
      </c>
      <c r="O16" s="51">
        <v>0</v>
      </c>
      <c r="P16" s="51">
        <v>0.31</v>
      </c>
      <c r="Q16" s="51">
        <v>4.67</v>
      </c>
    </row>
    <row r="17" spans="1:17" customFormat="1">
      <c r="A17" s="50">
        <v>45501.375</v>
      </c>
      <c r="B17" s="51">
        <v>9.32</v>
      </c>
      <c r="C17" s="51">
        <v>4.08</v>
      </c>
      <c r="D17" s="51">
        <v>14.04</v>
      </c>
      <c r="E17" s="51">
        <v>11.31</v>
      </c>
      <c r="F17" s="51">
        <v>3.55</v>
      </c>
      <c r="G17" s="51">
        <v>9.65</v>
      </c>
      <c r="H17" s="51">
        <v>2.91</v>
      </c>
      <c r="I17" s="51">
        <v>3.28</v>
      </c>
      <c r="J17" s="51">
        <v>0.76</v>
      </c>
      <c r="K17" s="51">
        <v>280.97000000000003</v>
      </c>
      <c r="L17" s="51">
        <v>25.32</v>
      </c>
      <c r="M17" s="51">
        <v>97.07</v>
      </c>
      <c r="N17" s="51">
        <v>55.8</v>
      </c>
      <c r="O17" s="51">
        <v>0.4</v>
      </c>
      <c r="P17" s="51">
        <v>0.3</v>
      </c>
      <c r="Q17" s="51">
        <v>4.66</v>
      </c>
    </row>
    <row r="18" spans="1:17" customFormat="1">
      <c r="A18" s="50">
        <v>45501.416666666664</v>
      </c>
      <c r="B18" s="51">
        <v>9.33</v>
      </c>
      <c r="C18" s="51">
        <v>4.09</v>
      </c>
      <c r="D18" s="51">
        <v>14.05</v>
      </c>
      <c r="E18" s="51">
        <v>11.94</v>
      </c>
      <c r="F18" s="51">
        <v>3.54</v>
      </c>
      <c r="G18" s="51">
        <v>9.65</v>
      </c>
      <c r="H18" s="51">
        <v>2.91</v>
      </c>
      <c r="I18" s="51">
        <v>3.24</v>
      </c>
      <c r="J18" s="51">
        <v>0.59</v>
      </c>
      <c r="K18" s="51">
        <v>274.7</v>
      </c>
      <c r="L18" s="51">
        <v>25.15</v>
      </c>
      <c r="M18" s="51">
        <v>110.92</v>
      </c>
      <c r="N18" s="51">
        <v>75.400000000000006</v>
      </c>
      <c r="O18" s="51">
        <v>0.4</v>
      </c>
      <c r="P18" s="51">
        <v>0.31</v>
      </c>
      <c r="Q18" s="51">
        <v>4.66</v>
      </c>
    </row>
    <row r="19" spans="1:17" customFormat="1">
      <c r="A19" s="50">
        <v>45501.458333333336</v>
      </c>
      <c r="B19" s="51">
        <v>9.3699999999999992</v>
      </c>
      <c r="C19" s="51">
        <v>4.09</v>
      </c>
      <c r="D19" s="51">
        <v>14.1</v>
      </c>
      <c r="E19" s="51">
        <v>10.57</v>
      </c>
      <c r="F19" s="51">
        <v>4</v>
      </c>
      <c r="G19" s="51">
        <v>6.86</v>
      </c>
      <c r="H19" s="51">
        <v>2.89</v>
      </c>
      <c r="I19" s="51">
        <v>3.23</v>
      </c>
      <c r="J19" s="51">
        <v>0.45</v>
      </c>
      <c r="K19" s="51">
        <v>274.27999999999997</v>
      </c>
      <c r="L19" s="51">
        <v>26.09</v>
      </c>
      <c r="M19" s="51">
        <v>107.89</v>
      </c>
      <c r="N19" s="51">
        <v>191.1</v>
      </c>
      <c r="O19" s="51">
        <v>0.2</v>
      </c>
      <c r="P19" s="51">
        <v>0.36</v>
      </c>
      <c r="Q19" s="51">
        <v>4.67</v>
      </c>
    </row>
    <row r="20" spans="1:17" customFormat="1">
      <c r="A20" s="50">
        <v>45501.5</v>
      </c>
      <c r="B20" s="51">
        <v>9.36</v>
      </c>
      <c r="C20" s="51">
        <v>4.1100000000000003</v>
      </c>
      <c r="D20" s="51">
        <v>14.09</v>
      </c>
      <c r="E20" s="51">
        <v>10.01</v>
      </c>
      <c r="F20" s="51">
        <v>4.8</v>
      </c>
      <c r="G20" s="51">
        <v>5.46</v>
      </c>
      <c r="H20" s="51">
        <v>2.68</v>
      </c>
      <c r="I20" s="51">
        <v>3.33</v>
      </c>
      <c r="J20" s="51">
        <v>0.44</v>
      </c>
      <c r="K20" s="51">
        <v>270.38</v>
      </c>
      <c r="L20" s="51">
        <v>26.1</v>
      </c>
      <c r="M20" s="51">
        <v>106.2</v>
      </c>
      <c r="N20" s="51">
        <v>130.80000000000001</v>
      </c>
      <c r="O20" s="51">
        <v>0</v>
      </c>
      <c r="P20" s="51">
        <v>0.35</v>
      </c>
      <c r="Q20" s="51">
        <v>4.66</v>
      </c>
    </row>
    <row r="21" spans="1:17" customFormat="1">
      <c r="A21" s="50">
        <v>45501.541666666664</v>
      </c>
      <c r="B21" s="51">
        <v>9.35</v>
      </c>
      <c r="C21" s="51">
        <v>4.08</v>
      </c>
      <c r="D21" s="51">
        <v>14.08</v>
      </c>
      <c r="E21" s="51">
        <v>8.9700000000000006</v>
      </c>
      <c r="F21" s="51">
        <v>4.6900000000000004</v>
      </c>
      <c r="G21" s="51">
        <v>4.6900000000000004</v>
      </c>
      <c r="H21" s="51">
        <v>2.61</v>
      </c>
      <c r="I21" s="51">
        <v>3.34</v>
      </c>
      <c r="J21" s="51">
        <v>0.56000000000000005</v>
      </c>
      <c r="K21" s="51">
        <v>271.48</v>
      </c>
      <c r="L21" s="51">
        <v>26.46</v>
      </c>
      <c r="M21" s="51">
        <v>103.16</v>
      </c>
      <c r="N21" s="51">
        <v>185.7</v>
      </c>
      <c r="O21" s="51">
        <v>0</v>
      </c>
      <c r="P21" s="51">
        <v>0.36</v>
      </c>
      <c r="Q21" s="51">
        <v>4.66</v>
      </c>
    </row>
    <row r="22" spans="1:17" customFormat="1">
      <c r="A22" s="50">
        <v>45501.583333333336</v>
      </c>
      <c r="B22" s="51">
        <v>9.35</v>
      </c>
      <c r="C22" s="51">
        <v>4.13</v>
      </c>
      <c r="D22" s="51">
        <v>14.11</v>
      </c>
      <c r="E22" s="51">
        <v>8.82</v>
      </c>
      <c r="F22" s="51">
        <v>4.78</v>
      </c>
      <c r="G22" s="51">
        <v>3.89</v>
      </c>
      <c r="H22" s="51">
        <v>2.4900000000000002</v>
      </c>
      <c r="I22" s="51">
        <v>3.23</v>
      </c>
      <c r="J22" s="51">
        <v>0.67</v>
      </c>
      <c r="K22" s="51">
        <v>269.42</v>
      </c>
      <c r="L22" s="51">
        <v>26.99</v>
      </c>
      <c r="M22" s="51">
        <v>95.66</v>
      </c>
      <c r="N22" s="51">
        <v>187.6</v>
      </c>
      <c r="O22" s="51">
        <v>0</v>
      </c>
      <c r="P22" s="51">
        <v>0.35</v>
      </c>
      <c r="Q22" s="51">
        <v>4.66</v>
      </c>
    </row>
    <row r="23" spans="1:17" customFormat="1">
      <c r="A23" s="50">
        <v>45501.625</v>
      </c>
      <c r="B23" s="51">
        <v>9.4</v>
      </c>
      <c r="C23" s="51">
        <v>4.0999999999999996</v>
      </c>
      <c r="D23" s="51">
        <v>14.11</v>
      </c>
      <c r="E23" s="51">
        <v>8.1999999999999993</v>
      </c>
      <c r="F23" s="51">
        <v>5.03</v>
      </c>
      <c r="G23" s="51">
        <v>4.09</v>
      </c>
      <c r="H23" s="51">
        <v>2.41</v>
      </c>
      <c r="I23" s="51">
        <v>3.29</v>
      </c>
      <c r="J23" s="51">
        <v>0.52</v>
      </c>
      <c r="K23" s="51">
        <v>281.92</v>
      </c>
      <c r="L23" s="51">
        <v>26.82</v>
      </c>
      <c r="M23" s="51">
        <v>95.11</v>
      </c>
      <c r="N23" s="51">
        <v>117.6</v>
      </c>
      <c r="O23" s="51">
        <v>0</v>
      </c>
      <c r="P23" s="51">
        <v>0.27</v>
      </c>
      <c r="Q23" s="51">
        <v>4.66</v>
      </c>
    </row>
    <row r="24" spans="1:17" customFormat="1">
      <c r="A24" s="50">
        <v>45501.666666666664</v>
      </c>
      <c r="B24" s="51">
        <v>9.42</v>
      </c>
      <c r="C24" s="51">
        <v>4.0999999999999996</v>
      </c>
      <c r="D24" s="51">
        <v>14.14</v>
      </c>
      <c r="E24" s="51">
        <v>9.58</v>
      </c>
      <c r="F24" s="51">
        <v>5.7</v>
      </c>
      <c r="G24" s="51">
        <v>4.09</v>
      </c>
      <c r="H24" s="51">
        <v>2.39</v>
      </c>
      <c r="I24" s="51">
        <v>3.19</v>
      </c>
      <c r="J24" s="51">
        <v>0.57999999999999996</v>
      </c>
      <c r="K24" s="51">
        <v>273.58999999999997</v>
      </c>
      <c r="L24" s="51">
        <v>27.22</v>
      </c>
      <c r="M24" s="51">
        <v>93.77</v>
      </c>
      <c r="N24" s="51">
        <v>127.8</v>
      </c>
      <c r="O24" s="51">
        <v>0</v>
      </c>
      <c r="P24" s="51">
        <v>0.2</v>
      </c>
      <c r="Q24" s="51">
        <v>4.66</v>
      </c>
    </row>
    <row r="25" spans="1:17" customFormat="1">
      <c r="A25" s="50">
        <v>45501.708333333336</v>
      </c>
      <c r="B25" s="51">
        <v>9.35</v>
      </c>
      <c r="C25" s="51">
        <v>4.08</v>
      </c>
      <c r="D25" s="51">
        <v>14.08</v>
      </c>
      <c r="E25" s="51">
        <v>9.3000000000000007</v>
      </c>
      <c r="F25" s="51">
        <v>4.6500000000000004</v>
      </c>
      <c r="G25" s="51">
        <v>4.16</v>
      </c>
      <c r="H25" s="51">
        <v>2.39</v>
      </c>
      <c r="I25" s="51">
        <v>2.96</v>
      </c>
      <c r="J25" s="51">
        <v>0.28000000000000003</v>
      </c>
      <c r="K25" s="51">
        <v>284.06</v>
      </c>
      <c r="L25" s="51">
        <v>26.56</v>
      </c>
      <c r="M25" s="51">
        <v>103.91</v>
      </c>
      <c r="N25" s="51">
        <v>57.8</v>
      </c>
      <c r="O25" s="51">
        <v>0.2</v>
      </c>
      <c r="P25" s="51">
        <v>0.2</v>
      </c>
      <c r="Q25" s="51">
        <v>4.66</v>
      </c>
    </row>
    <row r="26" spans="1:17" customFormat="1">
      <c r="A26" s="50">
        <v>45501.75</v>
      </c>
      <c r="B26" s="51">
        <v>9.36</v>
      </c>
      <c r="C26" s="51">
        <v>4.0999999999999996</v>
      </c>
      <c r="D26" s="51">
        <v>14.1</v>
      </c>
      <c r="E26" s="51">
        <v>10.92</v>
      </c>
      <c r="F26" s="51">
        <v>5.67</v>
      </c>
      <c r="G26" s="51">
        <v>4.16</v>
      </c>
      <c r="H26" s="51">
        <v>2.38</v>
      </c>
      <c r="I26" s="51">
        <v>2.94</v>
      </c>
      <c r="J26" s="51">
        <v>0.38</v>
      </c>
      <c r="K26" s="51">
        <v>273.47000000000003</v>
      </c>
      <c r="L26" s="51">
        <v>25.43</v>
      </c>
      <c r="M26" s="51">
        <v>105.02</v>
      </c>
      <c r="N26" s="51">
        <v>41.6</v>
      </c>
      <c r="O26" s="51">
        <v>0.2</v>
      </c>
      <c r="P26" s="51">
        <v>0.21</v>
      </c>
      <c r="Q26" s="51">
        <v>4.6500000000000004</v>
      </c>
    </row>
    <row r="27" spans="1:17" customFormat="1">
      <c r="A27" s="50">
        <v>45501.791666666664</v>
      </c>
      <c r="B27" s="51">
        <v>9.39</v>
      </c>
      <c r="C27" s="51">
        <v>4.0999999999999996</v>
      </c>
      <c r="D27" s="51">
        <v>14.11</v>
      </c>
      <c r="E27" s="51">
        <v>9.9499999999999993</v>
      </c>
      <c r="F27" s="51">
        <v>4.22</v>
      </c>
      <c r="G27" s="51">
        <v>3.59</v>
      </c>
      <c r="H27" s="51">
        <v>2.3199999999999998</v>
      </c>
      <c r="I27" s="51">
        <v>2.74</v>
      </c>
      <c r="J27" s="51">
        <v>0.26</v>
      </c>
      <c r="K27" s="51">
        <v>302.16000000000003</v>
      </c>
      <c r="L27" s="51">
        <v>24.86</v>
      </c>
      <c r="M27" s="51">
        <v>116.26</v>
      </c>
      <c r="N27" s="51">
        <v>9.1999999999999993</v>
      </c>
      <c r="O27" s="51">
        <v>0.2</v>
      </c>
      <c r="P27" s="51">
        <v>0.22</v>
      </c>
      <c r="Q27" s="51">
        <v>4.66</v>
      </c>
    </row>
    <row r="28" spans="1:17" customFormat="1">
      <c r="A28" s="50">
        <v>45501.833333333336</v>
      </c>
      <c r="B28" s="51">
        <v>9.41</v>
      </c>
      <c r="C28" s="51">
        <v>4.08</v>
      </c>
      <c r="D28" s="51">
        <v>14.11</v>
      </c>
      <c r="E28" s="51">
        <v>9.8000000000000007</v>
      </c>
      <c r="F28" s="51">
        <v>3.58</v>
      </c>
      <c r="G28" s="51">
        <v>3.4</v>
      </c>
      <c r="H28" s="51">
        <v>2.27</v>
      </c>
      <c r="I28" s="51">
        <v>2.98</v>
      </c>
      <c r="J28" s="51">
        <v>0.27</v>
      </c>
      <c r="K28" s="51">
        <v>287.20999999999998</v>
      </c>
      <c r="L28" s="51">
        <v>24.77</v>
      </c>
      <c r="M28" s="51">
        <v>117.36</v>
      </c>
      <c r="N28" s="51">
        <v>2.6</v>
      </c>
      <c r="O28" s="51">
        <v>0.2</v>
      </c>
      <c r="P28" s="51">
        <v>0.27</v>
      </c>
      <c r="Q28" s="51">
        <v>4.67</v>
      </c>
    </row>
    <row r="29" spans="1:17" customFormat="1">
      <c r="A29" s="50">
        <v>45501.875</v>
      </c>
      <c r="B29" s="51">
        <v>9.3699999999999992</v>
      </c>
      <c r="C29" s="51">
        <v>4.1100000000000003</v>
      </c>
      <c r="D29" s="51">
        <v>14.1</v>
      </c>
      <c r="E29" s="51">
        <v>9.41</v>
      </c>
      <c r="F29" s="51">
        <v>4.74</v>
      </c>
      <c r="G29" s="51">
        <v>3.65</v>
      </c>
      <c r="H29" s="51">
        <v>2.23</v>
      </c>
      <c r="I29" s="51">
        <v>3.08</v>
      </c>
      <c r="J29" s="51">
        <v>0.27</v>
      </c>
      <c r="K29" s="51">
        <v>313.18</v>
      </c>
      <c r="L29" s="51">
        <v>24.56</v>
      </c>
      <c r="M29" s="51">
        <v>109.79</v>
      </c>
      <c r="N29" s="51">
        <v>2.4</v>
      </c>
      <c r="O29" s="51">
        <v>0.2</v>
      </c>
      <c r="P29" s="51">
        <v>0.27</v>
      </c>
      <c r="Q29" s="51">
        <v>4.67</v>
      </c>
    </row>
    <row r="30" spans="1:17" customFormat="1">
      <c r="A30" s="50">
        <v>45501.916666666664</v>
      </c>
      <c r="B30" s="51">
        <v>9.32</v>
      </c>
      <c r="C30" s="51">
        <v>4.0999999999999996</v>
      </c>
      <c r="D30" s="51">
        <v>14.06</v>
      </c>
      <c r="E30" s="51">
        <v>8.31</v>
      </c>
      <c r="F30" s="51">
        <v>4.45</v>
      </c>
      <c r="G30" s="51">
        <v>3.65</v>
      </c>
      <c r="H30" s="51">
        <v>2.23</v>
      </c>
      <c r="I30" s="51">
        <v>3.17</v>
      </c>
      <c r="J30" s="51">
        <v>0.27</v>
      </c>
      <c r="K30" s="51">
        <v>311.14999999999998</v>
      </c>
      <c r="L30" s="51">
        <v>24.54</v>
      </c>
      <c r="M30" s="51">
        <v>105.09</v>
      </c>
      <c r="N30" s="51">
        <v>2.5</v>
      </c>
      <c r="O30" s="51">
        <v>0.2</v>
      </c>
      <c r="P30" s="51">
        <v>0.27</v>
      </c>
      <c r="Q30" s="51">
        <v>4.67</v>
      </c>
    </row>
    <row r="31" spans="1:17" customFormat="1">
      <c r="A31" s="50">
        <v>45501.958333333336</v>
      </c>
      <c r="B31" s="51">
        <v>9.35</v>
      </c>
      <c r="C31" s="51">
        <v>4.09</v>
      </c>
      <c r="D31" s="51">
        <v>14.08</v>
      </c>
      <c r="E31" s="51">
        <v>7.48</v>
      </c>
      <c r="F31" s="51">
        <v>4.5199999999999996</v>
      </c>
      <c r="G31" s="51">
        <v>3.33</v>
      </c>
      <c r="H31" s="51">
        <v>2.1800000000000002</v>
      </c>
      <c r="I31" s="51">
        <v>3.22</v>
      </c>
      <c r="J31" s="51">
        <v>0.41</v>
      </c>
      <c r="K31" s="51">
        <v>306.66000000000003</v>
      </c>
      <c r="L31" s="51">
        <v>24.37</v>
      </c>
      <c r="M31" s="51">
        <v>110.45</v>
      </c>
      <c r="N31" s="51">
        <v>2.5</v>
      </c>
      <c r="O31" s="51">
        <v>0</v>
      </c>
      <c r="P31" s="51">
        <v>0.26</v>
      </c>
      <c r="Q31" s="51">
        <v>4.67</v>
      </c>
    </row>
    <row r="32" spans="1:17" customFormat="1">
      <c r="A32" s="50">
        <v>45502</v>
      </c>
      <c r="B32" s="51">
        <v>9.3800000000000008</v>
      </c>
      <c r="C32" s="51">
        <v>4.09</v>
      </c>
      <c r="D32" s="51">
        <v>14.1</v>
      </c>
      <c r="E32" s="51">
        <v>7.7</v>
      </c>
      <c r="F32" s="51">
        <v>5.52</v>
      </c>
      <c r="G32" s="51">
        <v>3.25</v>
      </c>
      <c r="H32" s="51">
        <v>2.14</v>
      </c>
      <c r="I32" s="51">
        <v>3.23</v>
      </c>
      <c r="J32" s="51">
        <v>0.27</v>
      </c>
      <c r="K32" s="51">
        <v>291.98</v>
      </c>
      <c r="L32" s="51">
        <v>24.29</v>
      </c>
      <c r="M32" s="51">
        <v>109.65</v>
      </c>
      <c r="N32" s="51">
        <v>2.5</v>
      </c>
      <c r="O32" s="51">
        <v>0.2</v>
      </c>
      <c r="P32" s="51">
        <v>0.25</v>
      </c>
      <c r="Q32" s="51">
        <v>4.6500000000000004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9.2799999999999994</v>
      </c>
      <c r="C34" s="41">
        <f t="shared" si="0"/>
        <v>4.08</v>
      </c>
      <c r="D34" s="41">
        <f t="shared" si="0"/>
        <v>14.03</v>
      </c>
      <c r="E34" s="41">
        <f t="shared" si="0"/>
        <v>7.48</v>
      </c>
      <c r="F34" s="41">
        <f t="shared" si="0"/>
        <v>3.54</v>
      </c>
      <c r="G34" s="41">
        <f t="shared" si="0"/>
        <v>3.25</v>
      </c>
      <c r="H34" s="41">
        <f t="shared" si="0"/>
        <v>2.14</v>
      </c>
      <c r="I34" s="41">
        <f t="shared" si="0"/>
        <v>2.74</v>
      </c>
      <c r="J34" s="41">
        <f t="shared" si="0"/>
        <v>0.26</v>
      </c>
      <c r="K34" s="41">
        <f t="shared" si="0"/>
        <v>269.42</v>
      </c>
      <c r="L34" s="41">
        <f t="shared" si="0"/>
        <v>24.29</v>
      </c>
      <c r="M34" s="41">
        <f t="shared" si="0"/>
        <v>93.77</v>
      </c>
      <c r="N34" s="41">
        <f t="shared" si="0"/>
        <v>2.4</v>
      </c>
      <c r="O34" s="41">
        <f t="shared" si="0"/>
        <v>0</v>
      </c>
      <c r="P34" s="41">
        <f t="shared" si="0"/>
        <v>0.2</v>
      </c>
      <c r="Q34" s="41">
        <f t="shared" si="0"/>
        <v>4.6500000000000004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9.42</v>
      </c>
      <c r="C35" s="33">
        <f t="shared" si="1"/>
        <v>4.13</v>
      </c>
      <c r="D35" s="33">
        <f t="shared" si="1"/>
        <v>14.14</v>
      </c>
      <c r="E35" s="33">
        <f t="shared" si="1"/>
        <v>12.02</v>
      </c>
      <c r="F35" s="33">
        <f t="shared" si="1"/>
        <v>5.7</v>
      </c>
      <c r="G35" s="33">
        <f t="shared" si="1"/>
        <v>14.69</v>
      </c>
      <c r="H35" s="33">
        <f t="shared" si="1"/>
        <v>6.29</v>
      </c>
      <c r="I35" s="33">
        <f t="shared" si="1"/>
        <v>3.77</v>
      </c>
      <c r="J35" s="33">
        <f t="shared" si="1"/>
        <v>0.86</v>
      </c>
      <c r="K35" s="33">
        <f t="shared" si="1"/>
        <v>313.18</v>
      </c>
      <c r="L35" s="33">
        <f t="shared" si="1"/>
        <v>27.22</v>
      </c>
      <c r="M35" s="33">
        <f t="shared" si="1"/>
        <v>117.36</v>
      </c>
      <c r="N35" s="33">
        <f t="shared" si="1"/>
        <v>191.1</v>
      </c>
      <c r="O35" s="33">
        <f t="shared" si="1"/>
        <v>0.4</v>
      </c>
      <c r="P35" s="33">
        <f t="shared" si="1"/>
        <v>0.4</v>
      </c>
      <c r="Q35" s="33">
        <f t="shared" si="1"/>
        <v>4.67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9.3599999999999977</v>
      </c>
      <c r="C36" s="41">
        <f t="shared" si="2"/>
        <v>4.0962499999999986</v>
      </c>
      <c r="D36" s="41">
        <f t="shared" si="2"/>
        <v>14.087500000000004</v>
      </c>
      <c r="E36" s="41">
        <f t="shared" si="2"/>
        <v>9.9162499999999998</v>
      </c>
      <c r="F36" s="41">
        <f t="shared" si="2"/>
        <v>4.3429166666666665</v>
      </c>
      <c r="G36" s="41">
        <f t="shared" si="2"/>
        <v>7.5200000000000022</v>
      </c>
      <c r="H36" s="41">
        <f t="shared" si="2"/>
        <v>3.1287500000000006</v>
      </c>
      <c r="I36" s="41">
        <f t="shared" si="2"/>
        <v>3.2850000000000001</v>
      </c>
      <c r="J36" s="41">
        <f t="shared" si="2"/>
        <v>0.55166666666666653</v>
      </c>
      <c r="K36" s="41">
        <f t="shared" si="2"/>
        <v>283.35500000000002</v>
      </c>
      <c r="L36" s="41">
        <f t="shared" si="2"/>
        <v>25.445833333333329</v>
      </c>
      <c r="M36" s="41">
        <f t="shared" si="2"/>
        <v>104.50458333333336</v>
      </c>
      <c r="N36" s="41">
        <f t="shared" si="2"/>
        <v>53.604166666666664</v>
      </c>
      <c r="O36" s="41">
        <f t="shared" si="2"/>
        <v>0.1166666666666667</v>
      </c>
      <c r="P36" s="41">
        <f t="shared" si="2"/>
        <v>0.30666666666666659</v>
      </c>
      <c r="Q36" s="41">
        <f t="shared" si="2"/>
        <v>4.6608333333333336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3.2302914123490074E-2</v>
      </c>
      <c r="C37" s="41">
        <f t="shared" ref="C37:Q37" si="3">STDEV(C9:C32)</f>
        <v>1.4389760852470897E-2</v>
      </c>
      <c r="D37" s="41">
        <f t="shared" si="3"/>
        <v>2.6085144864629199E-2</v>
      </c>
      <c r="E37" s="41">
        <f t="shared" si="3"/>
        <v>1.2565197363456366</v>
      </c>
      <c r="F37" s="41">
        <f t="shared" si="3"/>
        <v>0.67113453045646798</v>
      </c>
      <c r="G37" s="41">
        <f t="shared" si="3"/>
        <v>4.3685237781200144</v>
      </c>
      <c r="H37" s="41">
        <f t="shared" si="3"/>
        <v>1.2047056739592292</v>
      </c>
      <c r="I37" s="41">
        <f t="shared" si="3"/>
        <v>0.2472984466977686</v>
      </c>
      <c r="J37" s="41">
        <f t="shared" si="3"/>
        <v>0.21740898478827173</v>
      </c>
      <c r="K37" s="41">
        <f t="shared" si="3"/>
        <v>12.61677523740898</v>
      </c>
      <c r="L37" s="41">
        <f t="shared" si="3"/>
        <v>0.85417092611184053</v>
      </c>
      <c r="M37" s="41">
        <f t="shared" si="3"/>
        <v>6.1140465353338698</v>
      </c>
      <c r="N37" s="41">
        <f t="shared" si="3"/>
        <v>66.397534521845841</v>
      </c>
      <c r="O37" s="41">
        <f t="shared" si="3"/>
        <v>0.13077250963165893</v>
      </c>
      <c r="P37" s="41">
        <f t="shared" si="3"/>
        <v>6.4313543550779839E-2</v>
      </c>
      <c r="Q37" s="41">
        <f t="shared" si="3"/>
        <v>7.1728150235675706E-3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24" workbookViewId="0">
      <selection activeCell="A9" sqref="A9:XFD32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>
        <f>$A$9</f>
        <v>45502.041666666664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0">
        <v>45502.041666666664</v>
      </c>
      <c r="B9" s="51">
        <v>9.34</v>
      </c>
      <c r="C9" s="51">
        <v>4.0599999999999996</v>
      </c>
      <c r="D9" s="51">
        <v>14.06</v>
      </c>
      <c r="E9" s="51">
        <v>7.77</v>
      </c>
      <c r="F9" s="51">
        <v>4.4800000000000004</v>
      </c>
      <c r="G9" s="51">
        <v>3.25</v>
      </c>
      <c r="H9" s="51">
        <v>2.1</v>
      </c>
      <c r="I9" s="51">
        <v>3.23</v>
      </c>
      <c r="J9" s="51">
        <v>0.36</v>
      </c>
      <c r="K9" s="51">
        <v>284.95</v>
      </c>
      <c r="L9" s="51">
        <v>24.3</v>
      </c>
      <c r="M9" s="51">
        <v>109.03</v>
      </c>
      <c r="N9" s="51">
        <v>2.4</v>
      </c>
      <c r="O9" s="51">
        <v>0.4</v>
      </c>
      <c r="P9" s="51">
        <v>0.24</v>
      </c>
      <c r="Q9" s="51">
        <v>4.66</v>
      </c>
    </row>
    <row r="10" spans="1:21">
      <c r="A10" s="50">
        <v>45502.083333333336</v>
      </c>
      <c r="B10" s="51">
        <v>9.33</v>
      </c>
      <c r="C10" s="51">
        <v>4.09</v>
      </c>
      <c r="D10" s="51">
        <v>14.07</v>
      </c>
      <c r="E10" s="51">
        <v>8.17</v>
      </c>
      <c r="F10" s="51">
        <v>4.29</v>
      </c>
      <c r="G10" s="51">
        <v>3.24</v>
      </c>
      <c r="H10" s="51">
        <v>2.1</v>
      </c>
      <c r="I10" s="51">
        <v>3.11</v>
      </c>
      <c r="J10" s="51">
        <v>0.17</v>
      </c>
      <c r="K10" s="51">
        <v>299.89</v>
      </c>
      <c r="L10" s="51">
        <v>24.3</v>
      </c>
      <c r="M10" s="51">
        <v>109.65</v>
      </c>
      <c r="N10" s="51">
        <v>2.4</v>
      </c>
      <c r="O10" s="51">
        <v>0.2</v>
      </c>
      <c r="P10" s="51">
        <v>0.21</v>
      </c>
      <c r="Q10" s="51">
        <v>4.67</v>
      </c>
    </row>
    <row r="11" spans="1:21">
      <c r="A11" s="50">
        <v>45502.125</v>
      </c>
      <c r="B11" s="51">
        <v>9.34</v>
      </c>
      <c r="C11" s="51">
        <v>4.09</v>
      </c>
      <c r="D11" s="51">
        <v>14.07</v>
      </c>
      <c r="E11" s="51">
        <v>10.26</v>
      </c>
      <c r="F11" s="51">
        <v>4.2699999999999996</v>
      </c>
      <c r="G11" s="51">
        <v>3.24</v>
      </c>
      <c r="H11" s="51">
        <v>2.0499999999999998</v>
      </c>
      <c r="I11" s="51">
        <v>3.02</v>
      </c>
      <c r="J11" s="51">
        <v>0.28000000000000003</v>
      </c>
      <c r="K11" s="51">
        <v>297.68</v>
      </c>
      <c r="L11" s="51">
        <v>24.34</v>
      </c>
      <c r="M11" s="51">
        <v>109.58</v>
      </c>
      <c r="N11" s="51">
        <v>2.4</v>
      </c>
      <c r="O11" s="51">
        <v>0.2</v>
      </c>
      <c r="P11" s="51">
        <v>0.21</v>
      </c>
      <c r="Q11" s="51">
        <v>4.67</v>
      </c>
    </row>
    <row r="12" spans="1:21">
      <c r="A12" s="50">
        <v>45502.166666666664</v>
      </c>
      <c r="B12" s="51">
        <v>9.35</v>
      </c>
      <c r="C12" s="51">
        <v>4.1100000000000003</v>
      </c>
      <c r="D12" s="51">
        <v>14.08</v>
      </c>
      <c r="E12" s="51">
        <v>10.59</v>
      </c>
      <c r="F12" s="51">
        <v>3.88</v>
      </c>
      <c r="G12" s="51">
        <v>3.22</v>
      </c>
      <c r="H12" s="51">
        <v>2.09</v>
      </c>
      <c r="I12" s="51">
        <v>2.95</v>
      </c>
      <c r="J12" s="51">
        <v>0.32</v>
      </c>
      <c r="K12" s="51">
        <v>275.81</v>
      </c>
      <c r="L12" s="51">
        <v>24.35</v>
      </c>
      <c r="M12" s="51">
        <v>108.03</v>
      </c>
      <c r="N12" s="51">
        <v>2.4</v>
      </c>
      <c r="O12" s="51">
        <v>0</v>
      </c>
      <c r="P12" s="51">
        <v>0.21</v>
      </c>
      <c r="Q12" s="51">
        <v>4.66</v>
      </c>
    </row>
    <row r="13" spans="1:21">
      <c r="A13" s="50">
        <v>45502.208333333336</v>
      </c>
      <c r="B13" s="51">
        <v>9.35</v>
      </c>
      <c r="C13" s="51">
        <v>4.09</v>
      </c>
      <c r="D13" s="51">
        <v>14.07</v>
      </c>
      <c r="E13" s="51">
        <v>11.01</v>
      </c>
      <c r="F13" s="51">
        <v>3.82</v>
      </c>
      <c r="G13" s="51">
        <v>3.23</v>
      </c>
      <c r="H13" s="51">
        <v>2.09</v>
      </c>
      <c r="I13" s="51">
        <v>2.9</v>
      </c>
      <c r="J13" s="51">
        <v>0.33</v>
      </c>
      <c r="K13" s="51">
        <v>269.69</v>
      </c>
      <c r="L13" s="51">
        <v>24.34</v>
      </c>
      <c r="M13" s="51">
        <v>109.81</v>
      </c>
      <c r="N13" s="51">
        <v>2.5</v>
      </c>
      <c r="O13" s="51">
        <v>0.2</v>
      </c>
      <c r="P13" s="51">
        <v>0.22</v>
      </c>
      <c r="Q13" s="51">
        <v>4.66</v>
      </c>
    </row>
    <row r="14" spans="1:21">
      <c r="A14" s="50">
        <v>45502.25</v>
      </c>
      <c r="B14" s="51">
        <v>9.35</v>
      </c>
      <c r="C14" s="51">
        <v>4.09</v>
      </c>
      <c r="D14" s="51">
        <v>14.08</v>
      </c>
      <c r="E14" s="51">
        <v>11.65</v>
      </c>
      <c r="F14" s="51">
        <v>3.81</v>
      </c>
      <c r="G14" s="51">
        <v>3.23</v>
      </c>
      <c r="H14" s="51">
        <v>2.08</v>
      </c>
      <c r="I14" s="51">
        <v>2.93</v>
      </c>
      <c r="J14" s="51">
        <v>0.44</v>
      </c>
      <c r="K14" s="51">
        <v>269.72000000000003</v>
      </c>
      <c r="L14" s="51">
        <v>24.34</v>
      </c>
      <c r="M14" s="51">
        <v>108.65</v>
      </c>
      <c r="N14" s="51">
        <v>15.8</v>
      </c>
      <c r="O14" s="51">
        <v>0.6</v>
      </c>
      <c r="P14" s="51">
        <v>0.26</v>
      </c>
      <c r="Q14" s="51">
        <v>4.66</v>
      </c>
    </row>
    <row r="15" spans="1:21">
      <c r="A15" s="50">
        <v>45502.291666666664</v>
      </c>
      <c r="B15" s="51">
        <v>9.34</v>
      </c>
      <c r="C15" s="51">
        <v>4.08</v>
      </c>
      <c r="D15" s="51">
        <v>14.07</v>
      </c>
      <c r="E15" s="51">
        <v>9.98</v>
      </c>
      <c r="F15" s="51">
        <v>4.59</v>
      </c>
      <c r="G15" s="51">
        <v>3.36</v>
      </c>
      <c r="H15" s="51">
        <v>2.13</v>
      </c>
      <c r="I15" s="51">
        <v>3.06</v>
      </c>
      <c r="J15" s="51">
        <v>0.35</v>
      </c>
      <c r="K15" s="51">
        <v>273.86</v>
      </c>
      <c r="L15" s="51">
        <v>24.78</v>
      </c>
      <c r="M15" s="51">
        <v>104.56</v>
      </c>
      <c r="N15" s="51">
        <v>63.7</v>
      </c>
      <c r="O15" s="51">
        <v>0</v>
      </c>
      <c r="P15" s="51">
        <v>0.25</v>
      </c>
      <c r="Q15" s="51">
        <v>4.67</v>
      </c>
    </row>
    <row r="16" spans="1:21">
      <c r="A16" s="50">
        <v>45502.333333333336</v>
      </c>
      <c r="B16" s="51">
        <v>9.34</v>
      </c>
      <c r="C16" s="51">
        <v>4.0999999999999996</v>
      </c>
      <c r="D16" s="51">
        <v>14.07</v>
      </c>
      <c r="E16" s="51">
        <v>9.4499999999999993</v>
      </c>
      <c r="F16" s="51">
        <v>4</v>
      </c>
      <c r="G16" s="51">
        <v>3.37</v>
      </c>
      <c r="H16" s="51">
        <v>2.13</v>
      </c>
      <c r="I16" s="51">
        <v>3.13</v>
      </c>
      <c r="J16" s="51">
        <v>0.34</v>
      </c>
      <c r="K16" s="51">
        <v>275.68</v>
      </c>
      <c r="L16" s="51">
        <v>24.82</v>
      </c>
      <c r="M16" s="51">
        <v>102.76</v>
      </c>
      <c r="N16" s="51">
        <v>34.9</v>
      </c>
      <c r="O16" s="51">
        <v>0</v>
      </c>
      <c r="P16" s="51">
        <v>0.25</v>
      </c>
      <c r="Q16" s="51">
        <v>4.67</v>
      </c>
    </row>
    <row r="17" spans="1:17">
      <c r="A17" s="50">
        <v>45502.375</v>
      </c>
      <c r="B17" s="51">
        <v>9.34</v>
      </c>
      <c r="C17" s="51">
        <v>4.1100000000000003</v>
      </c>
      <c r="D17" s="51">
        <v>14.08</v>
      </c>
      <c r="E17" s="51">
        <v>9.25</v>
      </c>
      <c r="F17" s="51">
        <v>4.5</v>
      </c>
      <c r="G17" s="51">
        <v>3.37</v>
      </c>
      <c r="H17" s="51">
        <v>2.33</v>
      </c>
      <c r="I17" s="51">
        <v>3.25</v>
      </c>
      <c r="J17" s="51">
        <v>0.68</v>
      </c>
      <c r="K17" s="51">
        <v>275.66000000000003</v>
      </c>
      <c r="L17" s="51">
        <v>25.42</v>
      </c>
      <c r="M17" s="51">
        <v>101.33</v>
      </c>
      <c r="N17" s="51">
        <v>109.8</v>
      </c>
      <c r="O17" s="51">
        <v>0</v>
      </c>
      <c r="P17" s="51">
        <v>0.26</v>
      </c>
      <c r="Q17" s="51">
        <v>4.66</v>
      </c>
    </row>
    <row r="18" spans="1:17">
      <c r="A18" s="50">
        <v>45502.416666666664</v>
      </c>
      <c r="B18" s="51">
        <v>9.34</v>
      </c>
      <c r="C18" s="51">
        <v>4.1100000000000003</v>
      </c>
      <c r="D18" s="51">
        <v>14.07</v>
      </c>
      <c r="E18" s="51">
        <v>9.07</v>
      </c>
      <c r="F18" s="51">
        <v>6.43</v>
      </c>
      <c r="G18" s="51">
        <v>3.29</v>
      </c>
      <c r="H18" s="51">
        <v>2.33</v>
      </c>
      <c r="I18" s="51">
        <v>3.23</v>
      </c>
      <c r="J18" s="51">
        <v>0.59</v>
      </c>
      <c r="K18" s="51">
        <v>277.58999999999997</v>
      </c>
      <c r="L18" s="51">
        <v>25.96</v>
      </c>
      <c r="M18" s="51">
        <v>95.66</v>
      </c>
      <c r="N18" s="51">
        <v>130.5</v>
      </c>
      <c r="O18" s="51">
        <v>0</v>
      </c>
      <c r="P18" s="51">
        <v>0.25</v>
      </c>
      <c r="Q18" s="51">
        <v>4.67</v>
      </c>
    </row>
    <row r="19" spans="1:17">
      <c r="A19" s="50">
        <v>45502.458333333336</v>
      </c>
      <c r="B19" s="51">
        <v>9.33</v>
      </c>
      <c r="C19" s="51">
        <v>4.09</v>
      </c>
      <c r="D19" s="51">
        <v>14.07</v>
      </c>
      <c r="E19" s="51">
        <v>11.31</v>
      </c>
      <c r="F19" s="51">
        <v>4.5199999999999996</v>
      </c>
      <c r="G19" s="51">
        <v>6.09</v>
      </c>
      <c r="H19" s="51">
        <v>2.36</v>
      </c>
      <c r="I19" s="51">
        <v>3.18</v>
      </c>
      <c r="J19" s="51">
        <v>0.55000000000000004</v>
      </c>
      <c r="K19" s="51">
        <v>276.86</v>
      </c>
      <c r="L19" s="51">
        <v>26.22</v>
      </c>
      <c r="M19" s="51">
        <v>93.31</v>
      </c>
      <c r="N19" s="51">
        <v>110</v>
      </c>
      <c r="O19" s="51">
        <v>0</v>
      </c>
      <c r="P19" s="51">
        <v>0.23</v>
      </c>
      <c r="Q19" s="51">
        <v>4.66</v>
      </c>
    </row>
    <row r="20" spans="1:17">
      <c r="A20" s="50">
        <v>45502.5</v>
      </c>
      <c r="B20" s="51">
        <v>9.2799999999999994</v>
      </c>
      <c r="C20" s="51">
        <v>4.07</v>
      </c>
      <c r="D20" s="51">
        <v>14.01</v>
      </c>
      <c r="E20" s="51">
        <v>12.22</v>
      </c>
      <c r="F20" s="51">
        <v>5.53</v>
      </c>
      <c r="G20" s="51">
        <v>9.8699999999999992</v>
      </c>
      <c r="H20" s="51">
        <v>4.7300000000000004</v>
      </c>
      <c r="I20" s="51">
        <v>3.13</v>
      </c>
      <c r="J20" s="51">
        <v>0.62</v>
      </c>
      <c r="K20" s="51">
        <v>274.70999999999998</v>
      </c>
      <c r="L20" s="51">
        <v>27.55</v>
      </c>
      <c r="M20" s="51">
        <v>93.01</v>
      </c>
      <c r="N20" s="51">
        <v>279</v>
      </c>
      <c r="O20" s="51">
        <v>0</v>
      </c>
      <c r="P20" s="51">
        <v>0.23</v>
      </c>
      <c r="Q20" s="51">
        <v>4.66</v>
      </c>
    </row>
    <row r="21" spans="1:17">
      <c r="A21" s="50">
        <v>45502.541666666664</v>
      </c>
      <c r="B21" s="51">
        <v>9.27</v>
      </c>
      <c r="C21" s="51">
        <v>4.0999999999999996</v>
      </c>
      <c r="D21" s="51">
        <v>14.02</v>
      </c>
      <c r="E21" s="51">
        <v>12.27</v>
      </c>
      <c r="F21" s="51">
        <v>5.42</v>
      </c>
      <c r="G21" s="51">
        <v>11.51</v>
      </c>
      <c r="H21" s="51">
        <v>6.58</v>
      </c>
      <c r="I21" s="51">
        <v>3.09</v>
      </c>
      <c r="J21" s="51">
        <v>0.75</v>
      </c>
      <c r="K21" s="51">
        <v>277.33999999999997</v>
      </c>
      <c r="L21" s="51">
        <v>27.5</v>
      </c>
      <c r="M21" s="51">
        <v>88.85</v>
      </c>
      <c r="N21" s="51">
        <v>247.6</v>
      </c>
      <c r="O21" s="51">
        <v>0</v>
      </c>
      <c r="P21" s="51">
        <v>0.23</v>
      </c>
      <c r="Q21" s="51">
        <v>4.68</v>
      </c>
    </row>
    <row r="22" spans="1:17">
      <c r="A22" s="50">
        <v>45502.583333333336</v>
      </c>
      <c r="B22" s="51">
        <v>9.2799999999999994</v>
      </c>
      <c r="C22" s="51">
        <v>4.0999999999999996</v>
      </c>
      <c r="D22" s="51">
        <v>14.03</v>
      </c>
      <c r="E22" s="51">
        <v>12.91</v>
      </c>
      <c r="F22" s="51">
        <v>6.19</v>
      </c>
      <c r="G22" s="51">
        <v>23.99</v>
      </c>
      <c r="H22" s="51">
        <v>9.9600000000000009</v>
      </c>
      <c r="I22" s="51">
        <v>2.99</v>
      </c>
      <c r="J22" s="51">
        <v>0.85</v>
      </c>
      <c r="K22" s="51">
        <v>278.36</v>
      </c>
      <c r="L22" s="51">
        <v>28.17</v>
      </c>
      <c r="M22" s="51">
        <v>86.8</v>
      </c>
      <c r="N22" s="51">
        <v>265</v>
      </c>
      <c r="O22" s="51">
        <v>0</v>
      </c>
      <c r="P22" s="51">
        <v>0.23</v>
      </c>
      <c r="Q22" s="51">
        <v>4.67</v>
      </c>
    </row>
    <row r="23" spans="1:17">
      <c r="A23" s="50">
        <v>45502.625</v>
      </c>
      <c r="B23" s="51">
        <v>9.31</v>
      </c>
      <c r="C23" s="51">
        <v>4.09</v>
      </c>
      <c r="D23" s="51">
        <v>14.05</v>
      </c>
      <c r="E23" s="51">
        <v>13.02</v>
      </c>
      <c r="F23" s="51">
        <v>5.62</v>
      </c>
      <c r="G23" s="51">
        <v>29.75</v>
      </c>
      <c r="H23" s="51">
        <v>11.71</v>
      </c>
      <c r="I23" s="51">
        <v>2.86</v>
      </c>
      <c r="J23" s="51">
        <v>0.79</v>
      </c>
      <c r="K23" s="51">
        <v>280.93</v>
      </c>
      <c r="L23" s="51">
        <v>28.13</v>
      </c>
      <c r="M23" s="51">
        <v>88.51</v>
      </c>
      <c r="N23" s="51">
        <v>205.2</v>
      </c>
      <c r="O23" s="51">
        <v>0</v>
      </c>
      <c r="P23" s="51">
        <v>0.4</v>
      </c>
      <c r="Q23" s="51">
        <v>4.67</v>
      </c>
    </row>
    <row r="24" spans="1:17">
      <c r="A24" s="50">
        <v>45502.666666666664</v>
      </c>
      <c r="B24" s="51">
        <v>9.35</v>
      </c>
      <c r="C24" s="51">
        <v>4.08</v>
      </c>
      <c r="D24" s="51">
        <v>14.08</v>
      </c>
      <c r="E24" s="51">
        <v>12.52</v>
      </c>
      <c r="F24" s="51">
        <v>7.81</v>
      </c>
      <c r="G24" s="51">
        <v>29.75</v>
      </c>
      <c r="H24" s="51">
        <v>15.35</v>
      </c>
      <c r="I24" s="51">
        <v>2.83</v>
      </c>
      <c r="J24" s="51">
        <v>0.59</v>
      </c>
      <c r="K24" s="51">
        <v>286.57</v>
      </c>
      <c r="L24" s="51">
        <v>27.32</v>
      </c>
      <c r="M24" s="51">
        <v>90.69</v>
      </c>
      <c r="N24" s="51">
        <v>76.099999999999994</v>
      </c>
      <c r="O24" s="51">
        <v>0</v>
      </c>
      <c r="P24" s="51">
        <v>0.4</v>
      </c>
      <c r="Q24" s="51">
        <v>4.66</v>
      </c>
    </row>
    <row r="25" spans="1:17">
      <c r="A25" s="50">
        <v>45502.708333333336</v>
      </c>
      <c r="B25" s="51">
        <v>9.3699999999999992</v>
      </c>
      <c r="C25" s="51">
        <v>4.0599999999999996</v>
      </c>
      <c r="D25" s="51">
        <v>14.08</v>
      </c>
      <c r="E25" s="51">
        <v>11.37</v>
      </c>
      <c r="F25" s="51">
        <v>6.83</v>
      </c>
      <c r="G25" s="51">
        <v>32.909999999999997</v>
      </c>
      <c r="H25" s="51">
        <v>15.35</v>
      </c>
      <c r="I25" s="51">
        <v>2.87</v>
      </c>
      <c r="J25" s="51">
        <v>0.59</v>
      </c>
      <c r="K25" s="51">
        <v>281.04000000000002</v>
      </c>
      <c r="L25" s="51">
        <v>27.75</v>
      </c>
      <c r="M25" s="51">
        <v>89.62</v>
      </c>
      <c r="N25" s="51">
        <v>123.6</v>
      </c>
      <c r="O25" s="51">
        <v>0</v>
      </c>
      <c r="P25" s="51">
        <v>0.4</v>
      </c>
      <c r="Q25" s="51">
        <v>4.67</v>
      </c>
    </row>
    <row r="26" spans="1:17">
      <c r="A26" s="50">
        <v>45502.75</v>
      </c>
      <c r="B26" s="51">
        <v>9.4</v>
      </c>
      <c r="C26" s="51">
        <v>4.09</v>
      </c>
      <c r="D26" s="51">
        <v>14.11</v>
      </c>
      <c r="E26" s="51">
        <v>10.54</v>
      </c>
      <c r="F26" s="51">
        <v>8.2100000000000009</v>
      </c>
      <c r="G26" s="51">
        <v>37.17</v>
      </c>
      <c r="H26" s="51">
        <v>19.62</v>
      </c>
      <c r="I26" s="51">
        <v>2.96</v>
      </c>
      <c r="J26" s="51">
        <v>0.49</v>
      </c>
      <c r="K26" s="51">
        <v>278.16000000000003</v>
      </c>
      <c r="L26" s="51">
        <v>27.09</v>
      </c>
      <c r="M26" s="51">
        <v>92.32</v>
      </c>
      <c r="N26" s="51">
        <v>19.899999999999999</v>
      </c>
      <c r="O26" s="51">
        <v>0</v>
      </c>
      <c r="P26" s="51">
        <v>0.4</v>
      </c>
      <c r="Q26" s="51">
        <v>4.67</v>
      </c>
    </row>
    <row r="27" spans="1:17">
      <c r="A27" s="50">
        <v>45502.791666666664</v>
      </c>
      <c r="B27" s="51">
        <v>9.41</v>
      </c>
      <c r="C27" s="51">
        <v>4.0999999999999996</v>
      </c>
      <c r="D27" s="51">
        <v>14.11</v>
      </c>
      <c r="E27" s="51">
        <v>9.83</v>
      </c>
      <c r="F27" s="51">
        <v>8.77</v>
      </c>
      <c r="G27" s="51">
        <v>38.58</v>
      </c>
      <c r="H27" s="51">
        <v>19.62</v>
      </c>
      <c r="I27" s="51">
        <v>3.11</v>
      </c>
      <c r="J27" s="51">
        <v>0.26</v>
      </c>
      <c r="K27" s="51">
        <v>276.32</v>
      </c>
      <c r="L27" s="51">
        <v>26.49</v>
      </c>
      <c r="M27" s="51">
        <v>94.24</v>
      </c>
      <c r="N27" s="51">
        <v>5</v>
      </c>
      <c r="O27" s="51">
        <v>0</v>
      </c>
      <c r="P27" s="51">
        <v>0.42</v>
      </c>
      <c r="Q27" s="51">
        <v>4.66</v>
      </c>
    </row>
    <row r="28" spans="1:17">
      <c r="A28" s="50">
        <v>45502.833333333336</v>
      </c>
      <c r="B28" s="51">
        <v>9.3699999999999992</v>
      </c>
      <c r="C28" s="51">
        <v>4.12</v>
      </c>
      <c r="D28" s="51">
        <v>14.11</v>
      </c>
      <c r="E28" s="51">
        <v>10.68</v>
      </c>
      <c r="F28" s="51">
        <v>7.13</v>
      </c>
      <c r="G28" s="51">
        <v>38.58</v>
      </c>
      <c r="H28" s="51">
        <v>23.65</v>
      </c>
      <c r="I28" s="51">
        <v>3.46</v>
      </c>
      <c r="J28" s="51">
        <v>0.12</v>
      </c>
      <c r="K28" s="51">
        <v>248.13</v>
      </c>
      <c r="L28" s="51">
        <v>26.27</v>
      </c>
      <c r="M28" s="51">
        <v>94.8</v>
      </c>
      <c r="N28" s="51">
        <v>2.4</v>
      </c>
      <c r="O28" s="51">
        <v>0</v>
      </c>
      <c r="P28" s="51">
        <v>0.41</v>
      </c>
      <c r="Q28" s="51">
        <v>4.67</v>
      </c>
    </row>
    <row r="29" spans="1:17">
      <c r="A29" s="50">
        <v>45502.875</v>
      </c>
      <c r="B29" s="51">
        <v>9.31</v>
      </c>
      <c r="C29" s="51">
        <v>4.0599999999999996</v>
      </c>
      <c r="D29" s="51">
        <v>14.03</v>
      </c>
      <c r="E29" s="51">
        <v>11.47</v>
      </c>
      <c r="F29" s="51">
        <v>5.85</v>
      </c>
      <c r="G29" s="51">
        <v>43.74</v>
      </c>
      <c r="H29" s="51">
        <v>23.65</v>
      </c>
      <c r="I29" s="51">
        <v>3.57</v>
      </c>
      <c r="J29" s="51">
        <v>0.19</v>
      </c>
      <c r="K29" s="51">
        <v>265.33999999999997</v>
      </c>
      <c r="L29" s="51">
        <v>26.23</v>
      </c>
      <c r="M29" s="51">
        <v>95.68</v>
      </c>
      <c r="N29" s="51">
        <v>2.4</v>
      </c>
      <c r="O29" s="51">
        <v>0</v>
      </c>
      <c r="P29" s="51">
        <v>0.4</v>
      </c>
      <c r="Q29" s="51">
        <v>4.66</v>
      </c>
    </row>
    <row r="30" spans="1:17">
      <c r="A30" s="50">
        <v>45502.916666666664</v>
      </c>
      <c r="B30" s="51">
        <v>9.2899999999999991</v>
      </c>
      <c r="C30" s="51">
        <v>4.07</v>
      </c>
      <c r="D30" s="51">
        <v>14.02</v>
      </c>
      <c r="E30" s="51">
        <v>12</v>
      </c>
      <c r="F30" s="51">
        <v>4.76</v>
      </c>
      <c r="G30" s="51">
        <v>43.74</v>
      </c>
      <c r="H30" s="51">
        <v>17.32</v>
      </c>
      <c r="I30" s="51">
        <v>3.59</v>
      </c>
      <c r="J30" s="51">
        <v>0.22</v>
      </c>
      <c r="K30" s="51">
        <v>267.35000000000002</v>
      </c>
      <c r="L30" s="51">
        <v>25.99</v>
      </c>
      <c r="M30" s="51">
        <v>99.19</v>
      </c>
      <c r="N30" s="51">
        <v>2.2999999999999998</v>
      </c>
      <c r="O30" s="51">
        <v>0</v>
      </c>
      <c r="P30" s="51">
        <v>0.4</v>
      </c>
      <c r="Q30" s="51">
        <v>4.66</v>
      </c>
    </row>
    <row r="31" spans="1:17">
      <c r="A31" s="50">
        <v>45502.958333333336</v>
      </c>
      <c r="B31" s="51">
        <v>9.32</v>
      </c>
      <c r="C31" s="51">
        <v>4.0999999999999996</v>
      </c>
      <c r="D31" s="51">
        <v>14.04</v>
      </c>
      <c r="E31" s="51">
        <v>13.29</v>
      </c>
      <c r="F31" s="51">
        <v>4.26</v>
      </c>
      <c r="G31" s="51">
        <v>36.17</v>
      </c>
      <c r="H31" s="51">
        <v>12.93</v>
      </c>
      <c r="I31" s="51">
        <v>3.52</v>
      </c>
      <c r="J31" s="51">
        <v>0.09</v>
      </c>
      <c r="K31" s="51">
        <v>243.06</v>
      </c>
      <c r="L31" s="51">
        <v>25.35</v>
      </c>
      <c r="M31" s="51">
        <v>102.07</v>
      </c>
      <c r="N31" s="51">
        <v>2.1</v>
      </c>
      <c r="O31" s="51">
        <v>0</v>
      </c>
      <c r="P31" s="51">
        <v>0.4</v>
      </c>
      <c r="Q31" s="51">
        <v>4.66</v>
      </c>
    </row>
    <row r="32" spans="1:17">
      <c r="A32" s="50">
        <v>45503</v>
      </c>
      <c r="B32" s="51">
        <v>9.32</v>
      </c>
      <c r="C32" s="51">
        <v>4.08</v>
      </c>
      <c r="D32" s="51">
        <v>14.06</v>
      </c>
      <c r="E32" s="51">
        <v>13.39</v>
      </c>
      <c r="F32" s="51">
        <v>3.79</v>
      </c>
      <c r="G32" s="51">
        <v>36.17</v>
      </c>
      <c r="H32" s="51">
        <v>9.09</v>
      </c>
      <c r="I32" s="51">
        <v>3.26</v>
      </c>
      <c r="J32" s="51">
        <v>0.18</v>
      </c>
      <c r="K32" s="51">
        <v>259.14999999999998</v>
      </c>
      <c r="L32" s="51">
        <v>25.59</v>
      </c>
      <c r="M32" s="51">
        <v>104.06</v>
      </c>
      <c r="N32" s="51">
        <v>2.1</v>
      </c>
      <c r="O32" s="51">
        <v>0</v>
      </c>
      <c r="P32" s="51">
        <v>0.4</v>
      </c>
      <c r="Q32" s="51">
        <v>4.66</v>
      </c>
    </row>
    <row r="33" spans="1:2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>
      <c r="A34" s="32" t="s">
        <v>48</v>
      </c>
      <c r="B34" s="41">
        <f t="shared" ref="B34:Q34" si="0">MIN(B9:B32)</f>
        <v>9.27</v>
      </c>
      <c r="C34" s="41">
        <f t="shared" si="0"/>
        <v>4.0599999999999996</v>
      </c>
      <c r="D34" s="41">
        <f t="shared" si="0"/>
        <v>14.01</v>
      </c>
      <c r="E34" s="41">
        <f t="shared" si="0"/>
        <v>7.77</v>
      </c>
      <c r="F34" s="41">
        <f t="shared" si="0"/>
        <v>3.79</v>
      </c>
      <c r="G34" s="41">
        <f t="shared" si="0"/>
        <v>3.22</v>
      </c>
      <c r="H34" s="41">
        <f t="shared" si="0"/>
        <v>2.0499999999999998</v>
      </c>
      <c r="I34" s="41">
        <f t="shared" si="0"/>
        <v>2.83</v>
      </c>
      <c r="J34" s="41">
        <f t="shared" si="0"/>
        <v>0.09</v>
      </c>
      <c r="K34" s="41">
        <f t="shared" si="0"/>
        <v>243.06</v>
      </c>
      <c r="L34" s="41">
        <f t="shared" si="0"/>
        <v>24.3</v>
      </c>
      <c r="M34" s="41">
        <f t="shared" si="0"/>
        <v>86.8</v>
      </c>
      <c r="N34" s="41">
        <f t="shared" si="0"/>
        <v>2.1</v>
      </c>
      <c r="O34" s="41">
        <f t="shared" si="0"/>
        <v>0</v>
      </c>
      <c r="P34" s="41">
        <f t="shared" si="0"/>
        <v>0.21</v>
      </c>
      <c r="Q34" s="41">
        <f t="shared" si="0"/>
        <v>4.66</v>
      </c>
      <c r="R34" s="41"/>
      <c r="S34" s="41"/>
      <c r="T34" s="41"/>
      <c r="U34" s="41"/>
    </row>
    <row r="35" spans="1:21">
      <c r="A35" s="32" t="s">
        <v>49</v>
      </c>
      <c r="B35" s="33">
        <f t="shared" ref="B35:Q35" si="1">MAX(B9:B32)</f>
        <v>9.41</v>
      </c>
      <c r="C35" s="33">
        <f t="shared" si="1"/>
        <v>4.12</v>
      </c>
      <c r="D35" s="33">
        <f t="shared" si="1"/>
        <v>14.11</v>
      </c>
      <c r="E35" s="33">
        <f t="shared" si="1"/>
        <v>13.39</v>
      </c>
      <c r="F35" s="33">
        <f t="shared" si="1"/>
        <v>8.77</v>
      </c>
      <c r="G35" s="33">
        <f t="shared" si="1"/>
        <v>43.74</v>
      </c>
      <c r="H35" s="33">
        <f t="shared" si="1"/>
        <v>23.65</v>
      </c>
      <c r="I35" s="33">
        <f t="shared" si="1"/>
        <v>3.59</v>
      </c>
      <c r="J35" s="33">
        <f t="shared" si="1"/>
        <v>0.85</v>
      </c>
      <c r="K35" s="33">
        <f t="shared" si="1"/>
        <v>299.89</v>
      </c>
      <c r="L35" s="33">
        <f t="shared" si="1"/>
        <v>28.17</v>
      </c>
      <c r="M35" s="33">
        <f t="shared" si="1"/>
        <v>109.81</v>
      </c>
      <c r="N35" s="33">
        <f t="shared" si="1"/>
        <v>279</v>
      </c>
      <c r="O35" s="33">
        <f t="shared" si="1"/>
        <v>0.6</v>
      </c>
      <c r="P35" s="33">
        <f t="shared" si="1"/>
        <v>0.42</v>
      </c>
      <c r="Q35" s="33">
        <f t="shared" si="1"/>
        <v>4.68</v>
      </c>
      <c r="R35" s="33"/>
      <c r="S35" s="33"/>
      <c r="T35" s="33"/>
      <c r="U35" s="33"/>
    </row>
    <row r="36" spans="1:21">
      <c r="A36" s="32" t="s">
        <v>50</v>
      </c>
      <c r="B36" s="41">
        <f t="shared" ref="B36:Q36" si="2">AVERAGE(B9:B32)</f>
        <v>9.3345833333333328</v>
      </c>
      <c r="C36" s="41">
        <f t="shared" si="2"/>
        <v>4.0891666666666664</v>
      </c>
      <c r="D36" s="41">
        <f t="shared" si="2"/>
        <v>14.064166666666667</v>
      </c>
      <c r="E36" s="41">
        <f t="shared" si="2"/>
        <v>11.000833333333334</v>
      </c>
      <c r="F36" s="41">
        <f t="shared" si="2"/>
        <v>5.3650000000000011</v>
      </c>
      <c r="G36" s="41">
        <f t="shared" si="2"/>
        <v>18.784166666666668</v>
      </c>
      <c r="H36" s="41">
        <f t="shared" si="2"/>
        <v>8.8895833333333343</v>
      </c>
      <c r="I36" s="41">
        <f t="shared" si="2"/>
        <v>3.1345833333333335</v>
      </c>
      <c r="J36" s="41">
        <f t="shared" si="2"/>
        <v>0.42291666666666661</v>
      </c>
      <c r="K36" s="41">
        <f t="shared" si="2"/>
        <v>274.74375000000003</v>
      </c>
      <c r="L36" s="41">
        <f t="shared" si="2"/>
        <v>25.941666666666674</v>
      </c>
      <c r="M36" s="41">
        <f t="shared" si="2"/>
        <v>98.842083333333335</v>
      </c>
      <c r="N36" s="41">
        <f t="shared" si="2"/>
        <v>71.229166666666671</v>
      </c>
      <c r="O36" s="41">
        <f t="shared" si="2"/>
        <v>6.6666666666666666E-2</v>
      </c>
      <c r="P36" s="41">
        <f t="shared" si="2"/>
        <v>0.30458333333333343</v>
      </c>
      <c r="Q36" s="41">
        <f t="shared" si="2"/>
        <v>4.6649999999999991</v>
      </c>
      <c r="R36" s="41"/>
      <c r="S36" s="41"/>
      <c r="T36" s="41"/>
      <c r="U36" s="41"/>
    </row>
    <row r="37" spans="1:21">
      <c r="A37" s="32" t="s">
        <v>51</v>
      </c>
      <c r="B37" s="41">
        <f>STDEV(B9:B32)</f>
        <v>3.4512652584317564E-2</v>
      </c>
      <c r="C37" s="41">
        <f t="shared" ref="C37:Q37" si="3">STDEV(C9:C32)</f>
        <v>1.6659418713870545E-2</v>
      </c>
      <c r="D37" s="41">
        <f t="shared" si="3"/>
        <v>2.7806265585243642E-2</v>
      </c>
      <c r="E37" s="41">
        <f t="shared" si="3"/>
        <v>1.574851039654678</v>
      </c>
      <c r="F37" s="41">
        <f t="shared" si="3"/>
        <v>1.4922233193401708</v>
      </c>
      <c r="G37" s="41">
        <f t="shared" si="3"/>
        <v>16.334006115987023</v>
      </c>
      <c r="H37" s="41">
        <f t="shared" si="3"/>
        <v>7.7081630807676946</v>
      </c>
      <c r="I37" s="41">
        <f t="shared" si="3"/>
        <v>0.2229443129273877</v>
      </c>
      <c r="J37" s="41">
        <f t="shared" si="3"/>
        <v>0.22234871098201212</v>
      </c>
      <c r="K37" s="41">
        <f t="shared" si="3"/>
        <v>12.648641038019889</v>
      </c>
      <c r="L37" s="41">
        <f t="shared" si="3"/>
        <v>1.3319278824536713</v>
      </c>
      <c r="M37" s="41">
        <f t="shared" si="3"/>
        <v>7.7927580534564518</v>
      </c>
      <c r="N37" s="41">
        <f t="shared" si="3"/>
        <v>92.775622168975929</v>
      </c>
      <c r="O37" s="41">
        <f t="shared" si="3"/>
        <v>0.1522773975253762</v>
      </c>
      <c r="P37" s="41">
        <f t="shared" si="3"/>
        <v>8.6123226512523812E-2</v>
      </c>
      <c r="Q37" s="41">
        <f t="shared" si="3"/>
        <v>5.8976782461957608E-3</v>
      </c>
      <c r="R37" s="41"/>
      <c r="S37" s="41"/>
      <c r="T37" s="41"/>
      <c r="U37" s="41"/>
    </row>
    <row r="38" spans="1:2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9"/>
      <c r="O41" s="49"/>
      <c r="P41" s="49"/>
      <c r="Q41" s="49"/>
      <c r="R41" s="49"/>
      <c r="S41" s="49"/>
      <c r="T41" s="49"/>
      <c r="U41" s="49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45503.041666666664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45503.041666666664</v>
      </c>
      <c r="B9" s="51">
        <v>9.1999999999999993</v>
      </c>
      <c r="C9" s="51">
        <v>4.26</v>
      </c>
      <c r="D9" s="51">
        <v>14</v>
      </c>
      <c r="E9" s="51">
        <v>12.74</v>
      </c>
      <c r="F9" s="51">
        <v>4.9400000000000004</v>
      </c>
      <c r="G9" s="51">
        <v>34.58</v>
      </c>
      <c r="H9" s="51">
        <v>9.67</v>
      </c>
      <c r="I9" s="51">
        <v>3.22</v>
      </c>
      <c r="J9" s="51">
        <v>0.18</v>
      </c>
      <c r="K9" s="51">
        <v>266.45</v>
      </c>
      <c r="L9" s="51">
        <v>25.71</v>
      </c>
      <c r="M9" s="51">
        <v>101.18</v>
      </c>
      <c r="N9" s="51">
        <v>2.2999999999999998</v>
      </c>
      <c r="O9" s="51">
        <v>0</v>
      </c>
      <c r="P9" s="51">
        <v>0.44</v>
      </c>
      <c r="Q9" s="51">
        <v>4.66</v>
      </c>
    </row>
    <row r="10" spans="1:21" customFormat="1">
      <c r="A10" s="50">
        <v>45503.083333333336</v>
      </c>
      <c r="B10" s="51">
        <v>9.25</v>
      </c>
      <c r="C10" s="51">
        <v>4.12</v>
      </c>
      <c r="D10" s="51">
        <v>14.01</v>
      </c>
      <c r="E10" s="51">
        <v>11.92</v>
      </c>
      <c r="F10" s="51">
        <v>6.51</v>
      </c>
      <c r="G10" s="51">
        <v>34.58</v>
      </c>
      <c r="H10" s="51">
        <v>15.68</v>
      </c>
      <c r="I10" s="51">
        <v>3.27</v>
      </c>
      <c r="J10" s="51">
        <v>0.2</v>
      </c>
      <c r="K10" s="51">
        <v>276.08</v>
      </c>
      <c r="L10" s="51">
        <v>25.62</v>
      </c>
      <c r="M10" s="51">
        <v>103.38</v>
      </c>
      <c r="N10" s="51">
        <v>2.4</v>
      </c>
      <c r="O10" s="51">
        <v>0</v>
      </c>
      <c r="P10" s="51">
        <v>0.44</v>
      </c>
      <c r="Q10" s="51">
        <v>4.66</v>
      </c>
    </row>
    <row r="11" spans="1:21" customFormat="1">
      <c r="A11" s="50">
        <v>45503.125</v>
      </c>
      <c r="B11" s="51">
        <v>9.27</v>
      </c>
      <c r="C11" s="51">
        <v>4.0999999999999996</v>
      </c>
      <c r="D11" s="51">
        <v>14.01</v>
      </c>
      <c r="E11" s="51">
        <v>8.52</v>
      </c>
      <c r="F11" s="51">
        <v>5.4</v>
      </c>
      <c r="G11" s="51">
        <v>26.73</v>
      </c>
      <c r="H11" s="51">
        <v>17.47</v>
      </c>
      <c r="I11" s="51">
        <v>3.32</v>
      </c>
      <c r="J11" s="51">
        <v>0.15</v>
      </c>
      <c r="K11" s="51">
        <v>261.43</v>
      </c>
      <c r="L11" s="51">
        <v>25.52</v>
      </c>
      <c r="M11" s="51">
        <v>100.93</v>
      </c>
      <c r="N11" s="51">
        <v>2.2000000000000002</v>
      </c>
      <c r="O11" s="51">
        <v>0</v>
      </c>
      <c r="P11" s="51">
        <v>0.43</v>
      </c>
      <c r="Q11" s="51">
        <v>4.67</v>
      </c>
    </row>
    <row r="12" spans="1:21" customFormat="1">
      <c r="A12" s="50">
        <v>45503.166666666664</v>
      </c>
      <c r="B12" s="51">
        <v>9.25</v>
      </c>
      <c r="C12" s="51">
        <v>4.13</v>
      </c>
      <c r="D12" s="51">
        <v>14</v>
      </c>
      <c r="E12" s="51">
        <v>8.23</v>
      </c>
      <c r="F12" s="51">
        <v>5.17</v>
      </c>
      <c r="G12" s="51">
        <v>26.73</v>
      </c>
      <c r="H12" s="51">
        <v>17.47</v>
      </c>
      <c r="I12" s="51">
        <v>3.25</v>
      </c>
      <c r="J12" s="51">
        <v>0.17</v>
      </c>
      <c r="K12" s="51">
        <v>269.3</v>
      </c>
      <c r="L12" s="51">
        <v>25.4</v>
      </c>
      <c r="M12" s="51">
        <v>101.12</v>
      </c>
      <c r="N12" s="51">
        <v>2.2000000000000002</v>
      </c>
      <c r="O12" s="51">
        <v>0</v>
      </c>
      <c r="P12" s="51">
        <v>0.42</v>
      </c>
      <c r="Q12" s="51">
        <v>4.68</v>
      </c>
    </row>
    <row r="13" spans="1:21" customFormat="1">
      <c r="A13" s="50">
        <v>45503.208333333336</v>
      </c>
      <c r="B13" s="51">
        <v>9.23</v>
      </c>
      <c r="C13" s="51">
        <v>4.1500000000000004</v>
      </c>
      <c r="D13" s="51">
        <v>14</v>
      </c>
      <c r="E13" s="51">
        <v>8.3000000000000007</v>
      </c>
      <c r="F13" s="51">
        <v>5.26</v>
      </c>
      <c r="G13" s="51">
        <v>23.85</v>
      </c>
      <c r="H13" s="51">
        <v>12.65</v>
      </c>
      <c r="I13" s="51">
        <v>3.24</v>
      </c>
      <c r="J13" s="51">
        <v>0.18</v>
      </c>
      <c r="K13" s="51">
        <v>258.86</v>
      </c>
      <c r="L13" s="51">
        <v>25.33</v>
      </c>
      <c r="M13" s="51">
        <v>101.61</v>
      </c>
      <c r="N13" s="51">
        <v>2.2000000000000002</v>
      </c>
      <c r="O13" s="51">
        <v>0</v>
      </c>
      <c r="P13" s="51">
        <v>0.42</v>
      </c>
      <c r="Q13" s="51">
        <v>4.67</v>
      </c>
    </row>
    <row r="14" spans="1:21" customFormat="1">
      <c r="A14" s="50">
        <v>45503.25</v>
      </c>
      <c r="B14" s="51">
        <v>9.23</v>
      </c>
      <c r="C14" s="51">
        <v>4.18</v>
      </c>
      <c r="D14" s="51">
        <v>14</v>
      </c>
      <c r="E14" s="51">
        <v>8.77</v>
      </c>
      <c r="F14" s="51">
        <v>4.83</v>
      </c>
      <c r="G14" s="51">
        <v>26.64</v>
      </c>
      <c r="H14" s="51">
        <v>10.84</v>
      </c>
      <c r="I14" s="51">
        <v>3.25</v>
      </c>
      <c r="J14" s="51">
        <v>0.22</v>
      </c>
      <c r="K14" s="51">
        <v>276.77999999999997</v>
      </c>
      <c r="L14" s="51">
        <v>25.45</v>
      </c>
      <c r="M14" s="51">
        <v>102.31</v>
      </c>
      <c r="N14" s="51">
        <v>19.600000000000001</v>
      </c>
      <c r="O14" s="51">
        <v>0</v>
      </c>
      <c r="P14" s="51">
        <v>0.37</v>
      </c>
      <c r="Q14" s="51">
        <v>4.67</v>
      </c>
    </row>
    <row r="15" spans="1:21" customFormat="1">
      <c r="A15" s="50">
        <v>45503.291666666664</v>
      </c>
      <c r="B15" s="51">
        <v>9.16</v>
      </c>
      <c r="C15" s="51">
        <v>4.24</v>
      </c>
      <c r="D15" s="51">
        <v>14</v>
      </c>
      <c r="E15" s="51">
        <v>9.49</v>
      </c>
      <c r="F15" s="51">
        <v>4.7699999999999996</v>
      </c>
      <c r="G15" s="51">
        <v>26.64</v>
      </c>
      <c r="H15" s="51">
        <v>11.89</v>
      </c>
      <c r="I15" s="51">
        <v>3.19</v>
      </c>
      <c r="J15" s="51">
        <v>0.43</v>
      </c>
      <c r="K15" s="51">
        <v>282.17</v>
      </c>
      <c r="L15" s="51">
        <v>26.17</v>
      </c>
      <c r="M15" s="51">
        <v>99.97</v>
      </c>
      <c r="N15" s="51">
        <v>69</v>
      </c>
      <c r="O15" s="51">
        <v>0</v>
      </c>
      <c r="P15" s="51">
        <v>0.38</v>
      </c>
      <c r="Q15" s="51">
        <v>4.67</v>
      </c>
    </row>
    <row r="16" spans="1:21" customFormat="1">
      <c r="A16" s="50">
        <v>45503.333333333336</v>
      </c>
      <c r="B16" s="51">
        <v>9.14</v>
      </c>
      <c r="C16" s="51">
        <v>4.26</v>
      </c>
      <c r="D16" s="51">
        <v>14</v>
      </c>
      <c r="E16" s="51">
        <v>10.4</v>
      </c>
      <c r="F16" s="51">
        <v>4.62</v>
      </c>
      <c r="G16" s="51">
        <v>26.73</v>
      </c>
      <c r="H16" s="51">
        <v>11.89</v>
      </c>
      <c r="I16" s="51">
        <v>3.2</v>
      </c>
      <c r="J16" s="51">
        <v>0.48</v>
      </c>
      <c r="K16" s="51">
        <v>278.7</v>
      </c>
      <c r="L16" s="51">
        <v>27.09</v>
      </c>
      <c r="M16" s="51">
        <v>95.04</v>
      </c>
      <c r="N16" s="51">
        <v>126.7</v>
      </c>
      <c r="O16" s="51">
        <v>0</v>
      </c>
      <c r="P16" s="51">
        <v>0.39</v>
      </c>
      <c r="Q16" s="51">
        <v>4.67</v>
      </c>
    </row>
    <row r="17" spans="1:17" customFormat="1">
      <c r="A17" s="50">
        <v>45503.375</v>
      </c>
      <c r="B17" s="51">
        <v>9.14</v>
      </c>
      <c r="C17" s="51">
        <v>4.26</v>
      </c>
      <c r="D17" s="51">
        <v>14</v>
      </c>
      <c r="E17" s="51">
        <v>10.6</v>
      </c>
      <c r="F17" s="51">
        <v>4.66</v>
      </c>
      <c r="G17" s="51">
        <v>26.73</v>
      </c>
      <c r="H17" s="51">
        <v>17.420000000000002</v>
      </c>
      <c r="I17" s="51">
        <v>3.49</v>
      </c>
      <c r="J17" s="51">
        <v>0.68</v>
      </c>
      <c r="K17" s="51">
        <v>282.49</v>
      </c>
      <c r="L17" s="51">
        <v>27.58</v>
      </c>
      <c r="M17" s="51">
        <v>91.93</v>
      </c>
      <c r="N17" s="51">
        <v>161.4</v>
      </c>
      <c r="O17" s="51">
        <v>0</v>
      </c>
      <c r="P17" s="51">
        <v>0.4</v>
      </c>
      <c r="Q17" s="51">
        <v>4.66</v>
      </c>
    </row>
    <row r="18" spans="1:17" customFormat="1">
      <c r="A18" s="50">
        <v>45503.416666666664</v>
      </c>
      <c r="B18" s="51">
        <v>9.17</v>
      </c>
      <c r="C18" s="51">
        <v>4.2300000000000004</v>
      </c>
      <c r="D18" s="51">
        <v>14</v>
      </c>
      <c r="E18" s="51">
        <v>10.86</v>
      </c>
      <c r="F18" s="51">
        <v>4.4400000000000004</v>
      </c>
      <c r="G18" s="51">
        <v>22.41</v>
      </c>
      <c r="H18" s="51">
        <v>17.420000000000002</v>
      </c>
      <c r="I18" s="51">
        <v>3.51</v>
      </c>
      <c r="J18" s="51">
        <v>0.81</v>
      </c>
      <c r="K18" s="51">
        <v>291.27999999999997</v>
      </c>
      <c r="L18" s="51">
        <v>27.91</v>
      </c>
      <c r="M18" s="51">
        <v>89.22</v>
      </c>
      <c r="N18" s="51">
        <v>210.8</v>
      </c>
      <c r="O18" s="51">
        <v>0</v>
      </c>
      <c r="P18" s="51">
        <v>0.45</v>
      </c>
      <c r="Q18" s="51">
        <v>4.66</v>
      </c>
    </row>
    <row r="19" spans="1:17" customFormat="1">
      <c r="A19" s="50">
        <v>45503.458333333336</v>
      </c>
      <c r="B19" s="51">
        <v>9.25</v>
      </c>
      <c r="C19" s="51">
        <v>4.16</v>
      </c>
      <c r="D19" s="51">
        <v>14</v>
      </c>
      <c r="E19" s="51">
        <v>9.66</v>
      </c>
      <c r="F19" s="51">
        <v>6.31</v>
      </c>
      <c r="G19" s="51">
        <v>17.690000000000001</v>
      </c>
      <c r="H19" s="51">
        <v>15.1</v>
      </c>
      <c r="I19" s="51">
        <v>3.57</v>
      </c>
      <c r="J19" s="51">
        <v>0.77</v>
      </c>
      <c r="K19" s="51">
        <v>285.79000000000002</v>
      </c>
      <c r="L19" s="51">
        <v>29.01</v>
      </c>
      <c r="M19" s="51">
        <v>86.8</v>
      </c>
      <c r="N19" s="51">
        <v>337.1</v>
      </c>
      <c r="O19" s="51">
        <v>0</v>
      </c>
      <c r="P19" s="51">
        <v>0.46</v>
      </c>
      <c r="Q19" s="51">
        <v>4.66</v>
      </c>
    </row>
    <row r="20" spans="1:17" customFormat="1">
      <c r="A20" s="50">
        <v>45503.5</v>
      </c>
      <c r="B20" s="51">
        <v>9.26</v>
      </c>
      <c r="C20" s="51">
        <v>4.0999999999999996</v>
      </c>
      <c r="D20" s="51">
        <v>14</v>
      </c>
      <c r="E20" s="51">
        <v>9.02</v>
      </c>
      <c r="F20" s="51">
        <v>5.89</v>
      </c>
      <c r="G20" s="51">
        <v>22.09</v>
      </c>
      <c r="H20" s="51">
        <v>16.96</v>
      </c>
      <c r="I20" s="51">
        <v>3.73</v>
      </c>
      <c r="J20" s="51">
        <v>0.74</v>
      </c>
      <c r="K20" s="51">
        <v>281.18</v>
      </c>
      <c r="L20" s="51">
        <v>29.46</v>
      </c>
      <c r="M20" s="51">
        <v>84.72</v>
      </c>
      <c r="N20" s="51">
        <v>315.2</v>
      </c>
      <c r="O20" s="51">
        <v>0</v>
      </c>
      <c r="P20" s="51">
        <v>0.46</v>
      </c>
      <c r="Q20" s="51">
        <v>4.6500000000000004</v>
      </c>
    </row>
    <row r="21" spans="1:17" customFormat="1">
      <c r="A21" s="50">
        <v>45503.541666666664</v>
      </c>
      <c r="B21" s="51">
        <v>9.23</v>
      </c>
      <c r="C21" s="51">
        <v>4.1399999999999997</v>
      </c>
      <c r="D21" s="51">
        <v>14</v>
      </c>
      <c r="E21" s="51">
        <v>8.64</v>
      </c>
      <c r="F21" s="51">
        <v>7.64</v>
      </c>
      <c r="G21" s="51">
        <v>31.44</v>
      </c>
      <c r="H21" s="51">
        <v>16.96</v>
      </c>
      <c r="I21" s="51">
        <v>3.85</v>
      </c>
      <c r="J21" s="51">
        <v>0.7</v>
      </c>
      <c r="K21" s="51">
        <v>278.37</v>
      </c>
      <c r="L21" s="51">
        <v>29.33</v>
      </c>
      <c r="M21" s="51">
        <v>86.78</v>
      </c>
      <c r="N21" s="51">
        <v>231.1</v>
      </c>
      <c r="O21" s="51">
        <v>0</v>
      </c>
      <c r="P21" s="51">
        <v>0.45</v>
      </c>
      <c r="Q21" s="51">
        <v>4.66</v>
      </c>
    </row>
    <row r="22" spans="1:17" customFormat="1">
      <c r="A22" s="50">
        <v>45503.583333333336</v>
      </c>
      <c r="B22" s="51">
        <v>9.24</v>
      </c>
      <c r="C22" s="51">
        <v>4.1399999999999997</v>
      </c>
      <c r="D22" s="51">
        <v>14</v>
      </c>
      <c r="E22" s="51">
        <v>8.6999999999999993</v>
      </c>
      <c r="F22" s="51">
        <v>8.86</v>
      </c>
      <c r="G22" s="51">
        <v>31.44</v>
      </c>
      <c r="H22" s="51">
        <v>21.7</v>
      </c>
      <c r="I22" s="51">
        <v>4.0599999999999996</v>
      </c>
      <c r="J22" s="51">
        <v>0.83</v>
      </c>
      <c r="K22" s="51">
        <v>284.45</v>
      </c>
      <c r="L22" s="51">
        <v>30.46</v>
      </c>
      <c r="M22" s="51">
        <v>80.87</v>
      </c>
      <c r="N22" s="51">
        <v>303.8</v>
      </c>
      <c r="O22" s="51">
        <v>0</v>
      </c>
      <c r="P22" s="51">
        <v>0.47</v>
      </c>
      <c r="Q22" s="51">
        <v>4.66</v>
      </c>
    </row>
    <row r="23" spans="1:17" customFormat="1">
      <c r="A23" s="50">
        <v>45503.625</v>
      </c>
      <c r="B23" s="51">
        <v>9.26</v>
      </c>
      <c r="C23" s="51">
        <v>4.16</v>
      </c>
      <c r="D23" s="51">
        <v>14</v>
      </c>
      <c r="E23" s="51">
        <v>9.9499999999999993</v>
      </c>
      <c r="F23" s="51">
        <v>7.62</v>
      </c>
      <c r="G23" s="51">
        <v>44.04</v>
      </c>
      <c r="H23" s="51">
        <v>21.7</v>
      </c>
      <c r="I23" s="51">
        <v>4.1399999999999997</v>
      </c>
      <c r="J23" s="51">
        <v>0.82</v>
      </c>
      <c r="K23" s="51">
        <v>289.32</v>
      </c>
      <c r="L23" s="51">
        <v>30.73</v>
      </c>
      <c r="M23" s="51">
        <v>77.989999999999995</v>
      </c>
      <c r="N23" s="51">
        <v>317.2</v>
      </c>
      <c r="O23" s="51">
        <v>0</v>
      </c>
      <c r="P23" s="51">
        <v>0.28999999999999998</v>
      </c>
      <c r="Q23" s="51">
        <v>4.67</v>
      </c>
    </row>
    <row r="24" spans="1:17" customFormat="1">
      <c r="A24" s="50">
        <v>45503.666666666664</v>
      </c>
      <c r="B24" s="51">
        <v>9.17</v>
      </c>
      <c r="C24" s="51">
        <v>4.26</v>
      </c>
      <c r="D24" s="51">
        <v>14</v>
      </c>
      <c r="E24" s="51">
        <v>10.53</v>
      </c>
      <c r="F24" s="51">
        <v>8.82</v>
      </c>
      <c r="G24" s="51">
        <v>44.67</v>
      </c>
      <c r="H24" s="51">
        <v>20.13</v>
      </c>
      <c r="I24" s="51">
        <v>4.47</v>
      </c>
      <c r="J24" s="51">
        <v>0.83</v>
      </c>
      <c r="K24" s="51">
        <v>283.67</v>
      </c>
      <c r="L24" s="51">
        <v>30.38</v>
      </c>
      <c r="M24" s="51">
        <v>79.17</v>
      </c>
      <c r="N24" s="51">
        <v>194.2</v>
      </c>
      <c r="O24" s="51">
        <v>0</v>
      </c>
      <c r="P24" s="51">
        <v>0.31</v>
      </c>
      <c r="Q24" s="51">
        <v>4.66</v>
      </c>
    </row>
    <row r="25" spans="1:17" customFormat="1">
      <c r="A25" s="50">
        <v>45503.708333333336</v>
      </c>
      <c r="B25" s="51">
        <v>9.1300000000000008</v>
      </c>
      <c r="C25" s="51">
        <v>4.28</v>
      </c>
      <c r="D25" s="51">
        <v>14</v>
      </c>
      <c r="E25" s="51">
        <v>10.74</v>
      </c>
      <c r="F25" s="51">
        <v>9</v>
      </c>
      <c r="G25" s="51">
        <v>46.44</v>
      </c>
      <c r="H25" s="51">
        <v>20.13</v>
      </c>
      <c r="I25" s="51">
        <v>4.66</v>
      </c>
      <c r="J25" s="51">
        <v>0.61</v>
      </c>
      <c r="K25" s="51">
        <v>282.97000000000003</v>
      </c>
      <c r="L25" s="51">
        <v>30.48</v>
      </c>
      <c r="M25" s="51">
        <v>78.44</v>
      </c>
      <c r="N25" s="51">
        <v>141.6</v>
      </c>
      <c r="O25" s="51">
        <v>0</v>
      </c>
      <c r="P25" s="51">
        <v>0.31</v>
      </c>
      <c r="Q25" s="51">
        <v>4.66</v>
      </c>
    </row>
    <row r="26" spans="1:17" customFormat="1">
      <c r="A26" s="50">
        <v>45503.75</v>
      </c>
      <c r="B26" s="51">
        <v>9.16</v>
      </c>
      <c r="C26" s="51">
        <v>4.2699999999999996</v>
      </c>
      <c r="D26" s="51">
        <v>14</v>
      </c>
      <c r="E26" s="51">
        <v>9.92</v>
      </c>
      <c r="F26" s="51">
        <v>7.72</v>
      </c>
      <c r="G26" s="51">
        <v>46.44</v>
      </c>
      <c r="H26" s="51">
        <v>17.89</v>
      </c>
      <c r="I26" s="51">
        <v>4.6500000000000004</v>
      </c>
      <c r="J26" s="51">
        <v>0.64</v>
      </c>
      <c r="K26" s="51">
        <v>281.87</v>
      </c>
      <c r="L26" s="51">
        <v>29.91</v>
      </c>
      <c r="M26" s="51">
        <v>82.33</v>
      </c>
      <c r="N26" s="51">
        <v>67.599999999999994</v>
      </c>
      <c r="O26" s="51">
        <v>0</v>
      </c>
      <c r="P26" s="51">
        <v>0.32</v>
      </c>
      <c r="Q26" s="51">
        <v>4.67</v>
      </c>
    </row>
    <row r="27" spans="1:17" customFormat="1">
      <c r="A27" s="50">
        <v>45503.791666666664</v>
      </c>
      <c r="B27" s="51">
        <v>9.17</v>
      </c>
      <c r="C27" s="51">
        <v>4.2300000000000004</v>
      </c>
      <c r="D27" s="51">
        <v>14</v>
      </c>
      <c r="E27" s="51">
        <v>10.18</v>
      </c>
      <c r="F27" s="51">
        <v>8.5</v>
      </c>
      <c r="G27" s="51">
        <v>41.32</v>
      </c>
      <c r="H27" s="51">
        <v>20.12</v>
      </c>
      <c r="I27" s="51">
        <v>4.3899999999999997</v>
      </c>
      <c r="J27" s="51">
        <v>0.37</v>
      </c>
      <c r="K27" s="51">
        <v>279.47000000000003</v>
      </c>
      <c r="L27" s="51">
        <v>28.99</v>
      </c>
      <c r="M27" s="51">
        <v>87.26</v>
      </c>
      <c r="N27" s="51">
        <v>13.2</v>
      </c>
      <c r="O27" s="51">
        <v>0</v>
      </c>
      <c r="P27" s="51">
        <v>0.32</v>
      </c>
      <c r="Q27" s="51">
        <v>4.67</v>
      </c>
    </row>
    <row r="28" spans="1:17" customFormat="1">
      <c r="A28" s="50">
        <v>45503.833333333336</v>
      </c>
      <c r="B28" s="51">
        <v>9.19</v>
      </c>
      <c r="C28" s="51">
        <v>4.26</v>
      </c>
      <c r="D28" s="51">
        <v>14</v>
      </c>
      <c r="E28" s="51">
        <v>9.61</v>
      </c>
      <c r="F28" s="51">
        <v>15.32</v>
      </c>
      <c r="G28" s="51">
        <v>35.1</v>
      </c>
      <c r="H28" s="51">
        <v>20.12</v>
      </c>
      <c r="I28" s="51">
        <v>4.0199999999999996</v>
      </c>
      <c r="J28" s="51">
        <v>0.34</v>
      </c>
      <c r="K28" s="51">
        <v>271.83</v>
      </c>
      <c r="L28" s="51">
        <v>28.33</v>
      </c>
      <c r="M28" s="51">
        <v>89.33</v>
      </c>
      <c r="N28" s="51">
        <v>2.4</v>
      </c>
      <c r="O28" s="51">
        <v>0</v>
      </c>
      <c r="P28" s="51">
        <v>0.33</v>
      </c>
      <c r="Q28" s="51">
        <v>4.68</v>
      </c>
    </row>
    <row r="29" spans="1:17" customFormat="1">
      <c r="A29" s="50">
        <v>45503.875</v>
      </c>
      <c r="B29" s="51">
        <v>9.16</v>
      </c>
      <c r="C29" s="51">
        <v>4.24</v>
      </c>
      <c r="D29" s="51">
        <v>14</v>
      </c>
      <c r="E29" s="51">
        <v>7.52</v>
      </c>
      <c r="F29" s="51">
        <v>14.56</v>
      </c>
      <c r="G29" s="51">
        <v>37.880000000000003</v>
      </c>
      <c r="H29" s="51">
        <v>19.579999999999998</v>
      </c>
      <c r="I29" s="51">
        <v>3.42</v>
      </c>
      <c r="J29" s="51">
        <v>0.33</v>
      </c>
      <c r="K29" s="51">
        <v>271.91000000000003</v>
      </c>
      <c r="L29" s="51">
        <v>28</v>
      </c>
      <c r="M29" s="51">
        <v>91.01</v>
      </c>
      <c r="N29" s="51">
        <v>2.2999999999999998</v>
      </c>
      <c r="O29" s="51">
        <v>0</v>
      </c>
      <c r="P29" s="51">
        <v>0.3</v>
      </c>
      <c r="Q29" s="51">
        <v>4.68</v>
      </c>
    </row>
    <row r="30" spans="1:17" customFormat="1">
      <c r="A30" s="50">
        <v>45503.916666666664</v>
      </c>
      <c r="B30" s="51">
        <v>9.18</v>
      </c>
      <c r="C30" s="51">
        <v>4.22</v>
      </c>
      <c r="D30" s="51">
        <v>14</v>
      </c>
      <c r="E30" s="51">
        <v>7.41</v>
      </c>
      <c r="F30" s="51">
        <v>13.45</v>
      </c>
      <c r="G30" s="51">
        <v>37.880000000000003</v>
      </c>
      <c r="H30" s="51">
        <v>15.26</v>
      </c>
      <c r="I30" s="51">
        <v>3.39</v>
      </c>
      <c r="J30" s="51">
        <v>0.34</v>
      </c>
      <c r="K30" s="51">
        <v>275.49</v>
      </c>
      <c r="L30" s="51">
        <v>27.85</v>
      </c>
      <c r="M30" s="51">
        <v>93.02</v>
      </c>
      <c r="N30" s="51">
        <v>2.4</v>
      </c>
      <c r="O30" s="51">
        <v>0</v>
      </c>
      <c r="P30" s="51">
        <v>0.28999999999999998</v>
      </c>
      <c r="Q30" s="51">
        <v>4.68</v>
      </c>
    </row>
    <row r="31" spans="1:17" customFormat="1">
      <c r="A31" s="50">
        <v>45503.958333333336</v>
      </c>
      <c r="B31" s="51">
        <v>9.2200000000000006</v>
      </c>
      <c r="C31" s="51">
        <v>4.18</v>
      </c>
      <c r="D31" s="51">
        <v>14</v>
      </c>
      <c r="E31" s="51">
        <v>7.27</v>
      </c>
      <c r="F31" s="51">
        <v>13.9</v>
      </c>
      <c r="G31" s="51">
        <v>27.26</v>
      </c>
      <c r="H31" s="51">
        <v>10.68</v>
      </c>
      <c r="I31" s="51">
        <v>3.16</v>
      </c>
      <c r="J31" s="51">
        <v>0.3</v>
      </c>
      <c r="K31" s="51">
        <v>272.92</v>
      </c>
      <c r="L31" s="51">
        <v>27.47</v>
      </c>
      <c r="M31" s="51">
        <v>93.45</v>
      </c>
      <c r="N31" s="51">
        <v>2.2999999999999998</v>
      </c>
      <c r="O31" s="51">
        <v>0</v>
      </c>
      <c r="P31" s="51">
        <v>0.28000000000000003</v>
      </c>
      <c r="Q31" s="51">
        <v>4.68</v>
      </c>
    </row>
    <row r="32" spans="1:17" customFormat="1">
      <c r="A32" s="50">
        <v>45504</v>
      </c>
      <c r="B32" s="51">
        <v>9.23</v>
      </c>
      <c r="C32" s="51">
        <v>4.12</v>
      </c>
      <c r="D32" s="51">
        <v>14</v>
      </c>
      <c r="E32" s="51">
        <v>8.0399999999999991</v>
      </c>
      <c r="F32" s="51">
        <v>13.09</v>
      </c>
      <c r="G32" s="51">
        <v>37.81</v>
      </c>
      <c r="H32" s="51">
        <v>7.74</v>
      </c>
      <c r="I32" s="51">
        <v>3.22</v>
      </c>
      <c r="J32" s="51">
        <v>0.28999999999999998</v>
      </c>
      <c r="K32" s="51">
        <v>272.57</v>
      </c>
      <c r="L32" s="51">
        <v>27.33</v>
      </c>
      <c r="M32" s="51">
        <v>93.23</v>
      </c>
      <c r="N32" s="51">
        <v>2.2999999999999998</v>
      </c>
      <c r="O32" s="51">
        <v>0</v>
      </c>
      <c r="P32" s="51">
        <v>0.27</v>
      </c>
      <c r="Q32" s="51">
        <v>4.68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9.1300000000000008</v>
      </c>
      <c r="C34" s="41">
        <f t="shared" si="0"/>
        <v>4.0999999999999996</v>
      </c>
      <c r="D34" s="41">
        <f t="shared" si="0"/>
        <v>14</v>
      </c>
      <c r="E34" s="41">
        <f t="shared" si="0"/>
        <v>7.27</v>
      </c>
      <c r="F34" s="41">
        <f t="shared" si="0"/>
        <v>4.4400000000000004</v>
      </c>
      <c r="G34" s="41">
        <f t="shared" si="0"/>
        <v>17.690000000000001</v>
      </c>
      <c r="H34" s="41">
        <f t="shared" si="0"/>
        <v>7.74</v>
      </c>
      <c r="I34" s="41">
        <f t="shared" si="0"/>
        <v>3.16</v>
      </c>
      <c r="J34" s="41">
        <f t="shared" si="0"/>
        <v>0.15</v>
      </c>
      <c r="K34" s="41">
        <f t="shared" si="0"/>
        <v>258.86</v>
      </c>
      <c r="L34" s="41">
        <f t="shared" si="0"/>
        <v>25.33</v>
      </c>
      <c r="M34" s="41">
        <f t="shared" si="0"/>
        <v>77.989999999999995</v>
      </c>
      <c r="N34" s="41">
        <f t="shared" si="0"/>
        <v>2.2000000000000002</v>
      </c>
      <c r="O34" s="41">
        <f t="shared" si="0"/>
        <v>0</v>
      </c>
      <c r="P34" s="41">
        <f t="shared" si="0"/>
        <v>0.27</v>
      </c>
      <c r="Q34" s="41">
        <f t="shared" si="0"/>
        <v>4.6500000000000004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9.27</v>
      </c>
      <c r="C35" s="33">
        <f t="shared" si="1"/>
        <v>4.28</v>
      </c>
      <c r="D35" s="33">
        <f t="shared" si="1"/>
        <v>14.01</v>
      </c>
      <c r="E35" s="33">
        <f t="shared" si="1"/>
        <v>12.74</v>
      </c>
      <c r="F35" s="33">
        <f t="shared" si="1"/>
        <v>15.32</v>
      </c>
      <c r="G35" s="33">
        <f t="shared" si="1"/>
        <v>46.44</v>
      </c>
      <c r="H35" s="33">
        <f t="shared" si="1"/>
        <v>21.7</v>
      </c>
      <c r="I35" s="33">
        <f t="shared" si="1"/>
        <v>4.66</v>
      </c>
      <c r="J35" s="33">
        <f t="shared" si="1"/>
        <v>0.83</v>
      </c>
      <c r="K35" s="33">
        <f t="shared" si="1"/>
        <v>291.27999999999997</v>
      </c>
      <c r="L35" s="33">
        <f t="shared" si="1"/>
        <v>30.73</v>
      </c>
      <c r="M35" s="33">
        <f t="shared" si="1"/>
        <v>103.38</v>
      </c>
      <c r="N35" s="33">
        <f t="shared" si="1"/>
        <v>337.1</v>
      </c>
      <c r="O35" s="33">
        <f t="shared" si="1"/>
        <v>0</v>
      </c>
      <c r="P35" s="33">
        <f t="shared" si="1"/>
        <v>0.47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9.2037499999999977</v>
      </c>
      <c r="C36" s="41">
        <f t="shared" si="2"/>
        <v>4.1954166666666666</v>
      </c>
      <c r="D36" s="41">
        <f t="shared" si="2"/>
        <v>14.000833333333333</v>
      </c>
      <c r="E36" s="41">
        <f t="shared" si="2"/>
        <v>9.4591666666666665</v>
      </c>
      <c r="F36" s="41">
        <f t="shared" si="2"/>
        <v>7.97</v>
      </c>
      <c r="G36" s="41">
        <f t="shared" si="2"/>
        <v>32.380000000000003</v>
      </c>
      <c r="H36" s="41">
        <f t="shared" si="2"/>
        <v>16.102916666666665</v>
      </c>
      <c r="I36" s="41">
        <f t="shared" si="2"/>
        <v>3.6529166666666666</v>
      </c>
      <c r="J36" s="41">
        <f t="shared" si="2"/>
        <v>0.4754166666666666</v>
      </c>
      <c r="K36" s="41">
        <f t="shared" si="2"/>
        <v>277.30624999999998</v>
      </c>
      <c r="L36" s="41">
        <f t="shared" si="2"/>
        <v>27.896250000000006</v>
      </c>
      <c r="M36" s="41">
        <f t="shared" si="2"/>
        <v>91.295416666666668</v>
      </c>
      <c r="N36" s="41">
        <f t="shared" si="2"/>
        <v>105.47916666666667</v>
      </c>
      <c r="O36" s="41">
        <f t="shared" si="2"/>
        <v>0</v>
      </c>
      <c r="P36" s="41">
        <f t="shared" si="2"/>
        <v>0.37499999999999994</v>
      </c>
      <c r="Q36" s="41">
        <f t="shared" si="2"/>
        <v>4.6679166666666676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4.4214152760714706E-2</v>
      </c>
      <c r="C37" s="41">
        <f t="shared" ref="C37:Q37" si="3">STDEV(C9:C32)</f>
        <v>6.1004573361466072E-2</v>
      </c>
      <c r="D37" s="41">
        <f t="shared" si="3"/>
        <v>2.8232985128663411E-3</v>
      </c>
      <c r="E37" s="41">
        <f t="shared" si="3"/>
        <v>1.4020231241244629</v>
      </c>
      <c r="F37" s="41">
        <f t="shared" si="3"/>
        <v>3.5320470724127007</v>
      </c>
      <c r="G37" s="41">
        <f t="shared" si="3"/>
        <v>8.3007663344494826</v>
      </c>
      <c r="H37" s="41">
        <f t="shared" si="3"/>
        <v>4.0057887234727554</v>
      </c>
      <c r="I37" s="41">
        <f t="shared" si="3"/>
        <v>0.50082088412026993</v>
      </c>
      <c r="J37" s="41">
        <f t="shared" si="3"/>
        <v>0.2491198274039968</v>
      </c>
      <c r="K37" s="41">
        <f t="shared" si="3"/>
        <v>8.1010803426093609</v>
      </c>
      <c r="L37" s="41">
        <f t="shared" si="3"/>
        <v>1.8330630400222068</v>
      </c>
      <c r="M37" s="41">
        <f t="shared" si="3"/>
        <v>8.2054944366121951</v>
      </c>
      <c r="N37" s="41">
        <f t="shared" si="3"/>
        <v>122.74580300685278</v>
      </c>
      <c r="O37" s="41">
        <f t="shared" si="3"/>
        <v>0</v>
      </c>
      <c r="P37" s="41">
        <f t="shared" si="3"/>
        <v>6.8461350569055793E-2</v>
      </c>
      <c r="Q37" s="41">
        <f t="shared" si="3"/>
        <v>8.8362724123311302E-3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6" width="9.140625" style="39" customWidth="1"/>
    <col min="17" max="17" width="16.425781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45504.041666666664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45504.041666666664</v>
      </c>
      <c r="B9" s="51">
        <v>9.32</v>
      </c>
      <c r="C9" s="51">
        <v>4.08</v>
      </c>
      <c r="D9" s="51">
        <v>14.04</v>
      </c>
      <c r="E9" s="51">
        <v>8.52</v>
      </c>
      <c r="F9" s="51">
        <v>7.97</v>
      </c>
      <c r="G9" s="51">
        <v>37.81</v>
      </c>
      <c r="H9" s="51">
        <v>12.65</v>
      </c>
      <c r="I9" s="51">
        <v>3.46</v>
      </c>
      <c r="J9" s="51">
        <v>0.41</v>
      </c>
      <c r="K9" s="51">
        <v>270.62</v>
      </c>
      <c r="L9" s="51">
        <v>27.25</v>
      </c>
      <c r="M9" s="51">
        <v>93.13</v>
      </c>
      <c r="N9" s="51">
        <v>2.2000000000000002</v>
      </c>
      <c r="O9" s="51">
        <v>0</v>
      </c>
      <c r="P9" s="51">
        <v>0.24</v>
      </c>
      <c r="Q9" s="51">
        <v>4.67</v>
      </c>
    </row>
    <row r="10" spans="1:21" customFormat="1">
      <c r="A10" s="50">
        <v>45504.083333333336</v>
      </c>
      <c r="B10" s="51">
        <v>9.3000000000000007</v>
      </c>
      <c r="C10" s="51">
        <v>4.12</v>
      </c>
      <c r="D10" s="51">
        <v>14.02</v>
      </c>
      <c r="E10" s="51">
        <v>9.25</v>
      </c>
      <c r="F10" s="51">
        <v>6.51</v>
      </c>
      <c r="G10" s="51">
        <v>30.45</v>
      </c>
      <c r="H10" s="51">
        <v>12.65</v>
      </c>
      <c r="I10" s="51">
        <v>3.35</v>
      </c>
      <c r="J10" s="51">
        <v>0.4</v>
      </c>
      <c r="K10" s="51">
        <v>275.83</v>
      </c>
      <c r="L10" s="51">
        <v>27.13</v>
      </c>
      <c r="M10" s="51">
        <v>94.37</v>
      </c>
      <c r="N10" s="51">
        <v>2.2999999999999998</v>
      </c>
      <c r="O10" s="51">
        <v>0</v>
      </c>
      <c r="P10" s="51">
        <v>0.24</v>
      </c>
      <c r="Q10" s="51">
        <v>4.68</v>
      </c>
    </row>
    <row r="11" spans="1:21" customFormat="1">
      <c r="A11" s="50">
        <v>45504.125</v>
      </c>
      <c r="B11" s="51">
        <v>9.25</v>
      </c>
      <c r="C11" s="51">
        <v>4.13</v>
      </c>
      <c r="D11" s="51">
        <v>14</v>
      </c>
      <c r="E11" s="51">
        <v>8.89</v>
      </c>
      <c r="F11" s="51">
        <v>5.4</v>
      </c>
      <c r="G11" s="51">
        <v>30.13</v>
      </c>
      <c r="H11" s="51">
        <v>13.57</v>
      </c>
      <c r="I11" s="51">
        <v>3.16</v>
      </c>
      <c r="J11" s="51">
        <v>0.69</v>
      </c>
      <c r="K11" s="51">
        <v>279.67</v>
      </c>
      <c r="L11" s="51">
        <v>26.92</v>
      </c>
      <c r="M11" s="51">
        <v>95.24</v>
      </c>
      <c r="N11" s="51">
        <v>2.4</v>
      </c>
      <c r="O11" s="51">
        <v>0</v>
      </c>
      <c r="P11" s="51">
        <v>0.24</v>
      </c>
      <c r="Q11" s="51">
        <v>4.67</v>
      </c>
    </row>
    <row r="12" spans="1:21" customFormat="1">
      <c r="A12" s="50">
        <v>45504.166666666664</v>
      </c>
      <c r="B12" s="51">
        <v>9.2799999999999994</v>
      </c>
      <c r="C12" s="51">
        <v>4.09</v>
      </c>
      <c r="D12" s="51">
        <v>14.01</v>
      </c>
      <c r="E12" s="51">
        <v>9.11</v>
      </c>
      <c r="F12" s="51">
        <v>6.31</v>
      </c>
      <c r="G12" s="51">
        <v>29.26</v>
      </c>
      <c r="H12" s="51">
        <v>13.57</v>
      </c>
      <c r="I12" s="51">
        <v>2.98</v>
      </c>
      <c r="J12" s="51">
        <v>1.02</v>
      </c>
      <c r="K12" s="51">
        <v>279.42</v>
      </c>
      <c r="L12" s="51">
        <v>26.9</v>
      </c>
      <c r="M12" s="51">
        <v>93.49</v>
      </c>
      <c r="N12" s="51">
        <v>2.5</v>
      </c>
      <c r="O12" s="51">
        <v>0</v>
      </c>
      <c r="P12" s="51">
        <v>0.23</v>
      </c>
      <c r="Q12" s="51">
        <v>4.66</v>
      </c>
    </row>
    <row r="13" spans="1:21" customFormat="1">
      <c r="A13" s="50">
        <v>45504.208333333336</v>
      </c>
      <c r="B13" s="51">
        <v>9.31</v>
      </c>
      <c r="C13" s="51">
        <v>4.07</v>
      </c>
      <c r="D13" s="51">
        <v>14.04</v>
      </c>
      <c r="E13" s="51">
        <v>9.7899999999999991</v>
      </c>
      <c r="F13" s="51">
        <v>5.09</v>
      </c>
      <c r="G13" s="51">
        <v>28.65</v>
      </c>
      <c r="H13" s="51">
        <v>12.14</v>
      </c>
      <c r="I13" s="51">
        <v>2.95</v>
      </c>
      <c r="J13" s="51">
        <v>0.65</v>
      </c>
      <c r="K13" s="51">
        <v>282.36</v>
      </c>
      <c r="L13" s="51">
        <v>26.63</v>
      </c>
      <c r="M13" s="51">
        <v>93.45</v>
      </c>
      <c r="N13" s="51">
        <v>2.4</v>
      </c>
      <c r="O13" s="51">
        <v>0</v>
      </c>
      <c r="P13" s="51">
        <v>0.27</v>
      </c>
      <c r="Q13" s="51">
        <v>4.66</v>
      </c>
    </row>
    <row r="14" spans="1:21" customFormat="1">
      <c r="A14" s="50">
        <v>45504.25</v>
      </c>
      <c r="B14" s="51">
        <v>9.26</v>
      </c>
      <c r="C14" s="51">
        <v>4.1100000000000003</v>
      </c>
      <c r="D14" s="51">
        <v>14.01</v>
      </c>
      <c r="E14" s="51">
        <v>9.26</v>
      </c>
      <c r="F14" s="51">
        <v>5.08</v>
      </c>
      <c r="G14" s="51">
        <v>21.88</v>
      </c>
      <c r="H14" s="51">
        <v>12.55</v>
      </c>
      <c r="I14" s="51">
        <v>2.92</v>
      </c>
      <c r="J14" s="51">
        <v>0.77</v>
      </c>
      <c r="K14" s="51">
        <v>282.27999999999997</v>
      </c>
      <c r="L14" s="51">
        <v>26.34</v>
      </c>
      <c r="M14" s="51">
        <v>94.56</v>
      </c>
      <c r="N14" s="51">
        <v>5.6</v>
      </c>
      <c r="O14" s="51">
        <v>0</v>
      </c>
      <c r="P14" s="51">
        <v>0.27</v>
      </c>
      <c r="Q14" s="51">
        <v>4.67</v>
      </c>
    </row>
    <row r="15" spans="1:21" customFormat="1">
      <c r="A15" s="50">
        <v>45504.291666666664</v>
      </c>
      <c r="B15" s="51">
        <v>9.23</v>
      </c>
      <c r="C15" s="51">
        <v>4.12</v>
      </c>
      <c r="D15" s="51">
        <v>14</v>
      </c>
      <c r="E15" s="51">
        <v>7.97</v>
      </c>
      <c r="F15" s="51">
        <v>4.71</v>
      </c>
      <c r="G15" s="51">
        <v>20.69</v>
      </c>
      <c r="H15" s="51">
        <v>12.61</v>
      </c>
      <c r="I15" s="51">
        <v>2.93</v>
      </c>
      <c r="J15" s="51">
        <v>0.75</v>
      </c>
      <c r="K15" s="51">
        <v>280.99</v>
      </c>
      <c r="L15" s="51">
        <v>26.34</v>
      </c>
      <c r="M15" s="51">
        <v>95.41</v>
      </c>
      <c r="N15" s="51">
        <v>38</v>
      </c>
      <c r="O15" s="51">
        <v>0</v>
      </c>
      <c r="P15" s="51">
        <v>0.27</v>
      </c>
      <c r="Q15" s="51">
        <v>4.66</v>
      </c>
    </row>
    <row r="16" spans="1:21" customFormat="1">
      <c r="A16" s="50">
        <v>45504.333333333336</v>
      </c>
      <c r="B16" s="51">
        <v>9.24</v>
      </c>
      <c r="C16" s="51">
        <v>4.0999999999999996</v>
      </c>
      <c r="D16" s="51">
        <v>14</v>
      </c>
      <c r="E16" s="51">
        <v>7.65</v>
      </c>
      <c r="F16" s="51">
        <v>4.71</v>
      </c>
      <c r="G16" s="51">
        <v>22.31</v>
      </c>
      <c r="H16" s="51">
        <v>12.61</v>
      </c>
      <c r="I16" s="51">
        <v>3.02</v>
      </c>
      <c r="J16" s="51">
        <v>0.67</v>
      </c>
      <c r="K16" s="51">
        <v>283.47000000000003</v>
      </c>
      <c r="L16" s="51">
        <v>26.48</v>
      </c>
      <c r="M16" s="51">
        <v>95.07</v>
      </c>
      <c r="N16" s="51">
        <v>41.1</v>
      </c>
      <c r="O16" s="51">
        <v>0</v>
      </c>
      <c r="P16" s="51">
        <v>0.27</v>
      </c>
      <c r="Q16" s="51">
        <v>4.67</v>
      </c>
    </row>
    <row r="17" spans="1:17" customFormat="1">
      <c r="A17" s="50">
        <v>45504.375</v>
      </c>
      <c r="B17" s="51">
        <v>9.23</v>
      </c>
      <c r="C17" s="51">
        <v>4.13</v>
      </c>
      <c r="D17" s="51">
        <v>14</v>
      </c>
      <c r="E17" s="51">
        <v>7.03</v>
      </c>
      <c r="F17" s="51">
        <v>5.0199999999999996</v>
      </c>
      <c r="G17" s="51">
        <v>33.47</v>
      </c>
      <c r="H17" s="51">
        <v>12</v>
      </c>
      <c r="I17" s="51">
        <v>3.07</v>
      </c>
      <c r="J17" s="51">
        <v>0.66</v>
      </c>
      <c r="K17" s="51">
        <v>279.39</v>
      </c>
      <c r="L17" s="51">
        <v>26.63</v>
      </c>
      <c r="M17" s="51">
        <v>94.8</v>
      </c>
      <c r="N17" s="51">
        <v>49.9</v>
      </c>
      <c r="O17" s="51">
        <v>0</v>
      </c>
      <c r="P17" s="51">
        <v>0.28000000000000003</v>
      </c>
      <c r="Q17" s="51">
        <v>4.67</v>
      </c>
    </row>
    <row r="18" spans="1:17" customFormat="1">
      <c r="A18" s="50">
        <v>45504.416666666664</v>
      </c>
      <c r="B18" s="51">
        <v>9.33</v>
      </c>
      <c r="C18" s="51">
        <v>4.1100000000000003</v>
      </c>
      <c r="D18" s="51">
        <v>14.07</v>
      </c>
      <c r="E18" s="51">
        <v>7.27</v>
      </c>
      <c r="F18" s="51">
        <v>6</v>
      </c>
      <c r="G18" s="51">
        <v>33.47</v>
      </c>
      <c r="H18" s="51">
        <v>12</v>
      </c>
      <c r="I18" s="51">
        <v>3.09</v>
      </c>
      <c r="J18" s="51">
        <v>0.57999999999999996</v>
      </c>
      <c r="K18" s="51">
        <v>280.97000000000003</v>
      </c>
      <c r="L18" s="51">
        <v>26.77</v>
      </c>
      <c r="M18" s="51">
        <v>95.65</v>
      </c>
      <c r="N18" s="51">
        <v>48</v>
      </c>
      <c r="O18" s="51">
        <v>0</v>
      </c>
      <c r="P18" s="51">
        <v>0.24</v>
      </c>
      <c r="Q18" s="51">
        <v>4.66</v>
      </c>
    </row>
    <row r="19" spans="1:17" customFormat="1">
      <c r="A19" s="50">
        <v>45504.458333333336</v>
      </c>
      <c r="B19" s="51">
        <v>9.2899999999999991</v>
      </c>
      <c r="C19" s="51">
        <v>4.0999999999999996</v>
      </c>
      <c r="D19" s="51">
        <v>14.04</v>
      </c>
      <c r="E19" s="51">
        <v>10.42</v>
      </c>
      <c r="F19" s="51">
        <v>5.15</v>
      </c>
      <c r="G19" s="51">
        <v>27.11</v>
      </c>
      <c r="H19" s="51">
        <v>8.58</v>
      </c>
      <c r="I19" s="51">
        <v>3.18</v>
      </c>
      <c r="J19" s="51">
        <v>0.56999999999999995</v>
      </c>
      <c r="K19" s="51">
        <v>289.39</v>
      </c>
      <c r="L19" s="51">
        <v>26.75</v>
      </c>
      <c r="M19" s="51">
        <v>100.29</v>
      </c>
      <c r="N19" s="51">
        <v>65.7</v>
      </c>
      <c r="O19" s="51">
        <v>0.2</v>
      </c>
      <c r="P19" s="51">
        <v>0.24</v>
      </c>
      <c r="Q19" s="51">
        <v>4.68</v>
      </c>
    </row>
    <row r="20" spans="1:17" customFormat="1">
      <c r="A20" s="50">
        <v>45504.5</v>
      </c>
      <c r="B20" s="51">
        <v>9.3000000000000007</v>
      </c>
      <c r="C20" s="51">
        <v>4.09</v>
      </c>
      <c r="D20" s="51">
        <v>14.03</v>
      </c>
      <c r="E20" s="51">
        <v>10.9</v>
      </c>
      <c r="F20" s="51">
        <v>4.22</v>
      </c>
      <c r="G20" s="51">
        <v>25.75</v>
      </c>
      <c r="H20" s="51">
        <v>11.24</v>
      </c>
      <c r="I20" s="51">
        <v>3.75</v>
      </c>
      <c r="J20" s="51">
        <v>0.75</v>
      </c>
      <c r="K20" s="51">
        <v>307.89999999999998</v>
      </c>
      <c r="L20" s="51">
        <v>26.32</v>
      </c>
      <c r="M20" s="51">
        <v>102.9</v>
      </c>
      <c r="N20" s="51">
        <v>64.900000000000006</v>
      </c>
      <c r="O20" s="51">
        <v>3.4</v>
      </c>
      <c r="P20" s="51">
        <v>0.31</v>
      </c>
      <c r="Q20" s="51">
        <v>4.67</v>
      </c>
    </row>
    <row r="21" spans="1:17" customFormat="1">
      <c r="A21" s="50">
        <v>45504.541666666664</v>
      </c>
      <c r="B21" s="51">
        <v>9.32</v>
      </c>
      <c r="C21" s="51">
        <v>4.08</v>
      </c>
      <c r="D21" s="51">
        <v>14.04</v>
      </c>
      <c r="E21" s="51">
        <v>10.95</v>
      </c>
      <c r="F21" s="51">
        <v>3.93</v>
      </c>
      <c r="G21" s="51">
        <v>36.06</v>
      </c>
      <c r="H21" s="51">
        <v>15.88</v>
      </c>
      <c r="I21" s="51">
        <v>4.08</v>
      </c>
      <c r="J21" s="51">
        <v>0.57999999999999996</v>
      </c>
      <c r="K21" s="51">
        <v>311.13</v>
      </c>
      <c r="L21" s="51">
        <v>26.55</v>
      </c>
      <c r="M21" s="51">
        <v>104.99</v>
      </c>
      <c r="N21" s="51">
        <v>116.9</v>
      </c>
      <c r="O21" s="51">
        <v>0</v>
      </c>
      <c r="P21" s="51">
        <v>0.34</v>
      </c>
      <c r="Q21" s="51">
        <v>4.66</v>
      </c>
    </row>
    <row r="22" spans="1:17" customFormat="1">
      <c r="A22" s="50">
        <v>45504.583333333336</v>
      </c>
      <c r="B22" s="51">
        <v>9.3000000000000007</v>
      </c>
      <c r="C22" s="51">
        <v>4.09</v>
      </c>
      <c r="D22" s="51">
        <v>14.04</v>
      </c>
      <c r="E22" s="51">
        <v>11.79</v>
      </c>
      <c r="F22" s="51">
        <v>5.04</v>
      </c>
      <c r="G22" s="51">
        <v>36.06</v>
      </c>
      <c r="H22" s="51">
        <v>15.88</v>
      </c>
      <c r="I22" s="51">
        <v>4.2300000000000004</v>
      </c>
      <c r="J22" s="51">
        <v>0.57999999999999996</v>
      </c>
      <c r="K22" s="51">
        <v>280.79000000000002</v>
      </c>
      <c r="L22" s="51">
        <v>27.38</v>
      </c>
      <c r="M22" s="51">
        <v>98.88</v>
      </c>
      <c r="N22" s="51">
        <v>134.19999999999999</v>
      </c>
      <c r="O22" s="51">
        <v>0</v>
      </c>
      <c r="P22" s="51">
        <v>0.37</v>
      </c>
      <c r="Q22" s="51">
        <v>4.67</v>
      </c>
    </row>
    <row r="23" spans="1:17" customFormat="1">
      <c r="A23" s="50">
        <v>45504.625</v>
      </c>
      <c r="B23" s="51">
        <v>9.2799999999999994</v>
      </c>
      <c r="C23" s="51">
        <v>4.08</v>
      </c>
      <c r="D23" s="51">
        <v>14.02</v>
      </c>
      <c r="E23" s="51">
        <v>13.38</v>
      </c>
      <c r="F23" s="51">
        <v>7.43</v>
      </c>
      <c r="G23" s="51">
        <v>39.520000000000003</v>
      </c>
      <c r="H23" s="51">
        <v>16.350000000000001</v>
      </c>
      <c r="I23" s="51">
        <v>5.54</v>
      </c>
      <c r="J23" s="51">
        <v>0.82</v>
      </c>
      <c r="K23" s="51">
        <v>284.32</v>
      </c>
      <c r="L23" s="51">
        <v>28.24</v>
      </c>
      <c r="M23" s="51">
        <v>92.98</v>
      </c>
      <c r="N23" s="51">
        <v>186.5</v>
      </c>
      <c r="O23" s="51">
        <v>0</v>
      </c>
      <c r="P23" s="51">
        <v>0.56000000000000005</v>
      </c>
      <c r="Q23" s="51">
        <v>4.67</v>
      </c>
    </row>
    <row r="24" spans="1:17" customFormat="1">
      <c r="A24" s="50">
        <v>45504.666666666664</v>
      </c>
      <c r="B24" s="51">
        <v>9.31</v>
      </c>
      <c r="C24" s="51">
        <v>4.0599999999999996</v>
      </c>
      <c r="D24" s="51">
        <v>14.04</v>
      </c>
      <c r="E24" s="51">
        <v>11.96</v>
      </c>
      <c r="F24" s="51">
        <v>9.84</v>
      </c>
      <c r="G24" s="51">
        <v>39.520000000000003</v>
      </c>
      <c r="H24" s="51">
        <v>16.350000000000001</v>
      </c>
      <c r="I24" s="51">
        <v>6.12</v>
      </c>
      <c r="J24" s="51">
        <v>0.75</v>
      </c>
      <c r="K24" s="51">
        <v>284.02</v>
      </c>
      <c r="L24" s="51">
        <v>28.24</v>
      </c>
      <c r="M24" s="51">
        <v>90.55</v>
      </c>
      <c r="N24" s="51">
        <v>147.4</v>
      </c>
      <c r="O24" s="51">
        <v>0</v>
      </c>
      <c r="P24" s="51">
        <v>0.47</v>
      </c>
      <c r="Q24" s="51">
        <v>4.68</v>
      </c>
    </row>
    <row r="25" spans="1:17" customFormat="1">
      <c r="A25" s="50">
        <v>45504.708333333336</v>
      </c>
      <c r="B25" s="51">
        <v>9.31</v>
      </c>
      <c r="C25" s="51">
        <v>4.07</v>
      </c>
      <c r="D25" s="51">
        <v>14.03</v>
      </c>
      <c r="E25" s="51">
        <v>9.6999999999999993</v>
      </c>
      <c r="F25" s="51">
        <v>8.32</v>
      </c>
      <c r="G25" s="51">
        <v>38.4</v>
      </c>
      <c r="H25" s="51">
        <v>13.02</v>
      </c>
      <c r="I25" s="51">
        <v>5.79</v>
      </c>
      <c r="J25" s="51">
        <v>0.88</v>
      </c>
      <c r="K25" s="51">
        <v>282.52999999999997</v>
      </c>
      <c r="L25" s="51">
        <v>27.73</v>
      </c>
      <c r="M25" s="51">
        <v>91.36</v>
      </c>
      <c r="N25" s="51">
        <v>90.7</v>
      </c>
      <c r="O25" s="51">
        <v>0</v>
      </c>
      <c r="P25" s="51">
        <v>0.49</v>
      </c>
      <c r="Q25" s="51">
        <v>4.68</v>
      </c>
    </row>
    <row r="26" spans="1:17" customFormat="1">
      <c r="A26" s="50">
        <v>45504.75</v>
      </c>
      <c r="B26" s="51">
        <v>9.3000000000000007</v>
      </c>
      <c r="C26" s="51">
        <v>4.0999999999999996</v>
      </c>
      <c r="D26" s="51">
        <v>14.05</v>
      </c>
      <c r="E26" s="51">
        <v>8.7899999999999991</v>
      </c>
      <c r="F26" s="51">
        <v>8.3800000000000008</v>
      </c>
      <c r="G26" s="51">
        <v>38.4</v>
      </c>
      <c r="H26" s="51">
        <v>13.02</v>
      </c>
      <c r="I26" s="51">
        <v>5.25</v>
      </c>
      <c r="J26" s="51">
        <v>0.61</v>
      </c>
      <c r="K26" s="51">
        <v>278.19</v>
      </c>
      <c r="L26" s="51">
        <v>27.06</v>
      </c>
      <c r="M26" s="51">
        <v>93.34</v>
      </c>
      <c r="N26" s="51">
        <v>35.700000000000003</v>
      </c>
      <c r="O26" s="51">
        <v>0</v>
      </c>
      <c r="P26" s="51">
        <v>0.44</v>
      </c>
      <c r="Q26" s="51">
        <v>4.68</v>
      </c>
    </row>
    <row r="27" spans="1:17" customFormat="1">
      <c r="A27" s="50">
        <v>45504.791666666664</v>
      </c>
      <c r="B27" s="51">
        <v>9.33</v>
      </c>
      <c r="C27" s="51">
        <v>4.08</v>
      </c>
      <c r="D27" s="51">
        <v>14.06</v>
      </c>
      <c r="E27" s="51">
        <v>10.28</v>
      </c>
      <c r="F27" s="51">
        <v>8.36</v>
      </c>
      <c r="G27" s="51">
        <v>29.27</v>
      </c>
      <c r="H27" s="51">
        <v>10.71</v>
      </c>
      <c r="I27" s="51">
        <v>4.87</v>
      </c>
      <c r="J27" s="51">
        <v>0.43</v>
      </c>
      <c r="K27" s="51">
        <v>277.11</v>
      </c>
      <c r="L27" s="51">
        <v>26.73</v>
      </c>
      <c r="M27" s="51">
        <v>95.71</v>
      </c>
      <c r="N27" s="51">
        <v>9.5</v>
      </c>
      <c r="O27" s="51">
        <v>0</v>
      </c>
      <c r="P27" s="51">
        <v>0.41</v>
      </c>
      <c r="Q27" s="51">
        <v>4.68</v>
      </c>
    </row>
    <row r="28" spans="1:17" customFormat="1">
      <c r="A28" s="50">
        <v>45504.833333333336</v>
      </c>
      <c r="B28" s="51">
        <v>9.31</v>
      </c>
      <c r="C28" s="51">
        <v>4.1100000000000003</v>
      </c>
      <c r="D28" s="51">
        <v>14.06</v>
      </c>
      <c r="E28" s="51">
        <v>11.13</v>
      </c>
      <c r="F28" s="51">
        <v>7.46</v>
      </c>
      <c r="G28" s="51">
        <v>29.8</v>
      </c>
      <c r="H28" s="51">
        <v>14.28</v>
      </c>
      <c r="I28" s="51">
        <v>4.67</v>
      </c>
      <c r="J28" s="51">
        <v>0.75</v>
      </c>
      <c r="K28" s="51">
        <v>309.01</v>
      </c>
      <c r="L28" s="51">
        <v>26.76</v>
      </c>
      <c r="M28" s="51">
        <v>96.98</v>
      </c>
      <c r="N28" s="51">
        <v>3.6</v>
      </c>
      <c r="O28" s="51">
        <v>3.2</v>
      </c>
      <c r="P28" s="51">
        <v>0.37</v>
      </c>
      <c r="Q28" s="51">
        <v>4.67</v>
      </c>
    </row>
    <row r="29" spans="1:17" customFormat="1">
      <c r="A29" s="50">
        <v>45504.875</v>
      </c>
      <c r="B29" s="51">
        <v>9.32</v>
      </c>
      <c r="C29" s="51">
        <v>4.08</v>
      </c>
      <c r="D29" s="51">
        <v>14.06</v>
      </c>
      <c r="E29" s="51">
        <v>11.76</v>
      </c>
      <c r="F29" s="51">
        <v>4.0999999999999996</v>
      </c>
      <c r="G29" s="51">
        <v>32.35</v>
      </c>
      <c r="H29" s="51">
        <v>14.28</v>
      </c>
      <c r="I29" s="51">
        <v>4.75</v>
      </c>
      <c r="J29" s="51">
        <v>1.29</v>
      </c>
      <c r="K29" s="51">
        <v>311.64</v>
      </c>
      <c r="L29" s="51">
        <v>25.29</v>
      </c>
      <c r="M29" s="51">
        <v>103.3</v>
      </c>
      <c r="N29" s="51">
        <v>3.5</v>
      </c>
      <c r="O29" s="51">
        <v>8.4</v>
      </c>
      <c r="P29" s="51">
        <v>0.39</v>
      </c>
      <c r="Q29" s="51">
        <v>4.68</v>
      </c>
    </row>
    <row r="30" spans="1:17" customFormat="1">
      <c r="A30" s="50">
        <v>45504.916666666664</v>
      </c>
      <c r="B30" s="51">
        <v>9.3699999999999992</v>
      </c>
      <c r="C30" s="51">
        <v>4.08</v>
      </c>
      <c r="D30" s="51">
        <v>14.1</v>
      </c>
      <c r="E30" s="51">
        <v>12.34</v>
      </c>
      <c r="F30" s="51">
        <v>4.03</v>
      </c>
      <c r="G30" s="51">
        <v>32.35</v>
      </c>
      <c r="H30" s="51">
        <v>15.93</v>
      </c>
      <c r="I30" s="51">
        <v>4.82</v>
      </c>
      <c r="J30" s="51">
        <v>0.53</v>
      </c>
      <c r="K30" s="51">
        <v>288.93</v>
      </c>
      <c r="L30" s="51">
        <v>24.71</v>
      </c>
      <c r="M30" s="51">
        <v>103.51</v>
      </c>
      <c r="N30" s="51">
        <v>2.7</v>
      </c>
      <c r="O30" s="51">
        <v>2.8</v>
      </c>
      <c r="P30" s="51">
        <v>0.39</v>
      </c>
      <c r="Q30" s="51">
        <v>4.68</v>
      </c>
    </row>
    <row r="31" spans="1:17" customFormat="1">
      <c r="A31" s="50">
        <v>45504.958333333336</v>
      </c>
      <c r="B31" s="51">
        <v>9.3699999999999992</v>
      </c>
      <c r="C31" s="51">
        <v>4.09</v>
      </c>
      <c r="D31" s="51">
        <v>14.1</v>
      </c>
      <c r="E31" s="51">
        <v>12.57</v>
      </c>
      <c r="F31" s="51">
        <v>3.76</v>
      </c>
      <c r="G31" s="51">
        <v>23.76</v>
      </c>
      <c r="H31" s="51">
        <v>15.93</v>
      </c>
      <c r="I31" s="51">
        <v>4.6500000000000004</v>
      </c>
      <c r="J31" s="51">
        <v>0.5</v>
      </c>
      <c r="K31" s="51">
        <v>288.81</v>
      </c>
      <c r="L31" s="51">
        <v>25.03</v>
      </c>
      <c r="M31" s="51">
        <v>103.59</v>
      </c>
      <c r="N31" s="51">
        <v>2.4</v>
      </c>
      <c r="O31" s="51">
        <v>1.6</v>
      </c>
      <c r="P31" s="51">
        <v>0.38</v>
      </c>
      <c r="Q31" s="51">
        <v>4.67</v>
      </c>
    </row>
    <row r="32" spans="1:17" customFormat="1">
      <c r="A32" s="50">
        <v>45505</v>
      </c>
      <c r="B32" s="51">
        <v>9.3699999999999992</v>
      </c>
      <c r="C32" s="51">
        <v>4.07</v>
      </c>
      <c r="D32" s="51">
        <v>14.09</v>
      </c>
      <c r="E32" s="51">
        <v>13.23</v>
      </c>
      <c r="F32" s="51">
        <v>4.6399999999999997</v>
      </c>
      <c r="G32" s="51">
        <v>19.79</v>
      </c>
      <c r="H32" s="51">
        <v>11.66</v>
      </c>
      <c r="I32" s="51">
        <v>4.5999999999999996</v>
      </c>
      <c r="J32" s="51">
        <v>0.5</v>
      </c>
      <c r="K32" s="51">
        <v>278.62</v>
      </c>
      <c r="L32" s="51">
        <v>25.18</v>
      </c>
      <c r="M32" s="51">
        <v>103.63</v>
      </c>
      <c r="N32" s="51">
        <v>2.4</v>
      </c>
      <c r="O32" s="51">
        <v>0</v>
      </c>
      <c r="P32" s="51">
        <v>0.4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9.23</v>
      </c>
      <c r="C34" s="41">
        <f t="shared" si="0"/>
        <v>4.0599999999999996</v>
      </c>
      <c r="D34" s="41">
        <f t="shared" si="0"/>
        <v>14</v>
      </c>
      <c r="E34" s="41">
        <f t="shared" si="0"/>
        <v>7.03</v>
      </c>
      <c r="F34" s="41">
        <f t="shared" si="0"/>
        <v>3.76</v>
      </c>
      <c r="G34" s="41">
        <f t="shared" si="0"/>
        <v>19.79</v>
      </c>
      <c r="H34" s="41">
        <f t="shared" si="0"/>
        <v>8.58</v>
      </c>
      <c r="I34" s="41">
        <f t="shared" si="0"/>
        <v>2.92</v>
      </c>
      <c r="J34" s="41">
        <f t="shared" si="0"/>
        <v>0.4</v>
      </c>
      <c r="K34" s="41">
        <f t="shared" si="0"/>
        <v>270.62</v>
      </c>
      <c r="L34" s="41">
        <f t="shared" si="0"/>
        <v>24.71</v>
      </c>
      <c r="M34" s="41">
        <f t="shared" si="0"/>
        <v>90.55</v>
      </c>
      <c r="N34" s="41">
        <f t="shared" si="0"/>
        <v>2.2000000000000002</v>
      </c>
      <c r="O34" s="41">
        <f t="shared" si="0"/>
        <v>0</v>
      </c>
      <c r="P34" s="41">
        <f t="shared" si="0"/>
        <v>0.23</v>
      </c>
      <c r="Q34" s="41">
        <f t="shared" si="0"/>
        <v>4.66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9.3699999999999992</v>
      </c>
      <c r="C35" s="33">
        <f t="shared" si="1"/>
        <v>4.13</v>
      </c>
      <c r="D35" s="33">
        <f t="shared" si="1"/>
        <v>14.1</v>
      </c>
      <c r="E35" s="33">
        <f t="shared" si="1"/>
        <v>13.38</v>
      </c>
      <c r="F35" s="33">
        <f t="shared" si="1"/>
        <v>9.84</v>
      </c>
      <c r="G35" s="33">
        <f t="shared" si="1"/>
        <v>39.520000000000003</v>
      </c>
      <c r="H35" s="33">
        <f t="shared" si="1"/>
        <v>16.350000000000001</v>
      </c>
      <c r="I35" s="33">
        <f t="shared" si="1"/>
        <v>6.12</v>
      </c>
      <c r="J35" s="33">
        <f t="shared" si="1"/>
        <v>1.29</v>
      </c>
      <c r="K35" s="33">
        <f t="shared" si="1"/>
        <v>311.64</v>
      </c>
      <c r="L35" s="33">
        <f t="shared" si="1"/>
        <v>28.24</v>
      </c>
      <c r="M35" s="33">
        <f t="shared" si="1"/>
        <v>104.99</v>
      </c>
      <c r="N35" s="33">
        <f t="shared" si="1"/>
        <v>186.5</v>
      </c>
      <c r="O35" s="33">
        <f t="shared" si="1"/>
        <v>8.4</v>
      </c>
      <c r="P35" s="33">
        <f t="shared" si="1"/>
        <v>0.56000000000000005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9.3012500000000014</v>
      </c>
      <c r="C36" s="41">
        <f t="shared" si="2"/>
        <v>4.0933333333333328</v>
      </c>
      <c r="D36" s="41">
        <f t="shared" si="2"/>
        <v>14.039583333333333</v>
      </c>
      <c r="E36" s="41">
        <f t="shared" si="2"/>
        <v>10.164166666666665</v>
      </c>
      <c r="F36" s="41">
        <f t="shared" si="2"/>
        <v>5.8941666666666661</v>
      </c>
      <c r="G36" s="41">
        <f t="shared" si="2"/>
        <v>30.677499999999995</v>
      </c>
      <c r="H36" s="41">
        <f t="shared" si="2"/>
        <v>13.310833333333335</v>
      </c>
      <c r="I36" s="41">
        <f t="shared" si="2"/>
        <v>4.0512500000000005</v>
      </c>
      <c r="J36" s="41">
        <f t="shared" si="2"/>
        <v>0.67249999999999999</v>
      </c>
      <c r="K36" s="41">
        <f t="shared" si="2"/>
        <v>286.14124999999996</v>
      </c>
      <c r="L36" s="41">
        <f t="shared" si="2"/>
        <v>26.639999999999997</v>
      </c>
      <c r="M36" s="41">
        <f t="shared" si="2"/>
        <v>96.96583333333335</v>
      </c>
      <c r="N36" s="41">
        <f t="shared" si="2"/>
        <v>44.1875</v>
      </c>
      <c r="O36" s="41">
        <f t="shared" si="2"/>
        <v>0.81666666666666676</v>
      </c>
      <c r="P36" s="41">
        <f t="shared" si="2"/>
        <v>0.3379166666666667</v>
      </c>
      <c r="Q36" s="41">
        <f t="shared" si="2"/>
        <v>4.6712500000000015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3.9816153593190143E-2</v>
      </c>
      <c r="C37" s="41">
        <f t="shared" ref="C37:Q37" si="3">STDEV(C9:C32)</f>
        <v>1.9708013524996605E-2</v>
      </c>
      <c r="D37" s="41">
        <f t="shared" si="3"/>
        <v>3.0285477459131127E-2</v>
      </c>
      <c r="E37" s="41">
        <f t="shared" si="3"/>
        <v>1.8593896068723559</v>
      </c>
      <c r="F37" s="41">
        <f t="shared" si="3"/>
        <v>1.7356289842631989</v>
      </c>
      <c r="G37" s="41">
        <f t="shared" si="3"/>
        <v>6.1341526114753693</v>
      </c>
      <c r="H37" s="41">
        <f t="shared" si="3"/>
        <v>1.9888513544618893</v>
      </c>
      <c r="I37" s="41">
        <f t="shared" si="3"/>
        <v>1.0239366170091615</v>
      </c>
      <c r="J37" s="41">
        <f t="shared" si="3"/>
        <v>0.2003529494363035</v>
      </c>
      <c r="K37" s="41">
        <f t="shared" si="3"/>
        <v>11.641066480541012</v>
      </c>
      <c r="L37" s="41">
        <f t="shared" si="3"/>
        <v>0.89513661818601287</v>
      </c>
      <c r="M37" s="41">
        <f t="shared" si="3"/>
        <v>4.4519237821774658</v>
      </c>
      <c r="N37" s="41">
        <f t="shared" si="3"/>
        <v>54.16305746058157</v>
      </c>
      <c r="O37" s="41">
        <f t="shared" si="3"/>
        <v>1.942581578314228</v>
      </c>
      <c r="P37" s="41">
        <f t="shared" si="3"/>
        <v>9.3435826229494895E-2</v>
      </c>
      <c r="Q37" s="41">
        <f t="shared" si="3"/>
        <v>7.4088666034572209E-3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55"/>
  <sheetViews>
    <sheetView tabSelected="1"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Q46" sqref="Q46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45474.041666666664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>
        <f>'01'!$B$2</f>
        <v>45474.041666666664</v>
      </c>
      <c r="B9" s="17">
        <f>'01'!B36</f>
        <v>9.2208333333333332</v>
      </c>
      <c r="C9" s="17">
        <f>'01'!C36</f>
        <v>4.0895833333333327</v>
      </c>
      <c r="D9" s="17">
        <f>'01'!D36</f>
        <v>13.972499999999998</v>
      </c>
      <c r="E9" s="17">
        <f>'01'!E36</f>
        <v>9.0074999999999985</v>
      </c>
      <c r="F9" s="17">
        <f>'01'!F36</f>
        <v>7.0354166666666664</v>
      </c>
      <c r="G9" s="17">
        <f>'01'!G36</f>
        <v>13.096666666666664</v>
      </c>
      <c r="H9" s="17">
        <f>'01'!H36</f>
        <v>5.4316666666666649</v>
      </c>
      <c r="I9" s="17">
        <f>'01'!I36</f>
        <v>3.5679166666666657</v>
      </c>
      <c r="J9" s="17">
        <f>'01'!J36</f>
        <v>0.78791666666666671</v>
      </c>
      <c r="K9" s="17">
        <f>'01'!K36</f>
        <v>266.65083333333337</v>
      </c>
      <c r="L9" s="17">
        <f>'01'!L36</f>
        <v>27.295833333333331</v>
      </c>
      <c r="M9" s="17">
        <f>'01'!M36</f>
        <v>91.125416666666652</v>
      </c>
      <c r="N9" s="17">
        <f>'01'!N36</f>
        <v>87.470833333333303</v>
      </c>
      <c r="O9" s="17">
        <f>'01'!O36</f>
        <v>5.8333333333333327E-2</v>
      </c>
      <c r="P9" s="17">
        <f>'01'!P36</f>
        <v>0.31916666666666665</v>
      </c>
      <c r="Q9" s="17">
        <f>'01'!Q36</f>
        <v>4.6437500000000007</v>
      </c>
      <c r="R9" s="34"/>
      <c r="S9" s="34"/>
      <c r="T9" s="34"/>
      <c r="U9" s="35"/>
    </row>
    <row r="10" spans="1:21" s="2" customFormat="1">
      <c r="A10" s="16">
        <f>'02'!$B$2</f>
        <v>45475.041666666664</v>
      </c>
      <c r="B10" s="17">
        <f>'02'!B36</f>
        <v>9.3616666666666664</v>
      </c>
      <c r="C10" s="17">
        <f>'02'!C36</f>
        <v>4.094999999999998</v>
      </c>
      <c r="D10" s="17">
        <f>'02'!D36</f>
        <v>14.09041666666667</v>
      </c>
      <c r="E10" s="17">
        <f>'02'!E36</f>
        <v>7.9783333333333326</v>
      </c>
      <c r="F10" s="17">
        <f>'02'!F36</f>
        <v>8.8750000000000018</v>
      </c>
      <c r="G10" s="17">
        <f>'02'!G36</f>
        <v>16.505238095238091</v>
      </c>
      <c r="H10" s="17">
        <f>'02'!H36</f>
        <v>5.0038095238095233</v>
      </c>
      <c r="I10" s="17">
        <f>'02'!I36</f>
        <v>3.1329166666666666</v>
      </c>
      <c r="J10" s="17">
        <f>'02'!J36</f>
        <v>0.7979166666666665</v>
      </c>
      <c r="K10" s="17">
        <f>'02'!K36</f>
        <v>261.9258333333334</v>
      </c>
      <c r="L10" s="17">
        <f>'02'!L36</f>
        <v>27.836249999999996</v>
      </c>
      <c r="M10" s="17">
        <f>'02'!M36</f>
        <v>86.772083333333327</v>
      </c>
      <c r="N10" s="17">
        <f>'02'!N36</f>
        <v>124.10000000000002</v>
      </c>
      <c r="O10" s="17">
        <f>'02'!O36</f>
        <v>1.6666666666666666E-2</v>
      </c>
      <c r="P10" s="17">
        <f>'02'!P36</f>
        <v>0.32083333333333341</v>
      </c>
      <c r="Q10" s="17">
        <f>'02'!Q36</f>
        <v>4.6504166666666658</v>
      </c>
      <c r="R10" s="36"/>
      <c r="S10" s="36"/>
      <c r="T10" s="36"/>
      <c r="U10" s="36"/>
    </row>
    <row r="11" spans="1:21" s="2" customFormat="1">
      <c r="A11" s="16">
        <f>'03'!$B$2</f>
        <v>45476.041666666664</v>
      </c>
      <c r="B11" s="17">
        <f>'03'!B36</f>
        <v>9.1774999999999984</v>
      </c>
      <c r="C11" s="17">
        <f>'03'!C36</f>
        <v>4.0841666666666674</v>
      </c>
      <c r="D11" s="17">
        <f>'03'!D36</f>
        <v>13.932083333333333</v>
      </c>
      <c r="E11" s="17">
        <f>'03'!E36</f>
        <v>9.5341666666666693</v>
      </c>
      <c r="F11" s="17">
        <f>'03'!F36</f>
        <v>6.652916666666667</v>
      </c>
      <c r="G11" s="17">
        <f>'03'!G36</f>
        <v>19.029999999999998</v>
      </c>
      <c r="H11" s="17">
        <f>'03'!H36</f>
        <v>7.2733333333333343</v>
      </c>
      <c r="I11" s="17">
        <f>'03'!I36</f>
        <v>3.8670833333333334</v>
      </c>
      <c r="J11" s="17">
        <f>'03'!J36</f>
        <v>0.90458333333333318</v>
      </c>
      <c r="K11" s="17">
        <f>'03'!K36</f>
        <v>272.66416666666663</v>
      </c>
      <c r="L11" s="17">
        <f>'03'!L36</f>
        <v>28.365000000000006</v>
      </c>
      <c r="M11" s="17">
        <f>'03'!M36</f>
        <v>82.571666666666658</v>
      </c>
      <c r="N11" s="17">
        <f>'03'!N36</f>
        <v>152.07083333333333</v>
      </c>
      <c r="O11" s="17">
        <f>'03'!O36</f>
        <v>8.3333333333333332E-3</v>
      </c>
      <c r="P11" s="17">
        <f>'03'!P36</f>
        <v>0.34875000000000006</v>
      </c>
      <c r="Q11" s="17">
        <f>'03'!Q36</f>
        <v>4.6525000000000007</v>
      </c>
      <c r="R11" s="36"/>
      <c r="S11" s="36"/>
      <c r="T11" s="36"/>
      <c r="U11" s="36"/>
    </row>
    <row r="12" spans="1:21" s="2" customFormat="1">
      <c r="A12" s="16">
        <f>'04'!$B$2</f>
        <v>45477.041666666664</v>
      </c>
      <c r="B12" s="17">
        <f>'04'!B36</f>
        <v>9.3774999999999995</v>
      </c>
      <c r="C12" s="17">
        <f>'04'!C36</f>
        <v>4.0895833333333327</v>
      </c>
      <c r="D12" s="17">
        <f>'04'!D36</f>
        <v>14.100833333333334</v>
      </c>
      <c r="E12" s="17">
        <f>'04'!E36</f>
        <v>9.9879166666666688</v>
      </c>
      <c r="F12" s="17">
        <f>'04'!F36</f>
        <v>7.1970833333333344</v>
      </c>
      <c r="G12" s="17">
        <f>'04'!G36</f>
        <v>14.034583333333329</v>
      </c>
      <c r="H12" s="17">
        <f>'04'!H36</f>
        <v>5.6854166666666677</v>
      </c>
      <c r="I12" s="17">
        <f>'04'!I36</f>
        <v>3.1804166666666664</v>
      </c>
      <c r="J12" s="17">
        <f>'04'!J36</f>
        <v>0.71666666666666667</v>
      </c>
      <c r="K12" s="17">
        <f>'04'!K36</f>
        <v>273.90583333333342</v>
      </c>
      <c r="L12" s="17">
        <f>'04'!L36</f>
        <v>27.576666666666664</v>
      </c>
      <c r="M12" s="17">
        <f>'04'!M36</f>
        <v>89.959583333333327</v>
      </c>
      <c r="N12" s="17">
        <f>'04'!N36</f>
        <v>118.4375</v>
      </c>
      <c r="O12" s="17">
        <f>'04'!O36</f>
        <v>0.28333333333333338</v>
      </c>
      <c r="P12" s="17">
        <f>'04'!P36</f>
        <v>0.30124999999999996</v>
      </c>
      <c r="Q12" s="17">
        <f>'04'!Q36</f>
        <v>4.6470833333333337</v>
      </c>
      <c r="R12" s="36"/>
      <c r="S12" s="36"/>
      <c r="T12" s="36"/>
      <c r="U12" s="36"/>
    </row>
    <row r="13" spans="1:21" s="2" customFormat="1">
      <c r="A13" s="16">
        <f>'05'!$B$2</f>
        <v>45478.041666666664</v>
      </c>
      <c r="B13" s="17">
        <f>'05'!B36</f>
        <v>9.1758333333333333</v>
      </c>
      <c r="C13" s="17">
        <f>'05'!C36</f>
        <v>4.0787500000000003</v>
      </c>
      <c r="D13" s="17">
        <f>'05'!D36</f>
        <v>13.932916666666669</v>
      </c>
      <c r="E13" s="17">
        <f>'05'!E36</f>
        <v>9.7229166666666647</v>
      </c>
      <c r="F13" s="17">
        <f>'05'!F36</f>
        <v>8.3649999999999984</v>
      </c>
      <c r="G13" s="17">
        <f>'05'!G36</f>
        <v>16.212083333333332</v>
      </c>
      <c r="H13" s="17">
        <f>'05'!H36</f>
        <v>6.4854166666666657</v>
      </c>
      <c r="I13" s="17">
        <f>'05'!I36</f>
        <v>3.2083333333333339</v>
      </c>
      <c r="J13" s="17">
        <f>'05'!J36</f>
        <v>0.70791666666666686</v>
      </c>
      <c r="K13" s="17">
        <f>'05'!K36</f>
        <v>261.98291666666665</v>
      </c>
      <c r="L13" s="17">
        <f>'05'!L36</f>
        <v>28.591249999999999</v>
      </c>
      <c r="M13" s="17">
        <f>'05'!M36</f>
        <v>83.550416666666678</v>
      </c>
      <c r="N13" s="17">
        <f>'05'!N36</f>
        <v>117.42083333333329</v>
      </c>
      <c r="O13" s="17">
        <f>'05'!O36</f>
        <v>1.6666666666666666E-2</v>
      </c>
      <c r="P13" s="17">
        <f>'05'!P36</f>
        <v>0.32333333333333336</v>
      </c>
      <c r="Q13" s="17">
        <f>'05'!Q36</f>
        <v>4.6516666666666673</v>
      </c>
      <c r="R13" s="36"/>
      <c r="S13" s="36"/>
      <c r="T13" s="36"/>
      <c r="U13" s="36"/>
    </row>
    <row r="14" spans="1:21" s="2" customFormat="1">
      <c r="A14" s="16">
        <f>'06'!$B$2</f>
        <v>45479.041666666664</v>
      </c>
      <c r="B14" s="18">
        <f>'06'!B36</f>
        <v>9.3391666666666691</v>
      </c>
      <c r="C14" s="18">
        <f>'06'!C36</f>
        <v>4.0883333333333338</v>
      </c>
      <c r="D14" s="18">
        <f>'06'!D36</f>
        <v>14.067916666666671</v>
      </c>
      <c r="E14" s="18">
        <f>'06'!E36</f>
        <v>10.242083333333333</v>
      </c>
      <c r="F14" s="18">
        <f>'06'!F36</f>
        <v>8.5212500000000002</v>
      </c>
      <c r="G14" s="18">
        <f>'06'!G36</f>
        <v>14.917083333333338</v>
      </c>
      <c r="H14" s="18">
        <f>'06'!H36</f>
        <v>4.5100000000000007</v>
      </c>
      <c r="I14" s="18">
        <f>'06'!I36</f>
        <v>3.0033333333333334</v>
      </c>
      <c r="J14" s="18">
        <f>'06'!J36</f>
        <v>0.5129166666666668</v>
      </c>
      <c r="K14" s="18">
        <f>'06'!K36</f>
        <v>263.06083333333328</v>
      </c>
      <c r="L14" s="18">
        <f>'06'!L36</f>
        <v>29.189166666666669</v>
      </c>
      <c r="M14" s="18">
        <f>'06'!M36</f>
        <v>82.405833333333334</v>
      </c>
      <c r="N14" s="18">
        <f>'06'!N36</f>
        <v>171.32500000000007</v>
      </c>
      <c r="O14" s="18">
        <f>'06'!O36</f>
        <v>3.3333333333333333E-2</v>
      </c>
      <c r="P14" s="18">
        <f>'06'!P36</f>
        <v>0.29833333333333334</v>
      </c>
      <c r="Q14" s="18">
        <f>'06'!Q36</f>
        <v>4.6400000000000015</v>
      </c>
      <c r="R14" s="36"/>
      <c r="S14" s="36"/>
      <c r="T14" s="36"/>
      <c r="U14" s="36"/>
    </row>
    <row r="15" spans="1:21" s="2" customFormat="1">
      <c r="A15" s="16">
        <f>'07'!$B$2</f>
        <v>45480.041666666664</v>
      </c>
      <c r="B15" s="18">
        <f>'07'!B36</f>
        <v>9.2279166666666637</v>
      </c>
      <c r="C15" s="18">
        <f>'07'!C36</f>
        <v>4.0808333333333335</v>
      </c>
      <c r="D15" s="18">
        <f>'07'!D36</f>
        <v>13.973333333333338</v>
      </c>
      <c r="E15" s="18">
        <f>'07'!E36</f>
        <v>8.7887500000000003</v>
      </c>
      <c r="F15" s="18">
        <f>'07'!F36</f>
        <v>7.3562500000000002</v>
      </c>
      <c r="G15" s="18">
        <f>'07'!G36</f>
        <v>16.018333333333334</v>
      </c>
      <c r="H15" s="18">
        <f>'07'!H36</f>
        <v>42.377083333333331</v>
      </c>
      <c r="I15" s="18">
        <f>'07'!I36</f>
        <v>3.6654166666666668</v>
      </c>
      <c r="J15" s="18">
        <f>'07'!J36</f>
        <v>0.56041666666666667</v>
      </c>
      <c r="K15" s="18">
        <f>'07'!K36</f>
        <v>261.66666666666669</v>
      </c>
      <c r="L15" s="18">
        <f>'07'!L36</f>
        <v>28.23833333333333</v>
      </c>
      <c r="M15" s="18">
        <f>'07'!M36</f>
        <v>86.820000000000007</v>
      </c>
      <c r="N15" s="18">
        <f>'07'!N36</f>
        <v>93.758333333333312</v>
      </c>
      <c r="O15" s="18">
        <f>'07'!O36</f>
        <v>0</v>
      </c>
      <c r="P15" s="18">
        <f>'07'!P36</f>
        <v>0.36166666666666658</v>
      </c>
      <c r="Q15" s="18">
        <f>'07'!Q36</f>
        <v>4.6437500000000007</v>
      </c>
      <c r="R15" s="36"/>
      <c r="S15" s="36"/>
      <c r="T15" s="36"/>
      <c r="U15" s="36"/>
    </row>
    <row r="16" spans="1:21" s="2" customFormat="1">
      <c r="A16" s="16">
        <f>'08'!$B$2</f>
        <v>45481.041666666664</v>
      </c>
      <c r="B16" s="18">
        <f>'08'!B36</f>
        <v>9.2745833333333341</v>
      </c>
      <c r="C16" s="18">
        <f>'08'!C36</f>
        <v>4.0841666666666674</v>
      </c>
      <c r="D16" s="18">
        <f>'08'!D36</f>
        <v>14.017083333333334</v>
      </c>
      <c r="E16" s="18">
        <f>'08'!E36</f>
        <v>10.834999999999999</v>
      </c>
      <c r="F16" s="18">
        <f>'08'!F36</f>
        <v>9.0025000000000013</v>
      </c>
      <c r="G16" s="18">
        <f>'08'!G36</f>
        <v>28.199583333333337</v>
      </c>
      <c r="H16" s="18">
        <f>'08'!H36</f>
        <v>31.608333333333324</v>
      </c>
      <c r="I16" s="18">
        <f>'08'!I36</f>
        <v>4.5266666666666664</v>
      </c>
      <c r="J16" s="18">
        <f>'08'!J36</f>
        <v>0.38791666666666663</v>
      </c>
      <c r="K16" s="18">
        <f>'08'!K36</f>
        <v>229.26124999999993</v>
      </c>
      <c r="L16" s="18">
        <f>'08'!L36</f>
        <v>29.05416666666666</v>
      </c>
      <c r="M16" s="18">
        <f>'08'!M36</f>
        <v>90.109166666666638</v>
      </c>
      <c r="N16" s="18">
        <f>'08'!N36</f>
        <v>141.15416666666664</v>
      </c>
      <c r="O16" s="18">
        <f>'08'!O36</f>
        <v>0.11666666666666665</v>
      </c>
      <c r="P16" s="18">
        <f>'08'!P36</f>
        <v>0.39166666666666666</v>
      </c>
      <c r="Q16" s="18">
        <f>'08'!Q36</f>
        <v>4.6437500000000007</v>
      </c>
      <c r="R16" s="36"/>
      <c r="S16" s="36"/>
      <c r="T16" s="36"/>
      <c r="U16" s="36"/>
    </row>
    <row r="17" spans="1:24" s="2" customFormat="1">
      <c r="A17" s="16">
        <f>'09'!$B$2</f>
        <v>45482.041666666664</v>
      </c>
      <c r="B17" s="18">
        <f>'09'!B36</f>
        <v>9.3125000000000018</v>
      </c>
      <c r="C17" s="18">
        <f>'09'!C36</f>
        <v>4.0929166666666665</v>
      </c>
      <c r="D17" s="18">
        <f>'09'!D36</f>
        <v>14.048333333333334</v>
      </c>
      <c r="E17" s="18">
        <f>'09'!E36</f>
        <v>9.5108333333333324</v>
      </c>
      <c r="F17" s="18">
        <f>'09'!F36</f>
        <v>9.5341666666666658</v>
      </c>
      <c r="G17" s="18">
        <f>'09'!G36</f>
        <v>29.609583333333333</v>
      </c>
      <c r="H17" s="18">
        <f>'09'!H36</f>
        <v>32.631250000000001</v>
      </c>
      <c r="I17" s="18">
        <f>'09'!I36</f>
        <v>4.5504166666666661</v>
      </c>
      <c r="J17" s="18">
        <f>'09'!J36</f>
        <v>0.41499999999999998</v>
      </c>
      <c r="K17" s="18">
        <f>'09'!K36</f>
        <v>246.91916666666665</v>
      </c>
      <c r="L17" s="18">
        <f>'09'!L36</f>
        <v>29.259583333333335</v>
      </c>
      <c r="M17" s="18">
        <f>'09'!M36</f>
        <v>87.90083333333331</v>
      </c>
      <c r="N17" s="18">
        <f>'09'!N36</f>
        <v>184.76249999999996</v>
      </c>
      <c r="O17" s="18">
        <f>'09'!O36</f>
        <v>1.0916666666666666</v>
      </c>
      <c r="P17" s="18">
        <f>'09'!P36</f>
        <v>0.39708333333333323</v>
      </c>
      <c r="Q17" s="18">
        <f>'09'!Q36</f>
        <v>4.6437500000000007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>
        <f>'10'!$B$2</f>
        <v>45483.041666666664</v>
      </c>
      <c r="B18" s="18">
        <f>'10'!B36</f>
        <v>9.2958333333333343</v>
      </c>
      <c r="C18" s="18">
        <f>'10'!C36</f>
        <v>4.0883333333333338</v>
      </c>
      <c r="D18" s="18">
        <f>'10'!D36</f>
        <v>14.030833333333334</v>
      </c>
      <c r="E18" s="18">
        <f>'10'!E36</f>
        <v>11.431249999999999</v>
      </c>
      <c r="F18" s="18">
        <f>'10'!F36</f>
        <v>9.3804166666666671</v>
      </c>
      <c r="G18" s="18">
        <f>'10'!G36</f>
        <v>24.521249999999995</v>
      </c>
      <c r="H18" s="18">
        <f>'10'!H36</f>
        <v>10.079583333333334</v>
      </c>
      <c r="I18" s="18">
        <f>'10'!I36</f>
        <v>4.5395833333333337</v>
      </c>
      <c r="J18" s="18">
        <f>'10'!J36</f>
        <v>0.42875000000000013</v>
      </c>
      <c r="K18" s="18">
        <f>'10'!K36</f>
        <v>268.00666666666672</v>
      </c>
      <c r="L18" s="18">
        <f>'10'!L36</f>
        <v>28.626250000000002</v>
      </c>
      <c r="M18" s="18">
        <f>'10'!M36</f>
        <v>89.169583333333321</v>
      </c>
      <c r="N18" s="18">
        <f>'10'!N36</f>
        <v>140.95416666666668</v>
      </c>
      <c r="O18" s="18">
        <f>'10'!O36</f>
        <v>6.6666666666666666E-2</v>
      </c>
      <c r="P18" s="18">
        <f>'10'!P36</f>
        <v>0.39874999999999994</v>
      </c>
      <c r="Q18" s="18">
        <f>'10'!Q36</f>
        <v>4.6504166666666658</v>
      </c>
      <c r="R18" s="36"/>
      <c r="S18" s="36"/>
      <c r="T18" s="36"/>
      <c r="U18" s="36"/>
    </row>
    <row r="19" spans="1:24" s="2" customFormat="1">
      <c r="A19" s="16">
        <f>'11'!$B$2</f>
        <v>45484.041666666664</v>
      </c>
      <c r="B19" s="18">
        <f>'11'!B36</f>
        <v>9.3954166666666676</v>
      </c>
      <c r="C19" s="18">
        <f>'11'!C36</f>
        <v>4.095416666666666</v>
      </c>
      <c r="D19" s="18">
        <f>'11'!D36</f>
        <v>14.114583333333334</v>
      </c>
      <c r="E19" s="18">
        <f>'11'!E36</f>
        <v>8.9837499999999988</v>
      </c>
      <c r="F19" s="18">
        <f>'11'!F36</f>
        <v>9.3912499999999994</v>
      </c>
      <c r="G19" s="18">
        <f>'11'!G36</f>
        <v>23.52416666666667</v>
      </c>
      <c r="H19" s="18">
        <f>'11'!H36</f>
        <v>12.943749999999996</v>
      </c>
      <c r="I19" s="18">
        <f>'11'!I36</f>
        <v>3.6745833333333331</v>
      </c>
      <c r="J19" s="18">
        <f>'11'!J36</f>
        <v>0.6925</v>
      </c>
      <c r="K19" s="18">
        <f>'11'!K36</f>
        <v>268.65750000000003</v>
      </c>
      <c r="L19" s="18">
        <f>'11'!L36</f>
        <v>29.241250000000004</v>
      </c>
      <c r="M19" s="18">
        <f>'11'!M36</f>
        <v>85.230416666666642</v>
      </c>
      <c r="N19" s="18">
        <f>'11'!N36</f>
        <v>168.96666666666661</v>
      </c>
      <c r="O19" s="18">
        <f>'11'!O36</f>
        <v>0</v>
      </c>
      <c r="P19" s="18">
        <f>'11'!P36</f>
        <v>0.33374999999999999</v>
      </c>
      <c r="Q19" s="18">
        <f>'11'!Q36</f>
        <v>4.6525000000000007</v>
      </c>
      <c r="R19" s="36"/>
      <c r="S19" s="36"/>
      <c r="T19" s="36"/>
      <c r="U19" s="36"/>
    </row>
    <row r="20" spans="1:24" s="2" customFormat="1">
      <c r="A20" s="16">
        <f>'12'!$B$2</f>
        <v>45485.041666666664</v>
      </c>
      <c r="B20" s="18">
        <f>'12'!B36</f>
        <v>9.3183333333333351</v>
      </c>
      <c r="C20" s="18">
        <f>'12'!C36</f>
        <v>4.0895833333333336</v>
      </c>
      <c r="D20" s="18">
        <f>'12'!D36</f>
        <v>14.049166666666672</v>
      </c>
      <c r="E20" s="18">
        <f>'12'!E36</f>
        <v>12.842083333333333</v>
      </c>
      <c r="F20" s="18">
        <f>'12'!F36</f>
        <v>7.9741666666666688</v>
      </c>
      <c r="G20" s="18">
        <f>'12'!G36</f>
        <v>34.830416666666665</v>
      </c>
      <c r="H20" s="18">
        <f>'12'!H36</f>
        <v>15.621666666666668</v>
      </c>
      <c r="I20" s="18">
        <f>'12'!I36</f>
        <v>4.2283333333333335</v>
      </c>
      <c r="J20" s="18">
        <f>'12'!J36</f>
        <v>0.66083333333333327</v>
      </c>
      <c r="K20" s="18">
        <f>'12'!K36</f>
        <v>251.03791666666669</v>
      </c>
      <c r="L20" s="18">
        <f>'12'!L36</f>
        <v>28.295416666666664</v>
      </c>
      <c r="M20" s="18">
        <f>'12'!M36</f>
        <v>87.40625</v>
      </c>
      <c r="N20" s="18">
        <f>'12'!N36</f>
        <v>120.24166666666666</v>
      </c>
      <c r="O20" s="18">
        <f>'12'!O36</f>
        <v>5.8333333333333327E-2</v>
      </c>
      <c r="P20" s="18">
        <f>'12'!P36</f>
        <v>0.43208333333333337</v>
      </c>
      <c r="Q20" s="18">
        <f>'12'!Q36</f>
        <v>4.6525000000000007</v>
      </c>
      <c r="R20" s="36"/>
      <c r="S20" s="36"/>
      <c r="T20" s="36"/>
      <c r="U20" s="36"/>
    </row>
    <row r="21" spans="1:24" s="2" customFormat="1">
      <c r="A21" s="16">
        <f>'13'!$B$2</f>
        <v>45486.041666666664</v>
      </c>
      <c r="B21" s="18">
        <f>'13'!B36</f>
        <v>9.27</v>
      </c>
      <c r="C21" s="18">
        <f>'13'!C36</f>
        <v>4.0829166666666667</v>
      </c>
      <c r="D21" s="18">
        <f>'13'!D36</f>
        <v>14.007083333333334</v>
      </c>
      <c r="E21" s="18">
        <f>'13'!E36</f>
        <v>9.879999999999999</v>
      </c>
      <c r="F21" s="18">
        <f>'13'!F36</f>
        <v>7.5958333333333341</v>
      </c>
      <c r="G21" s="18">
        <f>'13'!G36</f>
        <v>22.340833333333332</v>
      </c>
      <c r="H21" s="18">
        <f>'13'!H36</f>
        <v>7.992916666666666</v>
      </c>
      <c r="I21" s="18">
        <f>'13'!I36</f>
        <v>4.3941666666666661</v>
      </c>
      <c r="J21" s="18">
        <f>'13'!J36</f>
        <v>0.58916666666666673</v>
      </c>
      <c r="K21" s="18">
        <f>'13'!K36</f>
        <v>277.19166666666666</v>
      </c>
      <c r="L21" s="18">
        <f>'13'!L36</f>
        <v>27.274583333333339</v>
      </c>
      <c r="M21" s="18">
        <f>'13'!M36</f>
        <v>93.96</v>
      </c>
      <c r="N21" s="18">
        <f>'13'!N36</f>
        <v>86.212499999999963</v>
      </c>
      <c r="O21" s="18">
        <f>'13'!O36</f>
        <v>0.19166666666666668</v>
      </c>
      <c r="P21" s="18">
        <f>'13'!P36</f>
        <v>0.47874999999999995</v>
      </c>
      <c r="Q21" s="18">
        <f>'13'!Q36</f>
        <v>4.6504166666666658</v>
      </c>
      <c r="R21" s="36"/>
      <c r="S21" s="36"/>
      <c r="T21" s="36"/>
      <c r="U21" s="36"/>
    </row>
    <row r="22" spans="1:24" s="2" customFormat="1">
      <c r="A22" s="16">
        <f>'14'!$B$2</f>
        <v>45487.041666666664</v>
      </c>
      <c r="B22" s="18">
        <f>'14'!B36</f>
        <v>9.2508333333333326</v>
      </c>
      <c r="C22" s="18">
        <f>'14'!C36</f>
        <v>4.0879166666666658</v>
      </c>
      <c r="D22" s="18">
        <f>'14'!D36</f>
        <v>13.996666666666664</v>
      </c>
      <c r="E22" s="18">
        <f>'14'!E36</f>
        <v>10.358750000000001</v>
      </c>
      <c r="F22" s="18">
        <f>'14'!F36</f>
        <v>7.8529166666666681</v>
      </c>
      <c r="G22" s="18">
        <f>'14'!G36</f>
        <v>24.494166666666668</v>
      </c>
      <c r="H22" s="18">
        <f>'14'!H36</f>
        <v>10.205833333333333</v>
      </c>
      <c r="I22" s="18">
        <f>'14'!I36</f>
        <v>4.9937499999999995</v>
      </c>
      <c r="J22" s="18">
        <f>'14'!J36</f>
        <v>0.5099999999999999</v>
      </c>
      <c r="K22" s="18">
        <f>'14'!K36</f>
        <v>270.09291666666672</v>
      </c>
      <c r="L22" s="18">
        <f>'14'!L36</f>
        <v>28.159583333333334</v>
      </c>
      <c r="M22" s="18">
        <f>'14'!M36</f>
        <v>93.388333333333335</v>
      </c>
      <c r="N22" s="18">
        <f>'14'!N36</f>
        <v>131.77916666666664</v>
      </c>
      <c r="O22" s="18">
        <f>'14'!O36</f>
        <v>0.30833333333333335</v>
      </c>
      <c r="P22" s="18">
        <f>'14'!P36</f>
        <v>0.48291666666666666</v>
      </c>
      <c r="Q22" s="18">
        <f>'14'!Q36</f>
        <v>4.6525000000000007</v>
      </c>
      <c r="R22" s="38"/>
      <c r="S22" s="38"/>
      <c r="T22" s="38"/>
      <c r="U22" s="38"/>
    </row>
    <row r="23" spans="1:24" s="2" customFormat="1">
      <c r="A23" s="16">
        <f>'15'!$B$2</f>
        <v>45488.041666666664</v>
      </c>
      <c r="B23" s="19">
        <f>'15'!B36</f>
        <v>9.2054166666666664</v>
      </c>
      <c r="C23" s="19">
        <f>'15'!C36</f>
        <v>4.0824999999999987</v>
      </c>
      <c r="D23" s="19">
        <f>'15'!D36</f>
        <v>13.955416666666663</v>
      </c>
      <c r="E23" s="19">
        <f>'15'!E36</f>
        <v>10.574583333333333</v>
      </c>
      <c r="F23" s="19">
        <f>'15'!F36</f>
        <v>9.0891666666666655</v>
      </c>
      <c r="G23" s="19">
        <f>'15'!G36</f>
        <v>49.257499999999993</v>
      </c>
      <c r="H23" s="19">
        <f>'15'!H36</f>
        <v>16.483333333333331</v>
      </c>
      <c r="I23" s="19">
        <f>'15'!I36</f>
        <v>6.0562500000000012</v>
      </c>
      <c r="J23" s="19">
        <f>'15'!J36</f>
        <v>0.46250000000000008</v>
      </c>
      <c r="K23" s="19">
        <f>'15'!K36</f>
        <v>233.18625000000006</v>
      </c>
      <c r="L23" s="19">
        <f>'15'!L36</f>
        <v>27.850416666666664</v>
      </c>
      <c r="M23" s="19">
        <f>'15'!M36</f>
        <v>97.442916666666648</v>
      </c>
      <c r="N23" s="19">
        <f>'15'!N36</f>
        <v>112.67916666666669</v>
      </c>
      <c r="O23" s="19">
        <f>'15'!O36</f>
        <v>0.32500000000000001</v>
      </c>
      <c r="P23" s="19">
        <f>'15'!P36</f>
        <v>0.60458333333333347</v>
      </c>
      <c r="Q23" s="19">
        <f>'15'!Q36</f>
        <v>4.6525000000000007</v>
      </c>
      <c r="R23" s="38"/>
      <c r="S23" s="38"/>
      <c r="T23" s="38"/>
      <c r="U23" s="36"/>
    </row>
    <row r="24" spans="1:24" s="2" customFormat="1">
      <c r="A24" s="16">
        <f>'16'!$B$2</f>
        <v>45489.041666666664</v>
      </c>
      <c r="B24" s="18">
        <f>'16'!B36</f>
        <v>9.0074999999999985</v>
      </c>
      <c r="C24" s="18">
        <f>'16'!C36</f>
        <v>4.0670833333333336</v>
      </c>
      <c r="D24" s="18">
        <f>'16'!D36</f>
        <v>13.783333333333331</v>
      </c>
      <c r="E24" s="18">
        <f>'16'!E36</f>
        <v>10.485000000000001</v>
      </c>
      <c r="F24" s="18">
        <f>'16'!F36</f>
        <v>9.9662499999999987</v>
      </c>
      <c r="G24" s="18">
        <f>'16'!G36</f>
        <v>34.354583333333345</v>
      </c>
      <c r="H24" s="18">
        <f>'16'!H36</f>
        <v>9.8187499999999996</v>
      </c>
      <c r="I24" s="18">
        <f>'16'!I36</f>
        <v>4.4750000000000005</v>
      </c>
      <c r="J24" s="18">
        <f>'16'!J36</f>
        <v>0.55166666666666675</v>
      </c>
      <c r="K24" s="18">
        <f>'16'!K36</f>
        <v>144.97541666666669</v>
      </c>
      <c r="L24" s="18">
        <f>'16'!L36</f>
        <v>29.46416666666666</v>
      </c>
      <c r="M24" s="18">
        <f>'16'!M36</f>
        <v>89.990833333333342</v>
      </c>
      <c r="N24" s="18">
        <f>'16'!N36</f>
        <v>170.64166666666665</v>
      </c>
      <c r="O24" s="18">
        <f>'16'!O36</f>
        <v>0.10833333333333334</v>
      </c>
      <c r="P24" s="18">
        <f>'16'!P36</f>
        <v>0.47749999999999987</v>
      </c>
      <c r="Q24" s="18">
        <f>'16'!Q36</f>
        <v>4.6608333333333336</v>
      </c>
      <c r="R24" s="38"/>
      <c r="S24" s="38"/>
      <c r="T24" s="38"/>
      <c r="U24" s="36"/>
    </row>
    <row r="25" spans="1:24" s="2" customFormat="1">
      <c r="A25" s="16">
        <f>'17'!$B$2</f>
        <v>45490.041666666664</v>
      </c>
      <c r="B25" s="18">
        <f>'17'!B36</f>
        <v>9.2470833333333307</v>
      </c>
      <c r="C25" s="18">
        <f>'17'!C36</f>
        <v>4.0862499999999997</v>
      </c>
      <c r="D25" s="18">
        <f>'17'!D36</f>
        <v>13.991666666666669</v>
      </c>
      <c r="E25" s="18">
        <f>'17'!E36</f>
        <v>9.5816666666666652</v>
      </c>
      <c r="F25" s="18">
        <f>'17'!F36</f>
        <v>7.7612499999999995</v>
      </c>
      <c r="G25" s="18">
        <f>'17'!G36</f>
        <v>17.406666666666666</v>
      </c>
      <c r="H25" s="18">
        <f>'17'!H36</f>
        <v>6.4579166666666685</v>
      </c>
      <c r="I25" s="18">
        <f>'17'!I36</f>
        <v>3.8774999999999999</v>
      </c>
      <c r="J25" s="18">
        <f>'17'!J36</f>
        <v>0.53749999999999998</v>
      </c>
      <c r="K25" s="18">
        <f>'17'!K36</f>
        <v>247.18041666666662</v>
      </c>
      <c r="L25" s="18">
        <f>'17'!L36</f>
        <v>28.352083333333329</v>
      </c>
      <c r="M25" s="18">
        <f>'17'!M36</f>
        <v>95.884583333333353</v>
      </c>
      <c r="N25" s="18">
        <f>'17'!N36</f>
        <v>104.75</v>
      </c>
      <c r="O25" s="18">
        <f>'17'!O36</f>
        <v>0.59166666666666667</v>
      </c>
      <c r="P25" s="18">
        <f>'17'!P36</f>
        <v>0.39000000000000007</v>
      </c>
      <c r="Q25" s="18">
        <f>'17'!Q36</f>
        <v>4.6608333333333336</v>
      </c>
      <c r="R25" s="38"/>
      <c r="S25" s="38"/>
      <c r="T25" s="38"/>
      <c r="U25" s="36"/>
    </row>
    <row r="26" spans="1:24" s="2" customFormat="1">
      <c r="A26" s="16">
        <f>'18'!$B$2</f>
        <v>45491.041666666664</v>
      </c>
      <c r="B26" s="18">
        <f>'18'!B36</f>
        <v>9.3504166666666677</v>
      </c>
      <c r="C26" s="18">
        <f>'18'!C36</f>
        <v>4.1391666666666671</v>
      </c>
      <c r="D26" s="18">
        <f>'18'!D36</f>
        <v>14.093750000000002</v>
      </c>
      <c r="E26" s="18">
        <f>'18'!E36</f>
        <v>10.456666666666669</v>
      </c>
      <c r="F26" s="18">
        <f>'18'!F36</f>
        <v>14.127916666666669</v>
      </c>
      <c r="G26" s="18">
        <f>'18'!G36</f>
        <v>36.72208333333333</v>
      </c>
      <c r="H26" s="18">
        <f>'18'!H36</f>
        <v>10.063333333333333</v>
      </c>
      <c r="I26" s="18">
        <f>'18'!I36</f>
        <v>4.6979166666666661</v>
      </c>
      <c r="J26" s="18">
        <f>'18'!J36</f>
        <v>0.53291666666666671</v>
      </c>
      <c r="K26" s="18">
        <f>'18'!K36</f>
        <v>197.71833333333333</v>
      </c>
      <c r="L26" s="18">
        <f>'18'!L36</f>
        <v>29.545833333333338</v>
      </c>
      <c r="M26" s="18">
        <f>'18'!M36</f>
        <v>88.082916666666662</v>
      </c>
      <c r="N26" s="18">
        <f>'18'!N36</f>
        <v>142.86250000000001</v>
      </c>
      <c r="O26" s="18">
        <f>'18'!O36</f>
        <v>0</v>
      </c>
      <c r="P26" s="18">
        <f>'18'!P36</f>
        <v>0.40749999999999992</v>
      </c>
      <c r="Q26" s="18">
        <f>'18'!Q36</f>
        <v>4.706363636363637</v>
      </c>
      <c r="R26" s="38"/>
      <c r="S26" s="38"/>
      <c r="T26" s="38"/>
      <c r="U26" s="36"/>
    </row>
    <row r="27" spans="1:24" s="2" customFormat="1">
      <c r="A27" s="16">
        <f>'19'!$B$2</f>
        <v>45492.041666666664</v>
      </c>
      <c r="B27" s="18">
        <f>'19'!B36</f>
        <v>9.1937499999999996</v>
      </c>
      <c r="C27" s="18">
        <f>'19'!C36</f>
        <v>4.2350000000000003</v>
      </c>
      <c r="D27" s="18">
        <f>'19'!D36</f>
        <v>14.004166666666668</v>
      </c>
      <c r="E27" s="18">
        <f>'19'!E36</f>
        <v>12.96625</v>
      </c>
      <c r="F27" s="18">
        <f>'19'!F36</f>
        <v>13.467500000000001</v>
      </c>
      <c r="G27" s="18">
        <f>'19'!G36</f>
        <v>66.558333333333351</v>
      </c>
      <c r="H27" s="18">
        <f>'19'!H36</f>
        <v>24.724166666666665</v>
      </c>
      <c r="I27" s="18">
        <f>'19'!I36</f>
        <v>6.1012500000000003</v>
      </c>
      <c r="J27" s="18">
        <f>'19'!J36</f>
        <v>0.79541666666666666</v>
      </c>
      <c r="K27" s="18">
        <f>'19'!K36</f>
        <v>150.01124999999996</v>
      </c>
      <c r="L27" s="18">
        <f>'19'!L36</f>
        <v>30.680000000000007</v>
      </c>
      <c r="M27" s="18">
        <f>'19'!M36</f>
        <v>83.32374999999999</v>
      </c>
      <c r="N27" s="18">
        <f>'19'!N36</f>
        <v>151.00833333333335</v>
      </c>
      <c r="O27" s="18">
        <f>'19'!O36</f>
        <v>5.8333333333333327E-2</v>
      </c>
      <c r="P27" s="18">
        <f>'19'!P36</f>
        <v>0.58124999999999993</v>
      </c>
      <c r="Q27" s="18">
        <f>'19'!Q36</f>
        <v>4.7170833333333331</v>
      </c>
      <c r="R27" s="38"/>
      <c r="S27" s="38"/>
      <c r="T27" s="38"/>
      <c r="U27" s="36"/>
    </row>
    <row r="28" spans="1:24" s="2" customFormat="1">
      <c r="A28" s="16">
        <f>'20'!$B$2</f>
        <v>45493.041666666664</v>
      </c>
      <c r="B28" s="18">
        <f>'20'!B36</f>
        <v>9.3000000000000043</v>
      </c>
      <c r="C28" s="18">
        <f>'20'!C36</f>
        <v>4.0995833333333342</v>
      </c>
      <c r="D28" s="18">
        <f>'20'!D36</f>
        <v>14.037083333333333</v>
      </c>
      <c r="E28" s="18">
        <f>'20'!E36</f>
        <v>10.477916666666667</v>
      </c>
      <c r="F28" s="18">
        <f>'20'!F36</f>
        <v>8.1316666666666677</v>
      </c>
      <c r="G28" s="18">
        <f>'20'!G36</f>
        <v>32.544583333333335</v>
      </c>
      <c r="H28" s="18">
        <f>'20'!H36</f>
        <v>9.9466666666666672</v>
      </c>
      <c r="I28" s="18">
        <f>'20'!I36</f>
        <v>5.1716666666666669</v>
      </c>
      <c r="J28" s="18">
        <f>'20'!J36</f>
        <v>0.77666666666666673</v>
      </c>
      <c r="K28" s="18">
        <f>'20'!K36</f>
        <v>166.25541666666666</v>
      </c>
      <c r="L28" s="18">
        <f>'20'!L36</f>
        <v>28.939166666666665</v>
      </c>
      <c r="M28" s="18">
        <f>'20'!M36</f>
        <v>91.307083333333324</v>
      </c>
      <c r="N28" s="18">
        <f>'20'!N36</f>
        <v>144.2791666666667</v>
      </c>
      <c r="O28" s="18">
        <f>'20'!O36</f>
        <v>0.99999999999999989</v>
      </c>
      <c r="P28" s="18">
        <f>'20'!P36</f>
        <v>0.47666666666666679</v>
      </c>
      <c r="Q28" s="18">
        <f>'20'!Q36</f>
        <v>4.7458333333333336</v>
      </c>
      <c r="R28" s="38"/>
      <c r="S28" s="38"/>
      <c r="T28" s="38"/>
      <c r="U28" s="36"/>
    </row>
    <row r="29" spans="1:24" s="2" customFormat="1">
      <c r="A29" s="16">
        <f>'21'!$B$2</f>
        <v>45494.041666666664</v>
      </c>
      <c r="B29" s="18">
        <f>'21'!B36</f>
        <v>9.2991666666666681</v>
      </c>
      <c r="C29" s="18">
        <f>'21'!C36</f>
        <v>4.1083333333333325</v>
      </c>
      <c r="D29" s="18">
        <f>'21'!D36</f>
        <v>14.04</v>
      </c>
      <c r="E29" s="18">
        <f>'21'!E36</f>
        <v>11.535000000000002</v>
      </c>
      <c r="F29" s="18">
        <f>'21'!F36</f>
        <v>8.2937500000000011</v>
      </c>
      <c r="G29" s="18">
        <f>'21'!G36</f>
        <v>35.193749999999994</v>
      </c>
      <c r="H29" s="18">
        <f>'21'!H36</f>
        <v>11.354583333333332</v>
      </c>
      <c r="I29" s="18">
        <f>'21'!I36</f>
        <v>4.461666666666666</v>
      </c>
      <c r="J29" s="18">
        <f>'21'!J36</f>
        <v>0.58458333333333323</v>
      </c>
      <c r="K29" s="18">
        <f>'21'!K36</f>
        <v>285.06583333333327</v>
      </c>
      <c r="L29" s="18">
        <f>'21'!L36</f>
        <v>27.974166666666665</v>
      </c>
      <c r="M29" s="18">
        <f>'21'!M36</f>
        <v>98.075833333333335</v>
      </c>
      <c r="N29" s="18">
        <f>'21'!N36</f>
        <v>99.962499999999991</v>
      </c>
      <c r="O29" s="18">
        <f>'21'!O36</f>
        <v>0.45</v>
      </c>
      <c r="P29" s="18">
        <f>'21'!P36</f>
        <v>0.44041666666666668</v>
      </c>
      <c r="Q29" s="18">
        <f>'21'!Q36</f>
        <v>4.8554166666666676</v>
      </c>
      <c r="R29" s="38"/>
      <c r="S29" s="38"/>
      <c r="T29" s="38"/>
      <c r="U29" s="36"/>
    </row>
    <row r="30" spans="1:24" s="2" customFormat="1">
      <c r="A30" s="16">
        <f>'22'!$B$2</f>
        <v>45495.041666666664</v>
      </c>
      <c r="B30" s="18">
        <f>'22'!B36</f>
        <v>9.3862499999999986</v>
      </c>
      <c r="C30" s="18">
        <f>'22'!C36</f>
        <v>4.0929166666666665</v>
      </c>
      <c r="D30" s="18">
        <f>'22'!D36</f>
        <v>14.107500000000002</v>
      </c>
      <c r="E30" s="18">
        <f>'22'!E36</f>
        <v>9.4095833333333339</v>
      </c>
      <c r="F30" s="18">
        <f>'22'!F36</f>
        <v>4.8579166666666662</v>
      </c>
      <c r="G30" s="18">
        <f>'22'!G36</f>
        <v>11.65</v>
      </c>
      <c r="H30" s="18">
        <f>'22'!H36</f>
        <v>2.9166666666666661</v>
      </c>
      <c r="I30" s="18">
        <f>'22'!I36</f>
        <v>3.9395833333333319</v>
      </c>
      <c r="J30" s="18">
        <f>'22'!J36</f>
        <v>0.93083333333333329</v>
      </c>
      <c r="K30" s="18">
        <f>'22'!K36</f>
        <v>280.34541666666661</v>
      </c>
      <c r="L30" s="18">
        <f>'22'!L36</f>
        <v>26.19208333333334</v>
      </c>
      <c r="M30" s="18">
        <f>'22'!M36</f>
        <v>99.672083333333333</v>
      </c>
      <c r="N30" s="18">
        <f>'22'!N36</f>
        <v>48.845833333333331</v>
      </c>
      <c r="O30" s="18">
        <f>'22'!O36</f>
        <v>0.19166666666666668</v>
      </c>
      <c r="P30" s="18">
        <f>'22'!P36</f>
        <v>0.39999999999999997</v>
      </c>
      <c r="Q30" s="18">
        <f>'22'!Q36</f>
        <v>4.7483333333333348</v>
      </c>
      <c r="R30" s="38"/>
      <c r="S30" s="36"/>
      <c r="T30" s="36"/>
      <c r="U30" s="36"/>
    </row>
    <row r="31" spans="1:24" s="2" customFormat="1">
      <c r="A31" s="16">
        <f>'23'!$B$2</f>
        <v>45496.041666666664</v>
      </c>
      <c r="B31" s="18">
        <f>'23'!B36</f>
        <v>9.2333333333333325</v>
      </c>
      <c r="C31" s="18">
        <f>'23'!C36</f>
        <v>4.1499999999999995</v>
      </c>
      <c r="D31" s="18">
        <f>'23'!D36</f>
        <v>14.003749999999998</v>
      </c>
      <c r="E31" s="18">
        <f>'23'!E36</f>
        <v>10.894583333333335</v>
      </c>
      <c r="F31" s="18">
        <f>'23'!F36</f>
        <v>4.3354166666666663</v>
      </c>
      <c r="G31" s="18">
        <f>'23'!G36</f>
        <v>5.1758333333333342</v>
      </c>
      <c r="H31" s="18">
        <f>'23'!H36</f>
        <v>2.1350000000000002</v>
      </c>
      <c r="I31" s="18">
        <f>'23'!I36</f>
        <v>3.1879166666666663</v>
      </c>
      <c r="J31" s="18">
        <f>'23'!J36</f>
        <v>0.99333333333333318</v>
      </c>
      <c r="K31" s="18">
        <f>'23'!K36</f>
        <v>276.70916666666665</v>
      </c>
      <c r="L31" s="18">
        <f>'23'!L36</f>
        <v>25.200833333333332</v>
      </c>
      <c r="M31" s="18">
        <f>'23'!M36</f>
        <v>102.17749999999999</v>
      </c>
      <c r="N31" s="18">
        <f>'23'!N36</f>
        <v>22.650000000000002</v>
      </c>
      <c r="O31" s="18">
        <f>'23'!O36</f>
        <v>0.89166666666666661</v>
      </c>
      <c r="P31" s="18">
        <f>'23'!P36</f>
        <v>0.30249999999999994</v>
      </c>
      <c r="Q31" s="18">
        <f>'23'!Q36</f>
        <v>4.7254166666666668</v>
      </c>
      <c r="R31" s="36"/>
      <c r="S31" s="36"/>
      <c r="T31" s="36"/>
      <c r="U31" s="36"/>
    </row>
    <row r="32" spans="1:24" s="2" customFormat="1">
      <c r="A32" s="16">
        <f>'24'!$B$2</f>
        <v>45497.041666666664</v>
      </c>
      <c r="B32" s="18">
        <f>'24'!B36</f>
        <v>9.3058333333333341</v>
      </c>
      <c r="C32" s="18">
        <f>'24'!C36</f>
        <v>4.092083333333334</v>
      </c>
      <c r="D32" s="18">
        <f>'24'!D36</f>
        <v>14.040833333333333</v>
      </c>
      <c r="E32" s="18">
        <f>'24'!E36</f>
        <v>9.1158333333333346</v>
      </c>
      <c r="F32" s="18">
        <f>'24'!F36</f>
        <v>3.9591666666666665</v>
      </c>
      <c r="G32" s="18">
        <f>'24'!G36</f>
        <v>3.3883333333333341</v>
      </c>
      <c r="H32" s="18">
        <f>'24'!H36</f>
        <v>1.1287499999999999</v>
      </c>
      <c r="I32" s="18">
        <f>'24'!I36</f>
        <v>3.1579166666666669</v>
      </c>
      <c r="J32" s="18">
        <f>'24'!J36</f>
        <v>1.0629166666666665</v>
      </c>
      <c r="K32" s="18">
        <f>'24'!K36</f>
        <v>276.68666666666667</v>
      </c>
      <c r="L32" s="18">
        <f>'24'!L36</f>
        <v>24.819166666666664</v>
      </c>
      <c r="M32" s="18">
        <f>'24'!M36</f>
        <v>100.29666666666668</v>
      </c>
      <c r="N32" s="18">
        <f>'24'!N36</f>
        <v>42.983333333333341</v>
      </c>
      <c r="O32" s="18">
        <f>'24'!O36</f>
        <v>0.45833333333333326</v>
      </c>
      <c r="P32" s="18">
        <f>'24'!P36</f>
        <v>0.28458333333333335</v>
      </c>
      <c r="Q32" s="18">
        <f>'24'!Q36</f>
        <v>4.7309090909090914</v>
      </c>
      <c r="R32" s="36"/>
      <c r="S32" s="36"/>
      <c r="T32" s="36"/>
      <c r="U32" s="36"/>
    </row>
    <row r="33" spans="1:21" s="2" customFormat="1">
      <c r="A33" s="16">
        <f>'25'!$B$2</f>
        <v>45498.041666666664</v>
      </c>
      <c r="B33" s="18">
        <f>'25'!B36</f>
        <v>9.1879166666666681</v>
      </c>
      <c r="C33" s="18">
        <f>'25'!C36</f>
        <v>4.2062499999999989</v>
      </c>
      <c r="D33" s="18">
        <f>'25'!D36</f>
        <v>14</v>
      </c>
      <c r="E33" s="18">
        <f>'25'!E36</f>
        <v>11.270416666666664</v>
      </c>
      <c r="F33" s="18">
        <f>'25'!F36</f>
        <v>4.5883333333333338</v>
      </c>
      <c r="G33" s="18">
        <f>'25'!G36</f>
        <v>3.3587500000000006</v>
      </c>
      <c r="H33" s="18">
        <f>'25'!H36</f>
        <v>0.8849999999999999</v>
      </c>
      <c r="I33" s="18">
        <f>'25'!I36</f>
        <v>3.0458333333333338</v>
      </c>
      <c r="J33" s="18">
        <f>'25'!J36</f>
        <v>0.88208333333333311</v>
      </c>
      <c r="K33" s="18">
        <f>'25'!K36</f>
        <v>276.67999999999995</v>
      </c>
      <c r="L33" s="18">
        <f>'25'!L36</f>
        <v>25.595833333333331</v>
      </c>
      <c r="M33" s="18">
        <f>'25'!M36</f>
        <v>96.812083333333348</v>
      </c>
      <c r="N33" s="18">
        <f>'25'!N36</f>
        <v>45.233333333333348</v>
      </c>
      <c r="O33" s="18">
        <f>'25'!O36</f>
        <v>8.3333333333333332E-3</v>
      </c>
      <c r="P33" s="18">
        <f>'25'!P36</f>
        <v>0.30166666666666664</v>
      </c>
      <c r="Q33" s="18">
        <f>'25'!Q36</f>
        <v>4.72</v>
      </c>
      <c r="R33" s="36"/>
      <c r="S33" s="36"/>
      <c r="T33" s="36"/>
      <c r="U33" s="36"/>
    </row>
    <row r="34" spans="1:21" s="2" customFormat="1">
      <c r="A34" s="16">
        <f>'26'!$B$2</f>
        <v>45499.041666666664</v>
      </c>
      <c r="B34" s="18">
        <f>'26'!B36</f>
        <v>9.3025000000000002</v>
      </c>
      <c r="C34" s="18">
        <f>'26'!C36</f>
        <v>4.0862499999999988</v>
      </c>
      <c r="D34" s="18">
        <f>'26'!D36</f>
        <v>14.036666666666667</v>
      </c>
      <c r="E34" s="18">
        <f>'26'!E36</f>
        <v>10.64625</v>
      </c>
      <c r="F34" s="18">
        <f>'26'!F36</f>
        <v>3.8862500000000009</v>
      </c>
      <c r="G34" s="18">
        <f>'26'!G36</f>
        <v>17.361666666666661</v>
      </c>
      <c r="H34" s="18">
        <f>'26'!H36</f>
        <v>7.665</v>
      </c>
      <c r="I34" s="18">
        <f>'26'!I36</f>
        <v>4.1420833333333329</v>
      </c>
      <c r="J34" s="18">
        <f>'26'!J36</f>
        <v>0.90916666666666668</v>
      </c>
      <c r="K34" s="18">
        <f>'26'!K36</f>
        <v>282.09166666666664</v>
      </c>
      <c r="L34" s="18">
        <f>'26'!L36</f>
        <v>25.22666666666667</v>
      </c>
      <c r="M34" s="18">
        <f>'26'!M36</f>
        <v>100.94833333333332</v>
      </c>
      <c r="N34" s="18">
        <f>'26'!N36</f>
        <v>35.616666666666667</v>
      </c>
      <c r="O34" s="18">
        <f>'26'!O36</f>
        <v>0.44999999999999996</v>
      </c>
      <c r="P34" s="18">
        <f>'26'!P36</f>
        <v>0.3758333333333333</v>
      </c>
      <c r="Q34" s="18" t="str">
        <f>'26'!Q36</f>
        <v>Data F</v>
      </c>
      <c r="R34" s="36"/>
      <c r="S34" s="36"/>
      <c r="T34" s="36"/>
      <c r="U34" s="36"/>
    </row>
    <row r="35" spans="1:21" s="2" customFormat="1">
      <c r="A35" s="16">
        <f>'27'!$B$2</f>
        <v>45500.041666666664</v>
      </c>
      <c r="B35" s="18">
        <f>'27'!B36</f>
        <v>9.3195833333333322</v>
      </c>
      <c r="C35" s="18">
        <f>'27'!C36</f>
        <v>4.1016666666666657</v>
      </c>
      <c r="D35" s="18">
        <f>'27'!D36</f>
        <v>14.055833333333334</v>
      </c>
      <c r="E35" s="18">
        <f>'27'!E36</f>
        <v>10.618333333333334</v>
      </c>
      <c r="F35" s="18">
        <f>'27'!F36</f>
        <v>4.9570833333333324</v>
      </c>
      <c r="G35" s="18">
        <f>'27'!G36</f>
        <v>22.361250000000002</v>
      </c>
      <c r="H35" s="18">
        <f>'27'!H36</f>
        <v>10.9625</v>
      </c>
      <c r="I35" s="18">
        <f>'27'!I36</f>
        <v>5.0070833333333331</v>
      </c>
      <c r="J35" s="18">
        <f>'27'!J36</f>
        <v>0.75749999999999995</v>
      </c>
      <c r="K35" s="18">
        <f>'27'!K36</f>
        <v>279.66625000000005</v>
      </c>
      <c r="L35" s="18">
        <f>'27'!L36</f>
        <v>25.814999999999998</v>
      </c>
      <c r="M35" s="18">
        <f>'27'!M36</f>
        <v>101.42666666666666</v>
      </c>
      <c r="N35" s="18">
        <f>'27'!N36</f>
        <v>60.795833333333327</v>
      </c>
      <c r="O35" s="18">
        <f>'27'!O36</f>
        <v>0.22500000000000006</v>
      </c>
      <c r="P35" s="18">
        <f>'27'!P36</f>
        <v>0.43458333333333338</v>
      </c>
      <c r="Q35" s="18">
        <f>'27'!Q36</f>
        <v>4.66</v>
      </c>
      <c r="R35" s="36"/>
      <c r="S35" s="36"/>
      <c r="T35" s="36"/>
      <c r="U35" s="36"/>
    </row>
    <row r="36" spans="1:21" s="2" customFormat="1">
      <c r="A36" s="16">
        <f>'28'!$B$2</f>
        <v>45501.041666666664</v>
      </c>
      <c r="B36" s="18">
        <f>'28'!B36</f>
        <v>9.3599999999999977</v>
      </c>
      <c r="C36" s="18">
        <f>'28'!C36</f>
        <v>4.0962499999999986</v>
      </c>
      <c r="D36" s="18">
        <f>'28'!D36</f>
        <v>14.087500000000004</v>
      </c>
      <c r="E36" s="18">
        <f>'28'!E36</f>
        <v>9.9162499999999998</v>
      </c>
      <c r="F36" s="18">
        <f>'28'!F36</f>
        <v>4.3429166666666665</v>
      </c>
      <c r="G36" s="18">
        <f>'28'!G36</f>
        <v>7.5200000000000022</v>
      </c>
      <c r="H36" s="18">
        <f>'28'!H36</f>
        <v>3.1287500000000006</v>
      </c>
      <c r="I36" s="18">
        <f>'28'!I36</f>
        <v>3.2850000000000001</v>
      </c>
      <c r="J36" s="18">
        <f>'28'!J36</f>
        <v>0.55166666666666653</v>
      </c>
      <c r="K36" s="18">
        <f>'28'!K36</f>
        <v>283.35500000000002</v>
      </c>
      <c r="L36" s="18">
        <f>'28'!L36</f>
        <v>25.445833333333329</v>
      </c>
      <c r="M36" s="18">
        <f>'28'!M36</f>
        <v>104.50458333333336</v>
      </c>
      <c r="N36" s="18">
        <f>'28'!N36</f>
        <v>53.604166666666664</v>
      </c>
      <c r="O36" s="18">
        <f>'28'!O36</f>
        <v>0.1166666666666667</v>
      </c>
      <c r="P36" s="18">
        <f>'28'!P36</f>
        <v>0.30666666666666659</v>
      </c>
      <c r="Q36" s="18">
        <f>'28'!Q36</f>
        <v>4.6608333333333336</v>
      </c>
      <c r="R36" s="36"/>
      <c r="S36" s="36"/>
      <c r="T36" s="36"/>
      <c r="U36" s="36"/>
    </row>
    <row r="37" spans="1:21" s="2" customFormat="1">
      <c r="A37" s="16">
        <f>'29'!$B$2</f>
        <v>45502.041666666664</v>
      </c>
      <c r="B37" s="18">
        <f>'29'!B36</f>
        <v>9.3345833333333328</v>
      </c>
      <c r="C37" s="18">
        <f>'29'!C36</f>
        <v>4.0891666666666664</v>
      </c>
      <c r="D37" s="18">
        <f>'29'!D36</f>
        <v>14.064166666666667</v>
      </c>
      <c r="E37" s="18">
        <f>'29'!E36</f>
        <v>11.000833333333334</v>
      </c>
      <c r="F37" s="18">
        <f>'29'!F36</f>
        <v>5.3650000000000011</v>
      </c>
      <c r="G37" s="18">
        <f>'29'!G36</f>
        <v>18.784166666666668</v>
      </c>
      <c r="H37" s="18">
        <f>'29'!H36</f>
        <v>8.8895833333333343</v>
      </c>
      <c r="I37" s="18">
        <f>'29'!I36</f>
        <v>3.1345833333333335</v>
      </c>
      <c r="J37" s="18">
        <f>'29'!J36</f>
        <v>0.42291666666666661</v>
      </c>
      <c r="K37" s="18">
        <f>'29'!K36</f>
        <v>274.74375000000003</v>
      </c>
      <c r="L37" s="18">
        <f>'29'!L36</f>
        <v>25.941666666666674</v>
      </c>
      <c r="M37" s="18">
        <f>'29'!M36</f>
        <v>98.842083333333335</v>
      </c>
      <c r="N37" s="18">
        <f>'29'!N36</f>
        <v>71.229166666666671</v>
      </c>
      <c r="O37" s="18">
        <f>'29'!O36</f>
        <v>6.6666666666666666E-2</v>
      </c>
      <c r="P37" s="18">
        <f>'29'!P36</f>
        <v>0.30458333333333343</v>
      </c>
      <c r="Q37" s="18">
        <f>'29'!Q36</f>
        <v>4.6649999999999991</v>
      </c>
      <c r="R37" s="36"/>
      <c r="S37" s="36"/>
      <c r="T37" s="36"/>
      <c r="U37" s="36"/>
    </row>
    <row r="38" spans="1:21" s="2" customFormat="1">
      <c r="A38" s="16">
        <f>'30'!$B$2</f>
        <v>45503.041666666664</v>
      </c>
      <c r="B38" s="18">
        <f>'30'!B36</f>
        <v>9.2037499999999977</v>
      </c>
      <c r="C38" s="18">
        <f>'30'!C36</f>
        <v>4.1954166666666666</v>
      </c>
      <c r="D38" s="18">
        <f>'30'!D36</f>
        <v>14.000833333333333</v>
      </c>
      <c r="E38" s="18">
        <f>'30'!E36</f>
        <v>9.4591666666666665</v>
      </c>
      <c r="F38" s="18">
        <f>'30'!F36</f>
        <v>7.97</v>
      </c>
      <c r="G38" s="18">
        <f>'30'!G36</f>
        <v>32.380000000000003</v>
      </c>
      <c r="H38" s="18">
        <f>'30'!H36</f>
        <v>16.102916666666665</v>
      </c>
      <c r="I38" s="18">
        <f>'30'!I36</f>
        <v>3.6529166666666666</v>
      </c>
      <c r="J38" s="18">
        <f>'30'!J36</f>
        <v>0.4754166666666666</v>
      </c>
      <c r="K38" s="18">
        <f>'30'!K36</f>
        <v>277.30624999999998</v>
      </c>
      <c r="L38" s="18">
        <f>'30'!L36</f>
        <v>27.896250000000006</v>
      </c>
      <c r="M38" s="18">
        <f>'30'!M36</f>
        <v>91.295416666666668</v>
      </c>
      <c r="N38" s="18">
        <f>'30'!N36</f>
        <v>105.47916666666667</v>
      </c>
      <c r="O38" s="18">
        <f>'30'!O36</f>
        <v>0</v>
      </c>
      <c r="P38" s="18">
        <f>'30'!P36</f>
        <v>0.37499999999999994</v>
      </c>
      <c r="Q38" s="18">
        <f>'30'!Q36</f>
        <v>4.6679166666666676</v>
      </c>
      <c r="R38" s="36"/>
      <c r="S38" s="36"/>
      <c r="T38" s="36"/>
      <c r="U38" s="36"/>
    </row>
    <row r="39" spans="1:21">
      <c r="A39" s="16">
        <f>'31'!$B$2</f>
        <v>45504.041666666664</v>
      </c>
      <c r="B39" s="18">
        <f>'31'!B36</f>
        <v>9.3012500000000014</v>
      </c>
      <c r="C39" s="18">
        <f>'31'!C36</f>
        <v>4.0933333333333328</v>
      </c>
      <c r="D39" s="18">
        <f>'31'!D36</f>
        <v>14.039583333333333</v>
      </c>
      <c r="E39" s="18">
        <f>'31'!E36</f>
        <v>10.164166666666665</v>
      </c>
      <c r="F39" s="18">
        <f>'31'!F36</f>
        <v>5.8941666666666661</v>
      </c>
      <c r="G39" s="18">
        <f>'31'!G36</f>
        <v>30.677499999999995</v>
      </c>
      <c r="H39" s="18">
        <f>'31'!H36</f>
        <v>13.310833333333335</v>
      </c>
      <c r="I39" s="18">
        <f>'31'!I36</f>
        <v>4.0512500000000005</v>
      </c>
      <c r="J39" s="18">
        <f>'31'!J36</f>
        <v>0.67249999999999999</v>
      </c>
      <c r="K39" s="18">
        <f>'31'!K36</f>
        <v>286.14124999999996</v>
      </c>
      <c r="L39" s="18">
        <f>'31'!L36</f>
        <v>26.639999999999997</v>
      </c>
      <c r="M39" s="18">
        <f>'31'!M36</f>
        <v>96.96583333333335</v>
      </c>
      <c r="N39" s="18">
        <f>'31'!N36</f>
        <v>44.1875</v>
      </c>
      <c r="O39" s="18">
        <f>'31'!O36</f>
        <v>0.81666666666666676</v>
      </c>
      <c r="P39" s="18">
        <f>'31'!P36</f>
        <v>0.3379166666666667</v>
      </c>
      <c r="Q39" s="18">
        <f>'31'!Q36</f>
        <v>4.6712500000000015</v>
      </c>
      <c r="R39" s="39"/>
      <c r="S39" s="39"/>
      <c r="T39" s="39"/>
      <c r="U39" s="40"/>
    </row>
    <row r="40" spans="1:21" s="1" customFormat="1">
      <c r="A40"/>
      <c r="R40" s="41"/>
      <c r="S40" s="41"/>
      <c r="T40" s="41"/>
      <c r="U40" s="41"/>
    </row>
    <row r="41" spans="1:21" s="1" customFormat="1">
      <c r="A41" s="3" t="s">
        <v>48</v>
      </c>
      <c r="B41" s="20">
        <f t="shared" ref="B41:Q41" si="0">MIN(B9:B38)</f>
        <v>9.0074999999999985</v>
      </c>
      <c r="C41" s="20">
        <f t="shared" si="0"/>
        <v>4.0670833333333336</v>
      </c>
      <c r="D41" s="20">
        <f t="shared" si="0"/>
        <v>13.783333333333331</v>
      </c>
      <c r="E41" s="20">
        <f t="shared" si="0"/>
        <v>7.9783333333333326</v>
      </c>
      <c r="F41" s="20">
        <f t="shared" si="0"/>
        <v>3.8862500000000009</v>
      </c>
      <c r="G41" s="20">
        <f t="shared" si="0"/>
        <v>3.3587500000000006</v>
      </c>
      <c r="H41" s="20">
        <f t="shared" si="0"/>
        <v>0.8849999999999999</v>
      </c>
      <c r="I41" s="20">
        <f t="shared" si="0"/>
        <v>3.0033333333333334</v>
      </c>
      <c r="J41" s="20">
        <f t="shared" si="0"/>
        <v>0.38791666666666663</v>
      </c>
      <c r="K41" s="20">
        <f t="shared" si="0"/>
        <v>144.97541666666669</v>
      </c>
      <c r="L41" s="20">
        <f t="shared" si="0"/>
        <v>24.819166666666664</v>
      </c>
      <c r="M41" s="20">
        <f t="shared" si="0"/>
        <v>82.405833333333334</v>
      </c>
      <c r="N41" s="20">
        <f t="shared" si="0"/>
        <v>22.650000000000002</v>
      </c>
      <c r="O41" s="20">
        <f t="shared" si="0"/>
        <v>0</v>
      </c>
      <c r="P41" s="20">
        <f t="shared" si="0"/>
        <v>0.28458333333333335</v>
      </c>
      <c r="Q41" s="20">
        <f t="shared" si="0"/>
        <v>4.6400000000000015</v>
      </c>
      <c r="R41" s="41"/>
      <c r="S41" s="41"/>
      <c r="T41" s="41"/>
      <c r="U41" s="41"/>
    </row>
    <row r="42" spans="1:21" s="1" customFormat="1">
      <c r="A42" s="3" t="s">
        <v>49</v>
      </c>
      <c r="B42" s="20">
        <f t="shared" ref="B42:Q42" si="1">MAX(B9:B38)</f>
        <v>9.3954166666666676</v>
      </c>
      <c r="C42" s="20">
        <f t="shared" si="1"/>
        <v>4.2350000000000003</v>
      </c>
      <c r="D42" s="20">
        <f t="shared" si="1"/>
        <v>14.114583333333334</v>
      </c>
      <c r="E42" s="20">
        <f t="shared" si="1"/>
        <v>12.96625</v>
      </c>
      <c r="F42" s="20">
        <f t="shared" si="1"/>
        <v>14.127916666666669</v>
      </c>
      <c r="G42" s="20">
        <f t="shared" si="1"/>
        <v>66.558333333333351</v>
      </c>
      <c r="H42" s="20">
        <f t="shared" si="1"/>
        <v>42.377083333333331</v>
      </c>
      <c r="I42" s="20">
        <f t="shared" si="1"/>
        <v>6.1012500000000003</v>
      </c>
      <c r="J42" s="20">
        <f t="shared" si="1"/>
        <v>1.0629166666666665</v>
      </c>
      <c r="K42" s="20">
        <f t="shared" si="1"/>
        <v>285.06583333333327</v>
      </c>
      <c r="L42" s="20">
        <f t="shared" si="1"/>
        <v>30.680000000000007</v>
      </c>
      <c r="M42" s="20">
        <f t="shared" si="1"/>
        <v>104.50458333333336</v>
      </c>
      <c r="N42" s="20">
        <f t="shared" si="1"/>
        <v>184.76249999999996</v>
      </c>
      <c r="O42" s="20">
        <f t="shared" si="1"/>
        <v>1.0916666666666666</v>
      </c>
      <c r="P42" s="20">
        <f t="shared" si="1"/>
        <v>0.60458333333333347</v>
      </c>
      <c r="Q42" s="20">
        <f t="shared" si="1"/>
        <v>4.8554166666666676</v>
      </c>
      <c r="R42" s="41"/>
      <c r="S42" s="41"/>
      <c r="T42" s="41"/>
      <c r="U42" s="41"/>
    </row>
    <row r="43" spans="1:21" s="1" customFormat="1">
      <c r="A43" s="3" t="s">
        <v>50</v>
      </c>
      <c r="B43" s="20">
        <f t="shared" ref="B43:Q43" si="2">AVERAGE(B9:B38)</f>
        <v>9.2744999999999997</v>
      </c>
      <c r="C43" s="20">
        <f t="shared" si="2"/>
        <v>4.1051805555555543</v>
      </c>
      <c r="D43" s="20">
        <f t="shared" si="2"/>
        <v>14.021208333333337</v>
      </c>
      <c r="E43" s="20">
        <f t="shared" si="2"/>
        <v>10.250388888888891</v>
      </c>
      <c r="F43" s="20">
        <f t="shared" si="2"/>
        <v>7.6611249999999993</v>
      </c>
      <c r="G43" s="20">
        <f t="shared" si="2"/>
        <v>23.045049603174604</v>
      </c>
      <c r="H43" s="20">
        <f t="shared" si="2"/>
        <v>11.350432539682542</v>
      </c>
      <c r="I43" s="20">
        <f t="shared" si="2"/>
        <v>4.0642361111111098</v>
      </c>
      <c r="J43" s="20">
        <f t="shared" si="2"/>
        <v>0.66331944444444457</v>
      </c>
      <c r="K43" s="20">
        <f t="shared" si="2"/>
        <v>253.50004166666665</v>
      </c>
      <c r="L43" s="20">
        <f t="shared" si="2"/>
        <v>27.731416666666664</v>
      </c>
      <c r="M43" s="20">
        <f t="shared" si="2"/>
        <v>92.348430555555552</v>
      </c>
      <c r="N43" s="20">
        <f t="shared" si="2"/>
        <v>108.37583333333332</v>
      </c>
      <c r="O43" s="20">
        <f t="shared" si="2"/>
        <v>0.23972222222222223</v>
      </c>
      <c r="P43" s="20">
        <f t="shared" si="2"/>
        <v>0.38838888888888889</v>
      </c>
      <c r="Q43" s="20">
        <f t="shared" si="2"/>
        <v>4.6776645768025071</v>
      </c>
      <c r="R43" s="41"/>
      <c r="S43" s="41"/>
      <c r="T43" s="41"/>
      <c r="U43" s="41"/>
    </row>
    <row r="44" spans="1:21" s="1" customFormat="1">
      <c r="A44" s="3" t="s">
        <v>51</v>
      </c>
      <c r="B44" s="20">
        <f t="shared" ref="B44:Q44" si="3">STDEV(B9:B38)</f>
        <v>8.2496400710990264E-2</v>
      </c>
      <c r="C44" s="20">
        <f t="shared" si="3"/>
        <v>3.999306742686097E-2</v>
      </c>
      <c r="D44" s="20">
        <f t="shared" si="3"/>
        <v>6.6820704764684657E-2</v>
      </c>
      <c r="E44" s="20">
        <f t="shared" si="3"/>
        <v>1.1021486923741781</v>
      </c>
      <c r="F44" s="20">
        <f t="shared" si="3"/>
        <v>2.4868159573485089</v>
      </c>
      <c r="G44" s="20">
        <f t="shared" si="3"/>
        <v>13.623017992377449</v>
      </c>
      <c r="H44" s="20">
        <f t="shared" si="3"/>
        <v>9.7742101800737835</v>
      </c>
      <c r="I44" s="20">
        <f t="shared" si="3"/>
        <v>0.85224571692270801</v>
      </c>
      <c r="J44" s="20">
        <f t="shared" si="3"/>
        <v>0.1891270872099993</v>
      </c>
      <c r="K44" s="20">
        <f t="shared" si="3"/>
        <v>38.76403349400735</v>
      </c>
      <c r="L44" s="20">
        <f t="shared" si="3"/>
        <v>1.5396424992132085</v>
      </c>
      <c r="M44" s="20">
        <f t="shared" si="3"/>
        <v>6.4665904572503816</v>
      </c>
      <c r="N44" s="20">
        <f t="shared" si="3"/>
        <v>45.163208375895941</v>
      </c>
      <c r="O44" s="20">
        <f t="shared" si="3"/>
        <v>0.30472557949651874</v>
      </c>
      <c r="P44" s="20">
        <f t="shared" si="3"/>
        <v>8.2731355429103218E-2</v>
      </c>
      <c r="Q44" s="20">
        <f t="shared" si="3"/>
        <v>4.8167611835390714E-2</v>
      </c>
      <c r="R44" s="33"/>
      <c r="S44" s="33"/>
      <c r="T44" s="33"/>
      <c r="U44" s="33"/>
    </row>
    <row r="45" spans="1:21" s="1" customFormat="1">
      <c r="A45" s="3" t="s">
        <v>52</v>
      </c>
      <c r="B45" s="6">
        <f>COUNT(B9:B39)</f>
        <v>31</v>
      </c>
      <c r="C45" s="6">
        <f t="shared" ref="C45:Q45" si="4">COUNT(C9:C39)</f>
        <v>31</v>
      </c>
      <c r="D45" s="6">
        <f t="shared" si="4"/>
        <v>31</v>
      </c>
      <c r="E45" s="6">
        <f t="shared" si="4"/>
        <v>31</v>
      </c>
      <c r="F45" s="6">
        <f t="shared" si="4"/>
        <v>31</v>
      </c>
      <c r="G45" s="6">
        <f t="shared" si="4"/>
        <v>31</v>
      </c>
      <c r="H45" s="6">
        <f t="shared" si="4"/>
        <v>31</v>
      </c>
      <c r="I45" s="6">
        <f t="shared" si="4"/>
        <v>31</v>
      </c>
      <c r="J45" s="6">
        <f t="shared" si="4"/>
        <v>31</v>
      </c>
      <c r="K45" s="6">
        <f t="shared" si="4"/>
        <v>31</v>
      </c>
      <c r="L45" s="6">
        <f t="shared" si="4"/>
        <v>31</v>
      </c>
      <c r="M45" s="6">
        <f t="shared" si="4"/>
        <v>31</v>
      </c>
      <c r="N45" s="6">
        <f t="shared" si="4"/>
        <v>31</v>
      </c>
      <c r="O45" s="6">
        <f t="shared" si="4"/>
        <v>31</v>
      </c>
      <c r="P45" s="6">
        <f t="shared" si="4"/>
        <v>31</v>
      </c>
      <c r="Q45" s="6">
        <v>31</v>
      </c>
      <c r="R45" s="33"/>
      <c r="S45" s="33"/>
      <c r="T45" s="33"/>
      <c r="U45" s="33"/>
    </row>
    <row r="46" spans="1:21" s="1" customFormat="1">
      <c r="A46" s="3" t="s">
        <v>53</v>
      </c>
      <c r="B46" s="6" t="str">
        <f>IF(B45&gt;=28,"&gt;90%",IF(B45&lt;=28,"&lt;90%"))</f>
        <v>&gt;90%</v>
      </c>
      <c r="C46" s="6" t="str">
        <f t="shared" ref="C46:Q46" si="5">IF(C45&gt;=28,"&gt;90%",IF(C45&lt;=28,"&lt;90%"))</f>
        <v>&gt;90%</v>
      </c>
      <c r="D46" s="6" t="str">
        <f t="shared" si="5"/>
        <v>&gt;90%</v>
      </c>
      <c r="E46" s="6" t="str">
        <f t="shared" si="5"/>
        <v>&gt;90%</v>
      </c>
      <c r="F46" s="6" t="str">
        <f t="shared" si="5"/>
        <v>&gt;90%</v>
      </c>
      <c r="G46" s="6" t="str">
        <f t="shared" si="5"/>
        <v>&gt;90%</v>
      </c>
      <c r="H46" s="6" t="str">
        <f t="shared" si="5"/>
        <v>&gt;90%</v>
      </c>
      <c r="I46" s="6" t="str">
        <f t="shared" si="5"/>
        <v>&gt;90%</v>
      </c>
      <c r="J46" s="6" t="str">
        <f t="shared" si="5"/>
        <v>&gt;90%</v>
      </c>
      <c r="K46" s="6" t="str">
        <f t="shared" si="5"/>
        <v>&gt;90%</v>
      </c>
      <c r="L46" s="6" t="str">
        <f t="shared" si="5"/>
        <v>&gt;90%</v>
      </c>
      <c r="M46" s="6" t="str">
        <f t="shared" si="5"/>
        <v>&gt;90%</v>
      </c>
      <c r="N46" s="6" t="str">
        <f t="shared" si="5"/>
        <v>&gt;90%</v>
      </c>
      <c r="O46" s="6" t="str">
        <f t="shared" si="5"/>
        <v>&gt;90%</v>
      </c>
      <c r="P46" s="6" t="str">
        <f t="shared" si="5"/>
        <v>&gt;90%</v>
      </c>
      <c r="Q46" s="6" t="str">
        <f t="shared" si="5"/>
        <v>&gt;90%</v>
      </c>
      <c r="R46" s="33"/>
      <c r="S46" s="33"/>
      <c r="T46" s="33"/>
      <c r="U46" s="33"/>
    </row>
    <row r="47" spans="1:21">
      <c r="A47" s="3" t="s">
        <v>54</v>
      </c>
      <c r="B47" s="6" t="str">
        <f>IF(B45&gt;=28,"OK",IF(B45&lt;=28,"LESS"))</f>
        <v>OK</v>
      </c>
      <c r="C47" s="6" t="str">
        <f t="shared" ref="C47:Q47" si="6">IF(C45&gt;=28,"OK",IF(C45&lt;=28,"LESS"))</f>
        <v>OK</v>
      </c>
      <c r="D47" s="6" t="str">
        <f t="shared" si="6"/>
        <v>OK</v>
      </c>
      <c r="E47" s="6" t="str">
        <f t="shared" si="6"/>
        <v>OK</v>
      </c>
      <c r="F47" s="6" t="str">
        <f t="shared" si="6"/>
        <v>OK</v>
      </c>
      <c r="G47" s="6" t="str">
        <f t="shared" si="6"/>
        <v>OK</v>
      </c>
      <c r="H47" s="6" t="str">
        <f t="shared" si="6"/>
        <v>OK</v>
      </c>
      <c r="I47" s="6" t="str">
        <f t="shared" si="6"/>
        <v>OK</v>
      </c>
      <c r="J47" s="6" t="str">
        <f t="shared" si="6"/>
        <v>OK</v>
      </c>
      <c r="K47" s="6" t="str">
        <f t="shared" si="6"/>
        <v>OK</v>
      </c>
      <c r="L47" s="6" t="str">
        <f t="shared" si="6"/>
        <v>OK</v>
      </c>
      <c r="M47" s="6" t="str">
        <f t="shared" si="6"/>
        <v>OK</v>
      </c>
      <c r="N47" s="6" t="str">
        <f t="shared" si="6"/>
        <v>OK</v>
      </c>
      <c r="O47" s="6" t="str">
        <f t="shared" si="6"/>
        <v>OK</v>
      </c>
      <c r="P47" s="6" t="str">
        <f t="shared" si="6"/>
        <v>OK</v>
      </c>
      <c r="Q47" s="6" t="str">
        <f t="shared" si="6"/>
        <v>OK</v>
      </c>
      <c r="R47" s="1"/>
      <c r="S47" s="1"/>
      <c r="T47" s="1"/>
    </row>
    <row r="48" spans="1:2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50" spans="1:16">
      <c r="A50" s="3" t="s">
        <v>55</v>
      </c>
      <c r="B50" s="21" t="s">
        <v>56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22"/>
      <c r="B51" s="1"/>
      <c r="C51" s="1"/>
      <c r="D51" s="23"/>
      <c r="E51" s="23"/>
      <c r="F51" s="23"/>
      <c r="G51" s="23"/>
      <c r="H51" s="23"/>
      <c r="I51" s="23"/>
      <c r="J51" s="1"/>
      <c r="K51" s="1"/>
      <c r="L51" s="1"/>
      <c r="M51" s="1"/>
      <c r="N51" s="1"/>
      <c r="O51" s="1"/>
      <c r="P51" s="1"/>
    </row>
    <row r="52" spans="1:16" ht="15.75">
      <c r="A52" s="24" t="s">
        <v>57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2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1">
    <mergeCell ref="B52:P5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2024-08-06T13:49:20Z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